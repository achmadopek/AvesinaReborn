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0115" windowHeight="877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21" i="1" l="1"/>
  <c r="I22" i="1" s="1"/>
  <c r="I15" i="1"/>
  <c r="I14" i="1"/>
  <c r="G21" i="1"/>
  <c r="G14" i="1"/>
  <c r="D19" i="1"/>
  <c r="D12" i="1"/>
</calcChain>
</file>

<file path=xl/sharedStrings.xml><?xml version="1.0" encoding="utf-8"?>
<sst xmlns="http://schemas.openxmlformats.org/spreadsheetml/2006/main" count="59" uniqueCount="57">
  <si>
    <t>dst…</t>
  </si>
  <si>
    <t>689723405403204000</t>
  </si>
  <si>
    <t>( PNS - 4C ) MKG : 28</t>
  </si>
  <si>
    <t>28-07-1999</t>
  </si>
  <si>
    <t>JD - 0</t>
  </si>
  <si>
    <t>ACHMAD OPEK</t>
  </si>
  <si>
    <t>JUMLAH BERSIH</t>
  </si>
  <si>
    <t>POT. JKM</t>
  </si>
  <si>
    <t>JML. POTONGAN</t>
  </si>
  <si>
    <t>POT. JKK</t>
  </si>
  <si>
    <t>JML. KOTOR</t>
  </si>
  <si>
    <t>SEWA RUMAH</t>
  </si>
  <si>
    <t>POT. TAPERUM</t>
  </si>
  <si>
    <t>PEMBULATAN</t>
  </si>
  <si>
    <t>NO REKENING</t>
  </si>
  <si>
    <t>BULOG</t>
  </si>
  <si>
    <t>POT. IWP 8%</t>
  </si>
  <si>
    <t>TAPERA PK</t>
  </si>
  <si>
    <t>TUNJ. PAJAK</t>
  </si>
  <si>
    <t>TUNJ. KHUSUS</t>
  </si>
  <si>
    <t>JUMLAH</t>
  </si>
  <si>
    <t>NPWP</t>
  </si>
  <si>
    <t>HUTANG/LAIN2</t>
  </si>
  <si>
    <t>POT. IWP 1%</t>
  </si>
  <si>
    <t>TUNJ. JKM</t>
  </si>
  <si>
    <t>TUNJ. BERAS</t>
  </si>
  <si>
    <t>TUNJ. FUNGSIONAL</t>
  </si>
  <si>
    <t>TUNJ. ANAK</t>
  </si>
  <si>
    <t>JML JIWA</t>
  </si>
  <si>
    <t>STATUS PEGAWAI / GOLONGAN</t>
  </si>
  <si>
    <t>TAPERA PEG</t>
  </si>
  <si>
    <t>POT. BPJS KES</t>
  </si>
  <si>
    <t>TUNJ. JKK</t>
  </si>
  <si>
    <t>TKD</t>
  </si>
  <si>
    <t>TUNJ. FUNG UMUM</t>
  </si>
  <si>
    <t>TUNJ. ISTRI/SMI</t>
  </si>
  <si>
    <t>ANAK</t>
  </si>
  <si>
    <t>POT. PAJAK</t>
  </si>
  <si>
    <t>TUNJ. TERPENCIL</t>
  </si>
  <si>
    <t>TUNJ. ESELON</t>
  </si>
  <si>
    <t>GAJI POKOK</t>
  </si>
  <si>
    <t>TANGGAL ALHIR</t>
  </si>
  <si>
    <t xml:space="preserve">TANDA TANGAN </t>
  </si>
  <si>
    <t>POTONGAN</t>
  </si>
  <si>
    <t>PENGHASILAN</t>
  </si>
  <si>
    <t>STS KAWIN</t>
  </si>
  <si>
    <t>NAMA PEGAWAI</t>
  </si>
  <si>
    <t>NO</t>
  </si>
  <si>
    <t>TUNJ. BPJSKES 4%</t>
  </si>
  <si>
    <t>ERWIN KW</t>
  </si>
  <si>
    <t>JD - 1</t>
  </si>
  <si>
    <t>689723405403204001</t>
  </si>
  <si>
    <t>28-07-1998</t>
  </si>
  <si>
    <t>3513150101010001</t>
  </si>
  <si>
    <t>3513150101010002</t>
  </si>
  <si>
    <t>NIP/NIK *</t>
  </si>
  <si>
    <t>*) NIP jk ASN atau NIK jk Non ASN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</si>
</sst>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 wrapText="1"/>
    </xf>
    <xf numFmtId="0" fontId="0" fillId="3" borderId="3" xfId="0" applyFill="1" applyBorder="1"/>
    <xf numFmtId="0" fontId="0" fillId="3" borderId="3" xfId="0" applyFill="1" applyBorder="1" applyAlignment="1">
      <alignment horizontal="center" wrapText="1"/>
    </xf>
    <xf numFmtId="0" fontId="0" fillId="3" borderId="5" xfId="0" applyFill="1" applyBorder="1"/>
    <xf numFmtId="0" fontId="0" fillId="3" borderId="5" xfId="0" applyFill="1" applyBorder="1" applyAlignment="1">
      <alignment horizontal="center" wrapText="1"/>
    </xf>
    <xf numFmtId="0" fontId="0" fillId="3" borderId="5" xfId="0" quotePrefix="1" applyFill="1" applyBorder="1"/>
    <xf numFmtId="0" fontId="0" fillId="3" borderId="7" xfId="0" applyFill="1" applyBorder="1"/>
    <xf numFmtId="0" fontId="0" fillId="3" borderId="7" xfId="0" applyFill="1" applyBorder="1" applyAlignment="1">
      <alignment horizontal="center" wrapText="1"/>
    </xf>
    <xf numFmtId="0" fontId="1" fillId="4" borderId="3" xfId="0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right" vertical="center"/>
    </xf>
    <xf numFmtId="0" fontId="1" fillId="4" borderId="5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vertical="center"/>
    </xf>
    <xf numFmtId="0" fontId="1" fillId="4" borderId="9" xfId="0" applyFont="1" applyFill="1" applyBorder="1" applyAlignment="1"/>
    <xf numFmtId="0" fontId="1" fillId="4" borderId="4" xfId="0" applyFont="1" applyFill="1" applyBorder="1" applyAlignment="1"/>
    <xf numFmtId="0" fontId="1" fillId="4" borderId="8" xfId="0" applyFont="1" applyFill="1" applyBorder="1" applyAlignment="1"/>
    <xf numFmtId="0" fontId="1" fillId="4" borderId="6" xfId="0" applyFont="1" applyFill="1" applyBorder="1" applyAlignment="1">
      <alignment vertical="top"/>
    </xf>
    <xf numFmtId="0" fontId="1" fillId="4" borderId="4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0" fillId="3" borderId="9" xfId="0" applyFill="1" applyBorder="1" applyAlignment="1"/>
    <xf numFmtId="0" fontId="0" fillId="3" borderId="4" xfId="0" applyFill="1" applyBorder="1" applyAlignment="1"/>
    <xf numFmtId="0" fontId="0" fillId="3" borderId="8" xfId="0" applyFill="1" applyBorder="1" applyAlignment="1"/>
    <xf numFmtId="0" fontId="0" fillId="3" borderId="6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6" borderId="5" xfId="0" applyFont="1" applyFill="1" applyBorder="1" applyAlignment="1">
      <alignment horizontal="right" vertical="center"/>
    </xf>
    <xf numFmtId="0" fontId="1" fillId="6" borderId="3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vertical="center"/>
    </xf>
    <xf numFmtId="164" fontId="0" fillId="3" borderId="7" xfId="1" applyNumberFormat="1" applyFont="1" applyFill="1" applyBorder="1"/>
    <xf numFmtId="164" fontId="0" fillId="3" borderId="5" xfId="1" applyNumberFormat="1" applyFont="1" applyFill="1" applyBorder="1"/>
    <xf numFmtId="164" fontId="0" fillId="3" borderId="3" xfId="1" applyNumberFormat="1" applyFont="1" applyFill="1" applyBorder="1"/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I25" sqref="I25"/>
    </sheetView>
  </sheetViews>
  <sheetFormatPr defaultRowHeight="15" x14ac:dyDescent="0.25"/>
  <cols>
    <col min="1" max="1" width="3.85546875" bestFit="1" customWidth="1"/>
    <col min="2" max="2" width="29.140625" bestFit="1" customWidth="1"/>
    <col min="3" max="3" width="10.85546875" style="1" bestFit="1" customWidth="1"/>
    <col min="4" max="9" width="18.5703125" customWidth="1"/>
    <col min="10" max="10" width="16" bestFit="1" customWidth="1"/>
  </cols>
  <sheetData>
    <row r="1" spans="1:10" ht="15" customHeight="1" x14ac:dyDescent="0.25">
      <c r="A1" s="18" t="s">
        <v>47</v>
      </c>
      <c r="B1" s="18" t="s">
        <v>46</v>
      </c>
      <c r="C1" s="17" t="s">
        <v>45</v>
      </c>
      <c r="D1" s="38" t="s">
        <v>44</v>
      </c>
      <c r="E1" s="39"/>
      <c r="F1" s="39"/>
      <c r="G1" s="40"/>
      <c r="H1" s="38" t="s">
        <v>43</v>
      </c>
      <c r="I1" s="40"/>
      <c r="J1" s="19" t="s">
        <v>42</v>
      </c>
    </row>
    <row r="2" spans="1:10" x14ac:dyDescent="0.25">
      <c r="A2" s="15"/>
      <c r="B2" s="15" t="s">
        <v>41</v>
      </c>
      <c r="C2" s="16" t="s">
        <v>36</v>
      </c>
      <c r="D2" s="31" t="s">
        <v>40</v>
      </c>
      <c r="E2" s="31" t="s">
        <v>39</v>
      </c>
      <c r="F2" s="31" t="s">
        <v>38</v>
      </c>
      <c r="G2" s="31" t="s">
        <v>48</v>
      </c>
      <c r="H2" s="32" t="s">
        <v>37</v>
      </c>
      <c r="I2" s="32" t="s">
        <v>17</v>
      </c>
      <c r="J2" s="20"/>
    </row>
    <row r="3" spans="1:10" x14ac:dyDescent="0.25">
      <c r="A3" s="15"/>
      <c r="B3" s="15" t="s">
        <v>55</v>
      </c>
      <c r="C3" s="16"/>
      <c r="D3" s="31" t="s">
        <v>35</v>
      </c>
      <c r="E3" s="31" t="s">
        <v>34</v>
      </c>
      <c r="F3" s="31" t="s">
        <v>33</v>
      </c>
      <c r="G3" s="31" t="s">
        <v>32</v>
      </c>
      <c r="H3" s="32" t="s">
        <v>31</v>
      </c>
      <c r="I3" s="32" t="s">
        <v>30</v>
      </c>
      <c r="J3" s="20"/>
    </row>
    <row r="4" spans="1:10" ht="15" customHeight="1" x14ac:dyDescent="0.25">
      <c r="A4" s="15"/>
      <c r="B4" s="15" t="s">
        <v>29</v>
      </c>
      <c r="C4" s="16" t="s">
        <v>28</v>
      </c>
      <c r="D4" s="31" t="s">
        <v>27</v>
      </c>
      <c r="E4" s="31" t="s">
        <v>26</v>
      </c>
      <c r="F4" s="31" t="s">
        <v>25</v>
      </c>
      <c r="G4" s="31" t="s">
        <v>24</v>
      </c>
      <c r="H4" s="32" t="s">
        <v>23</v>
      </c>
      <c r="I4" s="32" t="s">
        <v>22</v>
      </c>
      <c r="J4" s="21"/>
    </row>
    <row r="5" spans="1:10" x14ac:dyDescent="0.25">
      <c r="A5" s="15"/>
      <c r="B5" s="15" t="s">
        <v>21</v>
      </c>
      <c r="C5" s="16"/>
      <c r="D5" s="14" t="s">
        <v>20</v>
      </c>
      <c r="E5" s="31" t="s">
        <v>19</v>
      </c>
      <c r="F5" s="31" t="s">
        <v>18</v>
      </c>
      <c r="G5" s="31" t="s">
        <v>17</v>
      </c>
      <c r="H5" s="32" t="s">
        <v>16</v>
      </c>
      <c r="I5" s="32" t="s">
        <v>15</v>
      </c>
      <c r="J5" s="22" t="s">
        <v>14</v>
      </c>
    </row>
    <row r="6" spans="1:10" x14ac:dyDescent="0.25">
      <c r="A6" s="15"/>
      <c r="B6" s="15"/>
      <c r="C6" s="16"/>
      <c r="D6" s="14"/>
      <c r="E6" s="14"/>
      <c r="F6" s="14"/>
      <c r="G6" s="31" t="s">
        <v>13</v>
      </c>
      <c r="H6" s="32" t="s">
        <v>12</v>
      </c>
      <c r="I6" s="32" t="s">
        <v>11</v>
      </c>
      <c r="J6" s="23"/>
    </row>
    <row r="7" spans="1:10" x14ac:dyDescent="0.25">
      <c r="A7" s="15"/>
      <c r="B7" s="34" t="s">
        <v>56</v>
      </c>
      <c r="C7" s="16"/>
      <c r="D7" s="14"/>
      <c r="E7" s="14"/>
      <c r="F7" s="14"/>
      <c r="G7" s="14" t="s">
        <v>10</v>
      </c>
      <c r="H7" s="32" t="s">
        <v>9</v>
      </c>
      <c r="I7" s="14" t="s">
        <v>8</v>
      </c>
      <c r="J7" s="23"/>
    </row>
    <row r="8" spans="1:10" x14ac:dyDescent="0.25">
      <c r="A8" s="13"/>
      <c r="B8" s="13"/>
      <c r="C8" s="12"/>
      <c r="D8" s="11"/>
      <c r="E8" s="11"/>
      <c r="F8" s="11"/>
      <c r="G8" s="11"/>
      <c r="H8" s="33" t="s">
        <v>7</v>
      </c>
      <c r="I8" s="11" t="s">
        <v>6</v>
      </c>
      <c r="J8" s="24"/>
    </row>
    <row r="9" spans="1:10" x14ac:dyDescent="0.25">
      <c r="A9" s="9">
        <v>1</v>
      </c>
      <c r="B9" s="9" t="s">
        <v>5</v>
      </c>
      <c r="C9" s="10" t="s">
        <v>4</v>
      </c>
      <c r="D9" s="35">
        <v>5513600</v>
      </c>
      <c r="E9" s="35">
        <v>0</v>
      </c>
      <c r="F9" s="35">
        <v>0</v>
      </c>
      <c r="G9" s="35">
        <v>290598</v>
      </c>
      <c r="H9" s="35">
        <v>116300</v>
      </c>
      <c r="I9" s="35">
        <v>0</v>
      </c>
      <c r="J9" s="25"/>
    </row>
    <row r="10" spans="1:10" x14ac:dyDescent="0.25">
      <c r="A10" s="6"/>
      <c r="B10" s="8" t="s">
        <v>3</v>
      </c>
      <c r="C10" s="7">
        <v>0</v>
      </c>
      <c r="D10" s="36">
        <v>551360</v>
      </c>
      <c r="E10" s="36">
        <v>0</v>
      </c>
      <c r="F10" s="36">
        <v>0</v>
      </c>
      <c r="G10" s="36">
        <v>13233</v>
      </c>
      <c r="H10" s="36">
        <v>290898</v>
      </c>
      <c r="I10" s="36">
        <v>0</v>
      </c>
      <c r="J10" s="26"/>
    </row>
    <row r="11" spans="1:10" x14ac:dyDescent="0.25">
      <c r="A11" s="6"/>
      <c r="B11" s="8" t="s">
        <v>53</v>
      </c>
      <c r="C11" s="7"/>
      <c r="D11" s="36">
        <v>0</v>
      </c>
      <c r="E11" s="36">
        <v>1200000</v>
      </c>
      <c r="F11" s="36">
        <v>144840</v>
      </c>
      <c r="G11" s="36">
        <v>39698</v>
      </c>
      <c r="H11" s="36">
        <v>72650</v>
      </c>
      <c r="I11" s="36">
        <v>0</v>
      </c>
      <c r="J11" s="26"/>
    </row>
    <row r="12" spans="1:10" x14ac:dyDescent="0.25">
      <c r="A12" s="6"/>
      <c r="B12" s="6" t="s">
        <v>2</v>
      </c>
      <c r="C12" s="7">
        <v>2</v>
      </c>
      <c r="D12" s="36">
        <f>SUM(D9:D11)</f>
        <v>6064960</v>
      </c>
      <c r="E12" s="36">
        <v>0</v>
      </c>
      <c r="F12" s="36">
        <v>116300</v>
      </c>
      <c r="G12" s="36">
        <v>0</v>
      </c>
      <c r="H12" s="36">
        <v>485197</v>
      </c>
      <c r="I12" s="36">
        <v>0</v>
      </c>
      <c r="J12" s="27"/>
    </row>
    <row r="13" spans="1:10" x14ac:dyDescent="0.25">
      <c r="A13" s="6"/>
      <c r="B13" s="8" t="s">
        <v>1</v>
      </c>
      <c r="C13" s="7"/>
      <c r="D13" s="36"/>
      <c r="E13" s="36"/>
      <c r="F13" s="36"/>
      <c r="G13" s="36">
        <v>47</v>
      </c>
      <c r="H13" s="36">
        <v>0</v>
      </c>
      <c r="I13" s="36">
        <v>0</v>
      </c>
      <c r="J13" s="28">
        <v>342342443</v>
      </c>
    </row>
    <row r="14" spans="1:10" x14ac:dyDescent="0.25">
      <c r="A14" s="6"/>
      <c r="B14" s="6"/>
      <c r="C14" s="7"/>
      <c r="D14" s="36"/>
      <c r="E14" s="36"/>
      <c r="F14" s="36"/>
      <c r="G14" s="36">
        <f>SUM(D9:D11,E9:E12,F9:F12,G9:G13)</f>
        <v>7869676</v>
      </c>
      <c r="H14" s="36">
        <v>13233</v>
      </c>
      <c r="I14" s="36">
        <f>SUM(H9:H15,I9:I13)</f>
        <v>1017976</v>
      </c>
      <c r="J14" s="29"/>
    </row>
    <row r="15" spans="1:10" x14ac:dyDescent="0.25">
      <c r="A15" s="4"/>
      <c r="B15" s="4"/>
      <c r="C15" s="5"/>
      <c r="D15" s="37"/>
      <c r="E15" s="37"/>
      <c r="F15" s="37"/>
      <c r="G15" s="37"/>
      <c r="H15" s="37">
        <v>39698</v>
      </c>
      <c r="I15" s="37">
        <f>G14-I14</f>
        <v>6851700</v>
      </c>
      <c r="J15" s="30"/>
    </row>
    <row r="16" spans="1:10" x14ac:dyDescent="0.25">
      <c r="A16" s="9">
        <v>2</v>
      </c>
      <c r="B16" s="9" t="s">
        <v>49</v>
      </c>
      <c r="C16" s="10" t="s">
        <v>50</v>
      </c>
      <c r="D16" s="35">
        <v>7545454</v>
      </c>
      <c r="E16" s="35">
        <v>4841</v>
      </c>
      <c r="F16" s="35">
        <v>865410</v>
      </c>
      <c r="G16" s="35">
        <v>686154</v>
      </c>
      <c r="H16" s="35">
        <v>68165</v>
      </c>
      <c r="I16" s="35">
        <v>0</v>
      </c>
      <c r="J16" s="25"/>
    </row>
    <row r="17" spans="1:10" x14ac:dyDescent="0.25">
      <c r="A17" s="6"/>
      <c r="B17" s="8" t="s">
        <v>52</v>
      </c>
      <c r="C17" s="7">
        <v>1</v>
      </c>
      <c r="D17" s="36">
        <v>212644</v>
      </c>
      <c r="E17" s="36">
        <v>0</v>
      </c>
      <c r="F17" s="36">
        <v>0</v>
      </c>
      <c r="G17" s="36">
        <v>13233</v>
      </c>
      <c r="H17" s="36">
        <v>56464</v>
      </c>
      <c r="I17" s="36">
        <v>0</v>
      </c>
      <c r="J17" s="26"/>
    </row>
    <row r="18" spans="1:10" x14ac:dyDescent="0.25">
      <c r="A18" s="6"/>
      <c r="B18" s="8" t="s">
        <v>54</v>
      </c>
      <c r="C18" s="7"/>
      <c r="D18" s="36">
        <v>455455</v>
      </c>
      <c r="E18" s="36">
        <v>756418</v>
      </c>
      <c r="F18" s="36">
        <v>548640</v>
      </c>
      <c r="G18" s="36">
        <v>46846</v>
      </c>
      <c r="H18" s="36">
        <v>64561</v>
      </c>
      <c r="I18" s="36">
        <v>0</v>
      </c>
      <c r="J18" s="26"/>
    </row>
    <row r="19" spans="1:10" x14ac:dyDescent="0.25">
      <c r="A19" s="6"/>
      <c r="B19" s="6" t="s">
        <v>2</v>
      </c>
      <c r="C19" s="7">
        <v>2</v>
      </c>
      <c r="D19" s="36">
        <f>SUM(D16:D18)</f>
        <v>8213553</v>
      </c>
      <c r="E19" s="36">
        <v>0</v>
      </c>
      <c r="F19" s="36">
        <v>786786</v>
      </c>
      <c r="G19" s="36">
        <v>0</v>
      </c>
      <c r="H19" s="36">
        <v>64681</v>
      </c>
      <c r="I19" s="36">
        <v>0</v>
      </c>
      <c r="J19" s="27"/>
    </row>
    <row r="20" spans="1:10" x14ac:dyDescent="0.25">
      <c r="A20" s="6"/>
      <c r="B20" s="8" t="s">
        <v>51</v>
      </c>
      <c r="C20" s="7"/>
      <c r="D20" s="36"/>
      <c r="E20" s="36"/>
      <c r="F20" s="36"/>
      <c r="G20" s="36">
        <v>78</v>
      </c>
      <c r="H20" s="36">
        <v>0</v>
      </c>
      <c r="I20" s="36">
        <v>0</v>
      </c>
      <c r="J20" s="28">
        <v>786787867</v>
      </c>
    </row>
    <row r="21" spans="1:10" x14ac:dyDescent="0.25">
      <c r="A21" s="6"/>
      <c r="B21" s="6"/>
      <c r="C21" s="7"/>
      <c r="D21" s="36"/>
      <c r="E21" s="36"/>
      <c r="F21" s="36"/>
      <c r="G21" s="36">
        <f>SUM(D16:D18,E16:E19,F16:F19,G16:G20)</f>
        <v>11921959</v>
      </c>
      <c r="H21" s="36">
        <v>45750</v>
      </c>
      <c r="I21" s="36">
        <f>SUM(H16:H22,I16:I20)</f>
        <v>307488</v>
      </c>
      <c r="J21" s="29"/>
    </row>
    <row r="22" spans="1:10" x14ac:dyDescent="0.25">
      <c r="A22" s="4"/>
      <c r="B22" s="4"/>
      <c r="C22" s="5"/>
      <c r="D22" s="37"/>
      <c r="E22" s="37"/>
      <c r="F22" s="37"/>
      <c r="G22" s="37"/>
      <c r="H22" s="37">
        <v>7867</v>
      </c>
      <c r="I22" s="37">
        <f>G21-I21</f>
        <v>11614471</v>
      </c>
      <c r="J22" s="30"/>
    </row>
    <row r="23" spans="1:10" x14ac:dyDescent="0.25">
      <c r="A23" s="2">
        <v>3</v>
      </c>
      <c r="B23" s="2" t="s">
        <v>0</v>
      </c>
      <c r="C23" s="3"/>
      <c r="D23" s="2"/>
      <c r="E23" s="2"/>
      <c r="F23" s="2"/>
      <c r="G23" s="2"/>
      <c r="H23" s="2"/>
      <c r="I23" s="2"/>
      <c r="J23" s="2"/>
    </row>
  </sheetData>
  <mergeCells count="2">
    <mergeCell ref="D1:G1"/>
    <mergeCell ref="H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2025-08-22T08:00:54Z</dcterms:created>
  <dcterms:modified xsi:type="dcterms:W3CDTF">2025-08-27T07:50:33Z</dcterms:modified>
</cp:coreProperties>
</file>