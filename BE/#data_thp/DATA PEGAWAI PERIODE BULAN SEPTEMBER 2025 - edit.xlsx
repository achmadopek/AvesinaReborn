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server-it"/>
  <workbookPr/>
  <bookViews>
    <workbookView activeTab="0" xWindow="240" yWindow="60" windowWidth="20730" windowHeight="11040" tabRatio="500"/>
  </bookViews>
  <sheets>
    <sheet name="TOTAL SEPTEMBER" sheetId="1" r:id="rId4"/>
    <sheet name="DATA SUMBER" sheetId="2" r:id="rId5"/>
    <sheet name="DB VS DATA" sheetId="3" r:id="rId6"/>
  </sheets>
  <definedNames>
    <definedName name="_xlnm._FilterDatabase" localSheetId="0" hidden="1">'TOTAL SEPTEMBER'!$A$3:$T$725</definedName>
  </definedNames>
  <calcPr/>
  <extLst>
    <ext uri="smNativeData">
      <pm:revision xmlns:pm="smNativeData" day="1759816862" val="1228" rev="124" rev64="64" revOS="3" revMin="124" revMax="0"/>
      <pm:docPrefs xmlns:pm="smNativeData" id="1759816862" fixedDigits="0" showNotice="1" showFrameBounds="1" autoChart="1" recalcOnPrint="1" recalcOnCopy="1" finalRounding="1" compatTextArt="1" tab="567" useDefinedPrintRange="1" printArea="currentSheet"/>
      <pm:compatibility xmlns:pm="smNativeData" id="1759816862" overlapCells="1"/>
      <pm:defCurrency xmlns:pm="smNativeData" id="1759816862"/>
    </ext>
  </extLst>
</workbook>
</file>

<file path=xl/sharedStrings.xml><?xml version="1.0" encoding="utf-8"?>
<sst xmlns="http://schemas.openxmlformats.org/spreadsheetml/2006/main" count="22078" uniqueCount="4074">
  <si>
    <t>DATA PEGAWAI  UOBK RSUD WALUYO JATI</t>
  </si>
  <si>
    <t>PERIODE BULAN SEPTEMBER 2025</t>
  </si>
  <si>
    <t>NO.</t>
  </si>
  <si>
    <t>NAMA</t>
  </si>
  <si>
    <t>NIK</t>
  </si>
  <si>
    <t>NIP / TMT</t>
  </si>
  <si>
    <t>JENIS KELAMIN</t>
  </si>
  <si>
    <t>STATUS</t>
  </si>
  <si>
    <t>GOL</t>
  </si>
  <si>
    <t>JABATAN SESUAI SK</t>
  </si>
  <si>
    <t>JABATAN SESEUAI PERMENKES NO 3 TAHUN 2020</t>
  </si>
  <si>
    <t>JABATAN BARU</t>
  </si>
  <si>
    <t>PENDIDIKAN</t>
  </si>
  <si>
    <t>UNIT</t>
  </si>
  <si>
    <t>TAHUN</t>
  </si>
  <si>
    <t>BULAN</t>
  </si>
  <si>
    <t>MASA KERJA</t>
  </si>
  <si>
    <t>TMT</t>
  </si>
  <si>
    <t>AKHIR KONTRAK</t>
  </si>
  <si>
    <t>HONOR 2023</t>
  </si>
  <si>
    <t>Honor 2025</t>
  </si>
  <si>
    <t>kenaikan</t>
  </si>
  <si>
    <t>dr. YESSI RAHMAWATI, Sp.OG.,M.H</t>
  </si>
  <si>
    <t>19760105 200312 2 007</t>
  </si>
  <si>
    <t>PEREMPUAN</t>
  </si>
  <si>
    <t>PNS</t>
  </si>
  <si>
    <t>IV/b</t>
  </si>
  <si>
    <t>DIREKTUR</t>
  </si>
  <si>
    <t>TENAGA NON KESEHATAN</t>
  </si>
  <si>
    <t>S 2</t>
  </si>
  <si>
    <t>RUANG DIREKTUR</t>
  </si>
  <si>
    <t>JURIANTO, S.E., M.Si.</t>
  </si>
  <si>
    <t>197112131994021002</t>
  </si>
  <si>
    <t>LAKI - LAKI</t>
  </si>
  <si>
    <t xml:space="preserve">WADIR UMUM DAN KEUANGAN  </t>
  </si>
  <si>
    <t>WADIR UMUM</t>
  </si>
  <si>
    <t>dr. DWI INDAH LESTARI</t>
  </si>
  <si>
    <t>19681116 199903 2 003</t>
  </si>
  <si>
    <t>IV/a</t>
  </si>
  <si>
    <t>KEPALA BIDANG PELAYANAN MEDIK UNIT ORGANISASI BERSIFAT KHUSUS RSUD WALUYO JATI DINAS KESEHATAN</t>
  </si>
  <si>
    <t>S1</t>
  </si>
  <si>
    <t>BIDANG PELAYANAN MEDIK</t>
  </si>
  <si>
    <t>SUPRAYITNO, S.Sos.,  M,Si,</t>
  </si>
  <si>
    <t>19690421 199202 1 001</t>
  </si>
  <si>
    <t>KEPALA BAGIAN KEUANGAN UNIT ORGANISASI BERSIFAT KHUSUS RSUD WALUYO JATI DINAS KESEHATAN</t>
  </si>
  <si>
    <t>BAGIAN KEUANGAN</t>
  </si>
  <si>
    <t>WIWIK YULIATI, S.KM., M.M</t>
  </si>
  <si>
    <t>196804291993032002</t>
  </si>
  <si>
    <t>KEPALA BAGIAN UMUM</t>
  </si>
  <si>
    <t>BAGIAN UMUM</t>
  </si>
  <si>
    <t>SUGIANTO, S.Kep.,Ns., M.M.</t>
  </si>
  <si>
    <t>19681212 199303 1 017</t>
  </si>
  <si>
    <t>KEPALA BIDANG PELAYANAN PENUNJANG UNIT ORGANISASI BERSIFAT KHUSUS RSUD WALUYO JATI DINAS KESEHATAN</t>
  </si>
  <si>
    <t>BIDANG PELAYANAN PENUNJANG</t>
  </si>
  <si>
    <t>KHUSNUL NUR KHOTIMAH, S.Kep.Ns.,M.M</t>
  </si>
  <si>
    <t>19690915 199003 2 009</t>
  </si>
  <si>
    <t>KEPALA BIDANG PELAYANAN KEPERAWATAN DAN KEBIDANAN</t>
  </si>
  <si>
    <t>BIDANG PELAYANAN KEPERAWATAN DAN KEBIDANAN</t>
  </si>
  <si>
    <t>ARI DIANTI, S.Gz.,MMRS</t>
  </si>
  <si>
    <t>19710121 199503 2 003</t>
  </si>
  <si>
    <t>KEPALA BAGIAN PERENCANAAN, PENGEMBANGAN MONITORING DAN EVALUASI</t>
  </si>
  <si>
    <t>BAGIAN RENBANG</t>
  </si>
  <si>
    <t>dr. SOFIE GIANTARI</t>
  </si>
  <si>
    <t>19740724 200701 2 006</t>
  </si>
  <si>
    <t>IV/c</t>
  </si>
  <si>
    <t>JF DOKTER MADYA ( UMUM )</t>
  </si>
  <si>
    <t>TENAGA MEDIS</t>
  </si>
  <si>
    <t>S 1 KEDOKTERAN</t>
  </si>
  <si>
    <t>INSTALASI GAWAT DARURAT</t>
  </si>
  <si>
    <t>dr. ALAM SYUKUR HIDAYAT, Sp.OG</t>
  </si>
  <si>
    <t>19720505 200212 1 011</t>
  </si>
  <si>
    <t xml:space="preserve">JF DOKTER SPESIALIS KANDUNGAN MADYA </t>
  </si>
  <si>
    <t>Sp 1</t>
  </si>
  <si>
    <t>POLIKLINIK KANDUNGAN</t>
  </si>
  <si>
    <t>drg. YULI  ESTININGSIH, Sp.Ort</t>
  </si>
  <si>
    <t>19680728 200212 2 004</t>
  </si>
  <si>
    <t>JF DOKTER SPESIALIS ORTODONSIA MADYA</t>
  </si>
  <si>
    <t>POLIKLINIK GIGI</t>
  </si>
  <si>
    <t>dr. SONI INDRAYANA KURNIAWAN</t>
  </si>
  <si>
    <t>19800527 201001 1 010</t>
  </si>
  <si>
    <t>dr. FAUZIJAH SRI RAHMAWATI, Sp.P</t>
  </si>
  <si>
    <t>19711030 200212 2 003</t>
  </si>
  <si>
    <t>JF DOKTER SPESIALIS PARU MADYA</t>
  </si>
  <si>
    <t>POLIKLINIK PARU</t>
  </si>
  <si>
    <t>dr. AA. SAGUNG MAS CAHYANDARI, Sp.KFR</t>
  </si>
  <si>
    <t>19711201 200212 2 003</t>
  </si>
  <si>
    <t xml:space="preserve">JF DOKTER SPESIALIS REHABILITASI MEDIS MADYA </t>
  </si>
  <si>
    <t>INSTALASI REHAB MEDIK</t>
  </si>
  <si>
    <t>SETIYA HASTUTI, S.ST., M.M</t>
  </si>
  <si>
    <t>19780117 200212 2 001</t>
  </si>
  <si>
    <t>JF NUTRISIONIS  MADYA</t>
  </si>
  <si>
    <t>TENAGA GIZI</t>
  </si>
  <si>
    <t>INSTALASI GIZI</t>
  </si>
  <si>
    <t>LILIK MUSKIATUN, S.Kep.,Ns</t>
  </si>
  <si>
    <t>19730906 199703 2 004</t>
  </si>
  <si>
    <t>JF PERAWAT MADYA</t>
  </si>
  <si>
    <t>TENAGA KEPERAWATAN</t>
  </si>
  <si>
    <t>RUANG NICU</t>
  </si>
  <si>
    <t>LUKI HARJANTI, S. FARM, Apt</t>
  </si>
  <si>
    <t>19820104 201001 2 008</t>
  </si>
  <si>
    <t>JF APOTEKER MADYA</t>
  </si>
  <si>
    <t>TENAGA KEFARMASIAN</t>
  </si>
  <si>
    <t>Profesi APOTEKER</t>
  </si>
  <si>
    <t>INSTALASI FARMASI</t>
  </si>
  <si>
    <t>LELY AGUSTIN, S.Si, Apt.</t>
  </si>
  <si>
    <t>19760802 201101 2 004</t>
  </si>
  <si>
    <t>ARIF BURHANUDDIN, S.Farm,Apt</t>
  </si>
  <si>
    <t>19850319 201101 1 013</t>
  </si>
  <si>
    <t>NURYAKUB, S.KM.</t>
  </si>
  <si>
    <t>19700327 199203 1 006</t>
  </si>
  <si>
    <t>III/d</t>
  </si>
  <si>
    <t>JF ANALIS SDM APARATUR MUDA</t>
  </si>
  <si>
    <t>BAGIAN UMUM ( SDM )</t>
  </si>
  <si>
    <t>MURSID, SKM.M.Si</t>
  </si>
  <si>
    <t>19680523 199409 1 001</t>
  </si>
  <si>
    <t>JF PERENCANA MUDA</t>
  </si>
  <si>
    <t>ROFI`I, S.E.</t>
  </si>
  <si>
    <t>19780818 201001 1 006</t>
  </si>
  <si>
    <t>JF ANALIS KEUANGAN PUSAT DAN DAERAH MUDA</t>
  </si>
  <si>
    <t>BAGIAN KEUANGAN (Akuntansi)</t>
  </si>
  <si>
    <t>YULI SUCIATI ZAINI PUTRI, SE</t>
  </si>
  <si>
    <t>19790713 201001 2 002</t>
  </si>
  <si>
    <t>BAGIAN KEUANGAN ( Anggaran)</t>
  </si>
  <si>
    <t>WEDARING PRASETYO</t>
  </si>
  <si>
    <t>19680314 198903 1 005</t>
  </si>
  <si>
    <t>JF SANITARIAN PENYELIA</t>
  </si>
  <si>
    <t>TENAGA KESEHATAN LINGKUNGAN</t>
  </si>
  <si>
    <t>DI</t>
  </si>
  <si>
    <t>INSTALASI SARANA PRASARANA</t>
  </si>
  <si>
    <t>SAIFUL JUHRI, S.ST</t>
  </si>
  <si>
    <t>19670908 198811 1 001</t>
  </si>
  <si>
    <t>JF RADIOGRAFER MADYA</t>
  </si>
  <si>
    <t>TENAGA TEKNIK BIOMEDIKA</t>
  </si>
  <si>
    <t>D-IV RADIOLOGI</t>
  </si>
  <si>
    <t>INSTALASI RADIOLOGI</t>
  </si>
  <si>
    <t>DYAN INDAH PERWITASARI, M.Mkes</t>
  </si>
  <si>
    <t>19700626 199803 2 011</t>
  </si>
  <si>
    <t>JF NUTRISIONIS PENYELIA</t>
  </si>
  <si>
    <t>dr. DONNY RAHADIANTO, Sp.OG</t>
  </si>
  <si>
    <t>19720831 201001 1 006</t>
  </si>
  <si>
    <t>ROCHMAWATI, A.Md.Farm</t>
  </si>
  <si>
    <t>19700319 199203 2 006</t>
  </si>
  <si>
    <t>JF ASISTEN APOTEKER PENYELIA</t>
  </si>
  <si>
    <t>D-III FARMASI</t>
  </si>
  <si>
    <t>drg. AULIYA RAKHMAWATI</t>
  </si>
  <si>
    <t>19820524 200903 2 005</t>
  </si>
  <si>
    <t>JF DOKTER GIGI MADYA</t>
  </si>
  <si>
    <t>dr. SATMOKO NUGROHO, Sp.S</t>
  </si>
  <si>
    <t>19700301 201001 1 006</t>
  </si>
  <si>
    <t>JF DOKTER SPESIALIS SYARAF MADYA</t>
  </si>
  <si>
    <t>POLIKLINIK SYARAF</t>
  </si>
  <si>
    <t>ANY  SULISTYOWATI, A.Md</t>
  </si>
  <si>
    <t>19730901 199803 2 005</t>
  </si>
  <si>
    <t>D-III KESEHATAN LINGKUNGAN</t>
  </si>
  <si>
    <t>SEKTIAYU AGUSTINA</t>
  </si>
  <si>
    <t>19690826 199403 2 004</t>
  </si>
  <si>
    <t>JF PERAWAT PENYELIA</t>
  </si>
  <si>
    <t>SLTA</t>
  </si>
  <si>
    <t>RUANG TENGGER</t>
  </si>
  <si>
    <t>AKHMAD MUNIF, S.Kep.,Ns</t>
  </si>
  <si>
    <t>19720125 199603 1 003</t>
  </si>
  <si>
    <t>S-1 KEPERAWATAN, NERS</t>
  </si>
  <si>
    <t>RUANG MAWAR KUNING</t>
  </si>
  <si>
    <t>HENNY GUNAWATI</t>
  </si>
  <si>
    <t>19671003 199403 2 006</t>
  </si>
  <si>
    <t>RR</t>
  </si>
  <si>
    <t>RATNA DWI HARTATIK, S.Kep.Ns.</t>
  </si>
  <si>
    <t>19740324 199903 2 004</t>
  </si>
  <si>
    <t>INSTALASI BEDAH SENTRAL</t>
  </si>
  <si>
    <t>INDAH NURSANTI, S.Tr.Kes</t>
  </si>
  <si>
    <t>19740127 199403 2 004</t>
  </si>
  <si>
    <t>JF PRANATA LABORATORIUM KESEHATAN PENYELIA</t>
  </si>
  <si>
    <t>D-IV ANALIS KESEHATAN</t>
  </si>
  <si>
    <t>INSTALASI LABORATORIUM KLINIK</t>
  </si>
  <si>
    <t>TETI HENDAYATI, S.Kep.,Ns</t>
  </si>
  <si>
    <t>19700402 199803 2 003</t>
  </si>
  <si>
    <t>POLIKLINIK PEYAKIT KULIT DAN KELAMIN</t>
  </si>
  <si>
    <t>ABDUL ROSYID ANSORI, S.Kep.Ns</t>
  </si>
  <si>
    <t>19730617 199503 1 001</t>
  </si>
  <si>
    <t>PURNADI, A.Md.Kep.</t>
  </si>
  <si>
    <t>19680315 199103 1 021</t>
  </si>
  <si>
    <t>D-III KEPERAWATAN</t>
  </si>
  <si>
    <t>KOMPER</t>
  </si>
  <si>
    <t>dr. ISLAH HARWITYASTIKA</t>
  </si>
  <si>
    <t>19840114 201001 2 007</t>
  </si>
  <si>
    <t>dr. SYAHRUDI, Sp.B</t>
  </si>
  <si>
    <t>19840729 201001 1 013</t>
  </si>
  <si>
    <t>JF DOKTER SPESIALIS BEDAH MUDA</t>
  </si>
  <si>
    <t>POLIKLINIK BEDAH</t>
  </si>
  <si>
    <t>BAMBANG MARGI EKO  WIYANTO, S.Kep.,Ns</t>
  </si>
  <si>
    <t>19760304 199703 1 005</t>
  </si>
  <si>
    <t>dr. IZZUKI MUHASHONAH, Sp.PK</t>
  </si>
  <si>
    <t>19781101 200701 2 011</t>
  </si>
  <si>
    <t>JF DOKTER SPESIALIS PATOLOGI KLINIK MUDA</t>
  </si>
  <si>
    <t>JF DOKTER  SPESIALIS PATOLOGI KLINIK MUDA</t>
  </si>
  <si>
    <t>ANANG KURNIAWAN, S.Kep.,Ns</t>
  </si>
  <si>
    <t>19770413 199703 1 002</t>
  </si>
  <si>
    <t>INTENSIVE CORONARY CARE UNIT</t>
  </si>
  <si>
    <t>ELMA KHURIYATUL F., S.S.T</t>
  </si>
  <si>
    <t>19740510 199302 2 001</t>
  </si>
  <si>
    <t>JF BIDAN MADYA</t>
  </si>
  <si>
    <t>TENAGA KEBIDANAN</t>
  </si>
  <si>
    <t>D-IV KEBIDANAN</t>
  </si>
  <si>
    <t>POLIKLINIK OBGYN</t>
  </si>
  <si>
    <t>ABDUL HADI, S.Kep.,Ns</t>
  </si>
  <si>
    <t>19741111 199703 1 004</t>
  </si>
  <si>
    <t>EKO ENDAH NURHAYATI, A.Md.Keb</t>
  </si>
  <si>
    <t>19700322 199203 2 007</t>
  </si>
  <si>
    <t>JF BIDAN PENYELIA</t>
  </si>
  <si>
    <t>D-III KEBIDANAN</t>
  </si>
  <si>
    <t>RUANG ROSELA</t>
  </si>
  <si>
    <t>LUTFY HIDAYAT</t>
  </si>
  <si>
    <t>19700330 199803 1 008</t>
  </si>
  <si>
    <t>JF RADIOGRAFER PENYELIA</t>
  </si>
  <si>
    <t>D-III RADIOLOGI</t>
  </si>
  <si>
    <t>dr. NANIK TRIANA KARTIKASARI, Sp.PD</t>
  </si>
  <si>
    <t>19800725 200903 2 002</t>
  </si>
  <si>
    <t>JF DOKTER SPESIALIS PENYAKIT DALAM MUDA</t>
  </si>
  <si>
    <t>POLIKLINIK PENYAKIT DALAM</t>
  </si>
  <si>
    <t>EFRI FURQONIYAH, S.Kep.,Ns</t>
  </si>
  <si>
    <t>19780416 200604 2 017</t>
  </si>
  <si>
    <t>JF PERAWAT MUDA</t>
  </si>
  <si>
    <t>RUANG ASOKA</t>
  </si>
  <si>
    <t>NUR UBAIDAH, S.Kep.,Ns</t>
  </si>
  <si>
    <t>19761209 200604 2 022</t>
  </si>
  <si>
    <t>RUANG LOTUS</t>
  </si>
  <si>
    <t>dr. CRISTMOS BAMBANG MERRYAWAN</t>
  </si>
  <si>
    <t>19761226 200903 1 003</t>
  </si>
  <si>
    <t xml:space="preserve">JF DOKTER SPESIALIS BEDAH MUDA </t>
  </si>
  <si>
    <t>dr. AGUSTINING RAHAYU, Sp.Rad</t>
  </si>
  <si>
    <t>19760808 201001 2 009</t>
  </si>
  <si>
    <t>III/c</t>
  </si>
  <si>
    <t>JF DOKTER SPESIALIS RADIOLOGI MUDA</t>
  </si>
  <si>
    <t>ERIK BUDI KUSWOYO, SKM</t>
  </si>
  <si>
    <t>19760327 200003 1 001</t>
  </si>
  <si>
    <t>RUANG MAWAR MERAH</t>
  </si>
  <si>
    <t>dr. ANANTO PRAMONO</t>
  </si>
  <si>
    <t>19830715 201001 1 022</t>
  </si>
  <si>
    <t>JF DOKTER MUDA ( UMUM )</t>
  </si>
  <si>
    <t>HADI SUSANTO, A.Md.KG</t>
  </si>
  <si>
    <t>19671015 198901 1 003</t>
  </si>
  <si>
    <t>JF PERAWAT GIGI PENYELIA / PETUGAS CSSD</t>
  </si>
  <si>
    <t>TENAGA KETEKNISIAN MEDIS</t>
  </si>
  <si>
    <t>JF PERAWAT GIGI PENYELIA</t>
  </si>
  <si>
    <t>D-III</t>
  </si>
  <si>
    <t>INSTALASI CSSD, LOUDRY</t>
  </si>
  <si>
    <t>DYNA  PRIHATIN, Amd.Kep</t>
  </si>
  <si>
    <t>19700423 199503 2 006</t>
  </si>
  <si>
    <t>WIWIK ISTIMEWATI HARININGSIH, S.Kep.,Ns</t>
  </si>
  <si>
    <t>19850707 201101 2 026</t>
  </si>
  <si>
    <t>RUANG UNIT STROKE (KaRu)</t>
  </si>
  <si>
    <t>ARDHINA AMALIYA, SKM</t>
  </si>
  <si>
    <t>19850523 201001 2 013</t>
  </si>
  <si>
    <t>JF PENYULUH KESEHATAN MASYARAKAT MUDA</t>
  </si>
  <si>
    <t>TENAGA KESEHATAN MASYARAKAT</t>
  </si>
  <si>
    <t>MILLAH MALIKA NURIL LAILI, S.Kep.Ns</t>
  </si>
  <si>
    <t>19840507 201101 2 012</t>
  </si>
  <si>
    <t>DWI RETNO KENDONO, SKM</t>
  </si>
  <si>
    <t>19860422 201101 2 014</t>
  </si>
  <si>
    <t>BIDRIYA YUNIARSIH, S.Kep.,Ns</t>
  </si>
  <si>
    <t>19790616 201001 2 011</t>
  </si>
  <si>
    <t>PENGELOLA PELAYANAN KEPERAWATAN</t>
  </si>
  <si>
    <t>PENATA LAYANAN OPERASIONAL</t>
  </si>
  <si>
    <t>KARTIKA AGUSTINI, S.Kep.,Ns</t>
  </si>
  <si>
    <t>19760422 200604 2 016</t>
  </si>
  <si>
    <t>RAHMI BANOWATI, SE.,M.M</t>
  </si>
  <si>
    <t>19760404 201001 2 001</t>
  </si>
  <si>
    <t>PENGELOLA PENDAPATAN</t>
  </si>
  <si>
    <t>BAGIAN KEUANGAN ( KASIR )</t>
  </si>
  <si>
    <t>ELOK MERDEKAWATI</t>
  </si>
  <si>
    <t>19770817 199803 2 004</t>
  </si>
  <si>
    <t>POLIKLINIK ANAK</t>
  </si>
  <si>
    <t>SANTI MALIKA DEWI, S.Kep.,Ns</t>
  </si>
  <si>
    <t>19801130 200312 2 002</t>
  </si>
  <si>
    <t>S-I KEPERAWATAN</t>
  </si>
  <si>
    <t>RUANG HIGH CARE UNIT</t>
  </si>
  <si>
    <t>TRINIA INNARTI, S.Kep.,Ns</t>
  </si>
  <si>
    <t>19811011 200801 2 013</t>
  </si>
  <si>
    <t>RUANG MAWAR UNGU</t>
  </si>
  <si>
    <t>dr. MUHAMMAD REZA, M.Biomed., Sp.A (K)</t>
  </si>
  <si>
    <t>19811109 200903 1 002</t>
  </si>
  <si>
    <t>JF DOKTER SPESIALIS ANAK KONSULTAN MUDA</t>
  </si>
  <si>
    <t>Sp 2</t>
  </si>
  <si>
    <t>KIKI MARIA, S.Kep.,Ns</t>
  </si>
  <si>
    <t>19830412 200801 2 012</t>
  </si>
  <si>
    <t>ENDANG SASMITO, SE.,M.M</t>
  </si>
  <si>
    <t>19790121 201101 2 005</t>
  </si>
  <si>
    <t>BENDAHARA</t>
  </si>
  <si>
    <t>PENELAAH TEKNIS KEBIJAKAN</t>
  </si>
  <si>
    <t>EVI MUSLICHA , S.Kep.,Ns.,M.Kep</t>
  </si>
  <si>
    <t>19861212 201101 2 018</t>
  </si>
  <si>
    <t>JF PERAWAT PERTAMA</t>
  </si>
  <si>
    <t>NURUL MAHMUDA, S.Kep.,Ns</t>
  </si>
  <si>
    <t>19761126 200604 2 015</t>
  </si>
  <si>
    <t>ENDAH ZURAIDAH, S.Kom.,M.M.</t>
  </si>
  <si>
    <t>19770412 200604 2 018</t>
  </si>
  <si>
    <t>PENGELOLA KEFARMASIAN</t>
  </si>
  <si>
    <t>BAGIAN UMUM (UP)</t>
  </si>
  <si>
    <t>DYAH EVIE MULYANINGRUM, S.ST</t>
  </si>
  <si>
    <t>19780210 200604 2 018</t>
  </si>
  <si>
    <t>D-IV GIZI</t>
  </si>
  <si>
    <t>dr. DIAN DWI PURNOMO, Sp.M</t>
  </si>
  <si>
    <t>19831220 201411 1 001</t>
  </si>
  <si>
    <t>JF DOKTER SPESIALIS MATA PERTAMA</t>
  </si>
  <si>
    <t>POLIKLINIK MATA</t>
  </si>
  <si>
    <t>INDATUN BADRIATI, S.Kep.,Ns</t>
  </si>
  <si>
    <t>19770508 200604 2 018</t>
  </si>
  <si>
    <t>ISNAINI HASANAH, A.Md.AK, S.Tr.Kes.</t>
  </si>
  <si>
    <t>19810406 200604 2 025</t>
  </si>
  <si>
    <t>SITI NURHASANAH, A.Md.Kep.</t>
  </si>
  <si>
    <t>19790309 200604 2 019</t>
  </si>
  <si>
    <t>ANA YULIATI, S.Kep.Ns</t>
  </si>
  <si>
    <t>19780331 200604 2 021</t>
  </si>
  <si>
    <t>SITI MUNAWAROH, S.Kep.,Ns</t>
  </si>
  <si>
    <t>19770318 200604 2 012</t>
  </si>
  <si>
    <t>dr. RIZA HIDAYAT, Sp.THT-KL</t>
  </si>
  <si>
    <t>19830812 201101 1 006</t>
  </si>
  <si>
    <t xml:space="preserve">JF DOKTER SPESIALIS THT PERTAMA </t>
  </si>
  <si>
    <t>Sp 1 THT</t>
  </si>
  <si>
    <t>POLIKLINIK THT</t>
  </si>
  <si>
    <t>dr KRESNA NUGRAHA SETIA PUTRA, Sp.JP</t>
  </si>
  <si>
    <t>198708312014111001</t>
  </si>
  <si>
    <t>III-c</t>
  </si>
  <si>
    <t>JF DOKTER SPESIALIS JANTUNG MUDA</t>
  </si>
  <si>
    <t>Sp 1 JANTUNG</t>
  </si>
  <si>
    <t>POLIKLINIK JANTUNG</t>
  </si>
  <si>
    <t>DESI KURNIAWATI ULFA, S.Kep,Ns</t>
  </si>
  <si>
    <t>19761214 200604 2 013</t>
  </si>
  <si>
    <t>KLINIK BAYI / ANAK</t>
  </si>
  <si>
    <t>SITI MAIMUNA, S.Kep.,Ns</t>
  </si>
  <si>
    <t>19831201 200701 2 002</t>
  </si>
  <si>
    <t>RUANG INTENSIVE CARE UNIT</t>
  </si>
  <si>
    <t>MULIK AGUSTINA, S.Gz</t>
  </si>
  <si>
    <t>19870818 200903 2 001</t>
  </si>
  <si>
    <t>ZUMAR FATHONI, A.Md.Tek.Med.</t>
  </si>
  <si>
    <t>19810519 200604 1 015</t>
  </si>
  <si>
    <t>JF TEKNIKSI ELEKROMEDIS PENYELIA</t>
  </si>
  <si>
    <t>HINDA SULIATI, S.Farm</t>
  </si>
  <si>
    <t>19770504 200604 2 029</t>
  </si>
  <si>
    <t>S-1 FARMASI,</t>
  </si>
  <si>
    <t>NURUL KHASANAH, A.Md.Rad.</t>
  </si>
  <si>
    <t>19760704 200604 2 032</t>
  </si>
  <si>
    <t>YANTIK, A.Md. RAD</t>
  </si>
  <si>
    <t>19810306 200604 2 027</t>
  </si>
  <si>
    <t>IWAN DWI UTOMO, A.Md.</t>
  </si>
  <si>
    <t>19750512 200312 1 007</t>
  </si>
  <si>
    <t>TEKNISI PERALATAN, LISTRIK DAN ELEKTRONIKA</t>
  </si>
  <si>
    <t>PENGELOLA LAYANAN OPERASIONAL</t>
  </si>
  <si>
    <t>ARIS NURYATI, S.Sos</t>
  </si>
  <si>
    <t>19710125 200701 2 012</t>
  </si>
  <si>
    <t>PENGELOLA SARANA PRASARANA KANTOR</t>
  </si>
  <si>
    <t>LABORATORIUM PK</t>
  </si>
  <si>
    <t>IDA YULIANA, A.Md.RO</t>
  </si>
  <si>
    <t>19730715 200604 2 031</t>
  </si>
  <si>
    <t>JF REFRAKSIONIS OPTISIEN PENYELIA</t>
  </si>
  <si>
    <t xml:space="preserve">D-III </t>
  </si>
  <si>
    <t>dr. A. ZIADUL HUNAINI EL MUNIFI, Sp.OT</t>
  </si>
  <si>
    <t>19830628 201411 1 001</t>
  </si>
  <si>
    <t>JF DOKTER SPESIALIS ORTHOPEDI MUDA</t>
  </si>
  <si>
    <t>POLIKLINIK ORTHOPEDI</t>
  </si>
  <si>
    <t>dr. ARDIANTO FANANI, Sp.An</t>
  </si>
  <si>
    <t>19740105 200604 1 014</t>
  </si>
  <si>
    <t>JF DOKTER SPESIALIS ANESTESI MUDA</t>
  </si>
  <si>
    <t>IKE IRA HESTIRAYUNI, S.S.T</t>
  </si>
  <si>
    <t>19810428 200604 2 019</t>
  </si>
  <si>
    <t>DADANG KURNIAWAN, S.Kep.,Ns</t>
  </si>
  <si>
    <t>19801116 200701 1 002</t>
  </si>
  <si>
    <t>ENY WAHYUNI, S.Kep.Ns.</t>
  </si>
  <si>
    <t>19790907 200801 2 015</t>
  </si>
  <si>
    <t>III/b</t>
  </si>
  <si>
    <t>MELYA ANGGRAENI, S.Kep.,Ns</t>
  </si>
  <si>
    <t>19820408 200701 2 009</t>
  </si>
  <si>
    <t>FIDDINI ISMI, S.Kep.,Ns</t>
  </si>
  <si>
    <t>19820521 200801 2 014</t>
  </si>
  <si>
    <t>SPI</t>
  </si>
  <si>
    <t>ISNANI MAULY MASRURI,S.Kep.,Ns</t>
  </si>
  <si>
    <t>19830324 200801 2 011</t>
  </si>
  <si>
    <t>ELYS BARIROH, Amd.Kep</t>
  </si>
  <si>
    <t>19810222 200801 2 018</t>
  </si>
  <si>
    <t>POLIKLINIK UMUM</t>
  </si>
  <si>
    <t>WIDIYA NURWAHYUNI, Amd.,Kep.</t>
  </si>
  <si>
    <t>19811023 200801 2 013</t>
  </si>
  <si>
    <t>PICU</t>
  </si>
  <si>
    <t>DYAH SETYOWATI, S.Kep.,Ns</t>
  </si>
  <si>
    <t>19830327 200801 2 012</t>
  </si>
  <si>
    <t>RUANG UNIT STROKE</t>
  </si>
  <si>
    <t>FERI ANTONI HERMAWAN, S.Kep.Ns</t>
  </si>
  <si>
    <t>19820122 200701 1 002</t>
  </si>
  <si>
    <t>DWI PRASETYO, S.Kep.,Ns</t>
  </si>
  <si>
    <t>19800918 200701 1 004</t>
  </si>
  <si>
    <t>TRI YULIASTANTO, A.Md.Kep., S.Kep., Ners</t>
  </si>
  <si>
    <t>19760723 200604 1 015</t>
  </si>
  <si>
    <t>PENGELOLA PELAYANAN KESEHATAN</t>
  </si>
  <si>
    <t>PPI</t>
  </si>
  <si>
    <t>RIA HARIYANTI, S.Kep.,Ns</t>
  </si>
  <si>
    <t>19811028 200701 2 008</t>
  </si>
  <si>
    <t>RUANG MAWAR PUTIH</t>
  </si>
  <si>
    <t>AHMAD HASAN ZAINI, S.Kep.,Ns</t>
  </si>
  <si>
    <t>19821010 200701 1 009</t>
  </si>
  <si>
    <t>ROHMATIKA, Amd.Kep</t>
  </si>
  <si>
    <t>19821007 200801 2 016</t>
  </si>
  <si>
    <t>POLIKLINIK PSIKIATRI</t>
  </si>
  <si>
    <t>DIAN INDRIANA, Amd.Kep</t>
  </si>
  <si>
    <t>19811023 200701 2 005</t>
  </si>
  <si>
    <t>DIA YOGA PRATAMA, S.Kep.,Ns</t>
  </si>
  <si>
    <t>19850514 200903 2 007</t>
  </si>
  <si>
    <t>RUANG CEMPAKA</t>
  </si>
  <si>
    <t>YUYUN DWI WAHYUNI, S.Tr.Kes</t>
  </si>
  <si>
    <t>19820605 200801 2 025</t>
  </si>
  <si>
    <t>JF PRANATA LABORATORIUM KESEHATAN  PELAKSANA LANJUTAN</t>
  </si>
  <si>
    <t>HERNA KUSWARINI, S.Sos</t>
  </si>
  <si>
    <t>19740428 200701 2 013</t>
  </si>
  <si>
    <t>HERTIN KUSMARIYANA, S.Sos</t>
  </si>
  <si>
    <t>19710919 200701 2 016</t>
  </si>
  <si>
    <t>TOMI RUDY ATMOKO, A.Md.Kep.</t>
  </si>
  <si>
    <t>19821027 200604 1 011</t>
  </si>
  <si>
    <t>AGUS SULISTYOWATI, S.Kep.,Ns</t>
  </si>
  <si>
    <t>19820810 200801 2 021</t>
  </si>
  <si>
    <t>MUFLIKHAH, S.ST</t>
  </si>
  <si>
    <t>19710225 200604 2 027</t>
  </si>
  <si>
    <t>JF BIDAN MUDA</t>
  </si>
  <si>
    <t>ITA TOBING, A.Md.Keb.,SKM</t>
  </si>
  <si>
    <t>19771212 200604 2 019</t>
  </si>
  <si>
    <t>S1 ILMU KESEHATAN MASYARAKAT</t>
  </si>
  <si>
    <t>HASAN BASRI, S.Kep.Ns</t>
  </si>
  <si>
    <t>19780718 200003 1 001</t>
  </si>
  <si>
    <t>PUDJI SRI MULYO ASIH, SKM.,M.M</t>
  </si>
  <si>
    <t>19790605 200501 2 016</t>
  </si>
  <si>
    <t>RETNO PALUPI, S. Kep., Ns.</t>
  </si>
  <si>
    <t>19800907 200701 2 015</t>
  </si>
  <si>
    <t>RUANG INSTALASI RAWAT JALAN</t>
  </si>
  <si>
    <t>AGUS SYAMSUL BAHRI, S.Sos.,M.M</t>
  </si>
  <si>
    <t>19790809 200801 1 010</t>
  </si>
  <si>
    <t>PENGELOLA KEPEGAWAIAN</t>
  </si>
  <si>
    <t>SITI MAIMUNAH, S.Sos</t>
  </si>
  <si>
    <t>19720514 200701 2 016</t>
  </si>
  <si>
    <t>ANDHIK KISWORO, A.Md.Kep, S.Kep</t>
  </si>
  <si>
    <t>19790802 200701 1 010</t>
  </si>
  <si>
    <t>PRAMITA DUWI NAWANG SARI, A.Md.Kep.</t>
  </si>
  <si>
    <t>19860409 200903 2 003</t>
  </si>
  <si>
    <t>RETNO SUCININGRUM, AMd.Keb.</t>
  </si>
  <si>
    <t>19860317 200903 2 004</t>
  </si>
  <si>
    <t>ERNI SUSWATI, A.Md.AK</t>
  </si>
  <si>
    <t>19781127 200903 2 004</t>
  </si>
  <si>
    <t>D-III ANALIS KESEHATAN</t>
  </si>
  <si>
    <t>SHOFAN ILHAM SULAIMAN, S.Tr.Kes.</t>
  </si>
  <si>
    <t>19860604 200903 1 001</t>
  </si>
  <si>
    <t>HARDI PUJIONO, S. Kep., Ns.</t>
  </si>
  <si>
    <t>19850714 200903 1 002</t>
  </si>
  <si>
    <t>DINA SETYANINGRUM, S.Tr.Keb.</t>
  </si>
  <si>
    <t>19860618 200903 2 004</t>
  </si>
  <si>
    <t>ANISA RAHMAWATI, A.Md.Keb</t>
  </si>
  <si>
    <t>19850505 200903 2 007</t>
  </si>
  <si>
    <t>AGUS PURWANTO, S.Kep.,Ns</t>
  </si>
  <si>
    <t>19850813 200903 1 002</t>
  </si>
  <si>
    <t>KRISTIN DWI RATNA WATI, A.Md.Keb</t>
  </si>
  <si>
    <t>19801007 200903 2 003</t>
  </si>
  <si>
    <t>JF BIDAN PELAKSANA LANJUTAN</t>
  </si>
  <si>
    <t>PENJAMINAN</t>
  </si>
  <si>
    <t>SANTI IKA WAHYUNI, A.Md.Kep.</t>
  </si>
  <si>
    <t>19811023 200801 2 014</t>
  </si>
  <si>
    <t>RUANG NEONATOLOGI</t>
  </si>
  <si>
    <t>dr. GUSTI PINDO ASA ANINDITO</t>
  </si>
  <si>
    <t>19910908 201903 1 003</t>
  </si>
  <si>
    <t>JF DOKTER PERTAMA ( UMUM )</t>
  </si>
  <si>
    <t>MIEKE YULIANAWATI, S.KM</t>
  </si>
  <si>
    <t>19860509 200903 2 002</t>
  </si>
  <si>
    <t>PENGOLAH DATA PEMBAYARAN JAMINAN KESEHATAN</t>
  </si>
  <si>
    <t>YAYUK PUJI RAHAYU, S.Sos</t>
  </si>
  <si>
    <t>19820412 201001 2 004</t>
  </si>
  <si>
    <t>RIZA DWI HIMAYATI L, A.Md.Keb</t>
  </si>
  <si>
    <t>19870411 201001 2 009</t>
  </si>
  <si>
    <t>INDAH WAHYU WIJAYANTI, A.Md.Keb</t>
  </si>
  <si>
    <t>19870312 201001 2 011</t>
  </si>
  <si>
    <t>HENDRA IRAWAN, A.Md</t>
  </si>
  <si>
    <t>19851205 201001 1 008</t>
  </si>
  <si>
    <t>RANI JAYANTI, A.Md.Keb</t>
  </si>
  <si>
    <t>19860601 201001 2 016</t>
  </si>
  <si>
    <t>REKYAN SESUTYO EDIY, S.T</t>
  </si>
  <si>
    <t>19810523 201001 2 010</t>
  </si>
  <si>
    <t>BAGIAN UMUM ( UP )</t>
  </si>
  <si>
    <t>KRIDA PURWO TRISTIANI, A.Md.AK, S.Tr.Kes.</t>
  </si>
  <si>
    <t>19760823 201001 2 006</t>
  </si>
  <si>
    <t>A. ROFIK, S.Sos</t>
  </si>
  <si>
    <t>19750415 200212 1 009</t>
  </si>
  <si>
    <t>YAYUK TARMIATI, SKL</t>
  </si>
  <si>
    <t>19840504 201001 2 008</t>
  </si>
  <si>
    <t>S 1</t>
  </si>
  <si>
    <t>RIMA PRAMUDYAH KUSUMA, A.Md.Gz</t>
  </si>
  <si>
    <t>19830707 201001 2 014</t>
  </si>
  <si>
    <t>D-III NUTRISIONIS</t>
  </si>
  <si>
    <t>ASTUTIK, S.Sos, M.M.</t>
  </si>
  <si>
    <t>19840107 201001 2 001</t>
  </si>
  <si>
    <t>ZAINUL FATHAH, S.Sos.,M.M</t>
  </si>
  <si>
    <t>19810415 200801 1 011</t>
  </si>
  <si>
    <t>PENGELOLA PEMASARAN</t>
  </si>
  <si>
    <t>BAGIAN UMUM ( HUMAS )</t>
  </si>
  <si>
    <t>ROFI`UL AMALIAH, S.Sos</t>
  </si>
  <si>
    <t>19841202 201001 2 001</t>
  </si>
  <si>
    <t>PENGOLAH MAKANAN</t>
  </si>
  <si>
    <t>MUHAMMAD ZAINI, S.Sos</t>
  </si>
  <si>
    <t>19810826 201001 1 004</t>
  </si>
  <si>
    <t>PENGADMINISTRASI REKAM MEDIS DAN INFORMASI</t>
  </si>
  <si>
    <t>SUPARDI, SH</t>
  </si>
  <si>
    <t>19780812 201601 1 001</t>
  </si>
  <si>
    <t>PENGELOLA PENILAIAN KINERJA PEGAWAI</t>
  </si>
  <si>
    <t>EMY JAMILAH, A.Md.Kep.</t>
  </si>
  <si>
    <t>19830419 200903 2 002</t>
  </si>
  <si>
    <t>JF PERAWAT MAHIR</t>
  </si>
  <si>
    <t>TATAG MUNDI PRASTIANTO, A.Md.Kep.</t>
  </si>
  <si>
    <t>19830627 200701 1 003</t>
  </si>
  <si>
    <t>WAHYU MIHERNI, A.Md</t>
  </si>
  <si>
    <t>19820801 201001 2 014</t>
  </si>
  <si>
    <t>DEWI ISMAWATI, A.Md.Rad</t>
  </si>
  <si>
    <t>19870317 201001 2 005</t>
  </si>
  <si>
    <t>VIDI AFIAT, S.Kep.,Ns</t>
  </si>
  <si>
    <t>19851231 201001 1 018</t>
  </si>
  <si>
    <t>LAILATUL FITRIYAH, S.Sos.,M.M</t>
  </si>
  <si>
    <t>19780811 201001 2 001</t>
  </si>
  <si>
    <t>PENGELOLA DATA</t>
  </si>
  <si>
    <t>SIMRS</t>
  </si>
  <si>
    <t>ELOK ANGGRAENI, S.Sos</t>
  </si>
  <si>
    <t>19790209 201001 2 001</t>
  </si>
  <si>
    <t>REKAM MEDIK</t>
  </si>
  <si>
    <t>HENNY HINDRASWATI, S.Sos</t>
  </si>
  <si>
    <t>19710509 200701 2 012</t>
  </si>
  <si>
    <t>YUDY KURNIAWAN, A.Md.Kep</t>
  </si>
  <si>
    <t>19860723 201001 1 006</t>
  </si>
  <si>
    <t>JF PERAWAT PELAKSANA LANJUTAN</t>
  </si>
  <si>
    <t>NYOMAN RULIWATI, SE</t>
  </si>
  <si>
    <t>19771002 200801 2 012</t>
  </si>
  <si>
    <t>LOKET PENDAFTARAN</t>
  </si>
  <si>
    <t>TUTIK HANDAYANI, S.Sos</t>
  </si>
  <si>
    <t>19800917 201001 2 001</t>
  </si>
  <si>
    <t>ABDUL JALIL, S.Sos</t>
  </si>
  <si>
    <t>19730604 200701 1 017</t>
  </si>
  <si>
    <t>BINATU RUMAH SAKIT</t>
  </si>
  <si>
    <t>BADI`ATUL JAMILAH, A.Md.Kep.</t>
  </si>
  <si>
    <t>19851129 201001 2 010</t>
  </si>
  <si>
    <t>SRI WAHYU WIDJAYANTI, S.Kep.Ns</t>
  </si>
  <si>
    <t>19830728 201001 2 020</t>
  </si>
  <si>
    <t>SUPARTINI, A.Md.Kep.</t>
  </si>
  <si>
    <t>19821108 201001 2 012</t>
  </si>
  <si>
    <t>DONI SUGIARTO, A.Md.Kep.</t>
  </si>
  <si>
    <t>19820709 200801 1 009</t>
  </si>
  <si>
    <t>LUKMAN HAKIM, S.Sos</t>
  </si>
  <si>
    <t>19800915 200903 1 001</t>
  </si>
  <si>
    <t>WIWIT ASIH HARUM CAHYANI, S.Kep.,Ns</t>
  </si>
  <si>
    <t>19871112 201101 2 015</t>
  </si>
  <si>
    <t>POLIKLINIK ASTER</t>
  </si>
  <si>
    <t>IVA ROESILAWATI NINGSIH, A.Md.Kep.</t>
  </si>
  <si>
    <t>19880504 201001 2 005</t>
  </si>
  <si>
    <t>RINA DWI PUSPITASARI, S.Kep.,Ns</t>
  </si>
  <si>
    <t>19840421 201101 2 020</t>
  </si>
  <si>
    <t>ELOK SAYYIDAH WIBOWO, S.Kep. Ns.</t>
  </si>
  <si>
    <t>19840609 201101 2 010</t>
  </si>
  <si>
    <t>FAIQO TURROHMAH, A.Md.</t>
  </si>
  <si>
    <t>19880412 201001 2 003</t>
  </si>
  <si>
    <t>DYAH ARI SUSANTI, S.Kep.,Ns</t>
  </si>
  <si>
    <t>19791231 201001 2 015</t>
  </si>
  <si>
    <t>dr. ADHIYAKSA AKBAR PUTRANTO</t>
  </si>
  <si>
    <t>19931212 202012 1 016</t>
  </si>
  <si>
    <t>KUSUMA IRIYANTHY KOESAYU, S.Farm.,Apt</t>
  </si>
  <si>
    <t>19850504 202012 2 009</t>
  </si>
  <si>
    <t>JF APOTEKER PERTAMA</t>
  </si>
  <si>
    <t>dr. REZA FAISAL MUTTAQIEN</t>
  </si>
  <si>
    <t>19880820 202012 1 009</t>
  </si>
  <si>
    <t>SELVIN NURFADITA HARLINANDA, S.Farm.,Apt</t>
  </si>
  <si>
    <t>19950704 202012 2 019</t>
  </si>
  <si>
    <t>TIARA ISMIHAYATI KHOIRUNISA, S.Farm.,Apt</t>
  </si>
  <si>
    <t>19970518 202012 2 020</t>
  </si>
  <si>
    <t>NURUL WIDI ASTUTIK, S.Farm.,Apt</t>
  </si>
  <si>
    <t>19950413 202012 2 028</t>
  </si>
  <si>
    <t>DINI SYARIFAH, S.Farm.,Apt</t>
  </si>
  <si>
    <t>19950917 202012 2 019</t>
  </si>
  <si>
    <t>AVIN VALITA, A.Md.Kep.</t>
  </si>
  <si>
    <t>19860401 200903 2 002</t>
  </si>
  <si>
    <t>RIZKY ALFATONI, A.Md.Kep.</t>
  </si>
  <si>
    <t>19860724 201001 1 007</t>
  </si>
  <si>
    <t>MASWIN KIRANA,A.Md.Farm</t>
  </si>
  <si>
    <t>19790717 200312 2 007</t>
  </si>
  <si>
    <t>DWI RETMAWATI, AMd</t>
  </si>
  <si>
    <t>19830324 200903 2 001</t>
  </si>
  <si>
    <t>PENGELOLA ANGGARAN</t>
  </si>
  <si>
    <t>MISYANTO, S.H</t>
  </si>
  <si>
    <t>19681005 200312 1 004</t>
  </si>
  <si>
    <t>HARRISMA WIRAROSENTSIA, S.Tr.Keb.Bd</t>
  </si>
  <si>
    <t>19871231 200903 2 001</t>
  </si>
  <si>
    <t>D-IV KEBIDANAN, PROFESI</t>
  </si>
  <si>
    <t>NURUL HUDA, S.Kep.,Ns</t>
  </si>
  <si>
    <t>19840927 200903 1 001</t>
  </si>
  <si>
    <t>NUR CAHYANI, AMd.Ft</t>
  </si>
  <si>
    <t>19860718 201101 2 017</t>
  </si>
  <si>
    <t>JF FISIOTERAPIS PELAKSANA LANJUTAN</t>
  </si>
  <si>
    <t>TENAGA KETERAPIAN FISIK</t>
  </si>
  <si>
    <t>D-III FISIOTERAPI</t>
  </si>
  <si>
    <t>NIRMAWATI, AMd.Kep</t>
  </si>
  <si>
    <t>19850415 201101 2 017</t>
  </si>
  <si>
    <t>IKA ARI MUNDIYAH, A.Md</t>
  </si>
  <si>
    <t>19830508 201001 2 001</t>
  </si>
  <si>
    <t>PENATA KELOLA LAYANAN KESEHATAN</t>
  </si>
  <si>
    <t>S-1</t>
  </si>
  <si>
    <t>RIA FAIZAH MUSTIKA, A.Md.Kep.</t>
  </si>
  <si>
    <t>19910408 201101 2 001</t>
  </si>
  <si>
    <t>DHIMAS PANDU PRAYOGA, A.Md.AK</t>
  </si>
  <si>
    <t>19870912 201001 1 002</t>
  </si>
  <si>
    <t>INSTALASI LABORATORIUM  PA</t>
  </si>
  <si>
    <t>WENNY INDRA SAGITA, A.Md, Kep</t>
  </si>
  <si>
    <t>19821212 200903 2 011</t>
  </si>
  <si>
    <t>ERNI ROSITHA BUDIARTI, Amd.Ft</t>
  </si>
  <si>
    <t>19880901 201001 2 004</t>
  </si>
  <si>
    <t>HURRIYATUL JANNAH, A.Md, Kep</t>
  </si>
  <si>
    <t>19770907 201001 2 007</t>
  </si>
  <si>
    <t>DICKY WAHYU FINANSA,  S.Kep.,Ns</t>
  </si>
  <si>
    <t>19841229 201101 1 012</t>
  </si>
  <si>
    <t>KLINIK MCU dan ENDOSKOPI</t>
  </si>
  <si>
    <t>BUDI AKHMAD CAHYADI, Amd.AK</t>
  </si>
  <si>
    <t>19850707 201101 1 014</t>
  </si>
  <si>
    <t>DEVI QORY AININGTYAS, Amd</t>
  </si>
  <si>
    <t>19871027 201101 2 018</t>
  </si>
  <si>
    <t>MARFUATUN, AMd.Keb</t>
  </si>
  <si>
    <t>19891004 201101 2 008</t>
  </si>
  <si>
    <t>PONEK</t>
  </si>
  <si>
    <t>dr. ARYOGA SAMUDRA ASMARA</t>
  </si>
  <si>
    <t>19921219 202203 1 006</t>
  </si>
  <si>
    <t>BAGUS SWASONO, A.Md</t>
  </si>
  <si>
    <t>19771123 201001 1 009</t>
  </si>
  <si>
    <t>III/a</t>
  </si>
  <si>
    <t>JF REFRAKSIONIS OPTISIEN PELAKSANA LANJUTAN</t>
  </si>
  <si>
    <t>VIVI NUR VITRIANI, S.Keb.Bd.</t>
  </si>
  <si>
    <t>19901027 201903 2 002</t>
  </si>
  <si>
    <t>JF BIDAN  PERTAMA</t>
  </si>
  <si>
    <t>Ponek</t>
  </si>
  <si>
    <t>FRITA FERDINA, S.Kep.,Ns.</t>
  </si>
  <si>
    <t>19920221 201903 2 007</t>
  </si>
  <si>
    <t>CANDRA RESTU MENTARI, S.Kep.,Ns.</t>
  </si>
  <si>
    <t>19940509 201903 2 005</t>
  </si>
  <si>
    <t>ADI SUGIA AKARI, S.Kep.,Ns.</t>
  </si>
  <si>
    <t>19870406 201903 1 004</t>
  </si>
  <si>
    <t>LILA RANAYA WIDYADARI, S.Keb,Bd.</t>
  </si>
  <si>
    <t>19940625 201903 2 006</t>
  </si>
  <si>
    <t>DYAH AYU WULANDARI, S.Keb.Bd.</t>
  </si>
  <si>
    <t>19910201 201903 2 008</t>
  </si>
  <si>
    <t>ROCHMAT TAUFIEK ROMADHONI, S.KM.</t>
  </si>
  <si>
    <t>19860530 201001 1 009</t>
  </si>
  <si>
    <t>RIZKY ANGGRIAWAN SUSANTA PUTRA, S.E</t>
  </si>
  <si>
    <t>19920517 202012 1 009</t>
  </si>
  <si>
    <t>PENATA LAPORAN KEUANGAN</t>
  </si>
  <si>
    <t>AKREDITASI</t>
  </si>
  <si>
    <t>LUKMAN HAKIM, AMd.Kep</t>
  </si>
  <si>
    <t>19820108 201101 1 005</t>
  </si>
  <si>
    <t>NUGROHO AGUNG MUSTAQIM, A.Md.Rad</t>
  </si>
  <si>
    <t>19861107 201001 1 003</t>
  </si>
  <si>
    <t>JF RADIOGRAFER PELAKSANA LANJUTAN</t>
  </si>
  <si>
    <t>ANISATUL MAGHFIROH A.R,,A.Md.Farm</t>
  </si>
  <si>
    <t>19860520 200701 2 001</t>
  </si>
  <si>
    <t>JF ASISTEN APOTEKER PELAKSANA LANJUTAN</t>
  </si>
  <si>
    <t>GOGOK AGUS PRIYONO, AMAK.</t>
  </si>
  <si>
    <t>19820814 200801 1 021</t>
  </si>
  <si>
    <t>II/d</t>
  </si>
  <si>
    <t>JF PRANATA LABORATORIUM KESEHATAN  TERAMPIL</t>
  </si>
  <si>
    <t>DEWI AGUSTIN, AMd.Keb</t>
  </si>
  <si>
    <t>19700814 200604 2 013</t>
  </si>
  <si>
    <t>JF BIDAN TERAMPIL</t>
  </si>
  <si>
    <t>CSSD/</t>
  </si>
  <si>
    <t>DEWI LUTFIANA, A.Md.Keb</t>
  </si>
  <si>
    <t>19870917 201101 2 013</t>
  </si>
  <si>
    <t>POLIKLINIK EKSEKUTIF</t>
  </si>
  <si>
    <t>ENDANG PUJI HASTUTI, A.Md.Keb</t>
  </si>
  <si>
    <t>19810627 200801 2 020</t>
  </si>
  <si>
    <t>SUYONO</t>
  </si>
  <si>
    <t>19750812 200801 1 015</t>
  </si>
  <si>
    <t>PENGADMINISTRASI  UMUM</t>
  </si>
  <si>
    <t>OPERATOR LAYANAN OPERASIONAL</t>
  </si>
  <si>
    <t>SA`ATUL MUFARIKA,S.M</t>
  </si>
  <si>
    <t>19820226 200801 2 017</t>
  </si>
  <si>
    <t>PENGADMINISTRASI PERKANTORAN</t>
  </si>
  <si>
    <t>HERZUDDIN ZAIN, A.Md.Kep</t>
  </si>
  <si>
    <t>19841022 201502 1 001</t>
  </si>
  <si>
    <t>ISMAN SU`UDI</t>
  </si>
  <si>
    <t>19710531 200801 1 005</t>
  </si>
  <si>
    <t>SAFI`I</t>
  </si>
  <si>
    <t>19811004 200903 1 001</t>
  </si>
  <si>
    <t>AGUSTINA SOESILAWATY</t>
  </si>
  <si>
    <t>19780827 200903 2 001</t>
  </si>
  <si>
    <t>AGUSTINI TRISNAWATI,S.M</t>
  </si>
  <si>
    <t>19780812 200903 2 001</t>
  </si>
  <si>
    <t>ISTIKAROH,S.M</t>
  </si>
  <si>
    <t>19790402 200903 2 001</t>
  </si>
  <si>
    <t>PENGELOLA PENYELENGGARA DIKLAT</t>
  </si>
  <si>
    <t>MUJIATI</t>
  </si>
  <si>
    <t>19730314 200801 2 008</t>
  </si>
  <si>
    <t>MUJINO</t>
  </si>
  <si>
    <t>19710502 199703 1 004</t>
  </si>
  <si>
    <t>JF PERAWAT TERAMPIL / PETUGAS PEMULASARAN JENAZAH</t>
  </si>
  <si>
    <t>JF PERAWAT TERAMPIL</t>
  </si>
  <si>
    <t>INSTALASI PEMULASARAN JENASAH</t>
  </si>
  <si>
    <t>ASRI HARTATIK</t>
  </si>
  <si>
    <t>19810906 201001 2 001</t>
  </si>
  <si>
    <t>II/c</t>
  </si>
  <si>
    <t>VERAWATI YUSNIAH</t>
  </si>
  <si>
    <t>19810403 201001 2 001</t>
  </si>
  <si>
    <t>SUPATMI</t>
  </si>
  <si>
    <t>19780705 201001 2 002</t>
  </si>
  <si>
    <t>SUDARMAWAN</t>
  </si>
  <si>
    <t>19820129 201001 1 001</t>
  </si>
  <si>
    <t>SUHARTATIK</t>
  </si>
  <si>
    <t>19820505 201001 2 001</t>
  </si>
  <si>
    <t>DEWI KUSTINA</t>
  </si>
  <si>
    <t>19780403 201001 2 004</t>
  </si>
  <si>
    <t>MUTI AMBARWATI</t>
  </si>
  <si>
    <t>19800502 201001 2 003</t>
  </si>
  <si>
    <t>NUNIK INDAH RAHAYU</t>
  </si>
  <si>
    <t>19830516 201001 2 001</t>
  </si>
  <si>
    <t>HENI SRI WIJAYA</t>
  </si>
  <si>
    <t>19790215 201001 2 001</t>
  </si>
  <si>
    <t>ENDANG SUTRISNONINGSIH</t>
  </si>
  <si>
    <t>19680603 200701 2 023</t>
  </si>
  <si>
    <t>SHIMA</t>
  </si>
  <si>
    <t>19730301 200701 2 013</t>
  </si>
  <si>
    <t>HALILI</t>
  </si>
  <si>
    <t>19701107 200701 1 022</t>
  </si>
  <si>
    <t>YULI EKAYANTI, A.Md.Kep.</t>
  </si>
  <si>
    <t>19900820 202012 2 018</t>
  </si>
  <si>
    <t xml:space="preserve">JF PERAWAT TERAMPIL </t>
  </si>
  <si>
    <t>MEGAWATI, A.Md.Ak</t>
  </si>
  <si>
    <t>19850103 202012 2 008</t>
  </si>
  <si>
    <t>LINA INDRIYANI, A.Md.Kep.</t>
  </si>
  <si>
    <t>19951106 202012 2 023</t>
  </si>
  <si>
    <t>MAYA JUWITA SARI, A.Md.Kep.</t>
  </si>
  <si>
    <t>19930505 202012 2 026</t>
  </si>
  <si>
    <t>PUTRI MARIANA SARI, A.Md.Kep.</t>
  </si>
  <si>
    <t>19890317 202012 2 014</t>
  </si>
  <si>
    <t>KUNI KONITA IZZABILLAH, A.Md.Kep.</t>
  </si>
  <si>
    <t>19971019 202012 2 008</t>
  </si>
  <si>
    <t>ZULFAH MAJIDAH, A.Md.Kep.</t>
  </si>
  <si>
    <t>19920707 202012 2 027</t>
  </si>
  <si>
    <t>RUANG CEPAKA</t>
  </si>
  <si>
    <t>ROFI`ATIN, A.Md.Kep.</t>
  </si>
  <si>
    <t>19950813 202012 2 018</t>
  </si>
  <si>
    <t>ETTY TRISNOWATI, A.Md.Kep.</t>
  </si>
  <si>
    <t>19851002 202012 2 009</t>
  </si>
  <si>
    <t>ILMI ALFIYATI, A.Md.Kep.</t>
  </si>
  <si>
    <t>19850804 202012 2 004</t>
  </si>
  <si>
    <t>YUNIAR FITRI ANGGRAENI, A.Md.Kep.</t>
  </si>
  <si>
    <t>19870602 202012 2 006</t>
  </si>
  <si>
    <t>IRMA YHURITA, A.Md.AK</t>
  </si>
  <si>
    <t>19871006 202012 2 004</t>
  </si>
  <si>
    <t>HARIAH AKBAR YULIANA DEWI, A.Md.Gz</t>
  </si>
  <si>
    <t>19900703 202012 2 011</t>
  </si>
  <si>
    <t>JF NUTRISIONIS TERAMPIL</t>
  </si>
  <si>
    <t>HABIBI, A.Md.Kep.</t>
  </si>
  <si>
    <t>19850420 202012 1 006</t>
  </si>
  <si>
    <t>BASORI ALWI, A.Md.Kep.</t>
  </si>
  <si>
    <t>19900406 202012 1 007</t>
  </si>
  <si>
    <t>HAFNI AINUN ARIF KURNIANSYAH, A.Md.Kep.</t>
  </si>
  <si>
    <t>19860622 202012 1 007</t>
  </si>
  <si>
    <t>YOGI LUDIRTA SURYALAGA, A.Md.Kep.</t>
  </si>
  <si>
    <t>19880827 202012 1 009</t>
  </si>
  <si>
    <t>FENDI KUSUMA WARDANA, A.Md.Kep.</t>
  </si>
  <si>
    <t>19901123 202012 1 010</t>
  </si>
  <si>
    <t>GIYANI, A.Md.Kep.</t>
  </si>
  <si>
    <t>19860304 202012 1 003</t>
  </si>
  <si>
    <t>FEBRI ARDIANSYAH, A.Md.Kep.</t>
  </si>
  <si>
    <t>19910205 202012 1 012</t>
  </si>
  <si>
    <t>DWI ARIE PURNOMO AJI, A.Md.Kep.</t>
  </si>
  <si>
    <t>19900116 202012 1 007</t>
  </si>
  <si>
    <t>DIA RISALATUN NISAK, A.Md.Kep.</t>
  </si>
  <si>
    <t>19920930 202012 2 015</t>
  </si>
  <si>
    <t>HIDAYATI, A.Md.Kep.</t>
  </si>
  <si>
    <t>19970816 202012 2 012</t>
  </si>
  <si>
    <t>IRMA MAWARSARI, A.Md.Kep.</t>
  </si>
  <si>
    <t>19960709 202012 2 018</t>
  </si>
  <si>
    <t>MUHAMMAD MUKHLISIN NANDANUS, Amd. Kep</t>
  </si>
  <si>
    <t>19931111 202012 1 019</t>
  </si>
  <si>
    <t>INDAH NIHAYATI, A.Md.Kep.</t>
  </si>
  <si>
    <t>19971020 202012 2 014</t>
  </si>
  <si>
    <t>VIKA NUR INDAH PUTRI, A.Md.Kep.</t>
  </si>
  <si>
    <t>19910128 202012 2 012</t>
  </si>
  <si>
    <t>APRIYANTO DODDY SETIAWAN, A.Md.Farm</t>
  </si>
  <si>
    <t>19940427 202012 1 015</t>
  </si>
  <si>
    <t>JF ASISTEN APOTEKER TERAMPIL</t>
  </si>
  <si>
    <t>NURMA KHAIRUN NISAK, A.Md.Farm.</t>
  </si>
  <si>
    <t>19940118 202012 2 019</t>
  </si>
  <si>
    <t>WILDA MULYA SHOLEHATI, A.Md.Kep.</t>
  </si>
  <si>
    <t>19961225 202012 2 025</t>
  </si>
  <si>
    <t>NUR HIDAYATIK, A.Md.Kep.</t>
  </si>
  <si>
    <t>19890427 202012 2 010</t>
  </si>
  <si>
    <t>WASILATUL HASANAH, A.Md.Farm</t>
  </si>
  <si>
    <t>19960911 202012 2 019</t>
  </si>
  <si>
    <t>NINDIRA HERLISA BAYRACHMA, A.Md.Gz</t>
  </si>
  <si>
    <t>19960621 202012 2 020</t>
  </si>
  <si>
    <t>MAULIDIA ROHMATUN NI`MAH, A.Md.Farm.</t>
  </si>
  <si>
    <t>19881015 202012 2 004</t>
  </si>
  <si>
    <t>FENY MELINDA, A.Md.Kep.</t>
  </si>
  <si>
    <t>19920313 202012 2 015</t>
  </si>
  <si>
    <t>DWI AGUS NUSANTARA, A.Md.Kep.</t>
  </si>
  <si>
    <t>19900817 202012 1 010</t>
  </si>
  <si>
    <t>FERI DARINDA, Amd. Kep</t>
  </si>
  <si>
    <t>19901226 202012 1 009</t>
  </si>
  <si>
    <t>NURUL KUSUMA DEWI, A.Md.Farm</t>
  </si>
  <si>
    <t>19850727 202012 2 003</t>
  </si>
  <si>
    <t>DWI NINGSIH, A.Md.Kep</t>
  </si>
  <si>
    <t>19930920 202012 2 016</t>
  </si>
  <si>
    <t>ABDUL GANI</t>
  </si>
  <si>
    <t>19720505 201001 1 001</t>
  </si>
  <si>
    <t>YUNI NOWOLESTARI</t>
  </si>
  <si>
    <t>19690628 201001 2 001</t>
  </si>
  <si>
    <t>ASPAT</t>
  </si>
  <si>
    <t>19750609 200801 1 011</t>
  </si>
  <si>
    <t>MUHAMMAD ZUHRI</t>
  </si>
  <si>
    <t>19810810 200903 1 001</t>
  </si>
  <si>
    <t>INSTALASI KAMAR JENAZAH</t>
  </si>
  <si>
    <t>HASYIM HIDAYATUR RAHMAN</t>
  </si>
  <si>
    <t>19800301 200903 1 001</t>
  </si>
  <si>
    <t>II/b</t>
  </si>
  <si>
    <t>KHAIRUL ANWAR</t>
  </si>
  <si>
    <t>19830705 200903 1 001</t>
  </si>
  <si>
    <t>PENGADMINISTRASI UMUM</t>
  </si>
  <si>
    <t>CHUSNUL HAMISIYANA</t>
  </si>
  <si>
    <t>19820610 201001 2 001</t>
  </si>
  <si>
    <t>II/a</t>
  </si>
  <si>
    <t>PENGELOLA UMUM OPERASIONAL</t>
  </si>
  <si>
    <t>SLTP</t>
  </si>
  <si>
    <t>SYAKUR</t>
  </si>
  <si>
    <t>19850507 200903 1 001</t>
  </si>
  <si>
    <t>I/d</t>
  </si>
  <si>
    <t>PEMULASARAN JENAZAH</t>
  </si>
  <si>
    <t>SD</t>
  </si>
  <si>
    <t>dr. NURWAHYUDIANTO,Sp.KJ</t>
  </si>
  <si>
    <t>197906262014121001</t>
  </si>
  <si>
    <t>III-d</t>
  </si>
  <si>
    <t>JF DOKTER SPESIALIS KESEHATAN JIWA</t>
  </si>
  <si>
    <t>Sp 1 KEDOKTERAN JIWA</t>
  </si>
  <si>
    <t>POLIKLINIK JIWA</t>
  </si>
  <si>
    <t>USWATUN HASANAH, S.Kep.,Ns</t>
  </si>
  <si>
    <t>19760901 200501 2 014</t>
  </si>
  <si>
    <t>JF PERAWAT AHLI MUDA</t>
  </si>
  <si>
    <t>dr. FRIZKA ELIZA,Sp.D.V.E</t>
  </si>
  <si>
    <t>19880410 201411 2 001</t>
  </si>
  <si>
    <t>JF DOKTER SPESIALIS DERMATOLOGI VENEREOLOGI DAN ESTETIKA</t>
  </si>
  <si>
    <t>Sp 1 PESIALIS DERMATOLOGI VENEREOLOGI DAN ESTETIKA</t>
  </si>
  <si>
    <t>POLIKLINIK KULIT</t>
  </si>
  <si>
    <t>HENDY DERMAWAN SETYAWAN, A.Md.AK</t>
  </si>
  <si>
    <t>19740226 199503 1 001</t>
  </si>
  <si>
    <t>JF PRANATA LABORATORIUM PENYELIA</t>
  </si>
  <si>
    <t>INSTALASI  LABORATORIUM PA</t>
  </si>
  <si>
    <t>YUNITA IKA LINDA FITRIANI, S.Kep.,Ns</t>
  </si>
  <si>
    <t>1860615 202012 2 010</t>
  </si>
  <si>
    <t>III-b</t>
  </si>
  <si>
    <t>JF PERAWAT AHLI PERTAMA</t>
  </si>
  <si>
    <t>RUANG UNIT STROKE (KaTim)</t>
  </si>
  <si>
    <t>ANTON JUNAEDI, A.Md.Kep</t>
  </si>
  <si>
    <t>19890617 202203 1003</t>
  </si>
  <si>
    <t>II-c</t>
  </si>
  <si>
    <t>DIAH PURWATI, A.Md.Kep</t>
  </si>
  <si>
    <t>19910105 202203 2 003</t>
  </si>
  <si>
    <t>RIZKY WAHYU WILANTARA, A.Md.Kep</t>
  </si>
  <si>
    <t>19930201 202012 1 013</t>
  </si>
  <si>
    <t>dr. NOVINNA KUSUMAWATI,Sp.P</t>
  </si>
  <si>
    <t>19851101 201412 2 001</t>
  </si>
  <si>
    <t>JF DOKTER SPESIALIS PARU</t>
  </si>
  <si>
    <t>Sp 1 SPESIALIS PULMONOLOGI DAN KEDOKTERAN RESPIRASI</t>
  </si>
  <si>
    <t>dr. IGN ISWAN RAHMADI RANUH,Sp.JP</t>
  </si>
  <si>
    <t>199104142025031001</t>
  </si>
  <si>
    <t>JF DOKTER SPESIALIS JANTUNG AHLI PERTAMA</t>
  </si>
  <si>
    <t>JF DOKTER SPESIALIS JANTUNG</t>
  </si>
  <si>
    <t>Sp 1 JANTUNG PEMBULUH DARAH</t>
  </si>
  <si>
    <t>dr. FADHIL RASYID, Sp. An</t>
  </si>
  <si>
    <t>198709032025031001</t>
  </si>
  <si>
    <t>JF DOKTER SPESIALIS ANASTESI AHLI PERTAMA</t>
  </si>
  <si>
    <t>JF DOKTER SPESIALIS ANASTESI</t>
  </si>
  <si>
    <t>Sp I ANESTESI</t>
  </si>
  <si>
    <t>RAHMATUN NINGSIH, S.Sos</t>
  </si>
  <si>
    <t>199906032025032001</t>
  </si>
  <si>
    <t>III-a</t>
  </si>
  <si>
    <t>JF PERENCANA AHLI PERTAMA</t>
  </si>
  <si>
    <t>S-1 ILMU ADMINISTRASI NEGARA</t>
  </si>
  <si>
    <t>BENY EKO SATRIO,A.Md.Kep.</t>
  </si>
  <si>
    <t>198406142022211001</t>
  </si>
  <si>
    <t>PPPK</t>
  </si>
  <si>
    <t>VII</t>
  </si>
  <si>
    <t>SRI WAHYUNI,A.Md.Kep.</t>
  </si>
  <si>
    <t>198306052022212002</t>
  </si>
  <si>
    <t>HENDRA WIJATMIKO,A.Md.Kep.</t>
  </si>
  <si>
    <t>198112062022211001</t>
  </si>
  <si>
    <t>DYAH PUJI LESTARI,S.Kep.,Ns</t>
  </si>
  <si>
    <t>198811162022212001</t>
  </si>
  <si>
    <t>X</t>
  </si>
  <si>
    <t>SITI ZULAIHA,A.Md.Kep.</t>
  </si>
  <si>
    <t>198501172022212001</t>
  </si>
  <si>
    <t>NUR KOMARIYAH,S.Kep.Ns.</t>
  </si>
  <si>
    <t>198705152022212001</t>
  </si>
  <si>
    <t>HARYONO, A.Md.Kep.</t>
  </si>
  <si>
    <t>198706102022211001</t>
  </si>
  <si>
    <t>SENTOT SUWONDO, A.Md.Kep.</t>
  </si>
  <si>
    <t>198004272022211001</t>
  </si>
  <si>
    <t>HENDRA ADI PERMANA, A.Md. Kep</t>
  </si>
  <si>
    <t>199003052022211001</t>
  </si>
  <si>
    <t>ADI SUWANDANA,A.Md.Kep.</t>
  </si>
  <si>
    <t>198612062023211002</t>
  </si>
  <si>
    <t xml:space="preserve">JF PERAWAT TERAMPIL  </t>
  </si>
  <si>
    <t>AGUNG WIDHI SETIAWAN,A.Md.Kep.</t>
  </si>
  <si>
    <t>199304222023211002</t>
  </si>
  <si>
    <t>AHMAD FATHONI AZIZ,A.Md.Kep.</t>
  </si>
  <si>
    <t>199501142023211002</t>
  </si>
  <si>
    <t>AHMAD ZAENULLAH,A.Md.Kep.</t>
  </si>
  <si>
    <t>198404142023211002</t>
  </si>
  <si>
    <t>ALFA YULIANATA PRATAMA,A.Md.Kep.</t>
  </si>
  <si>
    <t>199507082023211001</t>
  </si>
  <si>
    <t>INSTALASI BEDAH SENTRAL (ANESTESI)</t>
  </si>
  <si>
    <t>ANDY NOOR RACHMAN, A.Md</t>
  </si>
  <si>
    <t>199105232023211002</t>
  </si>
  <si>
    <t xml:space="preserve">JF PEREKAM MEDIS - TERAMPIL  </t>
  </si>
  <si>
    <t>D-III REKAM MEDIK DAN INFORMASI KESEHATAN</t>
  </si>
  <si>
    <t>ANDY YUSTIANTO, A.Md</t>
  </si>
  <si>
    <t>198512072023211001</t>
  </si>
  <si>
    <t xml:space="preserve">JF ASISTEN APOTEKER - TERAMPIL </t>
  </si>
  <si>
    <t>ARIES SASONGKO, Sp.PA</t>
  </si>
  <si>
    <t>197104152023211001</t>
  </si>
  <si>
    <t xml:space="preserve">JF DOKTER SPESIALIS PATOLOGI ANATOMI AHLI PERTAMA </t>
  </si>
  <si>
    <t>Sp 1 PATOLOGI ANATOMI</t>
  </si>
  <si>
    <t>ARUM MERALDA,A.Md.Kep.</t>
  </si>
  <si>
    <t>198703272023212001</t>
  </si>
  <si>
    <t>ASARI,A.Md.Kep.</t>
  </si>
  <si>
    <t>198603042023211001</t>
  </si>
  <si>
    <t>IX</t>
  </si>
  <si>
    <t>ATIK WIBAWA, A.Md.Keb</t>
  </si>
  <si>
    <t>199206252023212002</t>
  </si>
  <si>
    <t>CARINA PUTRI MEGANANDA FAAKHA,A.Md.Kep.</t>
  </si>
  <si>
    <t>198704282023212001</t>
  </si>
  <si>
    <t>DEFI SANTI WULANDARI, S.Tr.Keb</t>
  </si>
  <si>
    <t>199010082023212004</t>
  </si>
  <si>
    <t>DEWI WIJAYANTI,A.Md.Kep.</t>
  </si>
  <si>
    <t>199308062023212001</t>
  </si>
  <si>
    <t>DINI FEBRI WULANDARI,A.Md.Kep.</t>
  </si>
  <si>
    <t>199702192023212001</t>
  </si>
  <si>
    <t>DWI ANITA FITRIANA, A.Md</t>
  </si>
  <si>
    <t>199204122023212003</t>
  </si>
  <si>
    <t>ERIKA RAHMAWATI,A.Md.Kep.</t>
  </si>
  <si>
    <t>198504202023212001</t>
  </si>
  <si>
    <t>ERLY ROIFATUL AFIFAH, S.S.T</t>
  </si>
  <si>
    <t>199506062023212002</t>
  </si>
  <si>
    <t xml:space="preserve">JF PRANATA LABORATORIUM KESEHATAN AHLI PERTAMA </t>
  </si>
  <si>
    <t>EVI LESTARI, A.Md.Keb</t>
  </si>
  <si>
    <t>197907152023212001</t>
  </si>
  <si>
    <t>EVIE HERLINA,A.Md.Kep.</t>
  </si>
  <si>
    <t>198301132023212001</t>
  </si>
  <si>
    <t>FARISTA NURMAYANTI, A.Md.Keb</t>
  </si>
  <si>
    <t>199110212023212002</t>
  </si>
  <si>
    <t>FASTAMI LIMAYUHA, S.Tr.Kes</t>
  </si>
  <si>
    <t>199902112023212001</t>
  </si>
  <si>
    <t xml:space="preserve">JF PRANATA LABORATORIUM KESEHATAN AHLI PERTAMA  </t>
  </si>
  <si>
    <t>FATIHATUL HIDAYATI, A.Md.Keb</t>
  </si>
  <si>
    <t>198804302023212001</t>
  </si>
  <si>
    <t>FEBRIANDARI NUGRAH ANGGRAENI, A.Md.Keb</t>
  </si>
  <si>
    <t>199002232023212001</t>
  </si>
  <si>
    <t>HAMIDATUL FITRIYAH</t>
  </si>
  <si>
    <t>199404232023212002</t>
  </si>
  <si>
    <t>HENDRA KUSDIANTORO, S.Kep.,Ns</t>
  </si>
  <si>
    <t>199104012023211003</t>
  </si>
  <si>
    <t>HENY WIDYA ASTUTIK,A.Md.Kep.</t>
  </si>
  <si>
    <t>198605142023212001</t>
  </si>
  <si>
    <t>HOSMIATI,A.Md.Kep.</t>
  </si>
  <si>
    <t>199003262023212002</t>
  </si>
  <si>
    <t>HUSNUL FATIMAH,A.Md.Kep.</t>
  </si>
  <si>
    <t>198405122023212003</t>
  </si>
  <si>
    <t>HUSNUL WAFA, S.Kep.,Ns</t>
  </si>
  <si>
    <t>199504252023211002</t>
  </si>
  <si>
    <t>Apt. ILMI FATMAWATI,S.Farm</t>
  </si>
  <si>
    <t>198707232023212003</t>
  </si>
  <si>
    <t>INDAR DWI WAHYUNINGSIH, A.Md.Ft</t>
  </si>
  <si>
    <t>198410092023212001</t>
  </si>
  <si>
    <t>JF FISIOTERAPIS TERAMPIL</t>
  </si>
  <si>
    <t>INDRIANI,A.Md.Kep.</t>
  </si>
  <si>
    <t>199502052023212001</t>
  </si>
  <si>
    <t>INTAN NURCAHYA,A.Md.Kep.</t>
  </si>
  <si>
    <t>199503162023212001</t>
  </si>
  <si>
    <t>ISNIAH ANGGRAINI MURISA MARTHA, A.Md.Keb</t>
  </si>
  <si>
    <t>199303292023212001</t>
  </si>
  <si>
    <t>KARTIKA, Sp. Rad</t>
  </si>
  <si>
    <t>197310072023212001</t>
  </si>
  <si>
    <t xml:space="preserve">JF DOKTER SPESIALIS RADIOLOGI AHLI PERTAMA  </t>
  </si>
  <si>
    <t>Sp 1 RADIOLOGI</t>
  </si>
  <si>
    <t>KHUSNUL KHOTIMAH,A.Md.Kep.</t>
  </si>
  <si>
    <t>199110082023212001</t>
  </si>
  <si>
    <t>dr. KOMANG AYU R. PURNAMANINGSIH,M.Sc.,Sp.A</t>
  </si>
  <si>
    <t>198103222023212001</t>
  </si>
  <si>
    <t xml:space="preserve">JF DOKTER SPESIALIS ANAK AHLI PERTAMA  </t>
  </si>
  <si>
    <t>Sp 1 ILMU KESEHATAN ANAK</t>
  </si>
  <si>
    <t>KRISTYA RIZKI WIDIANTI, S.KM</t>
  </si>
  <si>
    <t>198811292023212001</t>
  </si>
  <si>
    <t xml:space="preserve">JF TENAGA PROMOSI KESEHATAN DAN ILMU PERILAKUAHLI PERTAMA </t>
  </si>
  <si>
    <t>BAGIAN UMUM (HUMAS)</t>
  </si>
  <si>
    <t>LATIFATUL LAYLI AKHMAD, A.Md.Keb</t>
  </si>
  <si>
    <t>199201232023212001</t>
  </si>
  <si>
    <t>LUTFIAH NABILA,A.Md.Kep.</t>
  </si>
  <si>
    <t>199301312023212001</t>
  </si>
  <si>
    <t>MAS SURANI, A.Md.Keb</t>
  </si>
  <si>
    <t>199001162023212001</t>
  </si>
  <si>
    <t>MASQURO,A.Md.Kep.</t>
  </si>
  <si>
    <t>199806282023212002</t>
  </si>
  <si>
    <t>MAULINA ROBIULNISAH FANANI,A.Md, AK</t>
  </si>
  <si>
    <t>199408242023212001</t>
  </si>
  <si>
    <t xml:space="preserve">JF PRANATA LABORATORIUM KESEHATAN - TERAMPIL  </t>
  </si>
  <si>
    <t>MOCH. TRIZA NURFAHRUDIN, S.Farm.,Apt</t>
  </si>
  <si>
    <t>199301122023211001</t>
  </si>
  <si>
    <t>MUH. AUDINI MUKHLISIDDIN,A.Md.Kep.</t>
  </si>
  <si>
    <t>199408282023211001</t>
  </si>
  <si>
    <t>NILI SITIANI,A.Md.Kep.</t>
  </si>
  <si>
    <t>198309012123212001</t>
  </si>
  <si>
    <t>NOVA HILIATUL FIKRIYAH, A.Md.Keb</t>
  </si>
  <si>
    <t>199004092023212001</t>
  </si>
  <si>
    <t>NOVIA TRI UTAMI, A.Md.Keb</t>
  </si>
  <si>
    <t>198911132023212001</t>
  </si>
  <si>
    <t>NUR AENI APRILINA,A.Md.Kep.</t>
  </si>
  <si>
    <t>198904222023212001</t>
  </si>
  <si>
    <t>NURFITRIA DEWI,A.Md.Kep.</t>
  </si>
  <si>
    <t>199402132023212003</t>
  </si>
  <si>
    <t>NURMA DIANITA, A.Md.Keb</t>
  </si>
  <si>
    <t>198705052023212003</t>
  </si>
  <si>
    <t>NURUL AINI, A.Md.AK</t>
  </si>
  <si>
    <t>199711012023212002</t>
  </si>
  <si>
    <t>PUTRI NIKMA AULIA,A.Md.Kep.</t>
  </si>
  <si>
    <t>199111162023212003</t>
  </si>
  <si>
    <t>RAHMANIA HAMIDA, S.KM</t>
  </si>
  <si>
    <t>199501052023212008</t>
  </si>
  <si>
    <t>JF ADMINISTRATOR KESEHATAN PERTAMA</t>
  </si>
  <si>
    <t>REDHA WULANSARI, A.Md.Keb</t>
  </si>
  <si>
    <t>199103272023212001</t>
  </si>
  <si>
    <t>RINDI ARDILIANTO,A.Md.Kep.</t>
  </si>
  <si>
    <t>199109112023211001</t>
  </si>
  <si>
    <t>RIZQI NURLAILI, A.Md.Keb</t>
  </si>
  <si>
    <t>199405182023212001</t>
  </si>
  <si>
    <t>ROISUS SHOHILIYAH, A.Md.Keb</t>
  </si>
  <si>
    <t>199101112023212006</t>
  </si>
  <si>
    <t>ROLIS PUTRO NUGROHO,A.Md.Kep.</t>
  </si>
  <si>
    <t>198406262023211001</t>
  </si>
  <si>
    <t>RR. JUNESTIA DWI HARNANDA, A.Md.Keb</t>
  </si>
  <si>
    <t>199006132023212001</t>
  </si>
  <si>
    <t>SAA'DATUT DARAINI FITRIYA, S.Kep.,Ns</t>
  </si>
  <si>
    <t>198406232023212002</t>
  </si>
  <si>
    <t>SAHRONI,A.Md.Kep.</t>
  </si>
  <si>
    <t>198211072023211001</t>
  </si>
  <si>
    <t>SELA YULIANA, A.Md.Keb</t>
  </si>
  <si>
    <t>199207052023212002</t>
  </si>
  <si>
    <t>SEPTY MAULIDIA,A.Md.Kep.</t>
  </si>
  <si>
    <t>199109182023212002</t>
  </si>
  <si>
    <t>SILFANIYAH FUJI RAHAYU,A.Md.Kep.</t>
  </si>
  <si>
    <t>199102252023212001</t>
  </si>
  <si>
    <t>SITI NURUL LAILA,A.Md.Kep.</t>
  </si>
  <si>
    <t>198603172023212002</t>
  </si>
  <si>
    <t>SLAMET HARIADI,A.Md.Kep.</t>
  </si>
  <si>
    <t>199009052023211001</t>
  </si>
  <si>
    <t>SRI AGUSTINI, S.S.T</t>
  </si>
  <si>
    <t>199008122023212001</t>
  </si>
  <si>
    <t>SRI RAHAYUNINGSIH,A.Md.Kep.</t>
  </si>
  <si>
    <t>198303142023212001</t>
  </si>
  <si>
    <t>SYAMSUL ARIFIN, S.Kep.,Ns</t>
  </si>
  <si>
    <t>198909102023211001</t>
  </si>
  <si>
    <t>TEGUH NUGROHO, S.Kep.,Ns</t>
  </si>
  <si>
    <t>198605172023211003</t>
  </si>
  <si>
    <t>TIKA SRINURIA AGUSTIA NINGSIH,A.Md.Kep.</t>
  </si>
  <si>
    <t>199608182023212001</t>
  </si>
  <si>
    <t>TUBAGUS MUHAMMAD ZEIN, S.Kep.,Ns</t>
  </si>
  <si>
    <t>199208112023211001</t>
  </si>
  <si>
    <t>TUTIK KUS ENDANG, S.Kep.,Ns</t>
  </si>
  <si>
    <t>199010302023212001</t>
  </si>
  <si>
    <t>VIRGIANITA MAULINDYA ZUHRI, A.Md.Keb</t>
  </si>
  <si>
    <t>199208312023212003</t>
  </si>
  <si>
    <t>WIJI EKA SHOFIAH,A.Md.Kep.</t>
  </si>
  <si>
    <t>198612222023212003</t>
  </si>
  <si>
    <t>YANDRI APRIYADI, S.Kep.,Ns</t>
  </si>
  <si>
    <t>198304132023211002</t>
  </si>
  <si>
    <t>YOGA GUSTI ARGHA,A.Md.Kep.</t>
  </si>
  <si>
    <t>198712052023211001</t>
  </si>
  <si>
    <t>IMAM BUCHORI,S.Kep.,Ns</t>
  </si>
  <si>
    <t>MUSRIFIN ANDALINA</t>
  </si>
  <si>
    <t>DWI RUSTAMI</t>
  </si>
  <si>
    <t>MISBAHATUL LAILIA, Amd.Keb</t>
  </si>
  <si>
    <t>'199101172024212024</t>
  </si>
  <si>
    <t>NURMA  YULINDA, A.Md. Kep</t>
  </si>
  <si>
    <t>'199012172024212018</t>
  </si>
  <si>
    <t>RATIH TRI NUGRAHENI,A.Md Keb</t>
  </si>
  <si>
    <t>'199005172024212016</t>
  </si>
  <si>
    <t>ENDANG FITRIYANI, S.ST</t>
  </si>
  <si>
    <t>JF PEREKAM MEDIK PERTAMA</t>
  </si>
  <si>
    <t>D-IV REKAM MEDIK</t>
  </si>
  <si>
    <t>PUPUTRI AGIS SETIA DEWI, A.Md.Keb.</t>
  </si>
  <si>
    <t>'199008152024212019</t>
  </si>
  <si>
    <t>NIA SEPTRIANA, S. ST</t>
  </si>
  <si>
    <t>NUER QHOMARIAH, A.Md.Kep.</t>
  </si>
  <si>
    <t>'199010102024212049</t>
  </si>
  <si>
    <t>CHOIRIYAH FITRIANI, S. Kep</t>
  </si>
  <si>
    <t>RIFKA YUNITA ARDIANA, A.Md.Kep.</t>
  </si>
  <si>
    <t>199306122024212038</t>
  </si>
  <si>
    <t>ISNAINI WAHYU UTAMI, A.Md.Keb.</t>
  </si>
  <si>
    <t>'199203032024212033</t>
  </si>
  <si>
    <t>SARIFATUN NISA, A.Md.Keb.</t>
  </si>
  <si>
    <t>'199206222024212029</t>
  </si>
  <si>
    <t>PUTRI HARUM RESTU, A.Md.Keb</t>
  </si>
  <si>
    <t>'199107062024212033</t>
  </si>
  <si>
    <t>RIZKA NANDA LAILI A I, A.Md. Keb</t>
  </si>
  <si>
    <t>'199212212024212030</t>
  </si>
  <si>
    <t>DYAH NOVITA PRIMASTUTI, A.Md. Keb</t>
  </si>
  <si>
    <t>'199011052024212025</t>
  </si>
  <si>
    <t>LENI HARIYANTI, A.Md. Kep</t>
  </si>
  <si>
    <t>'198810312024212016</t>
  </si>
  <si>
    <t>WAHYU HIDAYATI, S.Tr.Kes</t>
  </si>
  <si>
    <t>CAHYANING ASTI, A.Md. Kep</t>
  </si>
  <si>
    <t>'199006062024212026</t>
  </si>
  <si>
    <t>NUR DIANA KHOLIDA, A.Md. Kep</t>
  </si>
  <si>
    <t>'199303202024212046</t>
  </si>
  <si>
    <t>SEPTINIAR NUGROHO P, A.Md. Kep</t>
  </si>
  <si>
    <t>'199109122024212035</t>
  </si>
  <si>
    <t>WIDIYA FITRA YOGA,S.Kep.Ns.</t>
  </si>
  <si>
    <t>SEPTIAN SUWANDHA PUTRA, S.Kep.Ns</t>
  </si>
  <si>
    <t>AHMAD KHUSAIRI, S.Kep.Ns</t>
  </si>
  <si>
    <t>SIDI MUKHLIS,Amd.kep</t>
  </si>
  <si>
    <t>'199508252024211006</t>
  </si>
  <si>
    <t>TRI SETYAYU NINGSIH, Amd.Kep</t>
  </si>
  <si>
    <t>'199706052024212025</t>
  </si>
  <si>
    <t xml:space="preserve">dr. MUHAMMAD IQBAL DZAKY ASY'ARI </t>
  </si>
  <si>
    <t>'199511022024211009</t>
  </si>
  <si>
    <t>YULIASMI KUSUMA, S. Kep. Ns</t>
  </si>
  <si>
    <t>FRIDA RAFIYANTI, S.Keb.,Bd</t>
  </si>
  <si>
    <t>199210072024212029</t>
  </si>
  <si>
    <t>-</t>
  </si>
  <si>
    <t>S1 KEBIDANAN, PROFESI</t>
  </si>
  <si>
    <t>SITI MASRUROH, A. Md. Keb</t>
  </si>
  <si>
    <t>'199101202024212024</t>
  </si>
  <si>
    <t>SULISTIA MURNI, A.Md. Keb</t>
  </si>
  <si>
    <t>'199512212024212032</t>
  </si>
  <si>
    <t>GHAITZUR RIZKIYAH A, A. Md. Kep</t>
  </si>
  <si>
    <t>'199709212024212015</t>
  </si>
  <si>
    <t>BRYAN AZARYA DIMETRICO, A. Md. Kep</t>
  </si>
  <si>
    <t>'199804022024211003</t>
  </si>
  <si>
    <t>CINTA OLIVIA AUDIE SALSA PATRIKA, A. Md. Kep</t>
  </si>
  <si>
    <t>'199706102024212019</t>
  </si>
  <si>
    <t>HERIYANA NURPADILAH, A. Md. Kep</t>
  </si>
  <si>
    <t>199806282024212017</t>
  </si>
  <si>
    <t>Bdn. DWI WULAN ISRO'TULLAILA. S.Tr.Keb</t>
  </si>
  <si>
    <t>199711232024212023</t>
  </si>
  <si>
    <t>RIDHA FATIHATUL LAILIYAH, A. Md. Kep</t>
  </si>
  <si>
    <t>'199509292024212035</t>
  </si>
  <si>
    <t>dr. IKA ALIMAWATI, Sp. N</t>
  </si>
  <si>
    <t>XI</t>
  </si>
  <si>
    <t>JF DOKTER SPESIALIS NEUROLOGI</t>
  </si>
  <si>
    <t>Sp I SYARAF</t>
  </si>
  <si>
    <t>RIAWAN SATRIANTORO, A.Md.Kep</t>
  </si>
  <si>
    <t>'199512102024211009</t>
  </si>
  <si>
    <t>DITA PUSPITASARI</t>
  </si>
  <si>
    <t>AHLI PERTAMA - PERENCANA</t>
  </si>
  <si>
    <t xml:space="preserve">S-1 </t>
  </si>
  <si>
    <t>M. TAUFIK HIDAYAT</t>
  </si>
  <si>
    <t>TERAMPIL - PRANATA KOMPUTER</t>
  </si>
  <si>
    <t>RATIH BAJRIA N T, A. Md. Keb</t>
  </si>
  <si>
    <t>'199001172024212018</t>
  </si>
  <si>
    <t>SYARI KHORNIAWATI</t>
  </si>
  <si>
    <t>'199501092024212024</t>
  </si>
  <si>
    <t>USWATUN HASANAH, A. Md. Keb</t>
  </si>
  <si>
    <t>'199504022024212022</t>
  </si>
  <si>
    <t>EVI JUWITA RATNA PERMATASARI</t>
  </si>
  <si>
    <t>WILUJENG MUGIARTI</t>
  </si>
  <si>
    <t>KLINIK TB DOTS &amp; RO</t>
  </si>
  <si>
    <t>MOCH SYIDDAD ARSALAN</t>
  </si>
  <si>
    <t>'199212222024211010</t>
  </si>
  <si>
    <t>NILA RUSDIANI</t>
  </si>
  <si>
    <t>'199501182024212029</t>
  </si>
  <si>
    <t>RISKA NURINDAH LESTARI</t>
  </si>
  <si>
    <t>'199008082024212038</t>
  </si>
  <si>
    <t>SIGIT PUJIANTO, AMD.AK</t>
  </si>
  <si>
    <t>199408052025211002</t>
  </si>
  <si>
    <t>JF PRANATA LABORATORIUM TERAMPIL</t>
  </si>
  <si>
    <t>ORIENTASI</t>
  </si>
  <si>
    <t xml:space="preserve">SUBAIDI </t>
  </si>
  <si>
    <t>3513151010810001</t>
  </si>
  <si>
    <t>ALIH DAYA</t>
  </si>
  <si>
    <t>BUSANI IRMAYANTI</t>
  </si>
  <si>
    <t>3513174507800007</t>
  </si>
  <si>
    <t>MADRASAH ALIYAH (MA)</t>
  </si>
  <si>
    <t>DEPO FARMASI IGD</t>
  </si>
  <si>
    <t>SELFI SITARINA,A.Md.Kep.</t>
  </si>
  <si>
    <t>3513144509840008</t>
  </si>
  <si>
    <t>PERAWAT TERAMPIL</t>
  </si>
  <si>
    <t xml:space="preserve">JF PERAWAT </t>
  </si>
  <si>
    <t>ANDRIANTO</t>
  </si>
  <si>
    <t>3513141505850003</t>
  </si>
  <si>
    <t>AS'AD</t>
  </si>
  <si>
    <t>3513141505830001</t>
  </si>
  <si>
    <t>LOKET PENDAFTARAN IGD</t>
  </si>
  <si>
    <t>ROMLI</t>
  </si>
  <si>
    <t>3513161308780001</t>
  </si>
  <si>
    <t>PRAMU KANTOR (PORTIR)</t>
  </si>
  <si>
    <t>SMA</t>
  </si>
  <si>
    <t>AREA IPS</t>
  </si>
  <si>
    <t>NINING RETNANINGSIH,A.Md.Kep.</t>
  </si>
  <si>
    <t>3513146106760003</t>
  </si>
  <si>
    <t>FATMAWATI</t>
  </si>
  <si>
    <t>3513144501820001</t>
  </si>
  <si>
    <t>HALIMATUS SA'DIYAH</t>
  </si>
  <si>
    <t>3513146705830002</t>
  </si>
  <si>
    <t>HENI SORAYA</t>
  </si>
  <si>
    <t>3513144708880003</t>
  </si>
  <si>
    <t>MAHRIGAWATI</t>
  </si>
  <si>
    <t>3513144509910005</t>
  </si>
  <si>
    <t>NOEVITA ANGGRAYNI</t>
  </si>
  <si>
    <t>3513146011780003</t>
  </si>
  <si>
    <t>ZAKKY IRFAN  INDERASASMITA,S.Kom</t>
  </si>
  <si>
    <t>3513171904840002</t>
  </si>
  <si>
    <t>S1 TEKNIK KOMPUTER</t>
  </si>
  <si>
    <t>NURUL MAIMUNAH</t>
  </si>
  <si>
    <t>3513165106900002</t>
  </si>
  <si>
    <t>MOH. KAFA BIHI</t>
  </si>
  <si>
    <t>3513132404890002</t>
  </si>
  <si>
    <t>SMP</t>
  </si>
  <si>
    <t>NUR AHMAD</t>
  </si>
  <si>
    <t>3513142409750004</t>
  </si>
  <si>
    <t>PAKET C</t>
  </si>
  <si>
    <t>AHMAD SAYADI</t>
  </si>
  <si>
    <t>3513152405880002</t>
  </si>
  <si>
    <t>JATIMUR ROHIM</t>
  </si>
  <si>
    <t>3513102206870004</t>
  </si>
  <si>
    <t>JATIMUR RAHMAN</t>
  </si>
  <si>
    <t>3513142206870003</t>
  </si>
  <si>
    <t>TOHI</t>
  </si>
  <si>
    <t>3513090606860001</t>
  </si>
  <si>
    <t>PRAMU KANTOR (ADMIN)</t>
  </si>
  <si>
    <t>MADRASAH TSANAWIYAH</t>
  </si>
  <si>
    <t>NUR HASANAH (Loket)</t>
  </si>
  <si>
    <t>3513144311870006</t>
  </si>
  <si>
    <t>SMK</t>
  </si>
  <si>
    <t>ABD. RAHMAN,SH</t>
  </si>
  <si>
    <t>3574030110750005</t>
  </si>
  <si>
    <t>S1 ILMU HUKUM</t>
  </si>
  <si>
    <t>MOH. ALI</t>
  </si>
  <si>
    <t>3513142812820003</t>
  </si>
  <si>
    <t>PRAMU KANTOR (MR)</t>
  </si>
  <si>
    <t>ABDUL JALIL</t>
  </si>
  <si>
    <t>3513151612850001</t>
  </si>
  <si>
    <t>D-I ASISTEN PARAMEDIS</t>
  </si>
  <si>
    <t>AKHMAD AFFANDI</t>
  </si>
  <si>
    <t>3513142709860003</t>
  </si>
  <si>
    <t>SUPIR AMBULAN</t>
  </si>
  <si>
    <t>CSSD</t>
  </si>
  <si>
    <t>ALFIA RIZKI AMALIA</t>
  </si>
  <si>
    <t>3513125708910001</t>
  </si>
  <si>
    <t>DEDY ARI SANTO</t>
  </si>
  <si>
    <t>3517013112800001</t>
  </si>
  <si>
    <t>MUSTHOFA</t>
  </si>
  <si>
    <t>3513142907920002</t>
  </si>
  <si>
    <t>PUTRI DEWI AGITANTI</t>
  </si>
  <si>
    <t>3513135408900005</t>
  </si>
  <si>
    <t>ZAIKATUL FITRIA</t>
  </si>
  <si>
    <t>3513125103920001</t>
  </si>
  <si>
    <t>MOH. AVIVI,SE.</t>
  </si>
  <si>
    <t>3513132207830003</t>
  </si>
  <si>
    <t>S1 MANAJEMEN</t>
  </si>
  <si>
    <t>M. ERVAN JUNIADI</t>
  </si>
  <si>
    <t>3513151506880005</t>
  </si>
  <si>
    <t>BAMBANG SUJARWO</t>
  </si>
  <si>
    <t>3513141310720001</t>
  </si>
  <si>
    <t>STM</t>
  </si>
  <si>
    <t>SAMSI</t>
  </si>
  <si>
    <t>3513140107770001</t>
  </si>
  <si>
    <t>PENDISTRIBUSI OKSIGEN</t>
  </si>
  <si>
    <t>SAIFUL BAHRI</t>
  </si>
  <si>
    <t>3513102311840003</t>
  </si>
  <si>
    <t>PRAMU KANTOR (CS)</t>
  </si>
  <si>
    <t>MADRASAH ALIYAH NEGERI (MAN)</t>
  </si>
  <si>
    <t>SATUMAN IWAN S.</t>
  </si>
  <si>
    <t>3513142310840001</t>
  </si>
  <si>
    <t>MADRASAH IBTIDAIYAH (MI)</t>
  </si>
  <si>
    <t>SULIN ARIYANTO</t>
  </si>
  <si>
    <t>3513150506880004</t>
  </si>
  <si>
    <t>ALIS NURHAYATI</t>
  </si>
  <si>
    <t>3503025604900002</t>
  </si>
  <si>
    <t>ARIF BAMBANG SUPRAYOGI, S.Kep.,Ns</t>
  </si>
  <si>
    <t>3513170703890002</t>
  </si>
  <si>
    <t>PERAWAT AHLI</t>
  </si>
  <si>
    <t>INDAH AINI</t>
  </si>
  <si>
    <t>3513144306820002</t>
  </si>
  <si>
    <t>BAGIAN UMUM ( ARSIP )</t>
  </si>
  <si>
    <t xml:space="preserve">LULUT REBIANTO </t>
  </si>
  <si>
    <t>3520082812880001</t>
  </si>
  <si>
    <t xml:space="preserve">MUHAMMAD SUBA'I </t>
  </si>
  <si>
    <t>3513130406830005</t>
  </si>
  <si>
    <t>Bagian umum (up)</t>
  </si>
  <si>
    <t>KIIS WITA RAHMAN,S.Kom</t>
  </si>
  <si>
    <t>3513154510880001</t>
  </si>
  <si>
    <t>ARI NUGROHO, SE</t>
  </si>
  <si>
    <t>3513121009840007</t>
  </si>
  <si>
    <t>S1 MANAJEMEN (KEUANGAN)</t>
  </si>
  <si>
    <t>ANA YULIANA, A.Md</t>
  </si>
  <si>
    <t>3574045607870007</t>
  </si>
  <si>
    <t>D-III KOMPUTERISASI AKUNTANSI</t>
  </si>
  <si>
    <t xml:space="preserve">RUDI HARTONO </t>
  </si>
  <si>
    <t>3513091708810005</t>
  </si>
  <si>
    <t>IGD</t>
  </si>
  <si>
    <t>NENDY FAJRI RAHMADI, SE</t>
  </si>
  <si>
    <t>3513210608890001</t>
  </si>
  <si>
    <t>ABD. ROHIMULLAH</t>
  </si>
  <si>
    <t>3513141307920002</t>
  </si>
  <si>
    <t>HARUN ARRASYID, SAP</t>
  </si>
  <si>
    <t>3513101710810002</t>
  </si>
  <si>
    <t>S1 ILMU ADMINISTRASI NEGARA</t>
  </si>
  <si>
    <t xml:space="preserve">AHMAD SAIHU </t>
  </si>
  <si>
    <t>3513141709680002</t>
  </si>
  <si>
    <t>FELLY SEPTIAN FINANDINI, S.Sos</t>
  </si>
  <si>
    <t>3513144809850004</t>
  </si>
  <si>
    <t>ARWANI</t>
  </si>
  <si>
    <t>3513144402850002</t>
  </si>
  <si>
    <t>AYU MURNINGSIH</t>
  </si>
  <si>
    <t>3513144305840001</t>
  </si>
  <si>
    <t>NUR AZIZAH</t>
  </si>
  <si>
    <t>3513154607860002</t>
  </si>
  <si>
    <t>INSTALASI FARMASI (RJ)</t>
  </si>
  <si>
    <t>SITI NUR HOLIFAH</t>
  </si>
  <si>
    <t>3513155402890002</t>
  </si>
  <si>
    <t>ERICK PRADANA CAHYONO, S.Kep.Ns</t>
  </si>
  <si>
    <t>3513111501850001</t>
  </si>
  <si>
    <t>NUR HASANAH</t>
  </si>
  <si>
    <t>3513175206910002</t>
  </si>
  <si>
    <t>RONY HARDIYANSYAH,A.Md.</t>
  </si>
  <si>
    <t>3513211609890001</t>
  </si>
  <si>
    <t>D-III MANAJEMEN</t>
  </si>
  <si>
    <t>EDITYA LIKY CHANDRA</t>
  </si>
  <si>
    <t>3513141701880003</t>
  </si>
  <si>
    <t>BAGIAN UMUM (ARSIP)</t>
  </si>
  <si>
    <t>SELAMET EKO YULIANTO, S. Kep. Ns</t>
  </si>
  <si>
    <t>3513140407900001</t>
  </si>
  <si>
    <t>ROFIKO, A.Md.Kep.</t>
  </si>
  <si>
    <t>3513155202930002</t>
  </si>
  <si>
    <t>RINI WAHYU FADILAH, A.Md.Keb.</t>
  </si>
  <si>
    <t>3513104702920003</t>
  </si>
  <si>
    <t xml:space="preserve">JF BIDAN </t>
  </si>
  <si>
    <t>RUDIAWATI, A.Md.Keb.</t>
  </si>
  <si>
    <t>3513127001900001</t>
  </si>
  <si>
    <t>BRITANTYO MAULANA AKBAR, S. Kep. Ns.</t>
  </si>
  <si>
    <t>3513140307880001</t>
  </si>
  <si>
    <t>TIKA YOLANDA, S. ST</t>
  </si>
  <si>
    <t>3513135209910002</t>
  </si>
  <si>
    <t xml:space="preserve">JF BIDAN  </t>
  </si>
  <si>
    <t>MELINDA EVI FATMAWATI</t>
  </si>
  <si>
    <t>3513145105930004</t>
  </si>
  <si>
    <t>EVI JULAIKHA</t>
  </si>
  <si>
    <t>3514075607910001</t>
  </si>
  <si>
    <t>D-I INFORMATIKA KOMPUTER</t>
  </si>
  <si>
    <t>SUTRATIN, A.Md. Keb</t>
  </si>
  <si>
    <t>3513124103880004</t>
  </si>
  <si>
    <t>NURIS ERTA FEBRIHANI, S. S</t>
  </si>
  <si>
    <t>3513145702910001</t>
  </si>
  <si>
    <t>S1 Sastra Inggris</t>
  </si>
  <si>
    <t>EKO PRASETYO</t>
  </si>
  <si>
    <t>3513142004840001</t>
  </si>
  <si>
    <t>ALFIANSAH</t>
  </si>
  <si>
    <t>3513132207880002</t>
  </si>
  <si>
    <t>AHMAD NAILIL ADZKAR,S.Kep.</t>
  </si>
  <si>
    <t>3513110101910005</t>
  </si>
  <si>
    <t>DEWI UMARIA NANDANI,A.Md.Keb.</t>
  </si>
  <si>
    <t>3513175912940002</t>
  </si>
  <si>
    <t>SEPTIYAN HARIS SASMITO,S.Sos.</t>
  </si>
  <si>
    <t>3574032809890004</t>
  </si>
  <si>
    <t>DWI ARI SUSYANTI, S.ST.</t>
  </si>
  <si>
    <t>3513104504890001</t>
  </si>
  <si>
    <t>SEPTIANA MAULINDAH,S.Pd</t>
  </si>
  <si>
    <t>3513136009910002</t>
  </si>
  <si>
    <t>TENAGA AKUNTANSI</t>
  </si>
  <si>
    <t>S1 PENDIDIKAN EKONOMI</t>
  </si>
  <si>
    <t>AHMAD IBNU ABBAS,S.Kep.Ns.</t>
  </si>
  <si>
    <t>3513090111900002</t>
  </si>
  <si>
    <t>SUDIANTO, A.Md.Kep</t>
  </si>
  <si>
    <t>3513201507810002</t>
  </si>
  <si>
    <t>HARTONO, A.Md.Kep</t>
  </si>
  <si>
    <t>3513200102760003</t>
  </si>
  <si>
    <t>SARIYANTO, A.Md.Kep</t>
  </si>
  <si>
    <t>3513140906830001</t>
  </si>
  <si>
    <t>TENGGER</t>
  </si>
  <si>
    <t>IMAM SUJAR LASTANTO, A.Md.Kep</t>
  </si>
  <si>
    <t>3513140603810001</t>
  </si>
  <si>
    <t>QURROTUL AENI, A.Md.Keb</t>
  </si>
  <si>
    <t>3513065911920015</t>
  </si>
  <si>
    <t>FATIMATUS ZAHROH, S. Kep. Ns</t>
  </si>
  <si>
    <t>3513074804960004</t>
  </si>
  <si>
    <t>NURKHAYATUL JANNAH, A. Md. Keb</t>
  </si>
  <si>
    <t>3518144205950007</t>
  </si>
  <si>
    <t>DIAH ULFAH WIJAYANTI. S.Tr.Keb</t>
  </si>
  <si>
    <t>3574034107960040</t>
  </si>
  <si>
    <t>dr. KETUT ARI SUASTAWA, M. Sc, Sp. PD</t>
  </si>
  <si>
    <t>MOU</t>
  </si>
  <si>
    <t>JF DOKTER SPESIALIS DALAM</t>
  </si>
  <si>
    <t>Sp 1 ILMU PENYAKIT DALAM</t>
  </si>
  <si>
    <t>AGUSTININGSIH</t>
  </si>
  <si>
    <t>3513147108860001</t>
  </si>
  <si>
    <t>BLUD</t>
  </si>
  <si>
    <t>D1 Komputer</t>
  </si>
  <si>
    <t>MAMIK SUDARMIATI,S.Kom.</t>
  </si>
  <si>
    <t>3513154704930002</t>
  </si>
  <si>
    <t>S1 Komputer</t>
  </si>
  <si>
    <t>SHOTQI HABIBI,S.Kom.</t>
  </si>
  <si>
    <t>3513140701920001</t>
  </si>
  <si>
    <t>SAIFUL ANSHARI,S.Gz.</t>
  </si>
  <si>
    <t>3513102112860001</t>
  </si>
  <si>
    <t xml:space="preserve">NUTRISIONIS </t>
  </si>
  <si>
    <t>SI Ahli Gizi</t>
  </si>
  <si>
    <t>REZA YOGA UTOMO</t>
  </si>
  <si>
    <t>3513170502900003</t>
  </si>
  <si>
    <t>SUBIYANTORO HADI, A.Md. Kep</t>
  </si>
  <si>
    <t>3513141212880003</t>
  </si>
  <si>
    <t>ERFAN MUJIONO</t>
  </si>
  <si>
    <t>3513140309920002</t>
  </si>
  <si>
    <t>AFWAN MUKHLISIN</t>
  </si>
  <si>
    <t>3513142112820002</t>
  </si>
  <si>
    <t>PENGELOLA AKUNTANSI</t>
  </si>
  <si>
    <t>YANUAR EKA RESTU H.</t>
  </si>
  <si>
    <t>3513140109890002</t>
  </si>
  <si>
    <t>Taman Madya (SMA)</t>
  </si>
  <si>
    <t>RAWAT JALAN</t>
  </si>
  <si>
    <t>ABDUL FATAH</t>
  </si>
  <si>
    <t>3513140303940001</t>
  </si>
  <si>
    <t>PETUGAS GAS MEDIS</t>
  </si>
  <si>
    <t>ABDUL ZUHRI</t>
  </si>
  <si>
    <t>3513130707940002</t>
  </si>
  <si>
    <t>MA</t>
  </si>
  <si>
    <t>POLI VCT</t>
  </si>
  <si>
    <t>ABDUS SATAR</t>
  </si>
  <si>
    <t>3513150103880008</t>
  </si>
  <si>
    <t>PENGELOLA GUDANG</t>
  </si>
  <si>
    <t>ADI SAPUTRO PURWADI</t>
  </si>
  <si>
    <t>3513140605920002</t>
  </si>
  <si>
    <t>JURU RAWAT JENAZAH</t>
  </si>
  <si>
    <t>AKHMAD NURHOLIS</t>
  </si>
  <si>
    <t>3513122507920004</t>
  </si>
  <si>
    <t>IKA YULIANINGTYAS</t>
  </si>
  <si>
    <t>3513156507910002</t>
  </si>
  <si>
    <t>JURU MASAK</t>
  </si>
  <si>
    <t>MA NU</t>
  </si>
  <si>
    <t>IRA ROFIANDIKA</t>
  </si>
  <si>
    <t>3513146011870003</t>
  </si>
  <si>
    <t>KRISDIAN</t>
  </si>
  <si>
    <t>3513142512860002</t>
  </si>
  <si>
    <t>LASMORO AJI SANTOSO</t>
  </si>
  <si>
    <t>3513142003960002</t>
  </si>
  <si>
    <t>M. LUTFI TUNGGAL PUTRA</t>
  </si>
  <si>
    <t>3513141106920002</t>
  </si>
  <si>
    <t>PETUGAS CSSD</t>
  </si>
  <si>
    <t>M. RIANTO</t>
  </si>
  <si>
    <t>3513140501910001</t>
  </si>
  <si>
    <t>OPERATOR INSENERATOR</t>
  </si>
  <si>
    <t>INSTALASI SARANA PRASARANA (IPAL )</t>
  </si>
  <si>
    <t>MOH. SHOIMUDDIN</t>
  </si>
  <si>
    <t>3513141901980001</t>
  </si>
  <si>
    <t>MOH. TOHIR</t>
  </si>
  <si>
    <t>3513130501730001</t>
  </si>
  <si>
    <t>PROGRAM PAKET C</t>
  </si>
  <si>
    <t>MOHAMMAT MAHRIJA</t>
  </si>
  <si>
    <t>3513142106960002</t>
  </si>
  <si>
    <t>MUHAMMAD MUHYI</t>
  </si>
  <si>
    <t>3513150706910002</t>
  </si>
  <si>
    <t>MUHAMMAD SALASUN</t>
  </si>
  <si>
    <t>3513152606900002</t>
  </si>
  <si>
    <t>NANIK NURSILA</t>
  </si>
  <si>
    <t>3513155603700003</t>
  </si>
  <si>
    <t>NUR AYU AMALIA FITRIANI</t>
  </si>
  <si>
    <t>3513155902980002</t>
  </si>
  <si>
    <t>RAFI FIRMAN MAULANA</t>
  </si>
  <si>
    <t>3513130507960001</t>
  </si>
  <si>
    <t>SITI NUR AZIZAH</t>
  </si>
  <si>
    <t>3513144803930003</t>
  </si>
  <si>
    <t>SAEKAWATI NURHANDAYANI</t>
  </si>
  <si>
    <t>3574036611720005</t>
  </si>
  <si>
    <t>SMAK</t>
  </si>
  <si>
    <t>SUMARNO</t>
  </si>
  <si>
    <t>3513132112930002</t>
  </si>
  <si>
    <t>TUTIK HIDAYATI</t>
  </si>
  <si>
    <t>3513157001890001</t>
  </si>
  <si>
    <t>YOYON CAHYONO</t>
  </si>
  <si>
    <t>3513142710820001</t>
  </si>
  <si>
    <t>ZAINUL HASAN</t>
  </si>
  <si>
    <t>3513140701980002</t>
  </si>
  <si>
    <t>MOMON SUGIANTO</t>
  </si>
  <si>
    <t>3513092009890002</t>
  </si>
  <si>
    <t>MUHAMMAD SAMSUL HADI</t>
  </si>
  <si>
    <t>3513151511970003</t>
  </si>
  <si>
    <t>RESSY YUSUF BARNES</t>
  </si>
  <si>
    <t>3513141809880002</t>
  </si>
  <si>
    <t>RUDY ROMADHONA</t>
  </si>
  <si>
    <t>3513142804880001</t>
  </si>
  <si>
    <t>BIDANG PELAYANAN PENUNJANG (LOKET)</t>
  </si>
  <si>
    <t>TEGUH SATRIA FEBRY ARTA</t>
  </si>
  <si>
    <t>3513140602860003</t>
  </si>
  <si>
    <t>WAHYU SUSILO</t>
  </si>
  <si>
    <t>3574031406950003</t>
  </si>
  <si>
    <t>ABDUL WAHED</t>
  </si>
  <si>
    <t>3513092201950001</t>
  </si>
  <si>
    <t xml:space="preserve">MA </t>
  </si>
  <si>
    <t>ANDIKA YUDI PRASETYO,S.Kom.</t>
  </si>
  <si>
    <t>3574042409910003</t>
  </si>
  <si>
    <t>S1 Ilmu Komputer</t>
  </si>
  <si>
    <t>ARVIANANDA BAHTIAR,S.Kom.</t>
  </si>
  <si>
    <t>3513140306930003</t>
  </si>
  <si>
    <t>AYU FINDA RINDAYU,S.S.</t>
  </si>
  <si>
    <t>3513135701950002</t>
  </si>
  <si>
    <t>S1 SASTRA INGGRIS</t>
  </si>
  <si>
    <t>AYU SITI HARTINAH,S.ST.</t>
  </si>
  <si>
    <t>3513136804960004</t>
  </si>
  <si>
    <t xml:space="preserve">PEREKAM MEDIK </t>
  </si>
  <si>
    <t>DEDHI RAHMAD APRIWIJAYA</t>
  </si>
  <si>
    <t>3513180904880002</t>
  </si>
  <si>
    <t>DEDY AGUS WIJAYA</t>
  </si>
  <si>
    <t>3513141108920001</t>
  </si>
  <si>
    <t>FAJAR LAZUARDI</t>
  </si>
  <si>
    <t>3513160401940004</t>
  </si>
  <si>
    <t>FATHOR ROSI</t>
  </si>
  <si>
    <t>3513131506940003</t>
  </si>
  <si>
    <t>HELA ANDRIANA,S.T.</t>
  </si>
  <si>
    <t>3513187006930001</t>
  </si>
  <si>
    <t>S1 TEKNIK ELEKTRO( Informatika &amp; Komputer )</t>
  </si>
  <si>
    <t>M.FAIS AMRULLOH FARHAN</t>
  </si>
  <si>
    <t>3513140205940003</t>
  </si>
  <si>
    <t>MEGAWATI,S.ST.</t>
  </si>
  <si>
    <t>3574016103950002</t>
  </si>
  <si>
    <t>MOCH.AS'AD IMAM MASRURI</t>
  </si>
  <si>
    <t>3513133005870002</t>
  </si>
  <si>
    <t xml:space="preserve">MAN </t>
  </si>
  <si>
    <t>MOH.MUCHLIS FARISI</t>
  </si>
  <si>
    <t>3513101909950002</t>
  </si>
  <si>
    <t>NUNGKI AGNES PALUPI,S.ST.</t>
  </si>
  <si>
    <t>3513197001940001</t>
  </si>
  <si>
    <t>OKTAVIA KARTIKA DEWI,SE</t>
  </si>
  <si>
    <t>3513216910950002</t>
  </si>
  <si>
    <t>S1 PERBANKAN SYARI'AH</t>
  </si>
  <si>
    <t>SHOLEHIN,S.Kom</t>
  </si>
  <si>
    <t>3513170310920002</t>
  </si>
  <si>
    <t>S1 TEKNIK INFORMATIKA</t>
  </si>
  <si>
    <t>ZAKARIA ROMADHON</t>
  </si>
  <si>
    <t>3513142203930003</t>
  </si>
  <si>
    <t>ARIEF ARTHA</t>
  </si>
  <si>
    <t>3513131402980001</t>
  </si>
  <si>
    <t>SITI MAHMUDAH NUR AINI, S.Kep.Ns</t>
  </si>
  <si>
    <t>3512046009930001</t>
  </si>
  <si>
    <t>FIRDAUS, A.Md.Kep</t>
  </si>
  <si>
    <t>3513162705930002</t>
  </si>
  <si>
    <t>ARIFIANTI FAUZIAH,S.Kep.Ns</t>
  </si>
  <si>
    <t>3513134906910005</t>
  </si>
  <si>
    <t>SISI SUNDARI, S.Tr.Kes</t>
  </si>
  <si>
    <t>3513164408980001</t>
  </si>
  <si>
    <t xml:space="preserve">PRANATA LABORATORIUM KESEHATAN </t>
  </si>
  <si>
    <t>RONI BAHTIAR</t>
  </si>
  <si>
    <t>3513141112000002</t>
  </si>
  <si>
    <t>NURHASAN</t>
  </si>
  <si>
    <t>3513171208940004</t>
  </si>
  <si>
    <t>MUHAMMAD IRWAN WAHYUDI</t>
  </si>
  <si>
    <t>3513141311990004</t>
  </si>
  <si>
    <t>PORTIR</t>
  </si>
  <si>
    <t>FUAD AFANDI</t>
  </si>
  <si>
    <t>3513140803840007</t>
  </si>
  <si>
    <t>FAISOL SUSANTO</t>
  </si>
  <si>
    <t>3513122303860006</t>
  </si>
  <si>
    <t>dr. DEWI PUSPITORINI, Sp.KK</t>
  </si>
  <si>
    <t>3578094711850001</t>
  </si>
  <si>
    <t>JF DOKTER SPESIALIS KULIT &amp;KELAMIN</t>
  </si>
  <si>
    <t>Sp 1 KULIT KELAMIN</t>
  </si>
  <si>
    <t>dr. TRINANDIKA ARDHANA, Sp.JP (k)</t>
  </si>
  <si>
    <t>dr. TOFAN MARGARET DWI SAPUTRA, Sp.OT</t>
  </si>
  <si>
    <t>3578202903880001</t>
  </si>
  <si>
    <t>JF DOKTER SPESIALIS ORTHOPEDI</t>
  </si>
  <si>
    <t>Sp I ORTHOPEDI</t>
  </si>
  <si>
    <t>dr. RIZA FADHILA MUHAMMAD</t>
  </si>
  <si>
    <t>3578092504970002</t>
  </si>
  <si>
    <t>JF DOKTER UMUM</t>
  </si>
  <si>
    <t>dr. ABDI SAPUTRO, Sp.B.S</t>
  </si>
  <si>
    <t>JF DOKTER SPESIALIS BEDAH SYARAF</t>
  </si>
  <si>
    <t>Sp 1 BEDAH SYARAF</t>
  </si>
  <si>
    <t>POLIKLINIK BEDAH SARAF</t>
  </si>
  <si>
    <t>dr. DANA WANDRIANBARASETA, Sp.An</t>
  </si>
  <si>
    <t>RIZKA INDAH KURNIA, S.Tr.Gz</t>
  </si>
  <si>
    <t>3513055410980002</t>
  </si>
  <si>
    <t xml:space="preserve">JF NUTRISIONIS </t>
  </si>
  <si>
    <t>S1 AHLI GIZI</t>
  </si>
  <si>
    <t>ALIFFIA RACHMAN PUTRI, S.Tr.Gz</t>
  </si>
  <si>
    <t>3513145503990002</t>
  </si>
  <si>
    <t>ACHMAD FAISAL AMRI, A.Md.Kep</t>
  </si>
  <si>
    <t>3513120211980002</t>
  </si>
  <si>
    <t>NUGROHO PRIYO WICAKSONO, A.Md.Kep</t>
  </si>
  <si>
    <t>3513141306920005</t>
  </si>
  <si>
    <t>NAFISATUN UMARIYAH, A.Md.Kep</t>
  </si>
  <si>
    <t>3513174806000002</t>
  </si>
  <si>
    <t>DIAN NOFITASARI, A.Md.Kep</t>
  </si>
  <si>
    <t>3508156312970001</t>
  </si>
  <si>
    <t>IBS-RR</t>
  </si>
  <si>
    <t>MOH. KHOLIL SIDIK, S.Kep.,Ns</t>
  </si>
  <si>
    <t>3513101412950002</t>
  </si>
  <si>
    <t>S-1 KEPERAWATAN</t>
  </si>
  <si>
    <t>TANIA LESTARI, S.Kep.,Ns</t>
  </si>
  <si>
    <t>3513144811970001</t>
  </si>
  <si>
    <t>IDA IKRIMAH, A.Md.Kep</t>
  </si>
  <si>
    <t>7371145501850012</t>
  </si>
  <si>
    <t>RAMADHAN HASAN FAHREZI, A.Md.Kep</t>
  </si>
  <si>
    <t>3513141112000001</t>
  </si>
  <si>
    <t>YULIANA WIDARTI, S.Kep.,Ns</t>
  </si>
  <si>
    <t>3513095507960001</t>
  </si>
  <si>
    <t>WULANDARI SUCIATI, S.Kep.,Ns</t>
  </si>
  <si>
    <t>3513175003990001</t>
  </si>
  <si>
    <t>AHMAD BUKHARI, S.Kep.,Ns</t>
  </si>
  <si>
    <t>3513111207950003</t>
  </si>
  <si>
    <t>MAUFIROH LIYAN FATIMAH, A.Md.Kep</t>
  </si>
  <si>
    <t>3513074405980003</t>
  </si>
  <si>
    <t>MUH.TAUFIQUR ROMADLAN, A.Md.Kep</t>
  </si>
  <si>
    <t>3513141601980002</t>
  </si>
  <si>
    <t>NURAIKA PUTRIANDINI, A.Md.Kes</t>
  </si>
  <si>
    <t>3513097009010001</t>
  </si>
  <si>
    <t xml:space="preserve">JF PEREKAM MEDIK </t>
  </si>
  <si>
    <t>D-III REKAM MEDIK</t>
  </si>
  <si>
    <t>INTAN MILENIA,A.Md.RMIK</t>
  </si>
  <si>
    <t>3513125301000002</t>
  </si>
  <si>
    <t>IRADATUL KHOIRIAH, S.ST</t>
  </si>
  <si>
    <t>3513106410950005</t>
  </si>
  <si>
    <t>RIZKI AMALIYA,M.Si.F.Med</t>
  </si>
  <si>
    <t>3526035205980001</t>
  </si>
  <si>
    <t>JF FISIKAWAN MEDIK</t>
  </si>
  <si>
    <t>S-2 FISIKAWAN MEDIK</t>
  </si>
  <si>
    <t>ALEX RIDLA MAULANA,A.Md.Rad</t>
  </si>
  <si>
    <t>3513102202940001</t>
  </si>
  <si>
    <t>JF RADIOGRAFER TERAMPIL</t>
  </si>
  <si>
    <t xml:space="preserve">JF RADIOGRAFER </t>
  </si>
  <si>
    <t>D-III RADIODIAGNSTIK DAN RADIOTERAPI</t>
  </si>
  <si>
    <t>FERI IRAWAN ,A.Md.Kes</t>
  </si>
  <si>
    <t>D-III TEKNIK RONTGEN</t>
  </si>
  <si>
    <t>dr. NI MADE MAYA PURNAMA WULANDARI,Sp.A</t>
  </si>
  <si>
    <t>3574036001920005</t>
  </si>
  <si>
    <t>JF DOKTER SPESIALIS ANAK</t>
  </si>
  <si>
    <t>dr. WIDYA FIRLY NOVITASARI, Sp.PK</t>
  </si>
  <si>
    <t>3578256111880001</t>
  </si>
  <si>
    <t>JF DOKTER SPESIALIS PATOLOGI KLINIK</t>
  </si>
  <si>
    <t>Sp 1 PATOLOGI KLINIK</t>
  </si>
  <si>
    <t>dr. NINDA FARAHDINA NAUROH</t>
  </si>
  <si>
    <t>DAIMATUL INAYAH, A.Md. Kep.</t>
  </si>
  <si>
    <t>3513096101010001</t>
  </si>
  <si>
    <t>MOH. S. GUNTUR, A.Md. Kep.</t>
  </si>
  <si>
    <t>3513122909940003</t>
  </si>
  <si>
    <t>GERINA DWI AGUSTINA, A.Md. Kep.</t>
  </si>
  <si>
    <t>3513164608970004</t>
  </si>
  <si>
    <t>SITI FAIZATUL MUNAWAROH ALHASANI, A.Md. Kep.</t>
  </si>
  <si>
    <t>3508055707890005</t>
  </si>
  <si>
    <t>SINDI PATIKASARI AGUSTIN, A.Md. Kep.</t>
  </si>
  <si>
    <t>3513166308980001</t>
  </si>
  <si>
    <t>INDAH TRI LESTARI, A.Md. Kep.</t>
  </si>
  <si>
    <t>3513145003930001</t>
  </si>
  <si>
    <t>MAQFIROTUL ROHMA, A.Md. Kep.</t>
  </si>
  <si>
    <t>3513144503980002</t>
  </si>
  <si>
    <t>ISTIARININGSIH, A.Md. Kep.</t>
  </si>
  <si>
    <t>3513054205020002</t>
  </si>
  <si>
    <t>FATIMATUS ZAHRO, A.Md. Kep.</t>
  </si>
  <si>
    <t>3513084205980002</t>
  </si>
  <si>
    <t>ABDUS SALAM, A.Md. Kep.</t>
  </si>
  <si>
    <t>3513072608980002</t>
  </si>
  <si>
    <t>YUNI EKA HENDRIYANI, A.Md. Kep.</t>
  </si>
  <si>
    <t>3513114206960001</t>
  </si>
  <si>
    <t>UMI KULSUM, A.Md. Kep.</t>
  </si>
  <si>
    <t>3513186505020004</t>
  </si>
  <si>
    <t>ERIS FATHUR ROHMAN, A.Md. Kep.</t>
  </si>
  <si>
    <t>3513112406020001</t>
  </si>
  <si>
    <t>UMI AZIZAH, A.Md. Kep.</t>
  </si>
  <si>
    <t>3513136707990003</t>
  </si>
  <si>
    <t>AFIYATUL HASANIYAH, A.Md. Kep.</t>
  </si>
  <si>
    <t>3513134404020003</t>
  </si>
  <si>
    <t>RINI SRI DWIARIMBI, A.Md. Kep.</t>
  </si>
  <si>
    <t>1505056012989001</t>
  </si>
  <si>
    <t>RISQI PUSPITA SARI, A.Md. Kep.</t>
  </si>
  <si>
    <t>3513235405000002</t>
  </si>
  <si>
    <t>MOCH YUDIK PRASTYO, A.Md. Kep.</t>
  </si>
  <si>
    <t>3513142808930001</t>
  </si>
  <si>
    <t>RIFKI HIKMATUL RAMADHANI, A.Md. Kep.</t>
  </si>
  <si>
    <t>WIDYA SUCI HARTINI, A.Md. Kep.</t>
  </si>
  <si>
    <t>NUR RISQIA NASUTION, A.Md. Kep.</t>
  </si>
  <si>
    <t>3513075405970001</t>
  </si>
  <si>
    <t>ACHMAD KHOIRUROZIQIN, A.Md. Kep.</t>
  </si>
  <si>
    <t>3513141406000002</t>
  </si>
  <si>
    <t>MOH. SUFYAN UBAIDILLAH, A.Md.Kes</t>
  </si>
  <si>
    <t>3513101211990002</t>
  </si>
  <si>
    <t>D-III Teknologi Laboratorium Medik</t>
  </si>
  <si>
    <t>GILANG FIRMANDA, A.Md.Kes</t>
  </si>
  <si>
    <t>3513056803020003</t>
  </si>
  <si>
    <t>D-III Teknologi Laboratorium Medis</t>
  </si>
  <si>
    <t>NURDIANA AVRILLIA, S.Tr.Gz</t>
  </si>
  <si>
    <t>3513145004000003</t>
  </si>
  <si>
    <t>D-IV Gizi Klinik</t>
  </si>
  <si>
    <t>SHAFIRA NURIYATUL LUDFI, A.Md.Gz</t>
  </si>
  <si>
    <t>3513145305000003</t>
  </si>
  <si>
    <t>D-III Nutrisionis Terampil</t>
  </si>
  <si>
    <t>RETNANING AYU DYAH SAWITRI,S.Tr.Ak</t>
  </si>
  <si>
    <t>3513156604980002</t>
  </si>
  <si>
    <t>D-IV AKUNTANSI</t>
  </si>
  <si>
    <t>ACHMAD TAUFIK, S.Kom</t>
  </si>
  <si>
    <t>3513152411920001</t>
  </si>
  <si>
    <t>PROGRAMMER</t>
  </si>
  <si>
    <t>S-1 Komputer</t>
  </si>
  <si>
    <t>ERWIN KUSUMA WARDANA, S.Kom</t>
  </si>
  <si>
    <t>3513141504930001</t>
  </si>
  <si>
    <t>dr. ANDY MICHAEL,Sp.B</t>
  </si>
  <si>
    <t>JF DOKTER SPESIALIS BEDAH</t>
  </si>
  <si>
    <t>DOKTER SPESIALIS BEDAH</t>
  </si>
  <si>
    <t>dr. DESI RIANTI RAHMADHANI</t>
  </si>
  <si>
    <t>3502176512980002</t>
  </si>
  <si>
    <t>dr. PUTERI RAMASARI</t>
  </si>
  <si>
    <t>3513146309970001</t>
  </si>
  <si>
    <t>dr. MUHAMMAD ABDURRAHMAN R A S.</t>
  </si>
  <si>
    <t>3513142505000001</t>
  </si>
  <si>
    <t>SHERLYANA VIRDA SARY, S.Kep.,Ns</t>
  </si>
  <si>
    <t>3512076907940002</t>
  </si>
  <si>
    <t>S1 KEPERAWATAN</t>
  </si>
  <si>
    <t>NURUL LAILY MASRUROH, S.Kep.,Ns</t>
  </si>
  <si>
    <t>3513144205990002</t>
  </si>
  <si>
    <t>NUR DIANA KHOLIDAH, S.Kep.,Ns</t>
  </si>
  <si>
    <t>3513174309960003</t>
  </si>
  <si>
    <t>YUNUS RAHMAD MAKSUM, S.Kep.,Ns</t>
  </si>
  <si>
    <t>3574031903910003</t>
  </si>
  <si>
    <t>RIZKA MAULIDA MAYANI, S.Kep.,Ns</t>
  </si>
  <si>
    <t>3508195206000003</t>
  </si>
  <si>
    <t>SYSWATI, S.Kep.,Ns</t>
  </si>
  <si>
    <t>3513145110970001</t>
  </si>
  <si>
    <t>MUHAMMAD FAUZI, S.Kep.,Ns</t>
  </si>
  <si>
    <t>3513142508920005</t>
  </si>
  <si>
    <t>JUNAEDI EFENDI, S.Kep.,Ns</t>
  </si>
  <si>
    <t>3509092010950002</t>
  </si>
  <si>
    <t>LAEILATUL MUKARROMAH, S.Kep.,Ns</t>
  </si>
  <si>
    <t>3513194902010005</t>
  </si>
  <si>
    <t>ROBIATUL ADAWIYAH, S.Kep.,Ns</t>
  </si>
  <si>
    <t>3574056809890002</t>
  </si>
  <si>
    <t>WAHYUNI, S.Kep.,Ns</t>
  </si>
  <si>
    <t>3327105004930064</t>
  </si>
  <si>
    <t>LIDYAWATI, S.Kep.,Ns</t>
  </si>
  <si>
    <t>PUJI AFFAN DWI MIRIYANTO, S.Kep.,Ns</t>
  </si>
  <si>
    <t>3512030811960001</t>
  </si>
  <si>
    <t>MOH. GHOZY ARIFIN, S.Kep.,Ns</t>
  </si>
  <si>
    <t>3513170909990004</t>
  </si>
  <si>
    <t>MAFLAHATUN NABILA, S.Kep.,Ns</t>
  </si>
  <si>
    <t>3513065501010003</t>
  </si>
  <si>
    <t>ZAKARIYA ADIB YAHYA, S.Kep.,Ns</t>
  </si>
  <si>
    <t>3513051605980001</t>
  </si>
  <si>
    <t>MOHAMMAD HARIS ROFIQI, A.Md.Kep</t>
  </si>
  <si>
    <t>3508101206000001</t>
  </si>
  <si>
    <t>ULFIA ANGGRAINI, A.Md.Kep</t>
  </si>
  <si>
    <t>3513196311990003</t>
  </si>
  <si>
    <t>ORIENTASI/MAWAR PUTIH</t>
  </si>
  <si>
    <t>DAVRINA SILVA RIANDA, A.Md.Kep</t>
  </si>
  <si>
    <t>3512146602010003</t>
  </si>
  <si>
    <t>MOHAMMAD KHAIRUL ANAM, A.Md.Kep</t>
  </si>
  <si>
    <t>3513072312960002</t>
  </si>
  <si>
    <t>RIA EKA MANDASARI, A.Md.Kep</t>
  </si>
  <si>
    <t>3508036710930002</t>
  </si>
  <si>
    <t>NABILA HAFINA, A.Md.Kep</t>
  </si>
  <si>
    <t>3513146906000003</t>
  </si>
  <si>
    <t>ANITA RAHAYU, A.Md.Kep</t>
  </si>
  <si>
    <t>3574045003960004</t>
  </si>
  <si>
    <t>AMIRUL ANWAR, A.Md.Kep</t>
  </si>
  <si>
    <t>3513133103020001</t>
  </si>
  <si>
    <t>EKA YULIANNA ROZA QUNNIMAH, A.Md.Kep</t>
  </si>
  <si>
    <t>3514215107000002</t>
  </si>
  <si>
    <t>BELQIST IZZATUL KAROMAH, A.Md.Kep</t>
  </si>
  <si>
    <t>3513075712020002</t>
  </si>
  <si>
    <t>IKA WARDATUL JANNAH, A.Md.Kep</t>
  </si>
  <si>
    <t>3513154905000001</t>
  </si>
  <si>
    <t>ANDINI LUPITA SARI, A.Md.Kep</t>
  </si>
  <si>
    <t>3513054110010002</t>
  </si>
  <si>
    <t>QORIATUL HIDAYATI, A.Md.Kep</t>
  </si>
  <si>
    <t>3508206706960006</t>
  </si>
  <si>
    <t>FIRSYAL QURONI, A.Md.Kep</t>
  </si>
  <si>
    <t>3513060909990003</t>
  </si>
  <si>
    <t>MOCH IPUNG FITRYANTO, A.Md.Kep</t>
  </si>
  <si>
    <t>3513140303970001</t>
  </si>
  <si>
    <t>DEWI NIKITA MAGHFIROTUL ILMI, S.Farm.,Apt</t>
  </si>
  <si>
    <t>3513146510990003</t>
  </si>
  <si>
    <t>APOTEKER</t>
  </si>
  <si>
    <t>JF APOTEKER</t>
  </si>
  <si>
    <t>S1 Profesi APOTEKER</t>
  </si>
  <si>
    <t>NELY MELIYANA, S.Tr.Kes</t>
  </si>
  <si>
    <t>3513145704000002</t>
  </si>
  <si>
    <t xml:space="preserve">PRANATA LABORATORIUM </t>
  </si>
  <si>
    <t xml:space="preserve">JF PRANATA LABORATORIUM </t>
  </si>
  <si>
    <t>D-IV KES</t>
  </si>
  <si>
    <t>RAMADHAN SAIFULLAH, S.Tr.Kes</t>
  </si>
  <si>
    <t>3513140501000004</t>
  </si>
  <si>
    <t>JF TERAPIS WICARA</t>
  </si>
  <si>
    <t>NABILAH FATHIYAH RAHMAH, S.Tr.Kes</t>
  </si>
  <si>
    <t>3513054604030001</t>
  </si>
  <si>
    <t>PENATA ANESTESI</t>
  </si>
  <si>
    <t>JF PENATA ANESTESI</t>
  </si>
  <si>
    <t>REZA CHOLID YANUAN PERDANA, S.T</t>
  </si>
  <si>
    <t>3574041401900001</t>
  </si>
  <si>
    <t>TEKNIK SIPIL</t>
  </si>
  <si>
    <t>S-1 TEKNIK SIPIL</t>
  </si>
  <si>
    <t>INSTALASI SARANA DAN PRASARANA</t>
  </si>
  <si>
    <t>RISTA SEPTIA WATININGSIH, S.Kep.,Ns</t>
  </si>
  <si>
    <t>3513176109960001</t>
  </si>
  <si>
    <t>S1 Keperawatan, Profesi</t>
  </si>
  <si>
    <t>AHMAD NURUL FAHRUSI, S.Kep.,Ns</t>
  </si>
  <si>
    <t>3513072801990003</t>
  </si>
  <si>
    <t>RATNA AGUSTINA, S.Kep.,Ns</t>
  </si>
  <si>
    <t>3513146208960002</t>
  </si>
  <si>
    <t>JINNANI FIRDAUSIYAH, S.Kep.,Ns</t>
  </si>
  <si>
    <t>3513055909920001</t>
  </si>
  <si>
    <t>NURUL KOMARIAH, S.Kep.,Ns</t>
  </si>
  <si>
    <t>3513174508960002</t>
  </si>
  <si>
    <t>IDA SHIVA ARIANI, S.Tr.Kep.,Ns</t>
  </si>
  <si>
    <t>3513144305020001</t>
  </si>
  <si>
    <t>D4 Keperawatan, Profesi</t>
  </si>
  <si>
    <t>MOHAMMAD FAJRUL FALAH, S.Kep.,Ns</t>
  </si>
  <si>
    <t>3513180403960001</t>
  </si>
  <si>
    <t>HILMI AFIFATUN NIQMAH, S.Kep.,Ns</t>
  </si>
  <si>
    <t>3513164106970001</t>
  </si>
  <si>
    <t>MOH AGIL HIDAYAH, S.Kep.,Ns</t>
  </si>
  <si>
    <t>3513070811980005</t>
  </si>
  <si>
    <t>IRA SOFIA NINGHAYATI, S.Kep.,Ns</t>
  </si>
  <si>
    <t>3513175306960002</t>
  </si>
  <si>
    <t>MOCH SHOLEHUDDIN TUFFA, S.Kep.,Ns</t>
  </si>
  <si>
    <t>3513130508980001</t>
  </si>
  <si>
    <t>NURIYA RAKHMAN, S.Kep.,Ns</t>
  </si>
  <si>
    <t>3513235502010002</t>
  </si>
  <si>
    <t>SRI WAHYUNI, S.Kep.,Ns</t>
  </si>
  <si>
    <t>3512044303990003</t>
  </si>
  <si>
    <t>AKHMAD GIANDINI, S.Kep.,Ns</t>
  </si>
  <si>
    <t>3513131611900002</t>
  </si>
  <si>
    <t>ERITIA EKKY WAHYUNINGTIAS, S.Kep.,Ns</t>
  </si>
  <si>
    <t>3513196412960001</t>
  </si>
  <si>
    <t>ABDUR RAKHIM MAHALDIS, S.Kep.,Ns</t>
  </si>
  <si>
    <t>1403031012962160</t>
  </si>
  <si>
    <t>ONGKY UMARTHA YUDISTIA, S.Kep.,Ns</t>
  </si>
  <si>
    <t>3513110707950001</t>
  </si>
  <si>
    <t>BAHRUL EFENDI, S.Kep.,Ns</t>
  </si>
  <si>
    <t>3513141907950001</t>
  </si>
  <si>
    <t>AMALIA DITA LESTARI, S.Kep.,Ns</t>
  </si>
  <si>
    <t>3513236704010002</t>
  </si>
  <si>
    <t>IRA ASTUTIK, S.Kep.,Ns</t>
  </si>
  <si>
    <t>3513105306970002</t>
  </si>
  <si>
    <t>ZAKIYATUL MASRURO, S.Kep.,Ns</t>
  </si>
  <si>
    <t>3513065905010001</t>
  </si>
  <si>
    <t>TUTIK HIDAYATI, S.Kep.,Ns</t>
  </si>
  <si>
    <t>3513216802000003</t>
  </si>
  <si>
    <t>FATIMAH NURUL QUDSIYAH, S.Kep.,Ns</t>
  </si>
  <si>
    <t>3513046707010001</t>
  </si>
  <si>
    <t>RATNA UMI AZIZAH, S.Tr.RMIK</t>
  </si>
  <si>
    <t>3513154506990001</t>
  </si>
  <si>
    <t>PEREKAM MEDIS</t>
  </si>
  <si>
    <t>D4 Rekam Medis dan Informasi Kesehatan</t>
  </si>
  <si>
    <t>SILVI NOVA MANDAWATI, A.Md.Farm</t>
  </si>
  <si>
    <t>3513197011920002</t>
  </si>
  <si>
    <t>ASISTEN APOTEKER</t>
  </si>
  <si>
    <t>D3 Farmasi</t>
  </si>
  <si>
    <t>DIMAS AGUNG ABDURRAHMAN WAHID, A.Md.Farm</t>
  </si>
  <si>
    <t>3513141505030003</t>
  </si>
  <si>
    <t>TIARA PERMATA SARI, S.Farm.,Apt</t>
  </si>
  <si>
    <t>3513146211010001</t>
  </si>
  <si>
    <t>S1 Apoteker, Profesi</t>
  </si>
  <si>
    <t>YUNITA IKA SARI, S.Tr.Gz</t>
  </si>
  <si>
    <t>3513196606000001</t>
  </si>
  <si>
    <t>NUTRISIONIS</t>
  </si>
  <si>
    <t>D4 Gizi dan Dietetika</t>
  </si>
  <si>
    <t>WANDA ANGGRAENI, S.Tr.Kes</t>
  </si>
  <si>
    <t>3513164403020002</t>
  </si>
  <si>
    <t>PRANATA LABORATORIUM KESEHATAN</t>
  </si>
  <si>
    <t>D4 Teknologi Laboratorium Medis</t>
  </si>
  <si>
    <t>FAISAL YULIANSYAH, S.Kes,.Ftr</t>
  </si>
  <si>
    <t>3513121807010006</t>
  </si>
  <si>
    <t>FISIOTERAPIS</t>
  </si>
  <si>
    <t>S1 Fisioterapis</t>
  </si>
  <si>
    <t>dr. GILANG PERKASA DOKMAN,Sp.K.J</t>
  </si>
  <si>
    <t>DOKTER SPESIALIS JIWA</t>
  </si>
  <si>
    <t>dr. HERMAN BUDI SANTOSO,Sp.OG</t>
  </si>
  <si>
    <t>DOKTER SPESIALIS KANDUNGAN</t>
  </si>
  <si>
    <t>SENIMA KURNIAWATI,SE</t>
  </si>
  <si>
    <t>WANITA</t>
  </si>
  <si>
    <t>dr. UMMI ZIYADUL FAIZAH</t>
  </si>
  <si>
    <t>PNS TONGAS</t>
  </si>
  <si>
    <t>NIP</t>
  </si>
  <si>
    <t>URUT</t>
  </si>
  <si>
    <t>id</t>
  </si>
  <si>
    <t>nik</t>
  </si>
  <si>
    <t>employee_nm</t>
  </si>
  <si>
    <t>birth_dt</t>
  </si>
  <si>
    <t>place_of_birth</t>
  </si>
  <si>
    <t>nip</t>
  </si>
  <si>
    <t>pangkat</t>
  </si>
  <si>
    <t>golongan</t>
  </si>
  <si>
    <t>mkg</t>
  </si>
  <si>
    <t>npwp</t>
  </si>
  <si>
    <t>education</t>
  </si>
  <si>
    <t>employee_sts</t>
  </si>
  <si>
    <t>job_sts</t>
  </si>
  <si>
    <t>doctor_sts</t>
  </si>
  <si>
    <t>verified_by</t>
  </si>
  <si>
    <t>validated_by</t>
  </si>
  <si>
    <t>verified_at</t>
  </si>
  <si>
    <t>validated_at</t>
  </si>
  <si>
    <t>LOOKUP NIK</t>
  </si>
  <si>
    <t>100166</t>
  </si>
  <si>
    <t>A.ROFIK, S.Sos</t>
  </si>
  <si>
    <t>Probolinggo</t>
  </si>
  <si>
    <t>197504152002121009</t>
  </si>
  <si>
    <t>III</t>
  </si>
  <si>
    <t>486303621625000</t>
  </si>
  <si>
    <t>S1-MEDIS</t>
  </si>
  <si>
    <t>Tenaga Medis</t>
  </si>
  <si>
    <t>Lainnya</t>
  </si>
  <si>
    <t>100241</t>
  </si>
  <si>
    <t>197205052010011001</t>
  </si>
  <si>
    <t>II</t>
  </si>
  <si>
    <t>362265324625000</t>
  </si>
  <si>
    <t>3513161111740001</t>
  </si>
  <si>
    <t>ABDUL HADI, S.Kep.Ns</t>
  </si>
  <si>
    <t>197411111997031004</t>
  </si>
  <si>
    <t>690760301625000</t>
  </si>
  <si>
    <t>100153</t>
  </si>
  <si>
    <t>197306042007011017</t>
  </si>
  <si>
    <t>362390601625000</t>
  </si>
  <si>
    <t>100062</t>
  </si>
  <si>
    <t>ABDUL ROSID ANSORI, A.Md.Kep</t>
  </si>
  <si>
    <t>197306171995031001</t>
  </si>
  <si>
    <t>494693092625000</t>
  </si>
  <si>
    <t>3513150604870004</t>
  </si>
  <si>
    <t>198704062019031004</t>
  </si>
  <si>
    <t>356989962648000</t>
  </si>
  <si>
    <t>3513161308850001</t>
  </si>
  <si>
    <t>AGUS PURWANTO, S.Kep.Ns</t>
  </si>
  <si>
    <t>198508132009031002</t>
  </si>
  <si>
    <t>276499985625000</t>
  </si>
  <si>
    <t>3513155008820002</t>
  </si>
  <si>
    <t>AGUS SULISTYOWATI, S.Kep., Ns.</t>
  </si>
  <si>
    <t>198208102008012021</t>
  </si>
  <si>
    <t>895803153625000</t>
  </si>
  <si>
    <t>100159</t>
  </si>
  <si>
    <t>AGUS SYAMSUL BAHRI, S.Sos., M.M.</t>
  </si>
  <si>
    <t>197908092008011010</t>
  </si>
  <si>
    <t>360481386625000</t>
  </si>
  <si>
    <t>3513146708780003</t>
  </si>
  <si>
    <t>AGUSTINA SOESILOWATY, S.Sos.</t>
  </si>
  <si>
    <t>197808272009032001</t>
  </si>
  <si>
    <t>362548323625000</t>
  </si>
  <si>
    <t>3513145208780002</t>
  </si>
  <si>
    <t>AGUSTINI TRISNAWATI, S.M.</t>
  </si>
  <si>
    <t>197808122009032001</t>
  </si>
  <si>
    <t>895803443625000</t>
  </si>
  <si>
    <t>100115</t>
  </si>
  <si>
    <t>AHMAD HASAN ZAINI, S.Kep.Ns</t>
  </si>
  <si>
    <t>198210102007011009</t>
  </si>
  <si>
    <t>495514499625000</t>
  </si>
  <si>
    <t>3513152501720003</t>
  </si>
  <si>
    <t>AKHMAD MUNIF, S.Kep.Ns</t>
  </si>
  <si>
    <t>197201251996031003</t>
  </si>
  <si>
    <t>494693118625000</t>
  </si>
  <si>
    <t>3513147103780003</t>
  </si>
  <si>
    <t>197803312006042021</t>
  </si>
  <si>
    <t>495515140625000</t>
  </si>
  <si>
    <t>100028</t>
  </si>
  <si>
    <t>ANANG KURNIAWAN, S.Kep.Ns</t>
  </si>
  <si>
    <t>197704131997031002</t>
  </si>
  <si>
    <t>IV</t>
  </si>
  <si>
    <t>494693365625000</t>
  </si>
  <si>
    <t>100100</t>
  </si>
  <si>
    <t>197908022007011010</t>
  </si>
  <si>
    <t>495514291625000</t>
  </si>
  <si>
    <t>100194</t>
  </si>
  <si>
    <t>ANISATUL MAGHFIROH A.R., A.Md.Farm</t>
  </si>
  <si>
    <t>198605202007012001</t>
  </si>
  <si>
    <t>495515522625000</t>
  </si>
  <si>
    <t>100290</t>
  </si>
  <si>
    <t>ANTON JUNAEDI</t>
  </si>
  <si>
    <t>198906172022031002</t>
  </si>
  <si>
    <t>769953837625000</t>
  </si>
  <si>
    <t>3513144109730003</t>
  </si>
  <si>
    <t>ANY SULISTYOWATI, A.Md</t>
  </si>
  <si>
    <t>197309011998032005</t>
  </si>
  <si>
    <t>486303238625000</t>
  </si>
  <si>
    <t>100280</t>
  </si>
  <si>
    <t>199404272020121015</t>
  </si>
  <si>
    <t>841971054625000</t>
  </si>
  <si>
    <t>3574036305850007</t>
  </si>
  <si>
    <t>ARDHINA AMALIA, SKM</t>
  </si>
  <si>
    <t>198505232010012013</t>
  </si>
  <si>
    <t>362255226625000</t>
  </si>
  <si>
    <t>100018</t>
  </si>
  <si>
    <t>ARI DIANTI,S.Gz.MMRS</t>
  </si>
  <si>
    <t>197101211995032003</t>
  </si>
  <si>
    <t>486302995625000</t>
  </si>
  <si>
    <t>100012</t>
  </si>
  <si>
    <t>198503192011011013</t>
  </si>
  <si>
    <t>452620735625000</t>
  </si>
  <si>
    <t>3513146501710004</t>
  </si>
  <si>
    <t>197101252007012012</t>
  </si>
  <si>
    <t>495515124625000</t>
  </si>
  <si>
    <t>100181</t>
  </si>
  <si>
    <t>ARYOGA SAMUDRA ASMARA</t>
  </si>
  <si>
    <t>199212192022031006</t>
  </si>
  <si>
    <t>81491869460300</t>
  </si>
  <si>
    <t>3513140906750002</t>
  </si>
  <si>
    <t>197506092008011011</t>
  </si>
  <si>
    <t>362244303625000</t>
  </si>
  <si>
    <t>3513124609810002</t>
  </si>
  <si>
    <t>198109062010012001</t>
  </si>
  <si>
    <t>360482459625000</t>
  </si>
  <si>
    <t>3513174701840003</t>
  </si>
  <si>
    <t>ASTUTIK, S.Sos., M.M.</t>
  </si>
  <si>
    <t>198401072010012001</t>
  </si>
  <si>
    <t>362475428625000</t>
  </si>
  <si>
    <t>3513124104860012</t>
  </si>
  <si>
    <t>AVIN VALITA, A.Md.Kep</t>
  </si>
  <si>
    <t>198604012009032002</t>
  </si>
  <si>
    <t>888822996625000</t>
  </si>
  <si>
    <t>100204</t>
  </si>
  <si>
    <t>BADI'ATUL JAMILAH, Amd.Kep</t>
  </si>
  <si>
    <t>198511292010012010</t>
  </si>
  <si>
    <t>362474181625000</t>
  </si>
  <si>
    <t>3574042311770002</t>
  </si>
  <si>
    <t>BAGUS SWASONO, A.Md.</t>
  </si>
  <si>
    <t>197711232010011009</t>
  </si>
  <si>
    <t>247547102609000</t>
  </si>
  <si>
    <t>100027</t>
  </si>
  <si>
    <t>BAMBANG MARGI EKO WIYANTO, S.Kep.Ns</t>
  </si>
  <si>
    <t>197603041997031005</t>
  </si>
  <si>
    <t>486303290625000</t>
  </si>
  <si>
    <t>3513150604900001</t>
  </si>
  <si>
    <t>BASORI ALWI, A.Md.Kep</t>
  </si>
  <si>
    <t>199004062020121007</t>
  </si>
  <si>
    <t>052677846625000</t>
  </si>
  <si>
    <t>3513145606790002</t>
  </si>
  <si>
    <t>BIDRIYA YUNIARSIH, S.Kep.Ns</t>
  </si>
  <si>
    <t>197906162010012011</t>
  </si>
  <si>
    <t>360108666625000</t>
  </si>
  <si>
    <t>100203</t>
  </si>
  <si>
    <t>BUDI AKHMAD CAHYADI, A.Md.AK</t>
  </si>
  <si>
    <t>198507072011011014</t>
  </si>
  <si>
    <t>451521439625000</t>
  </si>
  <si>
    <t>100186</t>
  </si>
  <si>
    <t>199405092019032005</t>
  </si>
  <si>
    <t>866263494625000</t>
  </si>
  <si>
    <t>100295</t>
  </si>
  <si>
    <t>198206102010012001</t>
  </si>
  <si>
    <t>362341171625000</t>
  </si>
  <si>
    <t>3513151611800003</t>
  </si>
  <si>
    <t>DADANG KURNIAWAN, S.Kep.</t>
  </si>
  <si>
    <t>198011162007011002</t>
  </si>
  <si>
    <t>495515090625000</t>
  </si>
  <si>
    <t>3513145412760002</t>
  </si>
  <si>
    <t>DESI KURNIAWATI ULFA, S.Kep.Ns</t>
  </si>
  <si>
    <t>197612142006042013</t>
  </si>
  <si>
    <t>495514762625000</t>
  </si>
  <si>
    <t>100214</t>
  </si>
  <si>
    <t>198710272011012018</t>
  </si>
  <si>
    <t>340120815625000</t>
  </si>
  <si>
    <t>3513145408700005</t>
  </si>
  <si>
    <t>DEWI AGUSTIN, A.Md.Keb</t>
  </si>
  <si>
    <t>197008142006042013</t>
  </si>
  <si>
    <t>495515066625000</t>
  </si>
  <si>
    <t>3510065703870002</t>
  </si>
  <si>
    <t>DEWI ISMAWATI, A.Md</t>
  </si>
  <si>
    <t>198703172010012005</t>
  </si>
  <si>
    <t>448400051527000</t>
  </si>
  <si>
    <t>3513054304780002</t>
  </si>
  <si>
    <t>197804032010012004</t>
  </si>
  <si>
    <t>362337875625000</t>
  </si>
  <si>
    <t>3513155709870006</t>
  </si>
  <si>
    <t>198709172011012013</t>
  </si>
  <si>
    <t>541291159625000</t>
  </si>
  <si>
    <t>100207</t>
  </si>
  <si>
    <t>DHIMAS PANDU PRAYOGA, Amd</t>
  </si>
  <si>
    <t>198709122010011002</t>
  </si>
  <si>
    <t>362635013625000</t>
  </si>
  <si>
    <t>100274</t>
  </si>
  <si>
    <t>DIA RISALATUN NISAK, Amd.Kep</t>
  </si>
  <si>
    <t>199209302020122015</t>
  </si>
  <si>
    <t>734227127625000</t>
  </si>
  <si>
    <t>100121</t>
  </si>
  <si>
    <t>DIA YOGA PRATAMA, S.Kep.Ns</t>
  </si>
  <si>
    <t>198505142009032007</t>
  </si>
  <si>
    <t>362336711625000</t>
  </si>
  <si>
    <t>100291</t>
  </si>
  <si>
    <t>DIAH PURWATI</t>
  </si>
  <si>
    <t>199101052022032003</t>
  </si>
  <si>
    <t>851259937625000</t>
  </si>
  <si>
    <t>3513146310810003</t>
  </si>
  <si>
    <t>DIAN INDRIANA, A.Md.Kep</t>
  </si>
  <si>
    <t>198110232007012005</t>
  </si>
  <si>
    <t>495515439625000</t>
  </si>
  <si>
    <t>100201</t>
  </si>
  <si>
    <t>DICKY WAHYU FINANSA,</t>
  </si>
  <si>
    <t>198412292011011012</t>
  </si>
  <si>
    <t>452597230642000</t>
  </si>
  <si>
    <t>3509055806860001</t>
  </si>
  <si>
    <t>DINA SETYANINGRUM,</t>
  </si>
  <si>
    <t>198606182009032004</t>
  </si>
  <si>
    <t>362704868626000</t>
  </si>
  <si>
    <t>100179</t>
  </si>
  <si>
    <t>DINI SYARIFAH, S.Farm.Apt</t>
  </si>
  <si>
    <t>199509172020122019</t>
  </si>
  <si>
    <t>900711656625000</t>
  </si>
  <si>
    <t>100189</t>
  </si>
  <si>
    <t>DONI SUGIHARTO,A.Md.Kep</t>
  </si>
  <si>
    <t>198207092008011009</t>
  </si>
  <si>
    <t>362525008625000</t>
  </si>
  <si>
    <t>3513124112710002</t>
  </si>
  <si>
    <t>dr AA SAGUNG MAS CAHYANDARI, Sp.KFR</t>
  </si>
  <si>
    <t>197112012002122003</t>
  </si>
  <si>
    <t>787622513625000</t>
  </si>
  <si>
    <t>Non Bedah</t>
  </si>
  <si>
    <t>3515182806830002</t>
  </si>
  <si>
    <t>198306282014111001</t>
  </si>
  <si>
    <t>702643305625000</t>
  </si>
  <si>
    <t>100216</t>
  </si>
  <si>
    <t>199312122020121016</t>
  </si>
  <si>
    <t>860291749625000</t>
  </si>
  <si>
    <t>100089</t>
  </si>
  <si>
    <t>dr. AGUSTININGSIH RAHAYU, Sp.Rad</t>
  </si>
  <si>
    <t>197608082010012009</t>
  </si>
  <si>
    <t>249612953625000</t>
  </si>
  <si>
    <t>3513140505720001</t>
  </si>
  <si>
    <t>197205052002121011</t>
  </si>
  <si>
    <t>249008871625000</t>
  </si>
  <si>
    <t>3513141507830002</t>
  </si>
  <si>
    <t>198307152010011022</t>
  </si>
  <si>
    <t>668479827625000</t>
  </si>
  <si>
    <t>3578080501740004</t>
  </si>
  <si>
    <t>197401052006041014</t>
  </si>
  <si>
    <t>087572103625000</t>
  </si>
  <si>
    <t>3578082612760001</t>
  </si>
  <si>
    <t>dr. CRISTMOS BAMBANG MERRYAWAN, Sp.B</t>
  </si>
  <si>
    <t>197612262009031003</t>
  </si>
  <si>
    <t>346778228606000</t>
  </si>
  <si>
    <t>Bedah</t>
  </si>
  <si>
    <t>100146</t>
  </si>
  <si>
    <t>198312202014111001</t>
  </si>
  <si>
    <t>738668367625000</t>
  </si>
  <si>
    <t>3513143108720002</t>
  </si>
  <si>
    <t>197208312010011006</t>
  </si>
  <si>
    <t>895803328625000</t>
  </si>
  <si>
    <t>100016</t>
  </si>
  <si>
    <t>196811161999032003</t>
  </si>
  <si>
    <t>486350085625000</t>
  </si>
  <si>
    <t>100217</t>
  </si>
  <si>
    <t>dr. FADHIL RASYID, Sp.An</t>
  </si>
  <si>
    <t>662256254616000</t>
  </si>
  <si>
    <t>3513127010710001</t>
  </si>
  <si>
    <t>197110302002122003</t>
  </si>
  <si>
    <t>087584066625000</t>
  </si>
  <si>
    <t>100174</t>
  </si>
  <si>
    <t>199109082019031003</t>
  </si>
  <si>
    <t>748130820626000</t>
  </si>
  <si>
    <t>100218</t>
  </si>
  <si>
    <t>dr. IGN Iswan Rahmadi Ranuh, Sp.JP, FIHA</t>
  </si>
  <si>
    <t>728567728615000</t>
  </si>
  <si>
    <t>100025</t>
  </si>
  <si>
    <t>198401142010012007</t>
  </si>
  <si>
    <t>461801698625000</t>
  </si>
  <si>
    <t>3513144111780002</t>
  </si>
  <si>
    <t>197811012007012011</t>
  </si>
  <si>
    <t>495515413625000</t>
  </si>
  <si>
    <t>100094</t>
  </si>
  <si>
    <t>dr. KRESNA NUGRAHA SETIA PUTRA</t>
  </si>
  <si>
    <t>701465338625000</t>
  </si>
  <si>
    <t>3578210911810003</t>
  </si>
  <si>
    <t>dr. MUHAMMAD REZA, Sp.A (K), M. Biomed</t>
  </si>
  <si>
    <t>198111092009031002</t>
  </si>
  <si>
    <t>742348493618000</t>
  </si>
  <si>
    <t>3513146507800003</t>
  </si>
  <si>
    <t>dr. NANIK TRIANA KARTIKASARI, Sp.Pd</t>
  </si>
  <si>
    <t>198007252009032002</t>
  </si>
  <si>
    <t>354735037625000</t>
  </si>
  <si>
    <t>3513162606790002</t>
  </si>
  <si>
    <t>dr. NURWAHYUDIANTO</t>
  </si>
  <si>
    <t>735871360625000</t>
  </si>
  <si>
    <t>3513142008880002</t>
  </si>
  <si>
    <t>198808202020121009</t>
  </si>
  <si>
    <t>818314643625000</t>
  </si>
  <si>
    <t>3574011208830004</t>
  </si>
  <si>
    <t>198308122011011006</t>
  </si>
  <si>
    <t>547287433625000</t>
  </si>
  <si>
    <t>100024</t>
  </si>
  <si>
    <t>197003012010011006</t>
  </si>
  <si>
    <t>349441352625000</t>
  </si>
  <si>
    <t>3513146407740005</t>
  </si>
  <si>
    <t>dr. SOFIE GIANTARI, M.H</t>
  </si>
  <si>
    <t>197407242007012006</t>
  </si>
  <si>
    <t>245800420625000</t>
  </si>
  <si>
    <t>100010</t>
  </si>
  <si>
    <t>198005272010011010</t>
  </si>
  <si>
    <t>276297867625000</t>
  </si>
  <si>
    <t>3513062907840001</t>
  </si>
  <si>
    <t>dr. SYAHRUDI</t>
  </si>
  <si>
    <t>198407292010011013</t>
  </si>
  <si>
    <t>543310098625000</t>
  </si>
  <si>
    <t>3513144501760002</t>
  </si>
  <si>
    <t>dr. YESSI RAHMAWATI, Sp.OG., M.H.</t>
  </si>
  <si>
    <t>197601052003122007</t>
  </si>
  <si>
    <t>494692755625000</t>
  </si>
  <si>
    <t>3513146405820002</t>
  </si>
  <si>
    <t>198205242009032005</t>
  </si>
  <si>
    <t>343526083625000</t>
  </si>
  <si>
    <t>3513146807680002</t>
  </si>
  <si>
    <t>drg. YULI ESTININGSIH, Sp.Ort</t>
  </si>
  <si>
    <t>196807282002122004</t>
  </si>
  <si>
    <t>690760277625000</t>
  </si>
  <si>
    <t>100266</t>
  </si>
  <si>
    <t>DWI AGUS NUSANTARA, A.Md.Kep</t>
  </si>
  <si>
    <t>199008172020121010</t>
  </si>
  <si>
    <t>836375121656000</t>
  </si>
  <si>
    <t>3574031601900003</t>
  </si>
  <si>
    <t>DWI ARIE PURNOMO AJI, A.Md.Kep</t>
  </si>
  <si>
    <t>199001162020121007</t>
  </si>
  <si>
    <t>807347216625000</t>
  </si>
  <si>
    <t>3513186009930001</t>
  </si>
  <si>
    <t>199309202020122016</t>
  </si>
  <si>
    <t>412471153625000</t>
  </si>
  <si>
    <t>3574041809800002</t>
  </si>
  <si>
    <t>DWI PRASETYO, S.Kep.Ns</t>
  </si>
  <si>
    <t>198009182007011004</t>
  </si>
  <si>
    <t>495515371625000</t>
  </si>
  <si>
    <t>100169</t>
  </si>
  <si>
    <t>DWI RETMAWATI, A.Md</t>
  </si>
  <si>
    <t>198303242009032001</t>
  </si>
  <si>
    <t>362517419625000</t>
  </si>
  <si>
    <t>3512026204860002</t>
  </si>
  <si>
    <t>198604222011012014</t>
  </si>
  <si>
    <t>448518068656000</t>
  </si>
  <si>
    <t>100130</t>
  </si>
  <si>
    <t>DYAH ARI SUSANTI, S.Kep.Ns</t>
  </si>
  <si>
    <t>197912312010012015</t>
  </si>
  <si>
    <t>362245045625000</t>
  </si>
  <si>
    <t>3518204102910002</t>
  </si>
  <si>
    <t>DYAH AYU WULANDARI, S.Keb.Bd</t>
  </si>
  <si>
    <t>199102012019032008</t>
  </si>
  <si>
    <t>814219630655000</t>
  </si>
  <si>
    <t>3513145002780003</t>
  </si>
  <si>
    <t>DYAH EVIE MULYANINGRUM, SST</t>
  </si>
  <si>
    <t>197802102006042018</t>
  </si>
  <si>
    <t>495514440625000</t>
  </si>
  <si>
    <t>3513126703830004</t>
  </si>
  <si>
    <t>DYAH SETYOWATI, S.Kep.Ns</t>
  </si>
  <si>
    <t>198303272008012012</t>
  </si>
  <si>
    <t>895803203625000</t>
  </si>
  <si>
    <t>3574046606700008</t>
  </si>
  <si>
    <t>DYAN INDAH PERWITASARI, SKM. M.MKes</t>
  </si>
  <si>
    <t>197006261998032011</t>
  </si>
  <si>
    <t>486303225625000</t>
  </si>
  <si>
    <t>3513186304700001</t>
  </si>
  <si>
    <t>DYNA PRIHATIN, A.Md.Kep</t>
  </si>
  <si>
    <t>197004231995032006</t>
  </si>
  <si>
    <t>787622984625000</t>
  </si>
  <si>
    <t>3513145604780002</t>
  </si>
  <si>
    <t>EFRI FURQONIYAH, S.Kep. Ns</t>
  </si>
  <si>
    <t>197804162006042017</t>
  </si>
  <si>
    <t>495514325625000</t>
  </si>
  <si>
    <t>3513096203700001</t>
  </si>
  <si>
    <t>197003221992032007</t>
  </si>
  <si>
    <t>486285018625000</t>
  </si>
  <si>
    <t>100026</t>
  </si>
  <si>
    <t>ELMA KHURIYATUL FATATI, SST</t>
  </si>
  <si>
    <t>197405101993022001</t>
  </si>
  <si>
    <t>787623032625000</t>
  </si>
  <si>
    <t>3513144902790002</t>
  </si>
  <si>
    <t>197902092010012001</t>
  </si>
  <si>
    <t>362256471625000</t>
  </si>
  <si>
    <t>3513145708770004</t>
  </si>
  <si>
    <t>197708171998032004</t>
  </si>
  <si>
    <t>494693399625000</t>
  </si>
  <si>
    <t>100136</t>
  </si>
  <si>
    <t>ELOK SAYYIDAH WIBOWO,</t>
  </si>
  <si>
    <t>198406092011012010</t>
  </si>
  <si>
    <t>530950927625000</t>
  </si>
  <si>
    <t>3513126202810002</t>
  </si>
  <si>
    <t>ELYS BARIROH, A.Md.Kep</t>
  </si>
  <si>
    <t>198102222008012018</t>
  </si>
  <si>
    <t>895803450625000</t>
  </si>
  <si>
    <t>100192</t>
  </si>
  <si>
    <t>EMY JAMILAH, Ns, S.Kep</t>
  </si>
  <si>
    <t>198304192009032002</t>
  </si>
  <si>
    <t>895803211625000</t>
  </si>
  <si>
    <t>3513145204770001</t>
  </si>
  <si>
    <t>ENDAH ZURAIDAH, S.Kom., M.M.</t>
  </si>
  <si>
    <t>197704122006042018</t>
  </si>
  <si>
    <t>490055496625000</t>
  </si>
  <si>
    <t>100219</t>
  </si>
  <si>
    <t>198106272008012020</t>
  </si>
  <si>
    <t>362523854625000</t>
  </si>
  <si>
    <t>3513186101790001</t>
  </si>
  <si>
    <t>ENDANG SASMITO, S.E., M.M.</t>
  </si>
  <si>
    <t>197901212011012005</t>
  </si>
  <si>
    <t>447342882625000</t>
  </si>
  <si>
    <t>3513144306680003</t>
  </si>
  <si>
    <t>196806032007012023</t>
  </si>
  <si>
    <t>895803252625000</t>
  </si>
  <si>
    <t>3513114709790001</t>
  </si>
  <si>
    <t>ENY WAHYUNI, S.Kep.Ns</t>
  </si>
  <si>
    <t>197909072008012015</t>
  </si>
  <si>
    <t>895803179625000</t>
  </si>
  <si>
    <t>100067</t>
  </si>
  <si>
    <t>ERIK BUDI KUSWOYO, A.Md.Kep.SKM</t>
  </si>
  <si>
    <t>197603272000031001</t>
  </si>
  <si>
    <t>241514892625000</t>
  </si>
  <si>
    <t>100208</t>
  </si>
  <si>
    <t>ERNI ROSITHA BUDIARTI, A.Md.Ft</t>
  </si>
  <si>
    <t>198809012010012004</t>
  </si>
  <si>
    <t>362463937626000</t>
  </si>
  <si>
    <t>3513146711780002</t>
  </si>
  <si>
    <t>197811272009032004</t>
  </si>
  <si>
    <t>895803351609000</t>
  </si>
  <si>
    <t>3508074210850009</t>
  </si>
  <si>
    <t>ETTY TRISNOWATI, A.Md.Kep</t>
  </si>
  <si>
    <t>198510022020122009</t>
  </si>
  <si>
    <t>819955337625000</t>
  </si>
  <si>
    <t>100147</t>
  </si>
  <si>
    <t>EVI MUSLICHA, S.Kep.Ns</t>
  </si>
  <si>
    <t>198612122011012018</t>
  </si>
  <si>
    <t>449389873656000</t>
  </si>
  <si>
    <t>3513165204880009</t>
  </si>
  <si>
    <t>FAIQO TURROHMAH, A.Md</t>
  </si>
  <si>
    <t>198804122010012003</t>
  </si>
  <si>
    <t>362465668625000</t>
  </si>
  <si>
    <t>100271</t>
  </si>
  <si>
    <t>FEBRI ARDIANSYAH, A.Md.Kep</t>
  </si>
  <si>
    <t>199102052020121012</t>
  </si>
  <si>
    <t>809415631656000</t>
  </si>
  <si>
    <t>3513182311900002</t>
  </si>
  <si>
    <t>FENDI KUSUMA WARDANA, AMd.Kep</t>
  </si>
  <si>
    <t>199011232020121010</t>
  </si>
  <si>
    <t>810692046625000</t>
  </si>
  <si>
    <t>100272</t>
  </si>
  <si>
    <t>FENY MELINDA, A.Md.Kep</t>
  </si>
  <si>
    <t>199203132020122015</t>
  </si>
  <si>
    <t>866271760625000</t>
  </si>
  <si>
    <t>3513122201820004</t>
  </si>
  <si>
    <t>198201222007011002</t>
  </si>
  <si>
    <t>495514663625000</t>
  </si>
  <si>
    <t>3513142612900001</t>
  </si>
  <si>
    <t>FERI DARINDA, A.Md.Kep</t>
  </si>
  <si>
    <t>199012262020121009</t>
  </si>
  <si>
    <t>733649701625000</t>
  </si>
  <si>
    <t>3513166105820001</t>
  </si>
  <si>
    <t>FIDDINI ISMI, S.Kep.Ns</t>
  </si>
  <si>
    <t>198205212008012014</t>
  </si>
  <si>
    <t>362339996625000</t>
  </si>
  <si>
    <t>3504096102920002</t>
  </si>
  <si>
    <t>199202212019032007</t>
  </si>
  <si>
    <t>911711364629000</t>
  </si>
  <si>
    <t>3510030403860002</t>
  </si>
  <si>
    <t>GIYANI, A.Md.Kep</t>
  </si>
  <si>
    <t>198603042020121003</t>
  </si>
  <si>
    <t>412535825625000</t>
  </si>
  <si>
    <t>3513161408820005</t>
  </si>
  <si>
    <t>198208142008011021</t>
  </si>
  <si>
    <t>895803278625000</t>
  </si>
  <si>
    <t>3513142004850001</t>
  </si>
  <si>
    <t>HABIBI, A.Md.Kep</t>
  </si>
  <si>
    <t>198504202020121006</t>
  </si>
  <si>
    <t>855332680625000</t>
  </si>
  <si>
    <t>100097</t>
  </si>
  <si>
    <t>196710151989011003</t>
  </si>
  <si>
    <t>675121891625000</t>
  </si>
  <si>
    <t>100256</t>
  </si>
  <si>
    <t>HAFNI AINUN ARIF KURNIANSYAH, A.Md.Kep</t>
  </si>
  <si>
    <t>198606222020121007</t>
  </si>
  <si>
    <t>706761202625000</t>
  </si>
  <si>
    <t>3513150711700001</t>
  </si>
  <si>
    <t>197011072007011022</t>
  </si>
  <si>
    <t>495514838625000</t>
  </si>
  <si>
    <t>100122</t>
  </si>
  <si>
    <t>HARDI PUJIONO, S.Kep.Ns</t>
  </si>
  <si>
    <t>198507142009031002</t>
  </si>
  <si>
    <t>895803427625000</t>
  </si>
  <si>
    <t>3513084307900001</t>
  </si>
  <si>
    <t>199007032020122011</t>
  </si>
  <si>
    <t>814812640625000</t>
  </si>
  <si>
    <t>100195</t>
  </si>
  <si>
    <t>HARRISMA WIRAROSENTSIA,</t>
  </si>
  <si>
    <t>198712312009032001</t>
  </si>
  <si>
    <t>362436289626000</t>
  </si>
  <si>
    <t>100099</t>
  </si>
  <si>
    <t>HASAN BASRI, A.Md.Kep</t>
  </si>
  <si>
    <t>197807182000031001</t>
  </si>
  <si>
    <t>486303498625000</t>
  </si>
  <si>
    <t>100293</t>
  </si>
  <si>
    <t>198003012009031001</t>
  </si>
  <si>
    <t>895803187625000</t>
  </si>
  <si>
    <t>3510010512850001</t>
  </si>
  <si>
    <t>198512052010011008</t>
  </si>
  <si>
    <t>362585531627000</t>
  </si>
  <si>
    <t>100064</t>
  </si>
  <si>
    <t>HENDY DERMAWAN SETYAWAN,A.Md.AK</t>
  </si>
  <si>
    <t>197402261995031001</t>
  </si>
  <si>
    <t>486284532625000</t>
  </si>
  <si>
    <t>3513185502790001</t>
  </si>
  <si>
    <t>197902152010012001</t>
  </si>
  <si>
    <t>895803435625000</t>
  </si>
  <si>
    <t>3574044310670001</t>
  </si>
  <si>
    <t>196710031994032006</t>
  </si>
  <si>
    <t>494693159625000</t>
  </si>
  <si>
    <t>3513144905710001</t>
  </si>
  <si>
    <t>197105092007012012</t>
  </si>
  <si>
    <t>495514598625000</t>
  </si>
  <si>
    <t>3513146804740001</t>
  </si>
  <si>
    <t>197404282007012013</t>
  </si>
  <si>
    <t>495514952625000</t>
  </si>
  <si>
    <t>3513145909710004</t>
  </si>
  <si>
    <t>197109192007012016</t>
  </si>
  <si>
    <t>495515025625000</t>
  </si>
  <si>
    <t>3513112210840001</t>
  </si>
  <si>
    <t>HERZUDDIN ZAIN</t>
  </si>
  <si>
    <t>198410222015021001</t>
  </si>
  <si>
    <t>727749137625000</t>
  </si>
  <si>
    <t>100287</t>
  </si>
  <si>
    <t>HIDAYATI, A.Md. Kep</t>
  </si>
  <si>
    <t>199708162020122012</t>
  </si>
  <si>
    <t>969478668652000</t>
  </si>
  <si>
    <t>3513184405770001</t>
  </si>
  <si>
    <t>197705042006042029</t>
  </si>
  <si>
    <t>495515157625000</t>
  </si>
  <si>
    <t>3513144709770002</t>
  </si>
  <si>
    <t>HURRIYATUL JANNAH, A.Md.Kep</t>
  </si>
  <si>
    <t>197709072010012007</t>
  </si>
  <si>
    <t>895741940625000</t>
  </si>
  <si>
    <t>3574045507730004</t>
  </si>
  <si>
    <t>IDA YULIANA, AMd</t>
  </si>
  <si>
    <t>197307152006042031</t>
  </si>
  <si>
    <t>495515454625000</t>
  </si>
  <si>
    <t>100211</t>
  </si>
  <si>
    <t>IKA ARI MUNDIYAH, Amd</t>
  </si>
  <si>
    <t>198305082010012001</t>
  </si>
  <si>
    <t>362557639625000</t>
  </si>
  <si>
    <t>3513096804810002</t>
  </si>
  <si>
    <t>IKE IRA HESTIRAYUNI, A.Md.Keb</t>
  </si>
  <si>
    <t>198104282006042019</t>
  </si>
  <si>
    <t>495515108625000</t>
  </si>
  <si>
    <t>3574025909840004</t>
  </si>
  <si>
    <t>IKE YOSSY HERAWATI, S.Farm</t>
  </si>
  <si>
    <t>198409192006042013</t>
  </si>
  <si>
    <t>787567643625000</t>
  </si>
  <si>
    <t>3513114408850001</t>
  </si>
  <si>
    <t>ILMI ALFIYATI, A.Md.Kep</t>
  </si>
  <si>
    <t>198508042020122004</t>
  </si>
  <si>
    <t>715228896625000</t>
  </si>
  <si>
    <t>100289</t>
  </si>
  <si>
    <t>INDAH NIHAYATI, A.Md.Kep</t>
  </si>
  <si>
    <t>199710202020122014</t>
  </si>
  <si>
    <t>969421346625000</t>
  </si>
  <si>
    <t>100056</t>
  </si>
  <si>
    <t>197401271994032004</t>
  </si>
  <si>
    <t>486303175625000</t>
  </si>
  <si>
    <t>3513135203870002</t>
  </si>
  <si>
    <t>INDAH WAHYU WIJAYANTI, Amd.Keb</t>
  </si>
  <si>
    <t>198703122010012011</t>
  </si>
  <si>
    <t>457454999625000</t>
  </si>
  <si>
    <t>3513134805770002</t>
  </si>
  <si>
    <t>INDATUN BADRIATI, S.Kep.Ns</t>
  </si>
  <si>
    <t>197705082006042018</t>
  </si>
  <si>
    <t>495514879625000</t>
  </si>
  <si>
    <t>100284</t>
  </si>
  <si>
    <t>IRMA MAWARSARI, A.Md.Kep</t>
  </si>
  <si>
    <t>199607092020122018</t>
  </si>
  <si>
    <t>969463512624000</t>
  </si>
  <si>
    <t>3574034610870003</t>
  </si>
  <si>
    <t>198710062020122004</t>
  </si>
  <si>
    <t>759726276625000</t>
  </si>
  <si>
    <t>3513143105710002</t>
  </si>
  <si>
    <t>ISMAN SU'UDI</t>
  </si>
  <si>
    <t>197105312008011005</t>
  </si>
  <si>
    <t>895803120625000</t>
  </si>
  <si>
    <t>3513164604810002</t>
  </si>
  <si>
    <t>198104062006042025</t>
  </si>
  <si>
    <t>495515173625000</t>
  </si>
  <si>
    <t>3513146403830003</t>
  </si>
  <si>
    <t>ISNANI MAULY MASRURI,</t>
  </si>
  <si>
    <t>198303242008012011</t>
  </si>
  <si>
    <t>362477754625000</t>
  </si>
  <si>
    <t>3513144204790003</t>
  </si>
  <si>
    <t>ISTIKAROH, S.M.</t>
  </si>
  <si>
    <t>197904022009032001</t>
  </si>
  <si>
    <t>362342206625000</t>
  </si>
  <si>
    <t>100074</t>
  </si>
  <si>
    <t>ITA TOBING, A.Md.Keb.SKM</t>
  </si>
  <si>
    <t>197712122006042019</t>
  </si>
  <si>
    <t>787623085625000</t>
  </si>
  <si>
    <t>3513124405880005</t>
  </si>
  <si>
    <t>IVA ROESILAWATI NINGSIH, A.Md.Kep</t>
  </si>
  <si>
    <t>198805042010012005</t>
  </si>
  <si>
    <t>449389972625000</t>
  </si>
  <si>
    <t>100155</t>
  </si>
  <si>
    <t>IWAN DWI UTOMO, A.Md</t>
  </si>
  <si>
    <t>197505122003121007</t>
  </si>
  <si>
    <t>486303415625000</t>
  </si>
  <si>
    <t>3513191312710001</t>
  </si>
  <si>
    <t>JURIANTO,</t>
  </si>
  <si>
    <t>486398217625000</t>
  </si>
  <si>
    <t>3513146204760005</t>
  </si>
  <si>
    <t>KARTIKA AGUSTINI, S.Kep.Ns</t>
  </si>
  <si>
    <t>197604222006042016</t>
  </si>
  <si>
    <t>495514531625000</t>
  </si>
  <si>
    <t>100294</t>
  </si>
  <si>
    <t>198307052009031001</t>
  </si>
  <si>
    <t>362526733625000</t>
  </si>
  <si>
    <t>100015</t>
  </si>
  <si>
    <t>KHUSNUL NUR KHOTIMAH, S.Kep.Ns., M.M.</t>
  </si>
  <si>
    <t>196909151990032009</t>
  </si>
  <si>
    <t>486303035625000</t>
  </si>
  <si>
    <t>3513105204830002</t>
  </si>
  <si>
    <t>KIKI MARIA, S.Kep.Ns</t>
  </si>
  <si>
    <t>198304122008012012</t>
  </si>
  <si>
    <t>895803229625000</t>
  </si>
  <si>
    <t>100196</t>
  </si>
  <si>
    <t>197608232010012006</t>
  </si>
  <si>
    <t>359870037625000</t>
  </si>
  <si>
    <t>100215</t>
  </si>
  <si>
    <t>KRISTIN DWI RATNAWATI, Amd.Keb</t>
  </si>
  <si>
    <t>198010072009032003</t>
  </si>
  <si>
    <t>362559726625000</t>
  </si>
  <si>
    <t>100288</t>
  </si>
  <si>
    <t>KUNI KONITA IZZABILLAH, A.Md.Kep</t>
  </si>
  <si>
    <t>199710192020122008</t>
  </si>
  <si>
    <t>946297413626000</t>
  </si>
  <si>
    <t>100175</t>
  </si>
  <si>
    <t>KUSUMA IRIYANTHY KOESAYU, S.Farm.Apt</t>
  </si>
  <si>
    <t>198505042020122009</t>
  </si>
  <si>
    <t>887430189609000</t>
  </si>
  <si>
    <t>3513145108780002</t>
  </si>
  <si>
    <t>LAILATUL FITHRIYAH,</t>
  </si>
  <si>
    <t>197808112010012001</t>
  </si>
  <si>
    <t>362428802625000</t>
  </si>
  <si>
    <t>3513144208760002</t>
  </si>
  <si>
    <t>LELY AGUSTIN, S.Si.,Apt.</t>
  </si>
  <si>
    <t>197608022011012004</t>
  </si>
  <si>
    <t>351769274625000</t>
  </si>
  <si>
    <t>3510216506940002</t>
  </si>
  <si>
    <t>LILA RANAYA WIDYADARI, S.Keb.Bd</t>
  </si>
  <si>
    <t>199406252019032006</t>
  </si>
  <si>
    <t>905135018627000</t>
  </si>
  <si>
    <t>100013</t>
  </si>
  <si>
    <t>LILIK MUSKIATUN, S.Kep.Ns</t>
  </si>
  <si>
    <t>197309061997032004</t>
  </si>
  <si>
    <t>486303282625000</t>
  </si>
  <si>
    <t>100282</t>
  </si>
  <si>
    <t>LINA INDRIYANI, A.Md.Kep</t>
  </si>
  <si>
    <t>199511062020122023</t>
  </si>
  <si>
    <t>412548463656000</t>
  </si>
  <si>
    <t>3513124401820002</t>
  </si>
  <si>
    <t>LUKI HARJANTI, S.Farm.Apt</t>
  </si>
  <si>
    <t>198201042010012008</t>
  </si>
  <si>
    <t>362586752625000</t>
  </si>
  <si>
    <t>3513150801820004</t>
  </si>
  <si>
    <t>LUKMAN HAKIM, A.Md.Kep</t>
  </si>
  <si>
    <t>198201082011011005</t>
  </si>
  <si>
    <t>449548874625000</t>
  </si>
  <si>
    <t>100160</t>
  </si>
  <si>
    <t>198009152009031001</t>
  </si>
  <si>
    <t>895803260625000</t>
  </si>
  <si>
    <t>3513143003710001</t>
  </si>
  <si>
    <t>LUTFI HIDAYAT, A.Md.Rad</t>
  </si>
  <si>
    <t>197003301998031008</t>
  </si>
  <si>
    <t>486303274625000</t>
  </si>
  <si>
    <t>100209</t>
  </si>
  <si>
    <t>198910042011012008</t>
  </si>
  <si>
    <t>058717349625000</t>
  </si>
  <si>
    <t>3513145707790003</t>
  </si>
  <si>
    <t>MASWIN KIRANA, A.Md.Farm</t>
  </si>
  <si>
    <t>197907172003122007</t>
  </si>
  <si>
    <t>486423569625000</t>
  </si>
  <si>
    <t>100260</t>
  </si>
  <si>
    <t>MAULIDIA ROHMATUN NI'MAH, A.Md.Farm</t>
  </si>
  <si>
    <t>198810152020122004</t>
  </si>
  <si>
    <t>969991314626000</t>
  </si>
  <si>
    <t>100276</t>
  </si>
  <si>
    <t>MAYA JUWITA SARI, A.Md.Kep</t>
  </si>
  <si>
    <t>199305052020122026</t>
  </si>
  <si>
    <t>412374928656000</t>
  </si>
  <si>
    <t>3513214301850003</t>
  </si>
  <si>
    <t>MEGAWATI, A.Md.AK</t>
  </si>
  <si>
    <t>198501032020122008</t>
  </si>
  <si>
    <t>813639291625000</t>
  </si>
  <si>
    <t>100111</t>
  </si>
  <si>
    <t>MELYA ANGRAENI, S.Kep.Ns</t>
  </si>
  <si>
    <t>198204082007012009</t>
  </si>
  <si>
    <t>495514382625000</t>
  </si>
  <si>
    <t>3515084905860006</t>
  </si>
  <si>
    <t>198605092009032002</t>
  </si>
  <si>
    <t>895803286617000</t>
  </si>
  <si>
    <t>3513054705840001</t>
  </si>
  <si>
    <t>198405072011012012</t>
  </si>
  <si>
    <t>451560825625000</t>
  </si>
  <si>
    <t>3513140510680003</t>
  </si>
  <si>
    <t>MISYANTO, SH</t>
  </si>
  <si>
    <t>196810052003121004</t>
  </si>
  <si>
    <t>486303662625000</t>
  </si>
  <si>
    <t>3513146502710001</t>
  </si>
  <si>
    <t>MUFLIKHAH, S.S.T</t>
  </si>
  <si>
    <t>197102252006042027</t>
  </si>
  <si>
    <t>495515074625000</t>
  </si>
  <si>
    <t>3513192608810001</t>
  </si>
  <si>
    <t>MUHAMAD ZAINI, S.Sos</t>
  </si>
  <si>
    <t>198108262010011004</t>
  </si>
  <si>
    <t>362236382625000</t>
  </si>
  <si>
    <t>100278</t>
  </si>
  <si>
    <t>MUHAMMAD MUKHLISIN NANDAUS, A.Md.Kep</t>
  </si>
  <si>
    <t>199311112020121019</t>
  </si>
  <si>
    <t>410303853625000</t>
  </si>
  <si>
    <t>100292</t>
  </si>
  <si>
    <t>198108102009031001</t>
  </si>
  <si>
    <t>895803393625000</t>
  </si>
  <si>
    <t>3513155403730004</t>
  </si>
  <si>
    <t>197303142008012008</t>
  </si>
  <si>
    <t>895803344625000</t>
  </si>
  <si>
    <t>3513140205710002</t>
  </si>
  <si>
    <t>197105021997031004</t>
  </si>
  <si>
    <t>494693472625000</t>
  </si>
  <si>
    <t>100082</t>
  </si>
  <si>
    <t>MULIK AGUSTINA, S.Gz., M.M.</t>
  </si>
  <si>
    <t>198708182009032001</t>
  </si>
  <si>
    <t>451280044625000</t>
  </si>
  <si>
    <t>3513162305680003</t>
  </si>
  <si>
    <t>MURSID, SKM. M.Si</t>
  </si>
  <si>
    <t>196805231994091001</t>
  </si>
  <si>
    <t>787595222625000</t>
  </si>
  <si>
    <t>3513144205800008</t>
  </si>
  <si>
    <t>198005022010012003</t>
  </si>
  <si>
    <t>362546806625000</t>
  </si>
  <si>
    <t>100283</t>
  </si>
  <si>
    <t>199606212020122020</t>
  </si>
  <si>
    <t>969849314624000</t>
  </si>
  <si>
    <t>3513145504850003</t>
  </si>
  <si>
    <t>198504152011012017</t>
  </si>
  <si>
    <t>449812106625000</t>
  </si>
  <si>
    <t>100213</t>
  </si>
  <si>
    <t>NUGROHO AGUNG MUSTAQIM, A.Md.Rad.</t>
  </si>
  <si>
    <t>198611072010011003</t>
  </si>
  <si>
    <t>981667124625000</t>
  </si>
  <si>
    <t>3513095605830001</t>
  </si>
  <si>
    <t>198305162010012001</t>
  </si>
  <si>
    <t>362700809625000</t>
  </si>
  <si>
    <t>100205</t>
  </si>
  <si>
    <t>NUR CAHYANI, A.Md.Ft</t>
  </si>
  <si>
    <t>198607182011012017</t>
  </si>
  <si>
    <t>447348657643000</t>
  </si>
  <si>
    <t>6408176704890001</t>
  </si>
  <si>
    <t>NUR HIDAYATIK, A.Md.Kep</t>
  </si>
  <si>
    <t>198904272020122010</t>
  </si>
  <si>
    <t>412722928625000</t>
  </si>
  <si>
    <t>3513144912760001</t>
  </si>
  <si>
    <t>NUR UBAIDAH, S.Kep.Ns</t>
  </si>
  <si>
    <t>197612092006042022</t>
  </si>
  <si>
    <t>495514705625000</t>
  </si>
  <si>
    <t>3512025801940001</t>
  </si>
  <si>
    <t>NURMA KHAIRUN NISAK, A.Md.Farm</t>
  </si>
  <si>
    <t>199401182020122019</t>
  </si>
  <si>
    <t>412611162656000</t>
  </si>
  <si>
    <t>100193</t>
  </si>
  <si>
    <t>NURUL HUDA, S.Kep.Ns</t>
  </si>
  <si>
    <t>198409272009031001</t>
  </si>
  <si>
    <t>113441729625000</t>
  </si>
  <si>
    <t>3513124407760004</t>
  </si>
  <si>
    <t>NURUL KHASANAH, A.Md.Rad</t>
  </si>
  <si>
    <t>197607042006042032</t>
  </si>
  <si>
    <t>495515280625000</t>
  </si>
  <si>
    <t>3510166707850002</t>
  </si>
  <si>
    <t>198507272020122003</t>
  </si>
  <si>
    <t>961127537627000</t>
  </si>
  <si>
    <t>3513146611760002</t>
  </si>
  <si>
    <t>NURUL MAHMUDA, S.Kep.Ns</t>
  </si>
  <si>
    <t>197611262006042015</t>
  </si>
  <si>
    <t>495514515625000</t>
  </si>
  <si>
    <t>100177</t>
  </si>
  <si>
    <t>NURUL WIDI ASTUTIK, S.Farm.Apt</t>
  </si>
  <si>
    <t>199504132020122028</t>
  </si>
  <si>
    <t>412405169625000</t>
  </si>
  <si>
    <t>3574022703700001</t>
  </si>
  <si>
    <t>NURYAKUB, SKM</t>
  </si>
  <si>
    <t>197003271992031006</t>
  </si>
  <si>
    <t>486284466625000</t>
  </si>
  <si>
    <t>100157</t>
  </si>
  <si>
    <t>197710022008012012</t>
  </si>
  <si>
    <t>362454353625000</t>
  </si>
  <si>
    <t>100126</t>
  </si>
  <si>
    <t>PRAMITA DUWI NAWANG SARI, A.Md.Kep</t>
  </si>
  <si>
    <t>198604092009032003</t>
  </si>
  <si>
    <t>359202686625000</t>
  </si>
  <si>
    <t>100168</t>
  </si>
  <si>
    <t>PUDJI SRIMULYO ASIH, S.KM.,M.M.</t>
  </si>
  <si>
    <t>197906052005012016</t>
  </si>
  <si>
    <t>495514747625000</t>
  </si>
  <si>
    <t>3513161503680001</t>
  </si>
  <si>
    <t>PURNADI, A.Md.Kep</t>
  </si>
  <si>
    <t>196803151991031021</t>
  </si>
  <si>
    <t>494693043625000</t>
  </si>
  <si>
    <t>3574035703890003</t>
  </si>
  <si>
    <t>PUTRI MARIANA SARI, A.Md.Kep</t>
  </si>
  <si>
    <t>198903172020122014</t>
  </si>
  <si>
    <t>412437550625000</t>
  </si>
  <si>
    <t>100227</t>
  </si>
  <si>
    <t>RAHMATUN NINGSIH</t>
  </si>
  <si>
    <t>3513144306990001</t>
  </si>
  <si>
    <t>3513144404760003</t>
  </si>
  <si>
    <t>RAHMI BANOWATI, S.E., M.M.</t>
  </si>
  <si>
    <t>197604042010012001</t>
  </si>
  <si>
    <t>362483257625000</t>
  </si>
  <si>
    <t>3508154106860002</t>
  </si>
  <si>
    <t>RANI JAYANTI, Amd.Keb</t>
  </si>
  <si>
    <t>198606012010012016</t>
  </si>
  <si>
    <t>447411042625000</t>
  </si>
  <si>
    <t>3513146403740001</t>
  </si>
  <si>
    <t>RATNA DWI HARTATIK,</t>
  </si>
  <si>
    <t>197403241999032004</t>
  </si>
  <si>
    <t>494693332625000</t>
  </si>
  <si>
    <t>3574046305810001</t>
  </si>
  <si>
    <t>REKYAN SESUTYO EDIY, ST</t>
  </si>
  <si>
    <t>198105232010012010</t>
  </si>
  <si>
    <t>257067884643000</t>
  </si>
  <si>
    <t>100098</t>
  </si>
  <si>
    <t>RETNO PALUPI, S.Kep.Ns</t>
  </si>
  <si>
    <t>198009072007012015</t>
  </si>
  <si>
    <t>495515322625000</t>
  </si>
  <si>
    <t>3516025703860001</t>
  </si>
  <si>
    <t>RETNO SUCININGRUM, A.Md.Keb</t>
  </si>
  <si>
    <t>198603172009032004</t>
  </si>
  <si>
    <t>362603706625000</t>
  </si>
  <si>
    <t>100210</t>
  </si>
  <si>
    <t>RIA FAIZAH MUSTIKA, A.Md.Kep</t>
  </si>
  <si>
    <t>199104082011012001</t>
  </si>
  <si>
    <t>447480468625000</t>
  </si>
  <si>
    <t>3513196810810003</t>
  </si>
  <si>
    <t>RIA HARIYANTI, S.Kep.Ns</t>
  </si>
  <si>
    <t>198110282007012008</t>
  </si>
  <si>
    <t>495514408625000</t>
  </si>
  <si>
    <t>100133</t>
  </si>
  <si>
    <t>RIMA PRAMUDYAH KUSUMA, A.Md</t>
  </si>
  <si>
    <t>198307072010012014</t>
  </si>
  <si>
    <t>360103352625000</t>
  </si>
  <si>
    <t>100134</t>
  </si>
  <si>
    <t>198404212011012020</t>
  </si>
  <si>
    <t>447064031625000</t>
  </si>
  <si>
    <t>3508195104870003</t>
  </si>
  <si>
    <t>RIZA DWI HIMAYATI L, Amd.Keb</t>
  </si>
  <si>
    <t>198704112010012009</t>
  </si>
  <si>
    <t>447032822625000</t>
  </si>
  <si>
    <t>100206</t>
  </si>
  <si>
    <t>RIZKY ALFATONI, A.Md.Kep</t>
  </si>
  <si>
    <t>198607242010011007</t>
  </si>
  <si>
    <t>362505463655000</t>
  </si>
  <si>
    <t>100226</t>
  </si>
  <si>
    <t>RIZKY ANGGRIAWAN SUSANTA PUTRA, SE</t>
  </si>
  <si>
    <t>199205172020121009</t>
  </si>
  <si>
    <t>760435701906000</t>
  </si>
  <si>
    <t>100275</t>
  </si>
  <si>
    <t>RIZKY WAHYU WILANTARA</t>
  </si>
  <si>
    <t>199302012020121013</t>
  </si>
  <si>
    <t>758725121616000</t>
  </si>
  <si>
    <t>100212</t>
  </si>
  <si>
    <t>ROCHMAT TAUFIEK ROMADHONI, S.KM</t>
  </si>
  <si>
    <t>198605302010011009</t>
  </si>
  <si>
    <t>452259757625000</t>
  </si>
  <si>
    <t>3513165903700001</t>
  </si>
  <si>
    <t>197003191992032006</t>
  </si>
  <si>
    <t>787623677625000</t>
  </si>
  <si>
    <t>3512175308950001</t>
  </si>
  <si>
    <t>ROFI'ATIN, A.Md.Kep</t>
  </si>
  <si>
    <t>199508132020122018</t>
  </si>
  <si>
    <t>412467763656000</t>
  </si>
  <si>
    <t>3513151808780001</t>
  </si>
  <si>
    <t>ROFI'I, SE.M.M</t>
  </si>
  <si>
    <t>197808182010011006</t>
  </si>
  <si>
    <t>598898393625000</t>
  </si>
  <si>
    <t>100170</t>
  </si>
  <si>
    <t>ROFI'UL AMALIAH,</t>
  </si>
  <si>
    <t>198412022010012001</t>
  </si>
  <si>
    <t>359847514625000</t>
  </si>
  <si>
    <t>3513184710820002</t>
  </si>
  <si>
    <t>ROHMATIKA, A.Md.Kep</t>
  </si>
  <si>
    <t>198210072008012016</t>
  </si>
  <si>
    <t>359981164625000</t>
  </si>
  <si>
    <t>3513146602820001</t>
  </si>
  <si>
    <t>SA'ATUL MUFARIKA, S.M.</t>
  </si>
  <si>
    <t>198202262008012017</t>
  </si>
  <si>
    <t>895803195625000</t>
  </si>
  <si>
    <t>3513140410810004</t>
  </si>
  <si>
    <t>SAFI'I, S.H</t>
  </si>
  <si>
    <t>198110042009031001</t>
  </si>
  <si>
    <t>895803369625000</t>
  </si>
  <si>
    <t>100022</t>
  </si>
  <si>
    <t>SAIFUL JUHRI, S.S.T</t>
  </si>
  <si>
    <t>196709081988111001</t>
  </si>
  <si>
    <t>486302565625000</t>
  </si>
  <si>
    <t>3513146310810001</t>
  </si>
  <si>
    <t>SANTI IKA WAHYUNI, A.Md.Kep</t>
  </si>
  <si>
    <t>198110232008012014</t>
  </si>
  <si>
    <t>895803146625000</t>
  </si>
  <si>
    <t>3513147011800005</t>
  </si>
  <si>
    <t>198011302003122002</t>
  </si>
  <si>
    <t>494693407625000</t>
  </si>
  <si>
    <t>3513146608690002</t>
  </si>
  <si>
    <t>SEKTIAYU AGUSTIN</t>
  </si>
  <si>
    <t>196908261994032004</t>
  </si>
  <si>
    <t>486303167625000</t>
  </si>
  <si>
    <t>100178</t>
  </si>
  <si>
    <t>SELVIN NURFADITA HARLINANDA,</t>
  </si>
  <si>
    <t>199507042020122019</t>
  </si>
  <si>
    <t>859795395656000</t>
  </si>
  <si>
    <t>3513145701780002</t>
  </si>
  <si>
    <t>SETIYA HASTUTI, SST GIZI, MM</t>
  </si>
  <si>
    <t>197801172002122001</t>
  </si>
  <si>
    <t>486203340625000</t>
  </si>
  <si>
    <t>100242</t>
  </si>
  <si>
    <t>197303012007012013</t>
  </si>
  <si>
    <t>895803318625000</t>
  </si>
  <si>
    <t>3510100103870001</t>
  </si>
  <si>
    <t>198606042009031001</t>
  </si>
  <si>
    <t>895803336625000</t>
  </si>
  <si>
    <t>3513124112830004</t>
  </si>
  <si>
    <t>SITI MAIMUNA, S.Kep.Ns</t>
  </si>
  <si>
    <t>198312012007012002</t>
  </si>
  <si>
    <t>495514465625000</t>
  </si>
  <si>
    <t>100152</t>
  </si>
  <si>
    <t>197205142007012016</t>
  </si>
  <si>
    <t>3513145803770002</t>
  </si>
  <si>
    <t>SITI MUNAWAROH, S.Kep.Ns</t>
  </si>
  <si>
    <t>197703182006042012</t>
  </si>
  <si>
    <t>495514937625000</t>
  </si>
  <si>
    <t>100102</t>
  </si>
  <si>
    <t>SITI NURHASANAH, A.Md. Kep.</t>
  </si>
  <si>
    <t>197903092006042019</t>
  </si>
  <si>
    <t>495514895625000</t>
  </si>
  <si>
    <t>100200</t>
  </si>
  <si>
    <t>198307282010012020</t>
  </si>
  <si>
    <t>362331126625000</t>
  </si>
  <si>
    <t>3513142901820001</t>
  </si>
  <si>
    <t>198201292010011001</t>
  </si>
  <si>
    <t>362461402625000</t>
  </si>
  <si>
    <t>100020</t>
  </si>
  <si>
    <t>196812121993031017</t>
  </si>
  <si>
    <t>486303316625000</t>
  </si>
  <si>
    <t>3513124505820003</t>
  </si>
  <si>
    <t>198205052010012001</t>
  </si>
  <si>
    <t>362241721625000</t>
  </si>
  <si>
    <t>3513071208780001</t>
  </si>
  <si>
    <t>SUPARDI</t>
  </si>
  <si>
    <t>197808122016011001</t>
  </si>
  <si>
    <t>461091878625000</t>
  </si>
  <si>
    <t>3508194811820004</t>
  </si>
  <si>
    <t>SUPARTINI, A.Md. Kep</t>
  </si>
  <si>
    <t>198211082010012012</t>
  </si>
  <si>
    <t>3513194507780003</t>
  </si>
  <si>
    <t>197807052010012002</t>
  </si>
  <si>
    <t>362377806625000</t>
  </si>
  <si>
    <t>100017</t>
  </si>
  <si>
    <t>SUPRAYITNO</t>
  </si>
  <si>
    <t>196904211992021001</t>
  </si>
  <si>
    <t>486398142625000</t>
  </si>
  <si>
    <t>3513141208750008</t>
  </si>
  <si>
    <t>197508122008011015</t>
  </si>
  <si>
    <t>362470726625000</t>
  </si>
  <si>
    <t>3513150705850001</t>
  </si>
  <si>
    <t>198505072009031001</t>
  </si>
  <si>
    <t>I</t>
  </si>
  <si>
    <t>362528382625000</t>
  </si>
  <si>
    <t>100190</t>
  </si>
  <si>
    <t>198306272007011003</t>
  </si>
  <si>
    <t>495514366625000</t>
  </si>
  <si>
    <t>100058</t>
  </si>
  <si>
    <t>TETI HENDAYATI, S.Kep.Ns</t>
  </si>
  <si>
    <t>197004021998032003</t>
  </si>
  <si>
    <t>486303217625000</t>
  </si>
  <si>
    <t>100180</t>
  </si>
  <si>
    <t>TIARA ISMIHAYATI KHOIRUNISA,</t>
  </si>
  <si>
    <t>199705182020122020</t>
  </si>
  <si>
    <t>412448532625000</t>
  </si>
  <si>
    <t>3513162710820002</t>
  </si>
  <si>
    <t>TOMI RUDY ATMOKO, A.Md.Kep</t>
  </si>
  <si>
    <t>198210272006041011</t>
  </si>
  <si>
    <t>697805950628000</t>
  </si>
  <si>
    <t>3513142307760002</t>
  </si>
  <si>
    <t>197607232006041015</t>
  </si>
  <si>
    <t>490389814625000</t>
  </si>
  <si>
    <t>3513165110810003</t>
  </si>
  <si>
    <t>TRINIA INNARTI, S.Kep.Ns</t>
  </si>
  <si>
    <t>198110112008012013</t>
  </si>
  <si>
    <t>362472433625000</t>
  </si>
  <si>
    <t>100161</t>
  </si>
  <si>
    <t>198009172010012001</t>
  </si>
  <si>
    <t>362665085656000</t>
  </si>
  <si>
    <t>100043</t>
  </si>
  <si>
    <t>USWATUN HASANAH, S.Kep.Ns</t>
  </si>
  <si>
    <t>197609012005012014</t>
  </si>
  <si>
    <t>697906386625000</t>
  </si>
  <si>
    <t>3513124304810005</t>
  </si>
  <si>
    <t>198104032010012001</t>
  </si>
  <si>
    <t>362343378625000</t>
  </si>
  <si>
    <t>100138</t>
  </si>
  <si>
    <t>VIDI AFIAT, S.Kep.Ns.</t>
  </si>
  <si>
    <t>198512312010011018</t>
  </si>
  <si>
    <t>276673597625000</t>
  </si>
  <si>
    <t>100270</t>
  </si>
  <si>
    <t>VIKA NUR INDAH PUTRI, A.Md.Kep</t>
  </si>
  <si>
    <t>199101282020122012</t>
  </si>
  <si>
    <t>664287364601000</t>
  </si>
  <si>
    <t>100183</t>
  </si>
  <si>
    <t>199010272019032002</t>
  </si>
  <si>
    <t>912017043625000</t>
  </si>
  <si>
    <t>3578034108820001</t>
  </si>
  <si>
    <t>WAHYU MIHERNI, AMd</t>
  </si>
  <si>
    <t>198208012010012014</t>
  </si>
  <si>
    <t>742279524615000</t>
  </si>
  <si>
    <t>3513115109960001</t>
  </si>
  <si>
    <t>199609112020122019</t>
  </si>
  <si>
    <t>413170515625000</t>
  </si>
  <si>
    <t>100051</t>
  </si>
  <si>
    <t>196803141989031005</t>
  </si>
  <si>
    <t>486302896625000</t>
  </si>
  <si>
    <t>3513125212820002</t>
  </si>
  <si>
    <t>WENNY INDRA SAGITA, A.Md.Kep</t>
  </si>
  <si>
    <t>198212122009032011</t>
  </si>
  <si>
    <t>888823010625000</t>
  </si>
  <si>
    <t>3513136310810002</t>
  </si>
  <si>
    <t>WIDIYA NUR WAHYUNI, A.Md,Kep</t>
  </si>
  <si>
    <t>198110232008012013</t>
  </si>
  <si>
    <t>344334412625000</t>
  </si>
  <si>
    <t>3512156512960001</t>
  </si>
  <si>
    <t>WILDA MULYA SHOLEHATI, A.Md.Kep</t>
  </si>
  <si>
    <t>199612252020122025</t>
  </si>
  <si>
    <t>956324107656000</t>
  </si>
  <si>
    <t>3513144707850001</t>
  </si>
  <si>
    <t>WIWIK ISTIMEWATI HARININGSIH, S.Kep.Ns</t>
  </si>
  <si>
    <t>198507072011012026</t>
  </si>
  <si>
    <t>450152681625000</t>
  </si>
  <si>
    <t>3574046904680001</t>
  </si>
  <si>
    <t>WIWIK YULIATI,SKM.MM</t>
  </si>
  <si>
    <t>486284359625000</t>
  </si>
  <si>
    <t>100142</t>
  </si>
  <si>
    <t>WIWIT ASIH HARUM CAHYANI,</t>
  </si>
  <si>
    <t>198711122011012015</t>
  </si>
  <si>
    <t>453543043625000</t>
  </si>
  <si>
    <t>3513144603810003</t>
  </si>
  <si>
    <t>YANTIK, A.Md.Rad</t>
  </si>
  <si>
    <t>198103062006042027</t>
  </si>
  <si>
    <t>495515264625000</t>
  </si>
  <si>
    <t>3513115204820002</t>
  </si>
  <si>
    <t>YAYUK PUJI RAHAYU, S.Sos.</t>
  </si>
  <si>
    <t>198204122010012004</t>
  </si>
  <si>
    <t>362621807625000</t>
  </si>
  <si>
    <t>3510044405840004</t>
  </si>
  <si>
    <t>198405042010012008</t>
  </si>
  <si>
    <t>359972577627000</t>
  </si>
  <si>
    <t>3511082708880001</t>
  </si>
  <si>
    <t>YOGI LUDIRTA SURYALAGA, A.Md.Kep</t>
  </si>
  <si>
    <t>198808272020121009</t>
  </si>
  <si>
    <t>959787912625000</t>
  </si>
  <si>
    <t>100129</t>
  </si>
  <si>
    <t>198607232010011006</t>
  </si>
  <si>
    <t>543691463625000</t>
  </si>
  <si>
    <t>100267</t>
  </si>
  <si>
    <t>YULI EKAYANTI, A.Md.Kep</t>
  </si>
  <si>
    <t>199008202020122018</t>
  </si>
  <si>
    <t>964422026656000</t>
  </si>
  <si>
    <t>3513125307790005</t>
  </si>
  <si>
    <t>YULI SUCIATI ZAINI PUTRI, SE.MM</t>
  </si>
  <si>
    <t>197907132010012002</t>
  </si>
  <si>
    <t>362480188625000</t>
  </si>
  <si>
    <t>3513146806690003</t>
  </si>
  <si>
    <t>196906282010012001</t>
  </si>
  <si>
    <t>362532483625000</t>
  </si>
  <si>
    <t>100257</t>
  </si>
  <si>
    <t>YUNIAR FITRI ANGGRAENI, A.Md.Kep</t>
  </si>
  <si>
    <t>198706022020122006</t>
  </si>
  <si>
    <t>726449762656000</t>
  </si>
  <si>
    <t>100188</t>
  </si>
  <si>
    <t>YUNITA IKA LINDA FITRIANI</t>
  </si>
  <si>
    <t>198606152020122010</t>
  </si>
  <si>
    <t>959654765542000</t>
  </si>
  <si>
    <t>3513144506820001</t>
  </si>
  <si>
    <t>198206052008012025</t>
  </si>
  <si>
    <t>359881976625000</t>
  </si>
  <si>
    <t>100162</t>
  </si>
  <si>
    <t>ZAINUL FATHAH, S.Sos., M.M.</t>
  </si>
  <si>
    <t>198104152008011011</t>
  </si>
  <si>
    <t>895803401625000</t>
  </si>
  <si>
    <t>3511084707920003</t>
  </si>
  <si>
    <t>ZULFAH MAJIDAH, A.Md.Kep</t>
  </si>
  <si>
    <t>199207072020122027</t>
  </si>
  <si>
    <t>857461891656000</t>
  </si>
  <si>
    <t>3513151905810003</t>
  </si>
  <si>
    <t>ZUMAR FATHONI, A.Md Tek.Med</t>
  </si>
  <si>
    <t>198105192006041015</t>
  </si>
  <si>
    <t>895803245625000</t>
  </si>
  <si>
    <t>3513190612860002</t>
  </si>
  <si>
    <t>ADI SUWANDANA</t>
  </si>
  <si>
    <t>III/P3K</t>
  </si>
  <si>
    <t>734295777625000</t>
  </si>
  <si>
    <t>100406</t>
  </si>
  <si>
    <t>AGUNG WIDHI SETIAWAN</t>
  </si>
  <si>
    <t>839324142656000</t>
  </si>
  <si>
    <t>100416</t>
  </si>
  <si>
    <t>AHMAD FATHONI AZIZ,</t>
  </si>
  <si>
    <t>866399579625000</t>
  </si>
  <si>
    <t>3513091903950001</t>
  </si>
  <si>
    <t>AHMAD KHUSYAIRI</t>
  </si>
  <si>
    <t>199503192024211005</t>
  </si>
  <si>
    <t>IV/P3K</t>
  </si>
  <si>
    <t>964330864625000</t>
  </si>
  <si>
    <t>100342</t>
  </si>
  <si>
    <t>AHMAD ZAENULLAH,</t>
  </si>
  <si>
    <t>456028901625000</t>
  </si>
  <si>
    <t>100421</t>
  </si>
  <si>
    <t>ALFA YULIANATA PRATAMA,</t>
  </si>
  <si>
    <t>199507082023211002</t>
  </si>
  <si>
    <t>823550629625000</t>
  </si>
  <si>
    <t>100386</t>
  </si>
  <si>
    <t>ANDY NOOR RACHMAN,</t>
  </si>
  <si>
    <t>408321792625000</t>
  </si>
  <si>
    <t>100351</t>
  </si>
  <si>
    <t>ANDY YUSTIANTO,</t>
  </si>
  <si>
    <t>822870986625000</t>
  </si>
  <si>
    <t>100357</t>
  </si>
  <si>
    <t>ARUM MERALDA,</t>
  </si>
  <si>
    <t>801662552625000</t>
  </si>
  <si>
    <t>100352</t>
  </si>
  <si>
    <t>ASARI,</t>
  </si>
  <si>
    <t>623714425625000</t>
  </si>
  <si>
    <t>100398</t>
  </si>
  <si>
    <t>ATIK WIBAWA,</t>
  </si>
  <si>
    <t>606985034625000</t>
  </si>
  <si>
    <t>100345</t>
  </si>
  <si>
    <t>BENY EKO SATRIO,</t>
  </si>
  <si>
    <t>866625742625000</t>
  </si>
  <si>
    <t>100432</t>
  </si>
  <si>
    <t>BRYAN AZARYA DIMETRICO</t>
  </si>
  <si>
    <t>199804022024211003</t>
  </si>
  <si>
    <t>940483423625000</t>
  </si>
  <si>
    <t>100373</t>
  </si>
  <si>
    <t>CAHYANING ASTI</t>
  </si>
  <si>
    <t>199006062024212026</t>
  </si>
  <si>
    <t>822081683625000</t>
  </si>
  <si>
    <t>100358</t>
  </si>
  <si>
    <t>CARINA PUTRI MEGANANDA FAAKHA,</t>
  </si>
  <si>
    <t>810440404625000</t>
  </si>
  <si>
    <t>3513115604910001</t>
  </si>
  <si>
    <t>CHOIRIYAH FITRIANI</t>
  </si>
  <si>
    <t>199104162024212019</t>
  </si>
  <si>
    <t>829804665625000</t>
  </si>
  <si>
    <t>100429</t>
  </si>
  <si>
    <t>CINTA OLIVIA AUDIE SALSA PATRIKA</t>
  </si>
  <si>
    <t>199706102024212019</t>
  </si>
  <si>
    <t>422431056625000</t>
  </si>
  <si>
    <t>3513054810900002</t>
  </si>
  <si>
    <t>DEFI SANTI WULANDARI,</t>
  </si>
  <si>
    <t>952907103625000</t>
  </si>
  <si>
    <t>100408</t>
  </si>
  <si>
    <t>DEWI WIJAYANTI,</t>
  </si>
  <si>
    <t>199308062023212004</t>
  </si>
  <si>
    <t>851388520625000</t>
  </si>
  <si>
    <t>100427</t>
  </si>
  <si>
    <t>DINI FEBRI WULANDARI,</t>
  </si>
  <si>
    <t>319914370625000</t>
  </si>
  <si>
    <t>100328</t>
  </si>
  <si>
    <t>199308262024212027</t>
  </si>
  <si>
    <t>800416505625000</t>
  </si>
  <si>
    <t>3525101504710003</t>
  </si>
  <si>
    <t>dr. ARIES SASONGKO, Sp.</t>
  </si>
  <si>
    <t>078872140612000</t>
  </si>
  <si>
    <t>3574016410850002</t>
  </si>
  <si>
    <t>dr. IKA ALIMAWATI</t>
  </si>
  <si>
    <t>198510242024212008</t>
  </si>
  <si>
    <t>445918873625000</t>
  </si>
  <si>
    <t>3513144710730002</t>
  </si>
  <si>
    <t>dr. KARTIKA, Sp.Rad</t>
  </si>
  <si>
    <t>241739226625000</t>
  </si>
  <si>
    <t>100396</t>
  </si>
  <si>
    <t>DWI ANITA FITRIANA,</t>
  </si>
  <si>
    <t>411535727625000</t>
  </si>
  <si>
    <t>100349</t>
  </si>
  <si>
    <t>198503042024212009</t>
  </si>
  <si>
    <t>412435687625000</t>
  </si>
  <si>
    <t>100332</t>
  </si>
  <si>
    <t>DWI WULAN ISRO'TULLAILA</t>
  </si>
  <si>
    <t>534044722625000</t>
  </si>
  <si>
    <t>100379</t>
  </si>
  <si>
    <t>DYAH NOVITA PRIMASTUTI</t>
  </si>
  <si>
    <t>199011052024212025</t>
  </si>
  <si>
    <t>616676219625000</t>
  </si>
  <si>
    <t>3513115611880001</t>
  </si>
  <si>
    <t>DYAH PUJI LESTARI,</t>
  </si>
  <si>
    <t>630411452625000</t>
  </si>
  <si>
    <t>100323</t>
  </si>
  <si>
    <t>ENDANG FITRIYANI</t>
  </si>
  <si>
    <t>199005292024212015</t>
  </si>
  <si>
    <t>209505841625000</t>
  </si>
  <si>
    <t>100350</t>
  </si>
  <si>
    <t>ERIKA RAHMAWATI,</t>
  </si>
  <si>
    <t>866340839625000</t>
  </si>
  <si>
    <t>3524064606950004</t>
  </si>
  <si>
    <t>ERLY ROIFATUL AFIFAH,</t>
  </si>
  <si>
    <t>822695573645000</t>
  </si>
  <si>
    <t>100321</t>
  </si>
  <si>
    <t>199703032024212028</t>
  </si>
  <si>
    <t>434766564656000</t>
  </si>
  <si>
    <t>100334</t>
  </si>
  <si>
    <t>EVI LESTARI,</t>
  </si>
  <si>
    <t>824856959625000</t>
  </si>
  <si>
    <t>100338</t>
  </si>
  <si>
    <t>EVIE HERLINA,</t>
  </si>
  <si>
    <t>757477526625000</t>
  </si>
  <si>
    <t>100392</t>
  </si>
  <si>
    <t>FARISTA NURMAYANTI,</t>
  </si>
  <si>
    <t>925222705625000</t>
  </si>
  <si>
    <t>100333</t>
  </si>
  <si>
    <t>FASTAMI LIMAYUHA,</t>
  </si>
  <si>
    <t>959426412625000</t>
  </si>
  <si>
    <t>100362</t>
  </si>
  <si>
    <t>FATIHATUL HIDAYATI,</t>
  </si>
  <si>
    <t>358153468625000</t>
  </si>
  <si>
    <t>100368</t>
  </si>
  <si>
    <t>FEBRIANDARI NUGRAH ANGGRAENI,</t>
  </si>
  <si>
    <t>861359859625000</t>
  </si>
  <si>
    <t>100327</t>
  </si>
  <si>
    <t>FRIDA RAFIYANTI</t>
  </si>
  <si>
    <t>604198945625000</t>
  </si>
  <si>
    <t>100430</t>
  </si>
  <si>
    <t>GHAITZUR RIZKIYAH</t>
  </si>
  <si>
    <t>199709212024212015</t>
  </si>
  <si>
    <t>612372995625000</t>
  </si>
  <si>
    <t>100410</t>
  </si>
  <si>
    <t>HAMIDATUL FITRIYAH,</t>
  </si>
  <si>
    <t>866463672625000</t>
  </si>
  <si>
    <t>100360</t>
  </si>
  <si>
    <t>HARYONO,</t>
  </si>
  <si>
    <t>814454583625000</t>
  </si>
  <si>
    <t>100369</t>
  </si>
  <si>
    <t>HENDRA ADI PERMANA,</t>
  </si>
  <si>
    <t>825533961625000</t>
  </si>
  <si>
    <t>3513190104910001</t>
  </si>
  <si>
    <t>HENDRA KUSDIANTORO,</t>
  </si>
  <si>
    <t>746377837625000</t>
  </si>
  <si>
    <t>100336</t>
  </si>
  <si>
    <t>HENDRA WIJATMIKO,</t>
  </si>
  <si>
    <t>862325651625000</t>
  </si>
  <si>
    <t>100354</t>
  </si>
  <si>
    <t>HENY WIDYA ASTUTIK,</t>
  </si>
  <si>
    <t>408374882625000</t>
  </si>
  <si>
    <t>100434</t>
  </si>
  <si>
    <t>HERIYANA NURPADILAH</t>
  </si>
  <si>
    <t>603896929625000</t>
  </si>
  <si>
    <t>100370</t>
  </si>
  <si>
    <t>HOSMIATI,</t>
  </si>
  <si>
    <t>819849571625000</t>
  </si>
  <si>
    <t>100344</t>
  </si>
  <si>
    <t>HUSNUL FATIMAH,</t>
  </si>
  <si>
    <t>623421641625000</t>
  </si>
  <si>
    <t>3513062504950004</t>
  </si>
  <si>
    <t>HUSNUL WAFA,</t>
  </si>
  <si>
    <t>969732254625000</t>
  </si>
  <si>
    <t>3517196307870001</t>
  </si>
  <si>
    <t>ILMI FATMAWATI,</t>
  </si>
  <si>
    <t>742963523625000</t>
  </si>
  <si>
    <t>3513142211880001</t>
  </si>
  <si>
    <t>IMAM BUCHORI</t>
  </si>
  <si>
    <t>198811222024211007</t>
  </si>
  <si>
    <t>954396347625000</t>
  </si>
  <si>
    <t>100347</t>
  </si>
  <si>
    <t>INDAR DWI WAHYUNINGSIH,</t>
  </si>
  <si>
    <t>408421238625000</t>
  </si>
  <si>
    <t>100418</t>
  </si>
  <si>
    <t>INDRIANI,</t>
  </si>
  <si>
    <t>833519986625000</t>
  </si>
  <si>
    <t>100419</t>
  </si>
  <si>
    <t>INTAN NURCAHYA,</t>
  </si>
  <si>
    <t>954620829625000</t>
  </si>
  <si>
    <t>100395</t>
  </si>
  <si>
    <t>ISNAINI WAHYU UTAMI</t>
  </si>
  <si>
    <t>199203032024212033</t>
  </si>
  <si>
    <t>867229486625000</t>
  </si>
  <si>
    <t>100405</t>
  </si>
  <si>
    <t>ISNIAH ANGGRAINI MURISA MARTHA,</t>
  </si>
  <si>
    <t>965473143625000</t>
  </si>
  <si>
    <t>100391</t>
  </si>
  <si>
    <t>KHUSNUL KHOTIMAH,</t>
  </si>
  <si>
    <t>820188969625000</t>
  </si>
  <si>
    <t>706858743902000</t>
  </si>
  <si>
    <t>KOMANG AYU R. PURNAMANINGSIH,</t>
  </si>
  <si>
    <t>100322</t>
  </si>
  <si>
    <t>KRISTYA RIZKI WIDIANTI,</t>
  </si>
  <si>
    <t>408437093625000</t>
  </si>
  <si>
    <t>100394</t>
  </si>
  <si>
    <t>LATIFATUL LAYLI AKHMAD,</t>
  </si>
  <si>
    <t>624035952625000</t>
  </si>
  <si>
    <t>100363</t>
  </si>
  <si>
    <t>LENI HARIYANTI</t>
  </si>
  <si>
    <t>198810312024212016</t>
  </si>
  <si>
    <t>808807416625000</t>
  </si>
  <si>
    <t>100403</t>
  </si>
  <si>
    <t>LUTFIAH NABILA,</t>
  </si>
  <si>
    <t>866272685625000</t>
  </si>
  <si>
    <t>100435</t>
  </si>
  <si>
    <t>199807122024211006</t>
  </si>
  <si>
    <t>959719709625000</t>
  </si>
  <si>
    <t>100366</t>
  </si>
  <si>
    <t>MAS SURANI,</t>
  </si>
  <si>
    <t>811709096625000</t>
  </si>
  <si>
    <t>100433</t>
  </si>
  <si>
    <t>MASQURO,</t>
  </si>
  <si>
    <t>408327005625000</t>
  </si>
  <si>
    <t>100413</t>
  </si>
  <si>
    <t>MAULINA ROBIULNISAH FANANI,</t>
  </si>
  <si>
    <t>865852628625000</t>
  </si>
  <si>
    <t>100382</t>
  </si>
  <si>
    <t>MISBAHATUL LAILIA</t>
  </si>
  <si>
    <t>199101172024212024</t>
  </si>
  <si>
    <t>635082159625000</t>
  </si>
  <si>
    <t>100402</t>
  </si>
  <si>
    <t>199212222024211010</t>
  </si>
  <si>
    <t>942097999624000</t>
  </si>
  <si>
    <t>3513141201930001</t>
  </si>
  <si>
    <t>MOCH.TRIZA NURFAHRUDIN,</t>
  </si>
  <si>
    <t>818582413625000</t>
  </si>
  <si>
    <t>100414</t>
  </si>
  <si>
    <t>MUH. AUDINI MUKHLISIDDIN,</t>
  </si>
  <si>
    <t>105065668625000</t>
  </si>
  <si>
    <t>100320</t>
  </si>
  <si>
    <t>MUHAMMAD IQBAL DZAKY ASY'ARI</t>
  </si>
  <si>
    <t>199511022024211009</t>
  </si>
  <si>
    <t>910834407625000</t>
  </si>
  <si>
    <t>100343</t>
  </si>
  <si>
    <t>198405042024212016</t>
  </si>
  <si>
    <t>037868163625000</t>
  </si>
  <si>
    <t>100326</t>
  </si>
  <si>
    <t>NIA SEPTRIANA</t>
  </si>
  <si>
    <t>199109052024212026</t>
  </si>
  <si>
    <t>205216708625000</t>
  </si>
  <si>
    <t>100417</t>
  </si>
  <si>
    <t>199501182024212029</t>
  </si>
  <si>
    <t>851521583625000</t>
  </si>
  <si>
    <t>100341</t>
  </si>
  <si>
    <t>NILI SITIANI,</t>
  </si>
  <si>
    <t>198309012023212001</t>
  </si>
  <si>
    <t>734301070625000</t>
  </si>
  <si>
    <t>100371</t>
  </si>
  <si>
    <t>NOVA HILIATUL FIKRIYAH,</t>
  </si>
  <si>
    <t>811673706625000</t>
  </si>
  <si>
    <t>100365</t>
  </si>
  <si>
    <t>NOVIA TRI UTAMI,</t>
  </si>
  <si>
    <t>922538764625000</t>
  </si>
  <si>
    <t>100378</t>
  </si>
  <si>
    <t>NUER QHOMARIAH</t>
  </si>
  <si>
    <t>199010102024212049</t>
  </si>
  <si>
    <t>996216073625000</t>
  </si>
  <si>
    <t>100364</t>
  </si>
  <si>
    <t>NUR AENI APRILINA,</t>
  </si>
  <si>
    <t>967002825625000</t>
  </si>
  <si>
    <t>100404</t>
  </si>
  <si>
    <t>NUR DIANA KHOLIDA</t>
  </si>
  <si>
    <t>199303202024212046</t>
  </si>
  <si>
    <t>866756232625000</t>
  </si>
  <si>
    <t>3513155505870002</t>
  </si>
  <si>
    <t>NUR KOMARIYAH,</t>
  </si>
  <si>
    <t>724984349625000</t>
  </si>
  <si>
    <t>100409</t>
  </si>
  <si>
    <t>NURFITRIA DEWI,</t>
  </si>
  <si>
    <t>924127855625000</t>
  </si>
  <si>
    <t>100359</t>
  </si>
  <si>
    <t>NURMA DIANITA,</t>
  </si>
  <si>
    <t>760354589625000</t>
  </si>
  <si>
    <t>100380</t>
  </si>
  <si>
    <t>NURMA YULINDA</t>
  </si>
  <si>
    <t>199012172024212018</t>
  </si>
  <si>
    <t>734297344625000</t>
  </si>
  <si>
    <t>100431</t>
  </si>
  <si>
    <t>NURUL AINI,</t>
  </si>
  <si>
    <t>959332867625000</t>
  </si>
  <si>
    <t>100376</t>
  </si>
  <si>
    <t>PUPUTRI AGIS SETIA DEWI</t>
  </si>
  <si>
    <t>199008152024212019</t>
  </si>
  <si>
    <t>624257622625000</t>
  </si>
  <si>
    <t>100387</t>
  </si>
  <si>
    <t>PUTRI HARUM RESTU</t>
  </si>
  <si>
    <t>199107062024212033</t>
  </si>
  <si>
    <t>826526998625000</t>
  </si>
  <si>
    <t>100393</t>
  </si>
  <si>
    <t>PUTRI NIKMA AULIA,</t>
  </si>
  <si>
    <t>414195594625000</t>
  </si>
  <si>
    <t>3574034501950008</t>
  </si>
  <si>
    <t>RAHMANIA HAMIDA,</t>
  </si>
  <si>
    <t>867021586625000</t>
  </si>
  <si>
    <t>100367</t>
  </si>
  <si>
    <t>RATIH BAJRIA NING TRIAS</t>
  </si>
  <si>
    <t>199001172024212018</t>
  </si>
  <si>
    <t>996210829656000</t>
  </si>
  <si>
    <t>100372</t>
  </si>
  <si>
    <t>RATIH TRI NUGRAHENI</t>
  </si>
  <si>
    <t>199005172024212016</t>
  </si>
  <si>
    <t>867021941625000</t>
  </si>
  <si>
    <t>100385</t>
  </si>
  <si>
    <t>REDHA WULANSARI,</t>
  </si>
  <si>
    <t>855094991625000</t>
  </si>
  <si>
    <t>100424</t>
  </si>
  <si>
    <t>RIAWAN SATRIANTORO</t>
  </si>
  <si>
    <t>199512102024211009</t>
  </si>
  <si>
    <t>932817984524000</t>
  </si>
  <si>
    <t>100423</t>
  </si>
  <si>
    <t>RIDHA FATIHATUL LAILIYAH</t>
  </si>
  <si>
    <t>199509292024212035</t>
  </si>
  <si>
    <t>415845775625000</t>
  </si>
  <si>
    <t>100407</t>
  </si>
  <si>
    <t>RIFKA YUNITA ARDIANA</t>
  </si>
  <si>
    <t>965777238625000</t>
  </si>
  <si>
    <t>100388</t>
  </si>
  <si>
    <t>RINDI ARDILIANTO,</t>
  </si>
  <si>
    <t>819761859625000</t>
  </si>
  <si>
    <t>100375</t>
  </si>
  <si>
    <t>199008082024212038</t>
  </si>
  <si>
    <t>202039657656000</t>
  </si>
  <si>
    <t>100401</t>
  </si>
  <si>
    <t>RIZKA NANDA LAILI ALFIATUL IZZAH</t>
  </si>
  <si>
    <t>199212212024212030</t>
  </si>
  <si>
    <t>604222927625000</t>
  </si>
  <si>
    <t>100411</t>
  </si>
  <si>
    <t>RIZQI NURLAILI,</t>
  </si>
  <si>
    <t>616252052625000</t>
  </si>
  <si>
    <t>100381</t>
  </si>
  <si>
    <t>ROISUS SHOHILIYAH,</t>
  </si>
  <si>
    <t>623763927625000</t>
  </si>
  <si>
    <t>100346</t>
  </si>
  <si>
    <t>ROLIS PUTRO NUGROHO,</t>
  </si>
  <si>
    <t>939689550625000</t>
  </si>
  <si>
    <t>100374</t>
  </si>
  <si>
    <t>RR. JUNESTIA DWI HARNANDA,</t>
  </si>
  <si>
    <t>801189325626000</t>
  </si>
  <si>
    <t>3513116306840001</t>
  </si>
  <si>
    <t>SAA'DATUT DARAINI FITRIYA,</t>
  </si>
  <si>
    <t>105896245625000</t>
  </si>
  <si>
    <t>100337</t>
  </si>
  <si>
    <t>SAHRONI,</t>
  </si>
  <si>
    <t>817404957625000</t>
  </si>
  <si>
    <t>100397</t>
  </si>
  <si>
    <t>SARIFATUN NISA</t>
  </si>
  <si>
    <t>199206222024212029</t>
  </si>
  <si>
    <t>866958994625000</t>
  </si>
  <si>
    <t>100399</t>
  </si>
  <si>
    <t>SELA YULIANA,</t>
  </si>
  <si>
    <t>811673300625000</t>
  </si>
  <si>
    <t>100335</t>
  </si>
  <si>
    <t>SENTOT SUWONDO,</t>
  </si>
  <si>
    <t>803393313625000</t>
  </si>
  <si>
    <t>3513141409900004</t>
  </si>
  <si>
    <t>SEPTIAN SUWANDHA PUTRA</t>
  </si>
  <si>
    <t>199009142024211015</t>
  </si>
  <si>
    <t>734085566625000</t>
  </si>
  <si>
    <t>100389</t>
  </si>
  <si>
    <t>SEPTINIAR NUGROHO PUTRI</t>
  </si>
  <si>
    <t>199109122024212035</t>
  </si>
  <si>
    <t>829073618625000</t>
  </si>
  <si>
    <t>100390</t>
  </si>
  <si>
    <t>SEPTY MAULIDIA,</t>
  </si>
  <si>
    <t>408427201625000</t>
  </si>
  <si>
    <t>100422</t>
  </si>
  <si>
    <t>SIDI MUKHLIS</t>
  </si>
  <si>
    <t>199508252024211006</t>
  </si>
  <si>
    <t>966501967625000</t>
  </si>
  <si>
    <t>100412</t>
  </si>
  <si>
    <t>SIGIT PUJIANTO</t>
  </si>
  <si>
    <t>633785969625000</t>
  </si>
  <si>
    <t>100384</t>
  </si>
  <si>
    <t>SILFANIYAH FUJI RAHAYU,</t>
  </si>
  <si>
    <t>100383</t>
  </si>
  <si>
    <t>SITI MASRUROH</t>
  </si>
  <si>
    <t>199101202024212024</t>
  </si>
  <si>
    <t>604077461625000</t>
  </si>
  <si>
    <t>100353</t>
  </si>
  <si>
    <t>SITI NURUL LAILA,</t>
  </si>
  <si>
    <t>965817372625000</t>
  </si>
  <si>
    <t>100348</t>
  </si>
  <si>
    <t>SITI ZULAIHA,</t>
  </si>
  <si>
    <t>630475432625000</t>
  </si>
  <si>
    <t>100377</t>
  </si>
  <si>
    <t>SLAMET HARIADI,</t>
  </si>
  <si>
    <t>768877656625000</t>
  </si>
  <si>
    <t>3513154107900076</t>
  </si>
  <si>
    <t>SRI AGUSTINI,</t>
  </si>
  <si>
    <t>832937619625000</t>
  </si>
  <si>
    <t>100339</t>
  </si>
  <si>
    <t>SRI RAHAYUNINGSIH,</t>
  </si>
  <si>
    <t>734367485625000</t>
  </si>
  <si>
    <t>100340</t>
  </si>
  <si>
    <t>SRI WAHYUNI,</t>
  </si>
  <si>
    <t>810644161625000</t>
  </si>
  <si>
    <t>100425</t>
  </si>
  <si>
    <t>SULISTIA MURNI</t>
  </si>
  <si>
    <t>199512212024212032</t>
  </si>
  <si>
    <t>410415038625000</t>
  </si>
  <si>
    <t>3513121009890001</t>
  </si>
  <si>
    <t>SYAMSUL ARIFIN,</t>
  </si>
  <si>
    <t>948578505625000</t>
  </si>
  <si>
    <t>100415</t>
  </si>
  <si>
    <t>199501092024212024</t>
  </si>
  <si>
    <t>964511729625000</t>
  </si>
  <si>
    <t>3513231705860001</t>
  </si>
  <si>
    <t>TEGUH NUGROHO,</t>
  </si>
  <si>
    <t>866211709625000</t>
  </si>
  <si>
    <t>100426</t>
  </si>
  <si>
    <t>TIKA SRINURIA AGUSTIANINGSIH,</t>
  </si>
  <si>
    <t>865851513625000</t>
  </si>
  <si>
    <t>100428</t>
  </si>
  <si>
    <t>TRI SETYAYU NINGSIH</t>
  </si>
  <si>
    <t>199706052024212025</t>
  </si>
  <si>
    <t>853191302625000</t>
  </si>
  <si>
    <t>3510091108920003</t>
  </si>
  <si>
    <t>TUBAGUS MUHAMMAD ZEIN,</t>
  </si>
  <si>
    <t>961225596625000</t>
  </si>
  <si>
    <t>3513117010900001</t>
  </si>
  <si>
    <t>TUTIK KUS ENDANG,</t>
  </si>
  <si>
    <t>105952220625000</t>
  </si>
  <si>
    <t>100420</t>
  </si>
  <si>
    <t>USWATUN HASANAH</t>
  </si>
  <si>
    <t>199504022024212022</t>
  </si>
  <si>
    <t>612310326625000</t>
  </si>
  <si>
    <t>100400</t>
  </si>
  <si>
    <t>VIRGIANITA MAULINDYA ZUHRI,</t>
  </si>
  <si>
    <t>623725819625000</t>
  </si>
  <si>
    <t>100331</t>
  </si>
  <si>
    <t>WAHYU HIDAYATI</t>
  </si>
  <si>
    <t>199704072024212036</t>
  </si>
  <si>
    <t>994963247625000</t>
  </si>
  <si>
    <t>3513196903920002</t>
  </si>
  <si>
    <t>WIDIYA FITRA YOGA</t>
  </si>
  <si>
    <t>199203292024212037</t>
  </si>
  <si>
    <t>854108909625000</t>
  </si>
  <si>
    <t>100356</t>
  </si>
  <si>
    <t>WIJI EKA SHOFIAH,</t>
  </si>
  <si>
    <t>811498443625000</t>
  </si>
  <si>
    <t>100304</t>
  </si>
  <si>
    <t>198609262024212019</t>
  </si>
  <si>
    <t>700785306625000</t>
  </si>
  <si>
    <t>3513121304830001</t>
  </si>
  <si>
    <t>YANDRI APRIYADI,</t>
  </si>
  <si>
    <t>792029654625000</t>
  </si>
  <si>
    <t>100361</t>
  </si>
  <si>
    <t>YOGA GUSTI ARGHA,</t>
  </si>
  <si>
    <t>854380813625000</t>
  </si>
  <si>
    <t>3513115307900002</t>
  </si>
  <si>
    <t>YULIASMI KUSUMA</t>
  </si>
  <si>
    <t>199007132024212030</t>
  </si>
  <si>
    <t>604427690625000</t>
  </si>
  <si>
    <t>100450</t>
  </si>
  <si>
    <t>A. Nailil Adzkar, S.Kep.Ns</t>
  </si>
  <si>
    <t>0000-00-00</t>
  </si>
  <si>
    <t>HR</t>
  </si>
  <si>
    <t>0</t>
  </si>
  <si>
    <t>HONORER</t>
  </si>
  <si>
    <t>100515</t>
  </si>
  <si>
    <t>Abd. Rahman, SH</t>
  </si>
  <si>
    <t>867418543625000</t>
  </si>
  <si>
    <t>S1-UMUM</t>
  </si>
  <si>
    <t>Tenaga Non Medis</t>
  </si>
  <si>
    <t>100443</t>
  </si>
  <si>
    <t>Abd. Rohimullah</t>
  </si>
  <si>
    <t>100469</t>
  </si>
  <si>
    <t>Abdul Jalil</t>
  </si>
  <si>
    <t>D1-MEDIS</t>
  </si>
  <si>
    <t>100454</t>
  </si>
  <si>
    <t>Achmad Ibnu Abbas, S.Kep, Ners</t>
  </si>
  <si>
    <t>100503</t>
  </si>
  <si>
    <t>Ahmad Saihu</t>
  </si>
  <si>
    <t>100456</t>
  </si>
  <si>
    <t>Ahmad Sayadi</t>
  </si>
  <si>
    <t>100488</t>
  </si>
  <si>
    <t>Ainol Fadilah, A.Md.Kep</t>
  </si>
  <si>
    <t>D3-MEDIS</t>
  </si>
  <si>
    <t>100509</t>
  </si>
  <si>
    <t>Airin Suprapti</t>
  </si>
  <si>
    <t>100510</t>
  </si>
  <si>
    <t>Akhmad Affandi</t>
  </si>
  <si>
    <t>100513</t>
  </si>
  <si>
    <t>Alfia Rizky Amalia</t>
  </si>
  <si>
    <t>866681968625000</t>
  </si>
  <si>
    <t>100477</t>
  </si>
  <si>
    <t>Alfiansyah</t>
  </si>
  <si>
    <t>813856259625000</t>
  </si>
  <si>
    <t>100506</t>
  </si>
  <si>
    <t>Alis Nurhayati</t>
  </si>
  <si>
    <t>100466</t>
  </si>
  <si>
    <t>Ana Yuliana, A.Md.</t>
  </si>
  <si>
    <t>100494</t>
  </si>
  <si>
    <t>Andrianto</t>
  </si>
  <si>
    <t>100514</t>
  </si>
  <si>
    <t>Ari Nugroho, SE</t>
  </si>
  <si>
    <t>866210818625000</t>
  </si>
  <si>
    <t>100504</t>
  </si>
  <si>
    <t>Arif Bambang Prayogi, S.Kep</t>
  </si>
  <si>
    <t>100535</t>
  </si>
  <si>
    <t>Arwani</t>
  </si>
  <si>
    <t>100539</t>
  </si>
  <si>
    <t>As'ad</t>
  </si>
  <si>
    <t>100537</t>
  </si>
  <si>
    <t>Ayu Murningsih</t>
  </si>
  <si>
    <t>100480</t>
  </si>
  <si>
    <t>Ayu Wibawa, A.Md.Kep</t>
  </si>
  <si>
    <t>100462</t>
  </si>
  <si>
    <t>Bambang Sujarwo</t>
  </si>
  <si>
    <t>728429036625000</t>
  </si>
  <si>
    <t>100479</t>
  </si>
  <si>
    <t>Britantyo M A, S.Kep.Ns</t>
  </si>
  <si>
    <t>100485</t>
  </si>
  <si>
    <t>Busani Irmayanti</t>
  </si>
  <si>
    <t>100493</t>
  </si>
  <si>
    <t>Dedy Ari Santo</t>
  </si>
  <si>
    <t>740711346625000</t>
  </si>
  <si>
    <t>100449</t>
  </si>
  <si>
    <t>Dewi Umaria Nandani, A.Md.Keb</t>
  </si>
  <si>
    <t>dr. Dewi Puspitorini, Sp.KK</t>
  </si>
  <si>
    <t>Dokter Spesialis</t>
  </si>
  <si>
    <t>5108061708800006</t>
  </si>
  <si>
    <t>dr. Ketut Arie Suastawa, MSc., Sp.PD</t>
  </si>
  <si>
    <t>100457</t>
  </si>
  <si>
    <t>dr. Resyana Widyayani, Sp.An</t>
  </si>
  <si>
    <t>dr. Tofan Margaret Dwi Saputra, Sp.OT</t>
  </si>
  <si>
    <t>3578032805810001</t>
  </si>
  <si>
    <t>dr. Trinandika Ardhana, Sp.JP, FIHA</t>
  </si>
  <si>
    <t>100490</t>
  </si>
  <si>
    <t>Dwi Ari Susyanti, S.ST</t>
  </si>
  <si>
    <t>D4-MEDIS</t>
  </si>
  <si>
    <t>100523</t>
  </si>
  <si>
    <t>Dwi Lestari, A.Md.Keb</t>
  </si>
  <si>
    <t>100481</t>
  </si>
  <si>
    <t>Editya Liry Chandra</t>
  </si>
  <si>
    <t>100459</t>
  </si>
  <si>
    <t>Eko Prasetyo</t>
  </si>
  <si>
    <t>3513126905900006</t>
  </si>
  <si>
    <t>Endang Fitriyani, S.ST</t>
  </si>
  <si>
    <t>100442</t>
  </si>
  <si>
    <t>Erick Pradana Cahyono, S.Kep.Ns</t>
  </si>
  <si>
    <t>100461</t>
  </si>
  <si>
    <t>Evi Julaikha</t>
  </si>
  <si>
    <t>100489</t>
  </si>
  <si>
    <t>Evita Dewi Lestari, A.Md.Kep</t>
  </si>
  <si>
    <t>100502</t>
  </si>
  <si>
    <t>Fatmawati</t>
  </si>
  <si>
    <t>100445</t>
  </si>
  <si>
    <t>Felly Septian Finandini, S.Sos</t>
  </si>
  <si>
    <t>100538</t>
  </si>
  <si>
    <t>Halimatus Sakdiyah</t>
  </si>
  <si>
    <t>100544</t>
  </si>
  <si>
    <t>Hartono, A.Md, Kep</t>
  </si>
  <si>
    <t>100468</t>
  </si>
  <si>
    <t>Harun Ar-Rasyid, Sap</t>
  </si>
  <si>
    <t>100536</t>
  </si>
  <si>
    <t>Heni Soraya</t>
  </si>
  <si>
    <t>100499</t>
  </si>
  <si>
    <t>Hikmatul Mukarromah</t>
  </si>
  <si>
    <t>100540</t>
  </si>
  <si>
    <t>Hotimah, A.Md.Kep</t>
  </si>
  <si>
    <t>100492</t>
  </si>
  <si>
    <t>Ilhafa, S.Kep</t>
  </si>
  <si>
    <t>100491</t>
  </si>
  <si>
    <t>Imam Sujar Lastanto, A.Md.Kep</t>
  </si>
  <si>
    <t>100519</t>
  </si>
  <si>
    <t>Indah Aini</t>
  </si>
  <si>
    <t>100524</t>
  </si>
  <si>
    <t>Jatimur Rahim</t>
  </si>
  <si>
    <t>866683139625000</t>
  </si>
  <si>
    <t>100465</t>
  </si>
  <si>
    <t>Jatimur Rahman</t>
  </si>
  <si>
    <t>100448</t>
  </si>
  <si>
    <t>Khahilatul Aini, A.Md.</t>
  </si>
  <si>
    <t>100486</t>
  </si>
  <si>
    <t>Kiis Wita Rahman, S.Kom</t>
  </si>
  <si>
    <t>866629280625000</t>
  </si>
  <si>
    <t>100530</t>
  </si>
  <si>
    <t>Lilik Ardila Wijaya, A.Md.Kep</t>
  </si>
  <si>
    <t>100525</t>
  </si>
  <si>
    <t>Lince Dewi, A.Md.Kep</t>
  </si>
  <si>
    <t>100471</t>
  </si>
  <si>
    <t xml:space="preserve">Lulut Rebianto </t>
  </si>
  <si>
    <t>100542</t>
  </si>
  <si>
    <t>M. Ervan Junaidi</t>
  </si>
  <si>
    <t>100516</t>
  </si>
  <si>
    <t>Mahrigawati</t>
  </si>
  <si>
    <t>866380264625000</t>
  </si>
  <si>
    <t>100511</t>
  </si>
  <si>
    <t>Mamiek Dian Susanti, A.Md.Keb</t>
  </si>
  <si>
    <t>100482</t>
  </si>
  <si>
    <t>Melinda Evi Fatmawati</t>
  </si>
  <si>
    <t>100496</t>
  </si>
  <si>
    <t>Mistari</t>
  </si>
  <si>
    <t>100438</t>
  </si>
  <si>
    <t>Moch. Danial, A.Md.Kep</t>
  </si>
  <si>
    <t>100472</t>
  </si>
  <si>
    <t>Moh. Ali</t>
  </si>
  <si>
    <t>100463</t>
  </si>
  <si>
    <t>Moh. Avivi, SE</t>
  </si>
  <si>
    <t>100475</t>
  </si>
  <si>
    <t>Moh. Kafa Bihi</t>
  </si>
  <si>
    <t>100520</t>
  </si>
  <si>
    <t>Moh. Samsi</t>
  </si>
  <si>
    <t>100534</t>
  </si>
  <si>
    <t>Moh. Tohi</t>
  </si>
  <si>
    <t>100501</t>
  </si>
  <si>
    <t>Mohammad Hafidz, S.Pdi</t>
  </si>
  <si>
    <t>100505</t>
  </si>
  <si>
    <t>Muhammad Subai</t>
  </si>
  <si>
    <t>100500</t>
  </si>
  <si>
    <t>Musthofa</t>
  </si>
  <si>
    <t>100517</t>
  </si>
  <si>
    <t>Nendy Fajri Rahmadi, SE</t>
  </si>
  <si>
    <t>3509214509910002</t>
  </si>
  <si>
    <t>Nia Septriana, S.ST</t>
  </si>
  <si>
    <t>100512</t>
  </si>
  <si>
    <t>Nining Retnaningsih, S.Kep.Ns</t>
  </si>
  <si>
    <t>100447</t>
  </si>
  <si>
    <t>Noevita Anggraeni</t>
  </si>
  <si>
    <t>866356595625000</t>
  </si>
  <si>
    <t>100473</t>
  </si>
  <si>
    <t>Nur Ahmad</t>
  </si>
  <si>
    <t>100532</t>
  </si>
  <si>
    <t>Nur Azizah</t>
  </si>
  <si>
    <t>100533</t>
  </si>
  <si>
    <t>Nur Hasanah</t>
  </si>
  <si>
    <t>100455</t>
  </si>
  <si>
    <t>Nur Khasanah</t>
  </si>
  <si>
    <t>832162861625000</t>
  </si>
  <si>
    <t>100458</t>
  </si>
  <si>
    <t>Nuris Erta Febrihani, S.S</t>
  </si>
  <si>
    <t>100507</t>
  </si>
  <si>
    <t>Nurul Maimunah</t>
  </si>
  <si>
    <t>100508</t>
  </si>
  <si>
    <t>Putri Dewi Agitanti</t>
  </si>
  <si>
    <t>100444</t>
  </si>
  <si>
    <t>Qurrotul Aeni, A.Md.Kep</t>
  </si>
  <si>
    <t>100526</t>
  </si>
  <si>
    <t>Ratna Dwi Puspitasari, A.Md.Kep</t>
  </si>
  <si>
    <t>100474</t>
  </si>
  <si>
    <t>Rico Dwi Hengki, A.Md.Kep</t>
  </si>
  <si>
    <t>100527</t>
  </si>
  <si>
    <t>Rini Wahyu Fadilah, A.Md.Keb</t>
  </si>
  <si>
    <t>100528</t>
  </si>
  <si>
    <t>Rofiko, A.Md.Kep</t>
  </si>
  <si>
    <t>100529</t>
  </si>
  <si>
    <t>Romli</t>
  </si>
  <si>
    <t>100518</t>
  </si>
  <si>
    <t>Rony Hardiyansyah, A.Md</t>
  </si>
  <si>
    <t>100495</t>
  </si>
  <si>
    <t>Rudi Hartono</t>
  </si>
  <si>
    <t>100531</t>
  </si>
  <si>
    <t>Rudiawati, A.Md.Keb</t>
  </si>
  <si>
    <t>100497</t>
  </si>
  <si>
    <t>Saiful Bahri</t>
  </si>
  <si>
    <t>100522</t>
  </si>
  <si>
    <t>Sanawi, A.Md.Kep</t>
  </si>
  <si>
    <t>100441</t>
  </si>
  <si>
    <t>Sariyanto, A.Md. Kep</t>
  </si>
  <si>
    <t>100543</t>
  </si>
  <si>
    <t>Satuman Iwan S.</t>
  </si>
  <si>
    <t>100521</t>
  </si>
  <si>
    <t>Selfi Sitarina, A.Md.Kep</t>
  </si>
  <si>
    <t>100453</t>
  </si>
  <si>
    <t>Septiana Maulindah, S.Pd</t>
  </si>
  <si>
    <t>100451</t>
  </si>
  <si>
    <t>Septiyan Haris Sasmito S.Sos</t>
  </si>
  <si>
    <t>100464</t>
  </si>
  <si>
    <t>Siti Nur Holifah</t>
  </si>
  <si>
    <t>100483</t>
  </si>
  <si>
    <t>Slamet Eko Yulianto, S.Kep.Ns</t>
  </si>
  <si>
    <t>100478</t>
  </si>
  <si>
    <t>Slamet, S.Kom</t>
  </si>
  <si>
    <t>100498</t>
  </si>
  <si>
    <t>Subaidi</t>
  </si>
  <si>
    <t>100484</t>
  </si>
  <si>
    <t>Sulin Ariyanto</t>
  </si>
  <si>
    <t>100476</t>
  </si>
  <si>
    <t>Sutratin, A.Md.Keb</t>
  </si>
  <si>
    <t>100487</t>
  </si>
  <si>
    <t>Tika Yolanda, S.ST</t>
  </si>
  <si>
    <t>100460</t>
  </si>
  <si>
    <t>Umi Lailatul Qomaria, S.Kep.Ners</t>
  </si>
  <si>
    <t>100440</t>
  </si>
  <si>
    <t>Yayuk, A.Md. Kep</t>
  </si>
  <si>
    <t>100470</t>
  </si>
  <si>
    <t>Zaikatul Fitria</t>
  </si>
  <si>
    <t>100467</t>
  </si>
  <si>
    <t>Zakky Irfan Inderasasmita, S.Kom</t>
  </si>
  <si>
    <t>100600</t>
  </si>
  <si>
    <t xml:space="preserve"> Sholehin, S.Kom </t>
  </si>
  <si>
    <t>100649</t>
  </si>
  <si>
    <t>Abdul Fatah</t>
  </si>
  <si>
    <t>100571</t>
  </si>
  <si>
    <t>Abdul Wahed</t>
  </si>
  <si>
    <t>100644</t>
  </si>
  <si>
    <t>Abdul Zuhri</t>
  </si>
  <si>
    <t>100730</t>
  </si>
  <si>
    <t>Abdus Salam, A.Md.Kep</t>
  </si>
  <si>
    <t>100606</t>
  </si>
  <si>
    <t>Abdussatar</t>
  </si>
  <si>
    <t>100629</t>
  </si>
  <si>
    <t>Achmad Faisal A, A.Md.Kep</t>
  </si>
  <si>
    <t>100664</t>
  </si>
  <si>
    <t>Achmad Khoiruroziqin, A.Md. Kep.</t>
  </si>
  <si>
    <t>100661</t>
  </si>
  <si>
    <t>Achmad Taufik, S.Kom</t>
  </si>
  <si>
    <t>100630</t>
  </si>
  <si>
    <t>Adi Saputro Purwadi</t>
  </si>
  <si>
    <t>100705</t>
  </si>
  <si>
    <t>Afiyatul Hasaniyah, A.Md. Kep</t>
  </si>
  <si>
    <t>100669</t>
  </si>
  <si>
    <t>Afwan Mukhlisin</t>
  </si>
  <si>
    <t>100552</t>
  </si>
  <si>
    <t>Agung Nugroho, A.Md.Kep.</t>
  </si>
  <si>
    <t>100626</t>
  </si>
  <si>
    <t>Agus Bambang Gunawan, A.Md.Kep</t>
  </si>
  <si>
    <t>100599</t>
  </si>
  <si>
    <t>Agustiningsih</t>
  </si>
  <si>
    <t>100588</t>
  </si>
  <si>
    <t>Ahmad Buchari, S.Kep.Ners</t>
  </si>
  <si>
    <t>100639</t>
  </si>
  <si>
    <t>Akhmad Nurholis</t>
  </si>
  <si>
    <t>100678</t>
  </si>
  <si>
    <t>Alex Ridla Maulana, Amd.Rad</t>
  </si>
  <si>
    <t>100692</t>
  </si>
  <si>
    <t>Alfiyah Ayuningtyas, S.KM</t>
  </si>
  <si>
    <t>100560</t>
  </si>
  <si>
    <t>Ali Wafa</t>
  </si>
  <si>
    <t>100652</t>
  </si>
  <si>
    <t>Aliffia Rachman Putri, S.Tr.Gz</t>
  </si>
  <si>
    <t>100582</t>
  </si>
  <si>
    <t>Alya Ririn Safitri , A.Md.Kep</t>
  </si>
  <si>
    <t>100680</t>
  </si>
  <si>
    <t>Amirul Anwar, A.Md.Kep</t>
  </si>
  <si>
    <t>100738</t>
  </si>
  <si>
    <t>Andika Yudi Prasetyo, S.Kom</t>
  </si>
  <si>
    <t>100721</t>
  </si>
  <si>
    <t>Andini Lupita Sari, A.Md.Kep</t>
  </si>
  <si>
    <t>100717</t>
  </si>
  <si>
    <t>Anita Rahayu, A.Md.Kep</t>
  </si>
  <si>
    <t>100709</t>
  </si>
  <si>
    <t>Arief Artha</t>
  </si>
  <si>
    <t>100699</t>
  </si>
  <si>
    <t>Arifianti Fauzijah, S.Kep.Ns</t>
  </si>
  <si>
    <t>100597</t>
  </si>
  <si>
    <t>Arismiadila Qori'Atul Fajrin, A.Md.Kes</t>
  </si>
  <si>
    <t>100565</t>
  </si>
  <si>
    <t>Arviananda Bahtiar, S.Kom</t>
  </si>
  <si>
    <t>100568</t>
  </si>
  <si>
    <t>Ayu Finda Rindayu, S.S</t>
  </si>
  <si>
    <t>100596</t>
  </si>
  <si>
    <t>Ayu Siti Hartinah, S.ST</t>
  </si>
  <si>
    <t>100684</t>
  </si>
  <si>
    <t>Belqist Izzatul Karomah, A.Md.Kep</t>
  </si>
  <si>
    <t>100580</t>
  </si>
  <si>
    <t>Daimatul Inayah, A.Md.Kep</t>
  </si>
  <si>
    <t>100589</t>
  </si>
  <si>
    <t>Davrina Silva Rianda, A.Md.Kep</t>
  </si>
  <si>
    <t>100724</t>
  </si>
  <si>
    <t>Dedhi Rahmad Apriwijaya</t>
  </si>
  <si>
    <t>100618</t>
  </si>
  <si>
    <t>Dedy Agus Wijaya</t>
  </si>
  <si>
    <t>100621</t>
  </si>
  <si>
    <t>Desy Diah Palupi, S.kom</t>
  </si>
  <si>
    <t>100675</t>
  </si>
  <si>
    <t>Dewi April Lina Sari, S.Kom</t>
  </si>
  <si>
    <t>100707</t>
  </si>
  <si>
    <t>Dewi Nikita Maghfirotul Ilmi, S.Farm, Apt</t>
  </si>
  <si>
    <t>100741</t>
  </si>
  <si>
    <t>Diah Ulfa Wijayanti, S.Tr.Keb</t>
  </si>
  <si>
    <t>100654</t>
  </si>
  <si>
    <t>Dian Nofitasari, A.Md.Kep</t>
  </si>
  <si>
    <t>3572030105880001</t>
  </si>
  <si>
    <t>dr. Abdi Saputro, Sp.BS</t>
  </si>
  <si>
    <t>3513142204910004</t>
  </si>
  <si>
    <t>dr. Andy Michael, Sp.B</t>
  </si>
  <si>
    <t>3578070507870001</t>
  </si>
  <si>
    <t>dr. Dana WandrianBaraseta, Sp.An</t>
  </si>
  <si>
    <t>dr. Desi Rianti Rahmadhani</t>
  </si>
  <si>
    <t>Dokter Umum</t>
  </si>
  <si>
    <t>3578160309870001</t>
  </si>
  <si>
    <t>dr. Fadhil Rasyid, Sp.An</t>
  </si>
  <si>
    <t>3578031404910004</t>
  </si>
  <si>
    <t xml:space="preserve">dr. Muhammad Abdurrahman Rasyid Ash Siddiq </t>
  </si>
  <si>
    <t>dr. Ni Made Maya Purnama Wulandari, Sp.A</t>
  </si>
  <si>
    <t>3513105206980003</t>
  </si>
  <si>
    <t>dr. Ninda Farahdina Nauroh</t>
  </si>
  <si>
    <t>dr. Puteri Ramasari</t>
  </si>
  <si>
    <t>3375027001870002</t>
  </si>
  <si>
    <t>dr. Riskiyana, MMR, Sp.N</t>
  </si>
  <si>
    <t>dr. Riza Fadhila Muhammad</t>
  </si>
  <si>
    <t>3573055109910006</t>
  </si>
  <si>
    <t>dr. Septy Aulia Rahmy, Sp.N</t>
  </si>
  <si>
    <t>dr. Widya Firly Novitasari, Sp.PK</t>
  </si>
  <si>
    <t>100672</t>
  </si>
  <si>
    <t>Drs. Izzudin</t>
  </si>
  <si>
    <t>100703</t>
  </si>
  <si>
    <t>Dwi Ratna Sari, A.Md.Kep</t>
  </si>
  <si>
    <t>100685</t>
  </si>
  <si>
    <t>Eka Yulianna Rozaqunni'Mah, A.Md.Kep</t>
  </si>
  <si>
    <t>100614</t>
  </si>
  <si>
    <t>Erfan Mujiono</t>
  </si>
  <si>
    <t>100671</t>
  </si>
  <si>
    <t>Eris Fathur Rohman, A.Md. Kep</t>
  </si>
  <si>
    <t>100710</t>
  </si>
  <si>
    <t>Erliyanto, A.Md.Kep</t>
  </si>
  <si>
    <t>100662</t>
  </si>
  <si>
    <t>Erwin Kusuma Wardana, S.Kom</t>
  </si>
  <si>
    <t>100557</t>
  </si>
  <si>
    <t xml:space="preserve">Faisol Susanto </t>
  </si>
  <si>
    <t>100573</t>
  </si>
  <si>
    <t>Fajar Lazuardi</t>
  </si>
  <si>
    <t>100631</t>
  </si>
  <si>
    <t>Fathor Rosi</t>
  </si>
  <si>
    <t>100558</t>
  </si>
  <si>
    <t>Fatimatus Zahro, S.Kep.Ns</t>
  </si>
  <si>
    <t>100602</t>
  </si>
  <si>
    <t>Feri Irawan, Amd.Rad</t>
  </si>
  <si>
    <t>100700</t>
  </si>
  <si>
    <t>Firdaus, A.Md.Kep</t>
  </si>
  <si>
    <t>100727</t>
  </si>
  <si>
    <t>Firsyal Quroni, A.Md.Kep</t>
  </si>
  <si>
    <t>100553</t>
  </si>
  <si>
    <t>Fuad Afandi</t>
  </si>
  <si>
    <t>683430284625000</t>
  </si>
  <si>
    <t>100688</t>
  </si>
  <si>
    <t>Gerina Dwi Agustina, A.Md.Kep</t>
  </si>
  <si>
    <t>100663</t>
  </si>
  <si>
    <t>Gilang Firmanda, A.Md.Ak</t>
  </si>
  <si>
    <t>100570</t>
  </si>
  <si>
    <t>Hela Andriana, S.T</t>
  </si>
  <si>
    <t>100723</t>
  </si>
  <si>
    <t>Holik Arisandy, A.Md.Kep</t>
  </si>
  <si>
    <t>100733</t>
  </si>
  <si>
    <t>Ida Ikrimah, A.Md.Kep</t>
  </si>
  <si>
    <t>100722</t>
  </si>
  <si>
    <t>Ika Sulistiyani, A.Md.Kep</t>
  </si>
  <si>
    <t>100581</t>
  </si>
  <si>
    <t>Ika Wardatul Jannah, A.Md.Kep</t>
  </si>
  <si>
    <t>100640</t>
  </si>
  <si>
    <t>Ika Yulianing Tyas</t>
  </si>
  <si>
    <t>100665</t>
  </si>
  <si>
    <t>Indah Tri Lestari, A.Md. Kep</t>
  </si>
  <si>
    <t>100658</t>
  </si>
  <si>
    <t>Intan Milenia, Amd.RMIK</t>
  </si>
  <si>
    <t>100594</t>
  </si>
  <si>
    <t>Ira Rofiandika</t>
  </si>
  <si>
    <t>100659</t>
  </si>
  <si>
    <t>Iradatul Khoiriah, S.ST</t>
  </si>
  <si>
    <t>100695</t>
  </si>
  <si>
    <t>Istiariningsih, A.Md. Kep.</t>
  </si>
  <si>
    <t>100679</t>
  </si>
  <si>
    <t>Junaedi Efendi, S.Kep.,Ns</t>
  </si>
  <si>
    <t>100735</t>
  </si>
  <si>
    <t>Kadir Anwar Nuris, A.Md.Kep</t>
  </si>
  <si>
    <t>100650</t>
  </si>
  <si>
    <t>Krisdian</t>
  </si>
  <si>
    <t>100686</t>
  </si>
  <si>
    <t>Laeilatul Mukarromah, S.Kep.,Ns</t>
  </si>
  <si>
    <t>100642</t>
  </si>
  <si>
    <t>Lasmoro Aji Santoso</t>
  </si>
  <si>
    <t>100683</t>
  </si>
  <si>
    <t>Lidyawati, S.Kep.,Ns</t>
  </si>
  <si>
    <t>100572</t>
  </si>
  <si>
    <t>M. Fais Amrullah Farhan</t>
  </si>
  <si>
    <t>100638</t>
  </si>
  <si>
    <t>M. Lutfi Tunggal Putra</t>
  </si>
  <si>
    <t>100636</t>
  </si>
  <si>
    <t>M. Rianto</t>
  </si>
  <si>
    <t>100643</t>
  </si>
  <si>
    <t>M. Salasun</t>
  </si>
  <si>
    <t>100549</t>
  </si>
  <si>
    <t>Maflahatun Nabila, S.Kep.,Ns</t>
  </si>
  <si>
    <t>100628</t>
  </si>
  <si>
    <t>Magfirotul Rohma, A.Md. Kep</t>
  </si>
  <si>
    <t>100595</t>
  </si>
  <si>
    <t>Maghfiroh Liyan Fatimah, A.Md.Kep</t>
  </si>
  <si>
    <t>100648</t>
  </si>
  <si>
    <t>Mamik Sudarmiati, S.Kom</t>
  </si>
  <si>
    <t>866483977625000</t>
  </si>
  <si>
    <t>100623</t>
  </si>
  <si>
    <t>Megawati, S.ST</t>
  </si>
  <si>
    <t>100574</t>
  </si>
  <si>
    <t>Misbahul Munir</t>
  </si>
  <si>
    <t>100742</t>
  </si>
  <si>
    <t>Moch Ipung Fitryanto, A.Md.Kep</t>
  </si>
  <si>
    <t>100592</t>
  </si>
  <si>
    <t>Moch Yudik Prastyo, A.Md. Kep</t>
  </si>
  <si>
    <t>100564</t>
  </si>
  <si>
    <t>Moch. As'ad Imam Masruri</t>
  </si>
  <si>
    <t>100637</t>
  </si>
  <si>
    <t>Moh. Dasuki</t>
  </si>
  <si>
    <t>100726</t>
  </si>
  <si>
    <t>Moh. Ghozy Arifin, S.Kep.,Ns</t>
  </si>
  <si>
    <t>100657</t>
  </si>
  <si>
    <t>Moh. Kholil Sidik S.Kep., Ners</t>
  </si>
  <si>
    <t>100619</t>
  </si>
  <si>
    <t>Moh. Muchlis Farisi</t>
  </si>
  <si>
    <t>100673</t>
  </si>
  <si>
    <t>Moh. S. Guntur, A.Md. Kep</t>
  </si>
  <si>
    <t>100607</t>
  </si>
  <si>
    <t>Moh. Shoimuddin</t>
  </si>
  <si>
    <t>100677</t>
  </si>
  <si>
    <t>Moh. Sufyan Ubaidillah, A.Md.AK</t>
  </si>
  <si>
    <t>100635</t>
  </si>
  <si>
    <t>Moh. Tohir</t>
  </si>
  <si>
    <t>100666</t>
  </si>
  <si>
    <t>Mohammad Haris Rofiqi, A.Md.Kep</t>
  </si>
  <si>
    <t>100693</t>
  </si>
  <si>
    <t>Mohammad Khairul Anam, A.Md.Kep</t>
  </si>
  <si>
    <t>100577</t>
  </si>
  <si>
    <t>Mohammat Mahrija</t>
  </si>
  <si>
    <t>100559</t>
  </si>
  <si>
    <t>Momon Sugianto</t>
  </si>
  <si>
    <t>100712</t>
  </si>
  <si>
    <t>Muh Taufiqur, AMd.Kep</t>
  </si>
  <si>
    <t>100668</t>
  </si>
  <si>
    <t>Muhammad Fauzi, S.Kep.,Ns</t>
  </si>
  <si>
    <t>100624</t>
  </si>
  <si>
    <t>Muhammad Irwan Wahyudi</t>
  </si>
  <si>
    <t>100647</t>
  </si>
  <si>
    <t>Muhammad Muhyi</t>
  </si>
  <si>
    <t>100617</t>
  </si>
  <si>
    <t>Muhammad Samsul Hadi</t>
  </si>
  <si>
    <t>100714</t>
  </si>
  <si>
    <t>Nabila Hafina, A.Md.Kep</t>
  </si>
  <si>
    <t>100583</t>
  </si>
  <si>
    <t>Nabilah Fathiyah Rahmah, S.Tr.Kes</t>
  </si>
  <si>
    <t>100725</t>
  </si>
  <si>
    <t>Nafisatun, A.Md.Kep</t>
  </si>
  <si>
    <t>100578</t>
  </si>
  <si>
    <t>Nanik Nurhasila</t>
  </si>
  <si>
    <t>100681</t>
  </si>
  <si>
    <t>Nely Meliyana, S.Tr.Kes</t>
  </si>
  <si>
    <t>100550</t>
  </si>
  <si>
    <t>Novi Aryani, S.Farm, Apt</t>
  </si>
  <si>
    <t>100737</t>
  </si>
  <si>
    <t>Nugroho Priyo Wicaksono, A.Md.Kep</t>
  </si>
  <si>
    <t>100622</t>
  </si>
  <si>
    <t>Nungki Agnes Palupi, S.ST</t>
  </si>
  <si>
    <t>100612</t>
  </si>
  <si>
    <t>Nur Ayu Amalia Fitriani</t>
  </si>
  <si>
    <t>100682</t>
  </si>
  <si>
    <t>Nur Diana Kholida, S.Kep.,Ns</t>
  </si>
  <si>
    <t>100711</t>
  </si>
  <si>
    <t>Nur Hasan</t>
  </si>
  <si>
    <t>100729</t>
  </si>
  <si>
    <t>Nur Risqiana Nasution, A.Md. Kep</t>
  </si>
  <si>
    <t>100656</t>
  </si>
  <si>
    <t>Nuraika Putriandini, Amd.Kes</t>
  </si>
  <si>
    <t>100690</t>
  </si>
  <si>
    <t>Nurdiana Avrilia, STr.Gz</t>
  </si>
  <si>
    <t>100551</t>
  </si>
  <si>
    <t>Nuris Shoba, S.Tr.Kes</t>
  </si>
  <si>
    <t>100625</t>
  </si>
  <si>
    <t>Nurkhayatul Jannah, AM.Md.Keb</t>
  </si>
  <si>
    <t>100584</t>
  </si>
  <si>
    <t>Nurul Laily Masruroh, S.Kep.,Ns</t>
  </si>
  <si>
    <t>100569</t>
  </si>
  <si>
    <t>Oktavia Kartika Dewi, SE</t>
  </si>
  <si>
    <t>100719</t>
  </si>
  <si>
    <t>Puji Affan Dwi Miriyanto, S.Kep.,Ns</t>
  </si>
  <si>
    <t>100655</t>
  </si>
  <si>
    <t>Putri Dwi Damayanti, A.Md.Keb</t>
  </si>
  <si>
    <t>100567</t>
  </si>
  <si>
    <t>Putri Meiga Rofiatul HS, A.md.Kep</t>
  </si>
  <si>
    <t>100687</t>
  </si>
  <si>
    <t>Qoriatul Hidayati, A.Md.Kep</t>
  </si>
  <si>
    <t>100604</t>
  </si>
  <si>
    <t>Rafi Firman Maulana</t>
  </si>
  <si>
    <t>100704</t>
  </si>
  <si>
    <t>Ramadhan Hasan Fahrezi, A.Md.Kep</t>
  </si>
  <si>
    <t>100575</t>
  </si>
  <si>
    <t>Ramadhan Saifullah, S.Tr.Kes</t>
  </si>
  <si>
    <t>100563</t>
  </si>
  <si>
    <t>Rani Firda Nur Imaniah Azis, S.Farm, Apt.</t>
  </si>
  <si>
    <t>100708</t>
  </si>
  <si>
    <t>Ressy Yusuf Barnes</t>
  </si>
  <si>
    <t>100691</t>
  </si>
  <si>
    <t>Retnaning Ayu Dyah Sawitri, S.Tr.Ak</t>
  </si>
  <si>
    <t>100696</t>
  </si>
  <si>
    <t>Reza Cholid Yanuan Perdana, S.T</t>
  </si>
  <si>
    <t>100611</t>
  </si>
  <si>
    <t>Reza Yoga Utama</t>
  </si>
  <si>
    <t>942149089625000</t>
  </si>
  <si>
    <t>100702</t>
  </si>
  <si>
    <t>Ria Eka Mandasari, A.Md.Kep</t>
  </si>
  <si>
    <t>100715</t>
  </si>
  <si>
    <t>Rifki Hikmatul Ramadhani, A.Md. Kep</t>
  </si>
  <si>
    <t>100566</t>
  </si>
  <si>
    <t>Rina Nurhanifah</t>
  </si>
  <si>
    <t>100579</t>
  </si>
  <si>
    <t>Rini Sri Dwiarimbi, A.Md. Kep</t>
  </si>
  <si>
    <t>100720</t>
  </si>
  <si>
    <t>Ririn Astarina, S.Kep.,Ns</t>
  </si>
  <si>
    <t>100586</t>
  </si>
  <si>
    <t>Risqi Puspita Sari, A.Md. Kep</t>
  </si>
  <si>
    <t>100653</t>
  </si>
  <si>
    <t>Rizka Indah Kurnia, S.Tr.Gz</t>
  </si>
  <si>
    <t>100548</t>
  </si>
  <si>
    <t>Rizka Maulida Mayani, S.Kep.,Ns</t>
  </si>
  <si>
    <t>100743</t>
  </si>
  <si>
    <t>Robiatul Adawiyah, S.Kep.,Ns</t>
  </si>
  <si>
    <t>100556</t>
  </si>
  <si>
    <t>Roni Bahtiar</t>
  </si>
  <si>
    <t>100701</t>
  </si>
  <si>
    <t>Rudy Romadhona</t>
  </si>
  <si>
    <t>100674</t>
  </si>
  <si>
    <t>Saiful Ansori, S.Gz</t>
  </si>
  <si>
    <t>100601</t>
  </si>
  <si>
    <t>Senima Kurniawati, SE</t>
  </si>
  <si>
    <t>87609855625000</t>
  </si>
  <si>
    <t>100689</t>
  </si>
  <si>
    <t>Shafira Nuriyatul Ludfi, Amd.Gz</t>
  </si>
  <si>
    <t>100698</t>
  </si>
  <si>
    <t>Sherlyana Virdasary, S.Kep.,Ns</t>
  </si>
  <si>
    <t>100610</t>
  </si>
  <si>
    <t>Shotqi Habibi, S.Kom</t>
  </si>
  <si>
    <t>100591</t>
  </si>
  <si>
    <t>Sindi Patikasari Agustin, A.Md.Kep</t>
  </si>
  <si>
    <t>100555</t>
  </si>
  <si>
    <t>Sisi Sundari. S.Tr.Kes</t>
  </si>
  <si>
    <t>100660</t>
  </si>
  <si>
    <t>Siti Faizatul Munawaroh, A.Md.Kep</t>
  </si>
  <si>
    <t>100651</t>
  </si>
  <si>
    <t>Siti Fatimah, A.Md.Kep</t>
  </si>
  <si>
    <t>100554</t>
  </si>
  <si>
    <t>Siti Mahmudah Nur Aini, S.Kep.Ns</t>
  </si>
  <si>
    <t>100613</t>
  </si>
  <si>
    <t>Siti Nur Azizah</t>
  </si>
  <si>
    <t>100645</t>
  </si>
  <si>
    <t>Soekawati Nurhandayani</t>
  </si>
  <si>
    <t>100634</t>
  </si>
  <si>
    <t>Sri Wahyuningsih</t>
  </si>
  <si>
    <t>100598</t>
  </si>
  <si>
    <t>Subiantoro Hadi, A.Md.Kep</t>
  </si>
  <si>
    <t>100736</t>
  </si>
  <si>
    <t xml:space="preserve">Sudianto, AMd.Kep </t>
  </si>
  <si>
    <t>100605</t>
  </si>
  <si>
    <t>Sumarno</t>
  </si>
  <si>
    <t>100697</t>
  </si>
  <si>
    <t>Syswati, S.Kep.,Ns</t>
  </si>
  <si>
    <t>100585</t>
  </si>
  <si>
    <t>Tania Lestari, S.Kep.Ns</t>
  </si>
  <si>
    <t>100562</t>
  </si>
  <si>
    <t>Teguh Satria Febry Arta</t>
  </si>
  <si>
    <t>100641</t>
  </si>
  <si>
    <t>Tutik Hidayati</t>
  </si>
  <si>
    <t>100740</t>
  </si>
  <si>
    <t>Ulfia Anggraini, A.Md.Kep</t>
  </si>
  <si>
    <t>100587</t>
  </si>
  <si>
    <t>Umi Azizah, A.Md. Kep</t>
  </si>
  <si>
    <t>100739</t>
  </si>
  <si>
    <t>Umi Kulsum, A.Md. Kep</t>
  </si>
  <si>
    <t>100561</t>
  </si>
  <si>
    <t>Wahyu Susilo</t>
  </si>
  <si>
    <t>100667</t>
  </si>
  <si>
    <t>Wahyuni, S.Kep.,Ns</t>
  </si>
  <si>
    <t>100627</t>
  </si>
  <si>
    <t>Widia Pratiwi, A.Md.Kes</t>
  </si>
  <si>
    <t>100706</t>
  </si>
  <si>
    <t>Widya Suci Hartini, A.Md. Kep</t>
  </si>
  <si>
    <t>100732</t>
  </si>
  <si>
    <t>Wulandari Suciwati, S.Kep.Ns</t>
  </si>
  <si>
    <t>100603</t>
  </si>
  <si>
    <t>Wulandria Sumarti</t>
  </si>
  <si>
    <t>100615</t>
  </si>
  <si>
    <t>Yanuar Eka Restu H.</t>
  </si>
  <si>
    <t>100646</t>
  </si>
  <si>
    <t>Yoyon Cahyono</t>
  </si>
  <si>
    <t>100731</t>
  </si>
  <si>
    <t>Yuliana Wudarti, S.Kep.Ns</t>
  </si>
  <si>
    <t>100713</t>
  </si>
  <si>
    <t>Yuni Eka Hendriyani, A.Md. Kep.</t>
  </si>
  <si>
    <t>100545</t>
  </si>
  <si>
    <t>Yunus Rahmad Maksum, S.Kep.,Ns</t>
  </si>
  <si>
    <t>100609</t>
  </si>
  <si>
    <t>Yurizk Dian Palupi, A.Md.</t>
  </si>
  <si>
    <t>100608</t>
  </si>
  <si>
    <t>Zainul Hasan</t>
  </si>
  <si>
    <t>100620</t>
  </si>
  <si>
    <t>Zakaria Romadhon</t>
  </si>
  <si>
    <t>100590</t>
  </si>
  <si>
    <t>Zakariya Adib Yahya, S.Kep.,Ns</t>
  </si>
</sst>
</file>

<file path=xl/styles.xml><?xml version="1.0" encoding="utf-8"?>
<styleSheet xmlns="http://schemas.openxmlformats.org/spreadsheetml/2006/main">
  <numFmts count="15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  <numFmt numFmtId="164" formatCode="_-* #,##0_-;\-* #,##0_-;_-* &quot;-&quot;_-;_-@_-"/>
    <numFmt numFmtId="165" formatCode="_(* #,##0_);_(* \(#,##0\);_(* &quot;-&quot;_);_(@_)"/>
    <numFmt numFmtId="166" formatCode="[$-13809]DD/MM/YYYY;@"/>
    <numFmt numFmtId="14" formatCode="M/D/YYYY"/>
    <numFmt numFmtId="49" formatCode="@"/>
    <numFmt numFmtId="167" formatCode="YYYY\-MM\-DD"/>
    <numFmt numFmtId="168" formatCode="YYYY\-MM\-DDhh:mm:ss"/>
  </numFmts>
  <fonts count="11">
    <font>
      <name val="Arial"/>
      <family val="2"/>
      <color rgb="FF000000"/>
      <sz val="10"/>
      <extLst>
        <ext uri="smNativeData">
          <pm:charSpec xmlns:pm="smNativeData" id="1759816862" ulstyle="none" kern="1">
            <pm:latin face="Arial" sz="200" lang="default"/>
            <pm:cs face="Basic Roman" sz="200" lang="default"/>
            <pm:ea face="Basic Roman" sz="200" lang="default"/>
          </pm:charSpec>
        </ext>
      </extLst>
    </font>
    <font>
      <name val="Basic Sans"/>
      <family val="1"/>
      <color rgb="FF000000"/>
      <sz val="10"/>
      <extLst>
        <ext uri="smNativeData">
          <pm:charSpec xmlns:pm="smNativeData" id="1759816862" ulstyle="none" kern="1">
            <pm:latin face="Basic Sans" sz="200" lang="default"/>
            <pm:cs face="Basic Roman" sz="200" lang="default"/>
            <pm:ea face="Basic Roman" sz="200" lang="default"/>
          </pm:charSpec>
        </ext>
      </extLst>
    </font>
    <font>
      <name val="Calibri"/>
      <family val="2"/>
      <color rgb="FF000000"/>
      <sz val="11"/>
      <extLst>
        <ext uri="smNativeData">
          <pm:charSpec xmlns:pm="smNativeData" id="1759816862" ulstyle="none" kern="1">
            <pm:latin face="Calibri" sz="220" lang="default"/>
            <pm:cs face="Basic Roman" sz="220" lang="default"/>
            <pm:ea face="Basic Roman" sz="220" lang="default"/>
          </pm:charSpec>
        </ext>
      </extLst>
    </font>
    <font>
      <name val="Calibri"/>
      <family val="2"/>
      <b/>
      <color rgb="FF000000"/>
      <sz val="12"/>
      <extLst>
        <ext uri="smNativeData">
          <pm:charSpec xmlns:pm="smNativeData" id="1759816862" ulstyle="none" kern="1">
            <pm:latin face="Calibri" sz="240" lang="default" weight="bold"/>
            <pm:cs face="Basic Roman" sz="240" lang="default" weight="bold"/>
            <pm:ea face="Basic Roman" sz="240" lang="default" weight="bold"/>
          </pm:charSpec>
        </ext>
      </extLst>
    </font>
    <font>
      <name val="Calibri"/>
      <family val="2"/>
      <color rgb="FF000000"/>
      <sz val="12"/>
      <extLst>
        <ext uri="smNativeData">
          <pm:charSpec xmlns:pm="smNativeData" id="1759816862" ulstyle="none" kern="1">
            <pm:latin face="Calibri" sz="240" lang="default"/>
            <pm:cs face="Basic Roman" sz="240" lang="default"/>
            <pm:ea face="Basic Roman" sz="240" lang="default"/>
          </pm:charSpec>
        </ext>
      </extLst>
    </font>
    <font>
      <name val="Calibri"/>
      <family val="2"/>
      <color rgb="FF111111"/>
      <sz val="12"/>
      <extLst>
        <ext uri="smNativeData">
          <pm:charSpec xmlns:pm="smNativeData" id="1759816862" fgClr="111111" ulstyle="none" kern="1">
            <pm:latin face="Calibri" sz="240" lang="default"/>
            <pm:cs face="Basic Roman" sz="240" lang="default"/>
            <pm:ea face="Basic Roman" sz="240" lang="default"/>
          </pm:charSpec>
        </ext>
      </extLst>
    </font>
    <font>
      <name val="Calibri"/>
      <family val="2"/>
      <color rgb="FF212529"/>
      <sz val="12"/>
      <extLst>
        <ext uri="smNativeData">
          <pm:charSpec xmlns:pm="smNativeData" id="1759816862" fgClr="212529" ulstyle="none" kern="1">
            <pm:latin face="Calibri" sz="240" lang="default"/>
            <pm:cs face="Basic Roman" sz="240" lang="default"/>
            <pm:ea face="Basic Roman" sz="240" lang="default"/>
          </pm:charSpec>
        </ext>
      </extLst>
    </font>
    <font>
      <name val="Calibri"/>
      <family val="2"/>
      <b/>
      <color rgb="FF000000"/>
      <sz val="12"/>
      <extLst>
        <ext uri="smNativeData">
          <pm:charSpec xmlns:pm="smNativeData" id="1759816862" ulstyle="none" kern="1">
            <pm:latin face="Calibri" sz="240" lang="default" weight="bold"/>
            <pm:cs face="Basic Roman" sz="240" lang="default"/>
            <pm:ea face="Basic Roman" sz="240" lang="default"/>
          </pm:charSpec>
        </ext>
      </extLst>
    </font>
    <font>
      <name val="Calibri"/>
      <family val="2"/>
      <b/>
      <i/>
      <color rgb="FF000000"/>
      <sz val="12"/>
      <extLst>
        <ext uri="smNativeData">
          <pm:charSpec xmlns:pm="smNativeData" id="1759816862" ulstyle="none" kern="1">
            <pm:latin face="Calibri" sz="240" lang="default" weight="bold" i="1"/>
            <pm:cs face="Basic Roman" sz="240" lang="default"/>
            <pm:ea face="Basic Roman" sz="240" lang="default"/>
          </pm:charSpec>
        </ext>
      </extLst>
    </font>
    <font>
      <name val="Calibri"/>
      <family val="2"/>
      <color rgb="FFFF0000"/>
      <sz val="12"/>
      <extLst>
        <ext uri="smNativeData">
          <pm:charSpec xmlns:pm="smNativeData" id="1759816862" fgClr="FF0000" ulstyle="none" kern="1">
            <pm:latin face="Calibri" sz="240" lang="default"/>
            <pm:cs face="Basic Roman" sz="240" lang="default"/>
            <pm:ea face="Basic Roman" sz="240" lang="default"/>
          </pm:charSpec>
        </ext>
      </extLst>
    </font>
    <font>
      <name val="Calibri"/>
      <family val="2"/>
      <b/>
      <color rgb="FF212529"/>
      <sz val="12"/>
      <extLst>
        <ext uri="smNativeData">
          <pm:charSpec xmlns:pm="smNativeData" id="1759816862" fgClr="212529" ulstyle="none" kern="1">
            <pm:latin face="Calibri" sz="240" lang="default" weight="bold"/>
            <pm:cs face="Basic Roman" sz="240" lang="default"/>
            <pm:ea face="Basic Roman" sz="240" lang="default"/>
          </pm:charSpec>
        </ext>
      </extLst>
    </font>
  </fonts>
  <fills count="43">
    <fill>
      <patternFill patternType="none"/>
    </fill>
    <fill>
      <patternFill patternType="gray125"/>
    </fill>
    <fill>
      <patternFill patternType="solid">
        <fgColor rgb="FFFFFFFF"/>
        <bgColor rgb="FFFFFFFF"/>
        <extLst>
          <ext uri="smNativeData">
            <pm:shade xmlns:pm="smNativeData" id="1759816862" type="1" fgLvl="100" fgClr="00FFFFFF" bgLvl="0" bgClr="00000000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59816862" type="1" fgLvl="100" fgClr="00FFFFFF" bgLvl="0" bgClr="00000000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59816862" type="1" fgLvl="100" fgClr="00FFFFFF" bgLvl="0" bgClr="00000000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59816862" type="1" fgLvl="100" fgClr="00FFFFFF" bgLvl="0" bgClr="00000000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59816862" type="1" fgLvl="100" fgClr="00FFFFFF" bgLvl="0" bgClr="00000000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59816862" type="1" fgLvl="100" fgClr="00FFFFFF" bgLvl="0" bgClr="00000000"/>
          </ext>
        </extLst>
      </patternFill>
    </fill>
    <fill>
      <patternFill patternType="solid">
        <fgColor rgb="FFC5D9F1"/>
        <bgColor rgb="FFFFFFFF"/>
        <extLst>
          <ext uri="smNativeData">
            <pm:shade xmlns:pm="smNativeData" id="1759816862" type="1" fgLvl="100" fgClr="00C5D9F1" bgLvl="0" bgClr="00000000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59816862" type="1" fgLvl="100" fgClr="00FFFFFF" bgLvl="0" bgClr="00000000"/>
          </ext>
        </extLst>
      </patternFill>
    </fill>
    <fill>
      <patternFill patternType="solid">
        <fgColor rgb="FFFCD5B4"/>
        <bgColor rgb="FFFFFFFF"/>
        <extLst>
          <ext uri="smNativeData">
            <pm:shade xmlns:pm="smNativeData" id="1759816862" type="1" fgLvl="100" fgClr="00FCD5B4" bgLvl="0" bgClr="00000000"/>
          </ext>
        </extLst>
      </patternFill>
    </fill>
    <fill>
      <patternFill patternType="solid">
        <fgColor rgb="FFFFFF00"/>
        <bgColor rgb="FFFFFFFF"/>
        <extLst>
          <ext uri="smNativeData">
            <pm:shade xmlns:pm="smNativeData" id="1759816862" type="1" fgLvl="100" fgClr="00FFFF00" bgLvl="0" bgClr="00000000"/>
          </ext>
        </extLst>
      </patternFill>
    </fill>
    <fill>
      <patternFill patternType="solid">
        <fgColor rgb="FF92D050"/>
        <bgColor rgb="FFFFFFFF"/>
        <extLst>
          <ext uri="smNativeData">
            <pm:shade xmlns:pm="smNativeData" id="1759816862" type="1" fgLvl="100" fgClr="0092D050" bgLvl="0" bgClr="00000000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59816862" type="1" fgLvl="100" fgClr="00FFFFFF" bgLvl="0" bgClr="00FEF2CB"/>
          </ext>
        </extLst>
      </patternFill>
    </fill>
    <fill>
      <patternFill patternType="none"/>
    </fill>
    <fill>
      <patternFill patternType="solid">
        <fgColor rgb="FFFFFFFF"/>
        <bgColor rgb="FFFFFFFF"/>
        <extLst>
          <ext uri="smNativeData">
            <pm:shade xmlns:pm="smNativeData" id="1759816862" type="1" fgLvl="100" fgClr="00FFFFFF" bgLvl="0" bgClr="00000000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59816862" type="1" fgLvl="100" fgClr="00FFFFFF" bgLvl="0" bgClr="00000000"/>
          </ext>
        </extLst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00"/>
        <bgColor rgb="FFFFFFFF"/>
        <extLst>
          <ext uri="smNativeData">
            <pm:shade xmlns:pm="smNativeData" id="1759816862" type="1" fgLvl="100" fgClr="00FFFF00" bgLvl="0" bgClr="00000000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59816862" type="1" fgLvl="100" fgClr="00FFFFFF" bgLvl="0" bgClr="00000000"/>
          </ext>
        </extLst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  <bgColor rgb="FFFFFFFF"/>
        <extLst>
          <ext uri="smNativeData">
            <pm:shade xmlns:pm="smNativeData" id="1759816862" type="1" fgLvl="100" fgClr="00FFFFFF" bgLvl="0" bgClr="00000000"/>
          </ext>
        </extLst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  <bgColor rgb="FFFFFFFF"/>
        <extLst>
          <ext uri="smNativeData">
            <pm:shade xmlns:pm="smNativeData" id="1759816862" type="1" fgLvl="100" fgClr="00FFFFFF" bgLvl="0" bgClr="00000000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59816862" type="1" fgLvl="100" fgClr="00FFFFFF" bgLvl="0" bgClr="00DAEEF3"/>
          </ext>
        </extLst>
      </patternFill>
    </fill>
    <fill>
      <patternFill patternType="solid">
        <fgColor rgb="FF9EFFFF"/>
        <bgColor rgb="FFFFFFFF"/>
        <extLst>
          <ext uri="smNativeData">
            <pm:shade xmlns:pm="smNativeData" id="1759816862" type="1" fgLvl="38" fgClr="0000FFFF" bgLvl="62" bgClr="00FFFFFF"/>
          </ext>
        </extLst>
      </patternFill>
    </fill>
    <fill>
      <patternFill patternType="solid">
        <fgColor rgb="FF9EFFFF"/>
        <bgColor rgb="FFFFFFFF"/>
        <extLst>
          <ext uri="smNativeData">
            <pm:shade xmlns:pm="smNativeData" id="1759816862" type="1" fgLvl="38" fgClr="0000FFFF" bgLvl="62" bgClr="00FFFFFF"/>
          </ext>
        </extLst>
      </patternFill>
    </fill>
    <fill>
      <patternFill patternType="solid">
        <fgColor rgb="FF9EFFFF"/>
        <bgColor rgb="FFFFFFFF"/>
        <extLst>
          <ext uri="smNativeData">
            <pm:shade xmlns:pm="smNativeData" id="1759816862" type="1" fgLvl="38" fgClr="0000FFFF" bgLvl="62" bgClr="00FFFFFF"/>
          </ext>
        </extLst>
      </patternFill>
    </fill>
    <fill>
      <patternFill patternType="solid">
        <fgColor rgb="FF9EFFFF"/>
        <bgColor rgb="FFFFFFFF"/>
        <extLst>
          <ext uri="smNativeData">
            <pm:shade xmlns:pm="smNativeData" id="1759816862" type="1" fgLvl="38" fgClr="0000FFFF" bgLvl="62" bgClr="00FFFFFF"/>
          </ext>
        </extLst>
      </patternFill>
    </fill>
    <fill>
      <patternFill patternType="solid">
        <fgColor rgb="FF9EFFFF"/>
        <bgColor rgb="FFFFFFFF"/>
        <extLst>
          <ext uri="smNativeData">
            <pm:shade xmlns:pm="smNativeData" id="1759816862" type="1" fgLvl="38" fgClr="0000FFFF" bgLvl="62" bgClr="00FFFFFF"/>
          </ext>
        </extLst>
      </patternFill>
    </fill>
    <fill>
      <patternFill patternType="solid">
        <fgColor rgb="FF9EFFFF"/>
        <bgColor rgb="FFFFFFFF"/>
        <extLst>
          <ext uri="smNativeData">
            <pm:shade xmlns:pm="smNativeData" id="1759816862" type="1" fgLvl="38" fgClr="0000FFFF" bgLvl="62" bgClr="00FFFFFF"/>
          </ext>
        </extLst>
      </patternFill>
    </fill>
    <fill>
      <patternFill patternType="solid">
        <fgColor rgb="FF9EFFFF"/>
        <bgColor rgb="FFFFFFFF"/>
        <extLst>
          <ext uri="smNativeData">
            <pm:shade xmlns:pm="smNativeData" id="1759816862" type="1" fgLvl="38" fgClr="0000FFFF" bgLvl="62" bgClr="00FFFFFF"/>
          </ext>
        </extLst>
      </patternFill>
    </fill>
    <fill>
      <patternFill patternType="solid">
        <fgColor rgb="FF9EFFFF"/>
        <bgColor rgb="FFFFFFFF"/>
        <extLst>
          <ext uri="smNativeData">
            <pm:shade xmlns:pm="smNativeData" id="1759816862" type="1" fgLvl="38" fgClr="0000FFFF" bgLvl="62" bgClr="00FFFFFF"/>
          </ext>
        </extLst>
      </patternFill>
    </fill>
    <fill>
      <patternFill patternType="solid">
        <fgColor rgb="FF9EFFFF"/>
        <bgColor rgb="FFFFFFFF"/>
        <extLst>
          <ext uri="smNativeData">
            <pm:shade xmlns:pm="smNativeData" id="1759816862" type="1" fgLvl="38" fgClr="0000FFFF" bgLvl="62" bgClr="00FFFFFF"/>
          </ext>
        </extLst>
      </patternFill>
    </fill>
    <fill>
      <patternFill patternType="solid">
        <fgColor rgb="FF9EFFFF"/>
        <bgColor rgb="FFFFFFFF"/>
        <extLst>
          <ext uri="smNativeData">
            <pm:shade xmlns:pm="smNativeData" id="1759816862" type="1" fgLvl="38" fgClr="0000FFFF" bgLvl="62" bgClr="00FFFFFF"/>
          </ext>
        </extLst>
      </patternFill>
    </fill>
  </fills>
  <borders count="42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9816862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9816862"/>
        </ext>
      </extLst>
    </border>
    <border>
      <left style="medium">
        <color rgb="FF000000"/>
      </left>
      <right style="medium">
        <color rgb="FF000000"/>
      </right>
      <top style="medium">
        <color rgb="FF000000"/>
      </top>
      <bottom style="none">
        <color rgb="FF000000"/>
      </bottom>
      <extLst>
        <ext uri="smNativeData">
          <pm:border xmlns:pm="smNativeData" id="1759816862">
            <pm:line position="top" type="1" style="0" width="30" dist="20" width2="20" rgb="000000"/>
            <pm:line position="left" type="1" style="0" width="30" dist="20" width2="20" rgb="000000"/>
            <pm:line position="right" type="1" style="0" width="30" dist="20" width2="20" rgb="000000"/>
          </pm:border>
        </ext>
      </extLst>
    </border>
    <border>
      <left style="hair">
        <color rgb="FF000000"/>
      </left>
      <right style="hair">
        <color rgb="FF000000"/>
      </right>
      <top style="hair">
        <color rgb="FF000000"/>
      </top>
      <bottom style="none">
        <color rgb="FF000000"/>
      </bottom>
      <extLst>
        <ext uri="smNativeData">
          <pm:border xmlns:pm="smNativeData" id="1759816862">
            <pm:line position="top" type="1" style="0" width="1" dist="20" width2="20" rgb="000000"/>
            <pm:line position="left" type="1" style="0" width="1" dist="20" width2="20" rgb="000000"/>
            <pm:line position="right" type="1" style="0" width="1" dist="20" width2="20" rgb="000000"/>
          </pm:border>
        </ext>
      </extLst>
    </border>
    <border>
      <left style="dashed">
        <color rgb="FF000000"/>
      </left>
      <right style="dashed">
        <color rgb="FF000000"/>
      </right>
      <top style="dashed">
        <color rgb="FF000000"/>
      </top>
      <bottom style="none">
        <color rgb="FF000000"/>
      </bottom>
      <extLst>
        <ext uri="smNativeData">
          <pm:border xmlns:pm="smNativeData" id="1759816862">
            <pm:line position="top" type="1" style="2" width="20" dist="20" width2="20" rgb="000000"/>
            <pm:line position="left" type="1" style="2" width="20" dist="20" width2="20" rgb="000000"/>
            <pm:line position="right" type="1" style="2" width="20" dist="20" width2="20" rgb="000000"/>
          </pm:border>
        </ext>
      </extLst>
    </border>
    <border>
      <left style="dashed">
        <color rgb="FF000000"/>
      </left>
      <right style="none">
        <color rgb="FF000000"/>
      </right>
      <top style="dashed">
        <color rgb="FF000000"/>
      </top>
      <bottom style="none">
        <color rgb="FF000000"/>
      </bottom>
      <extLst>
        <ext uri="smNativeData">
          <pm:border xmlns:pm="smNativeData" id="1759816862">
            <pm:line position="top" type="1" style="2" width="20" dist="20" width2="20" rgb="000000"/>
            <pm:line position="left" type="1" style="2" width="20" dist="20" width2="20" rgb="000000"/>
          </pm:border>
        </ext>
      </extLst>
    </border>
    <border>
      <left style="medium">
        <color rgb="FF000000"/>
      </left>
      <right style="medium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9816862">
            <pm:line position="left" type="1" style="0" width="30" dist="20" width2="20" rgb="000000"/>
            <pm:line position="right" type="1" style="0" width="30" dist="20" width2="20" rgb="000000"/>
          </pm:border>
        </ext>
      </extLst>
    </border>
    <border>
      <left style="medium">
        <color rgb="FF000000"/>
      </left>
      <right style="medium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9816862">
            <pm:line position="left" type="1" style="0" width="30" dist="20" width2="20" rgb="000000"/>
            <pm:line position="right" type="1" style="0" width="30" dist="20" width2="20" rgb="000000"/>
          </pm:border>
        </ext>
      </extLst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extLst>
        <ext uri="smNativeData">
          <pm:border xmlns:pm="smNativeData" id="1759816862">
            <pm:line position="top" type="1" style="0" width="1" dist="20" width2="20" rgb="000000"/>
            <pm:line position="bottom" type="1" style="0" width="1" dist="20" width2="20" rgb="000000"/>
            <pm:line position="left" type="1" style="0" width="1" dist="20" width2="20" rgb="000000"/>
            <pm:line position="right" type="1" style="0" width="1" dist="20" width2="20" rgb="000000"/>
          </pm:border>
        </ext>
      </extLst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extLst>
        <ext uri="smNativeData">
          <pm:border xmlns:pm="smNativeData" id="1759816862">
            <pm:line position="top" type="1" style="0" width="1" dist="20" width2="20" rgb="000000"/>
            <pm:line position="bottom" type="1" style="0" width="1" dist="20" width2="20" rgb="000000"/>
            <pm:line position="left" type="1" style="0" width="1" dist="20" width2="20" rgb="000000"/>
            <pm:line position="right" type="1" style="0" width="1" dist="20" width2="20" rgb="000000"/>
          </pm:border>
        </ext>
      </extLst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extLst>
        <ext uri="smNativeData">
          <pm:border xmlns:pm="smNativeData" id="1759816862">
            <pm:line position="top" type="1" style="0" width="1" dist="20" width2="20" rgb="000000"/>
            <pm:line position="bottom" type="1" style="0" width="1" dist="20" width2="20" rgb="000000"/>
            <pm:line position="left" type="1" style="0" width="1" dist="20" width2="20" rgb="000000"/>
            <pm:line position="right" type="1" style="0" width="1" dist="20" width2="20" rgb="000000"/>
          </pm:border>
        </ext>
      </extLst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extLst>
        <ext uri="smNativeData">
          <pm:border xmlns:pm="smNativeData" id="1759816862">
            <pm:line position="top" type="1" style="0" width="1" dist="20" width2="20" rgb="000000"/>
            <pm:line position="bottom" type="1" style="0" width="1" dist="20" width2="20" rgb="000000"/>
            <pm:line position="left" type="1" style="0" width="1" dist="20" width2="20" rgb="000000"/>
            <pm:line position="right" type="1" style="0" width="1" dist="20" width2="20" rgb="000000"/>
          </pm:border>
        </ext>
      </extLst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extLst>
        <ext uri="smNativeData">
          <pm:border xmlns:pm="smNativeData" id="1759816862">
            <pm:line position="top" type="1" style="0" width="1" dist="20" width2="20" rgb="000000"/>
            <pm:line position="bottom" type="1" style="0" width="1" dist="20" width2="20" rgb="000000"/>
            <pm:line position="left" type="1" style="0" width="1" dist="20" width2="20" rgb="000000"/>
            <pm:line position="right" type="1" style="0" width="1" dist="20" width2="20" rgb="000000"/>
          </pm:border>
        </ext>
      </extLst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extLst>
        <ext uri="smNativeData">
          <pm:border xmlns:pm="smNativeData" id="1759816862">
            <pm:line position="top" type="1" style="1" width="20" dist="20" width2="20" rgb="000000"/>
            <pm:line position="bottom" type="1" style="1" width="20" dist="20" width2="20" rgb="000000"/>
            <pm:line position="left" type="1" style="1" width="20" dist="20" width2="20" rgb="000000"/>
            <pm:line position="right" type="1" style="1" width="20" dist="20" width2="20" rgb="000000"/>
          </pm:border>
        </ext>
      </extLst>
    </border>
    <border>
      <left style="hair">
        <color rgb="FF000000"/>
      </left>
      <right style="hair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9816862">
            <pm:line position="left" type="1" style="0" width="1" dist="20" width2="20" rgb="000000"/>
            <pm:line position="right" type="1" style="0" width="1" dist="20" width2="20" rgb="000000"/>
          </pm:border>
        </ext>
      </extLst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extLst>
        <ext uri="smNativeData">
          <pm:border xmlns:pm="smNativeData" id="1759816862">
            <pm:line position="top" type="1" style="1" width="20" dist="20" width2="20" rgb="000000"/>
            <pm:line position="bottom" type="1" style="1" width="20" dist="20" width2="20" rgb="000000"/>
            <pm:line position="left" type="1" style="1" width="20" dist="20" width2="20" rgb="000000"/>
            <pm:line position="right" type="1" style="1" width="20" dist="20" width2="20" rgb="000000"/>
          </pm:border>
        </ext>
      </extLst>
    </border>
    <border>
      <left style="dotted">
        <color rgb="FF000000"/>
      </left>
      <right style="dotted">
        <color rgb="FF000000"/>
      </right>
      <top style="none">
        <color rgb="FF000000"/>
      </top>
      <bottom style="dotted">
        <color rgb="FF000000"/>
      </bottom>
      <extLst>
        <ext uri="smNativeData">
          <pm:border xmlns:pm="smNativeData" id="1759816862">
            <pm:line position="bottom" type="1" style="1" width="20" dist="20" width2="20" rgb="000000"/>
            <pm:line position="left" type="1" style="1" width="20" dist="20" width2="20" rgb="000000"/>
            <pm:line position="right" type="1" style="1" width="20" dist="20" width2="20" rgb="000000"/>
          </pm:border>
        </ext>
      </extLst>
    </border>
    <border>
      <left style="dotted">
        <color rgb="FF000000"/>
      </left>
      <right style="dotted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9816862">
            <pm:line position="left" type="1" style="1" width="20" dist="20" width2="20" rgb="000000"/>
            <pm:line position="right" type="1" style="1" width="20" dist="20" width2="20" rgb="000000"/>
          </pm:border>
        </ext>
      </extLst>
    </border>
    <border>
      <left style="dotted">
        <color rgb="FF000000"/>
      </left>
      <right style="dotted">
        <color rgb="FF000000"/>
      </right>
      <top style="dotted">
        <color rgb="FF000000"/>
      </top>
      <bottom style="none">
        <color rgb="FF000000"/>
      </bottom>
      <extLst>
        <ext uri="smNativeData">
          <pm:border xmlns:pm="smNativeData" id="1759816862">
            <pm:line position="top" type="1" style="1" width="20" dist="20" width2="20" rgb="000000"/>
            <pm:line position="left" type="1" style="1" width="20" dist="20" width2="20" rgb="000000"/>
            <pm:line position="right" type="1" style="1" width="20" dist="20" width2="20" rgb="000000"/>
          </pm:border>
        </ext>
      </extLst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extLst>
        <ext uri="smNativeData">
          <pm:border xmlns:pm="smNativeData" id="1759816862">
            <pm:line position="top" type="1" style="0" width="1" dist="20" width2="20" rgb="000000"/>
            <pm:line position="bottom" type="1" style="0" width="1" dist="20" width2="20" rgb="000000"/>
            <pm:line position="left" type="1" style="0" width="1" dist="20" width2="20" rgb="000000"/>
            <pm:line position="right" type="1" style="0" width="1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9816862"/>
        </ext>
      </extLst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extLst>
        <ext uri="smNativeData">
          <pm:border xmlns:pm="smNativeData" id="1759816862">
            <pm:line position="top" type="1" style="2" width="20" dist="20" width2="20" rgb="000000"/>
            <pm:line position="bottom" type="1" style="2" width="20" dist="20" width2="20" rgb="000000"/>
            <pm:line position="left" type="1" style="2" width="20" dist="20" width2="20" rgb="000000"/>
            <pm:line position="right" type="1" style="2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medium">
        <color rgb="FF000000"/>
      </bottom>
      <extLst>
        <ext uri="smNativeData">
          <pm:border xmlns:pm="smNativeData" id="1759816862">
            <pm:line position="bottom" type="1" style="0" width="30" dist="20" width2="20" rgb="000000"/>
          </pm:border>
        </ext>
      </extLst>
    </border>
    <border>
      <left style="dotted">
        <color rgb="FF000000"/>
      </left>
      <right style="none">
        <color rgb="FF000000"/>
      </right>
      <top style="dotted">
        <color rgb="FF000000"/>
      </top>
      <bottom style="dotted">
        <color rgb="FF000000"/>
      </bottom>
      <extLst>
        <ext uri="smNativeData">
          <pm:border xmlns:pm="smNativeData" id="1759816862">
            <pm:line position="top" type="1" style="1" width="20" dist="20" width2="20" rgb="000000"/>
            <pm:line position="bottom" type="1" style="1" width="20" dist="20" width2="20" rgb="000000"/>
            <pm:line position="left" type="1" style="1" width="20" dist="20" width2="20" rgb="000000"/>
          </pm:border>
        </ext>
      </extLst>
    </border>
    <border>
      <left style="dotted">
        <color rgb="FF000000"/>
      </left>
      <right style="none">
        <color rgb="FF000000"/>
      </right>
      <top style="dotted">
        <color rgb="FF000000"/>
      </top>
      <bottom style="none">
        <color rgb="FF000000"/>
      </bottom>
      <extLst>
        <ext uri="smNativeData">
          <pm:border xmlns:pm="smNativeData" id="1759816862">
            <pm:line position="top" type="1" style="1" width="20" dist="20" width2="20" rgb="000000"/>
            <pm:line position="left" type="1" style="1" width="20" dist="20" width2="20" rgb="000000"/>
          </pm:border>
        </ext>
      </extLst>
    </border>
    <border>
      <left style="hair">
        <color rgb="FF000000"/>
      </left>
      <right style="none">
        <color rgb="FF000000"/>
      </right>
      <top style="hair">
        <color rgb="FF000000"/>
      </top>
      <bottom style="hair">
        <color rgb="FF000000"/>
      </bottom>
      <extLst>
        <ext uri="smNativeData">
          <pm:border xmlns:pm="smNativeData" id="1759816862">
            <pm:line position="top" type="1" style="0" width="1" dist="20" width2="20" rgb="000000"/>
            <pm:line position="bottom" type="1" style="0" width="1" dist="20" width2="20" rgb="000000"/>
            <pm:line position="left" type="1" style="0" width="1" dist="20" width2="20" rgb="000000"/>
          </pm:border>
        </ext>
      </extLst>
    </border>
    <border>
      <left style="hair">
        <color rgb="FF000000"/>
      </left>
      <right style="none">
        <color rgb="FF000000"/>
      </right>
      <top style="hair">
        <color rgb="FF000000"/>
      </top>
      <bottom style="hair">
        <color rgb="FF000000"/>
      </bottom>
      <extLst>
        <ext uri="smNativeData">
          <pm:border xmlns:pm="smNativeData" id="1759816862">
            <pm:line position="top" type="1" style="0" width="1" dist="20" width2="20" rgb="000000"/>
            <pm:line position="bottom" type="1" style="0" width="1" dist="20" width2="20" rgb="000000"/>
            <pm:line position="left" type="1" style="0" width="1" dist="20" width2="20" rgb="000000"/>
          </pm:border>
        </ext>
      </extLst>
    </border>
    <border>
      <left style="none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extLst>
        <ext uri="smNativeData">
          <pm:border xmlns:pm="smNativeData" id="1759816862">
            <pm:line position="top" type="1" style="1" width="20" dist="20" width2="20" rgb="000000"/>
            <pm:line position="bottom" type="1" style="1" width="20" dist="20" width2="20" rgb="000000"/>
            <pm:line position="right" type="1" style="1" width="20" dist="20" width2="20" rgb="000000"/>
          </pm:border>
        </ext>
      </extLst>
    </border>
    <border>
      <left style="none">
        <color rgb="FF000000"/>
      </left>
      <right style="dotted">
        <color rgb="FF000000"/>
      </right>
      <top style="dotted">
        <color rgb="FF000000"/>
      </top>
      <bottom style="none">
        <color rgb="FF000000"/>
      </bottom>
      <extLst>
        <ext uri="smNativeData">
          <pm:border xmlns:pm="smNativeData" id="1759816862">
            <pm:line position="top" type="1" style="1" width="20" dist="20" width2="20" rgb="000000"/>
            <pm:line position="right" type="1" style="1" width="20" dist="20" width2="20" rgb="000000"/>
          </pm:border>
        </ext>
      </extLst>
    </border>
    <border>
      <left style="none">
        <color rgb="FF000000"/>
      </left>
      <right style="hair">
        <color rgb="FF000000"/>
      </right>
      <top style="hair">
        <color rgb="FF000000"/>
      </top>
      <bottom style="hair">
        <color rgb="FF000000"/>
      </bottom>
      <extLst>
        <ext uri="smNativeData">
          <pm:border xmlns:pm="smNativeData" id="1759816862">
            <pm:line position="top" type="1" style="0" width="1" dist="20" width2="20" rgb="000000"/>
            <pm:line position="bottom" type="1" style="0" width="1" dist="20" width2="20" rgb="000000"/>
            <pm:line position="right" type="1" style="0" width="1" dist="20" width2="20" rgb="000000"/>
          </pm:border>
        </ext>
      </extLst>
    </border>
    <border>
      <left style="none">
        <color rgb="FF000000"/>
      </left>
      <right style="hair">
        <color rgb="FF000000"/>
      </right>
      <top style="hair">
        <color rgb="FF000000"/>
      </top>
      <bottom style="hair">
        <color rgb="FF000000"/>
      </bottom>
      <extLst>
        <ext uri="smNativeData">
          <pm:border xmlns:pm="smNativeData" id="1759816862">
            <pm:line position="top" type="1" style="0" width="1" dist="20" width2="20" rgb="000000"/>
            <pm:line position="bottom" type="1" style="0" width="1" dist="20" width2="20" rgb="000000"/>
            <pm:line position="right" type="1" style="0" width="1" dist="20" width2="20" rgb="000000"/>
          </pm:border>
        </ext>
      </extLst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extLst>
        <ext uri="smNativeData">
          <pm:border xmlns:pm="smNativeData" id="1759816862">
            <pm:line position="top" type="1" style="0" width="1" dist="20" width2="20" rgb="000000"/>
            <pm:line position="bottom" type="1" style="0" width="1" dist="20" width2="20" rgb="000000"/>
            <pm:line position="left" type="1" style="0" width="1" dist="20" width2="20" rgb="000000"/>
            <pm:line position="right" type="1" style="0" width="1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9816862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medium">
        <color rgb="FF000000"/>
      </bottom>
      <extLst>
        <ext uri="smNativeData">
          <pm:border xmlns:pm="smNativeData" id="1759816862">
            <pm:line position="bottom" type="1" style="0" width="30" dist="20" width2="20" rgb="000000"/>
          </pm:border>
        </ext>
      </extLst>
    </border>
    <border>
      <left style="medium">
        <color rgb="FF000000"/>
      </left>
      <right style="medium">
        <color rgb="FF000000"/>
      </right>
      <top style="medium">
        <color rgb="FF000000"/>
      </top>
      <bottom style="none">
        <color rgb="FF000000"/>
      </bottom>
      <extLst>
        <ext uri="smNativeData">
          <pm:border xmlns:pm="smNativeData" id="1759816862">
            <pm:line position="top" type="1" style="0" width="30" dist="20" width2="20" rgb="000000"/>
            <pm:line position="left" type="1" style="0" width="30" dist="20" width2="20" rgb="000000"/>
            <pm:line position="right" type="1" style="0" width="30" dist="20" width2="20" rgb="000000"/>
          </pm:border>
        </ext>
      </extLst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extLst>
        <ext uri="smNativeData">
          <pm:border xmlns:pm="smNativeData" id="1759816862">
            <pm:line position="top" type="1" style="0" width="1" dist="20" width2="20" rgb="000000"/>
            <pm:line position="bottom" type="1" style="0" width="1" dist="20" width2="20" rgb="000000"/>
            <pm:line position="left" type="1" style="0" width="1" dist="20" width2="20" rgb="000000"/>
            <pm:line position="right" type="1" style="0" width="1" dist="20" width2="20" rgb="000000"/>
          </pm:border>
        </ext>
      </extLst>
    </border>
    <border>
      <left style="hair">
        <color rgb="FF000000"/>
      </left>
      <right style="hair">
        <color rgb="FF000000"/>
      </right>
      <top style="hair">
        <color rgb="FF000000"/>
      </top>
      <bottom style="none">
        <color rgb="FF000000"/>
      </bottom>
      <extLst>
        <ext uri="smNativeData">
          <pm:border xmlns:pm="smNativeData" id="1759816862">
            <pm:line position="top" type="1" style="0" width="1" dist="20" width2="20" rgb="000000"/>
            <pm:line position="left" type="1" style="0" width="1" dist="20" width2="20" rgb="000000"/>
            <pm:line position="right" type="1" style="0" width="1" dist="20" width2="20" rgb="000000"/>
          </pm:border>
        </ext>
      </extLst>
    </border>
    <border>
      <left style="hair">
        <color rgb="FF000000"/>
      </left>
      <right style="none">
        <color rgb="FF000000"/>
      </right>
      <top style="hair">
        <color rgb="FF000000"/>
      </top>
      <bottom style="hair">
        <color rgb="FF000000"/>
      </bottom>
      <extLst>
        <ext uri="smNativeData">
          <pm:border xmlns:pm="smNativeData" id="1759816862">
            <pm:line position="top" type="1" style="0" width="1" dist="20" width2="20" rgb="000000"/>
            <pm:line position="bottom" type="1" style="0" width="1" dist="20" width2="20" rgb="000000"/>
            <pm:line position="left" type="1" style="0" width="1" dist="20" width2="20" rgb="000000"/>
          </pm:border>
        </ext>
      </extLst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extLst>
        <ext uri="smNativeData">
          <pm:border xmlns:pm="smNativeData" id="1759816862">
            <pm:line position="top" type="1" style="1" width="20" dist="20" width2="20" rgb="000000"/>
            <pm:line position="bottom" type="1" style="1" width="20" dist="20" width2="20" rgb="000000"/>
            <pm:line position="left" type="1" style="1" width="20" dist="20" width2="20" rgb="000000"/>
            <pm:line position="right" type="1" style="1" width="20" dist="20" width2="20" rgb="000000"/>
          </pm:border>
        </ext>
      </extLst>
    </border>
    <border>
      <left style="dotted">
        <color rgb="FF000000"/>
      </left>
      <right style="none">
        <color rgb="FF000000"/>
      </right>
      <top style="dotted">
        <color rgb="FF000000"/>
      </top>
      <bottom style="dotted">
        <color rgb="FF000000"/>
      </bottom>
      <extLst>
        <ext uri="smNativeData">
          <pm:border xmlns:pm="smNativeData" id="1759816862">
            <pm:line position="top" type="1" style="1" width="20" dist="20" width2="20" rgb="000000"/>
            <pm:line position="bottom" type="1" style="1" width="20" dist="20" width2="20" rgb="000000"/>
            <pm:line position="left" type="1" style="1" width="20" dist="20" width2="20" rgb="000000"/>
          </pm:border>
        </ext>
      </extLst>
    </border>
    <border>
      <left style="dotted">
        <color rgb="FF000000"/>
      </left>
      <right style="none">
        <color rgb="FF000000"/>
      </right>
      <top style="dotted">
        <color rgb="FF000000"/>
      </top>
      <bottom style="none">
        <color rgb="FF000000"/>
      </bottom>
      <extLst>
        <ext uri="smNativeData">
          <pm:border xmlns:pm="smNativeData" id="1759816862">
            <pm:line position="top" type="1" style="1" width="20" dist="20" width2="20" rgb="000000"/>
            <pm:line position="left" type="1" style="1" width="20" dist="20" width2="20" rgb="000000"/>
          </pm:border>
        </ext>
      </extLst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extLst>
        <ext uri="smNativeData">
          <pm:border xmlns:pm="smNativeData" id="1759816862">
            <pm:line position="top" type="1" style="2" width="20" dist="20" width2="20" rgb="000000"/>
            <pm:line position="bottom" type="1" style="2" width="20" dist="20" width2="20" rgb="000000"/>
            <pm:line position="left" type="1" style="2" width="20" dist="20" width2="20" rgb="000000"/>
            <pm:line position="right" type="1" style="2" width="20" dist="20" width2="20" rgb="000000"/>
          </pm:border>
        </ext>
      </extLst>
    </border>
  </borders>
  <cellStyleXfs count="12">
    <xf numFmtId="0" fontId="0" fillId="0" borderId="0" applyNumberFormat="1" applyFont="1" applyFill="1" applyBorder="1" applyAlignment="1" applyProtection="1"/>
    <xf numFmtId="0" fontId="0" fillId="0" borderId="0" applyNumberFormat="1" applyFont="1" applyFill="0" applyBorder="1" applyAlignment="1" applyProtection="1"/>
    <xf numFmtId="0" fontId="0" fillId="0" borderId="0" applyNumberFormat="1" applyFont="1" applyFill="1" applyBorder="1" applyAlignment="1" applyProtection="1"/>
    <xf numFmtId="0" fontId="2" fillId="0" borderId="0" applyNumberFormat="1" applyFont="1" applyFill="1" applyBorder="1" applyAlignment="1" applyProtection="1"/>
    <xf numFmtId="0" fontId="2" fillId="0" borderId="0" applyNumberFormat="1" applyFont="1" applyFill="1" applyBorder="1" applyAlignment="1" applyProtection="1"/>
    <xf numFmtId="0" fontId="2" fillId="0" borderId="0" applyNumberFormat="1" applyFont="1" applyFill="1" applyBorder="1" applyAlignment="1" applyProtection="1"/>
    <xf numFmtId="0" fontId="2" fillId="0" borderId="0" applyNumberFormat="1" applyFont="1" applyFill="1" applyBorder="1" applyAlignment="1" applyProtection="1"/>
    <xf numFmtId="0" fontId="2" fillId="0" borderId="0" applyNumberFormat="1" applyFont="1" applyFill="1" applyBorder="1" applyAlignment="1" applyProtection="1"/>
    <xf numFmtId="0" fontId="0" fillId="0" borderId="0" applyNumberFormat="1" applyFont="1" applyFill="1" applyBorder="1" applyAlignment="1" applyProtection="1"/>
    <xf numFmtId="0" fontId="0" fillId="0" borderId="0" applyNumberFormat="1" applyFont="1" applyFill="0" applyBorder="1" applyAlignment="1" applyProtection="1"/>
    <xf numFmtId="0" fontId="0" fillId="0" borderId="0" applyNumberFormat="1" applyFont="1" applyFill="0" applyBorder="1" applyAlignment="1" applyProtection="1"/>
    <xf numFmtId="0" fontId="2" fillId="0" borderId="0" applyNumberFormat="1" applyFont="1" applyFill="1" applyBorder="1" applyAlignment="1" applyProtection="1"/>
  </cellStyleXfs>
  <cellXfs count="204">
    <xf numFmtId="0" fontId="0" fillId="0" borderId="0" xfId="0"/>
    <xf numFmtId="0" fontId="0" fillId="0" borderId="0" xfId="1"/>
    <xf numFmtId="0" fontId="0" fillId="0" borderId="0" xfId="2"/>
    <xf numFmtId="0" fontId="2" fillId="0" borderId="0" xfId="3"/>
    <xf numFmtId="0" fontId="2" fillId="0" borderId="0" xfId="4"/>
    <xf numFmtId="0" fontId="2" fillId="0" borderId="0" xfId="5"/>
    <xf numFmtId="0" fontId="2" fillId="0" borderId="0" xfId="6"/>
    <xf numFmtId="0" fontId="2" fillId="0" borderId="0" xfId="7"/>
    <xf numFmtId="0" fontId="0" fillId="0" borderId="0" xfId="8"/>
    <xf numFmtId="0" fontId="0" fillId="0" borderId="0" xfId="9"/>
    <xf numFmtId="0" fontId="0" fillId="0" borderId="0" xfId="10"/>
    <xf numFmtId="0" fontId="2" fillId="0" borderId="0" xfId="11"/>
    <xf numFmtId="0" fontId="4" fillId="2" borderId="1" xfId="0" applyFont="1" applyFill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/>
    </xf>
    <xf numFmtId="0" fontId="3" fillId="7" borderId="6" xfId="0" applyFont="1" applyFill="1" applyBorder="1" applyAlignment="1">
      <alignment horizontal="center" vertical="center"/>
    </xf>
    <xf numFmtId="0" fontId="3" fillId="8" borderId="7" xfId="0" applyFont="1" applyFill="1" applyBorder="1" applyAlignment="1">
      <alignment horizontal="center" vertical="center"/>
    </xf>
    <xf numFmtId="0" fontId="4" fillId="9" borderId="8" xfId="0" applyFont="1" applyFill="1" applyBorder="1" applyAlignment="1">
      <alignment horizontal="center" vertical="center"/>
    </xf>
    <xf numFmtId="0" fontId="4" fillId="9" borderId="8" xfId="0" applyFont="1" applyFill="1" applyBorder="1" applyAlignment="1">
      <alignment vertical="center"/>
    </xf>
    <xf numFmtId="0" fontId="4" fillId="9" borderId="8" xfId="0" applyFont="1" applyFill="1" applyBorder="1" applyAlignment="1">
      <alignment horizontal="left" vertical="center"/>
    </xf>
    <xf numFmtId="0" fontId="4" fillId="9" borderId="8" xfId="0" applyFont="1" applyFill="1" applyBorder="1" applyAlignment="1">
      <alignment horizontal="center"/>
    </xf>
    <xf numFmtId="0" fontId="4" fillId="9" borderId="8" xfId="0" applyFont="1" applyFill="1" applyBorder="1"/>
    <xf numFmtId="0" fontId="4" fillId="9" borderId="8" xfId="1" applyFont="1" applyFill="1" applyBorder="1"/>
    <xf numFmtId="0" fontId="4" fillId="9" borderId="8" xfId="0" applyFont="1" applyFill="1" applyBorder="1" applyAlignment="1">
      <alignment horizontal="left"/>
    </xf>
    <xf numFmtId="0" fontId="4" fillId="9" borderId="8" xfId="0" applyFont="1" applyFill="1" applyBorder="1" applyAlignment="1">
      <alignment horizontal="left" vertical="top"/>
    </xf>
    <xf numFmtId="0" fontId="4" fillId="10" borderId="9" xfId="0" applyFont="1" applyFill="1" applyBorder="1" applyAlignment="1">
      <alignment horizontal="left" vertical="center"/>
    </xf>
    <xf numFmtId="0" fontId="5" fillId="2" borderId="1" xfId="0" applyFont="1" applyFill="1"/>
    <xf numFmtId="0" fontId="4" fillId="11" borderId="10" xfId="0" applyFont="1" applyFill="1" applyBorder="1" applyAlignment="1">
      <alignment horizontal="left" vertical="center"/>
    </xf>
    <xf numFmtId="0" fontId="4" fillId="12" borderId="11" xfId="0" applyFont="1" applyFill="1" applyBorder="1" applyAlignment="1">
      <alignment horizontal="center" vertical="center"/>
    </xf>
    <xf numFmtId="165" fontId="4" fillId="9" borderId="8" xfId="0" applyNumberFormat="1" applyFont="1" applyFill="1" applyBorder="1" applyAlignment="1">
      <alignment horizontal="center" vertical="center"/>
    </xf>
    <xf numFmtId="0" fontId="4" fillId="9" borderId="8" xfId="2" applyFont="1" applyFill="1" applyBorder="1" applyAlignment="1">
      <alignment vertical="center"/>
    </xf>
    <xf numFmtId="0" fontId="4" fillId="9" borderId="8" xfId="0" applyFont="1" applyFill="1" applyBorder="1" applyAlignment="1">
      <alignment horizontal="center" vertical="top"/>
    </xf>
    <xf numFmtId="14" fontId="4" fillId="9" borderId="8" xfId="0" applyNumberFormat="1" applyFont="1" applyFill="1" applyBorder="1" applyAlignment="1">
      <alignment horizontal="center"/>
    </xf>
    <xf numFmtId="0" fontId="4" fillId="9" borderId="8" xfId="3" applyFont="1" applyFill="1" applyBorder="1" applyAlignment="1">
      <alignment vertical="center"/>
    </xf>
    <xf numFmtId="14" fontId="4" fillId="9" borderId="8" xfId="0" applyNumberFormat="1" applyFont="1" applyFill="1" applyBorder="1" applyAlignment="1">
      <alignment horizontal="center" vertical="center"/>
    </xf>
    <xf numFmtId="0" fontId="4" fillId="9" borderId="8" xfId="3" applyFont="1" applyFill="1" applyBorder="1" applyAlignment="1">
      <alignment horizontal="left" vertical="center"/>
    </xf>
    <xf numFmtId="0" fontId="4" fillId="9" borderId="8" xfId="0" applyFont="1" applyFill="1" applyBorder="1" applyAlignment="1">
      <alignment vertical="top"/>
    </xf>
    <xf numFmtId="14" fontId="4" fillId="9" borderId="8" xfId="0" applyNumberFormat="1" applyFont="1" applyFill="1" applyBorder="1"/>
    <xf numFmtId="166" fontId="4" fillId="9" borderId="8" xfId="0" applyNumberFormat="1" applyFont="1" applyFill="1" applyBorder="1" applyAlignment="1">
      <alignment horizontal="center" vertical="center"/>
    </xf>
    <xf numFmtId="0" fontId="4" fillId="9" borderId="8" xfId="0" applyFont="1" applyFill="1" applyBorder="1" applyAlignment="1">
      <alignment horizontal="justify" vertical="center"/>
    </xf>
    <xf numFmtId="0" fontId="4" fillId="13" borderId="12" xfId="0" applyFont="1" applyFill="1" applyBorder="1" applyAlignment="1">
      <alignment vertical="center"/>
    </xf>
    <xf numFmtId="0" fontId="4" fillId="9" borderId="8" xfId="2" applyFont="1" applyFill="1" applyBorder="1" applyAlignment="1">
      <alignment horizontal="left" vertical="center"/>
    </xf>
    <xf numFmtId="0" fontId="4" fillId="0" borderId="13" xfId="0" applyFont="1" applyFill="1" applyBorder="1" applyAlignment="1">
      <alignment horizontal="left"/>
    </xf>
    <xf numFmtId="0" fontId="4" fillId="9" borderId="8" xfId="4" applyFont="1" applyFill="1" applyBorder="1" applyAlignment="1">
      <alignment vertical="center"/>
    </xf>
    <xf numFmtId="0" fontId="4" fillId="9" borderId="8" xfId="4" applyFont="1" applyFill="1" applyBorder="1" applyAlignment="1">
      <alignment horizontal="left" vertical="center"/>
    </xf>
    <xf numFmtId="0" fontId="4" fillId="10" borderId="9" xfId="0" applyFont="1" applyFill="1" applyBorder="1" applyAlignment="1">
      <alignment vertical="center"/>
    </xf>
    <xf numFmtId="0" fontId="4" fillId="9" borderId="8" xfId="5" applyFont="1" applyFill="1" applyBorder="1" applyAlignment="1">
      <alignment vertical="center"/>
    </xf>
    <xf numFmtId="164" fontId="4" fillId="2" borderId="1" xfId="0" applyNumberFormat="1" applyFont="1" applyFill="1" applyAlignment="1">
      <alignment horizontal="center"/>
    </xf>
    <xf numFmtId="164" fontId="4" fillId="2" borderId="1" xfId="0" applyNumberFormat="1" applyFont="1" applyFill="1"/>
    <xf numFmtId="164" fontId="4" fillId="9" borderId="8" xfId="0" applyNumberFormat="1" applyFont="1" applyFill="1" applyBorder="1" applyAlignment="1">
      <alignment horizontal="center" vertical="center"/>
    </xf>
    <xf numFmtId="0" fontId="4" fillId="9" borderId="8" xfId="2" applyFont="1" applyFill="1" applyBorder="1"/>
    <xf numFmtId="0" fontId="4" fillId="15" borderId="14" xfId="0" applyFont="1" applyFill="1" applyBorder="1" applyAlignment="1">
      <alignment horizontal="left" vertical="center"/>
    </xf>
    <xf numFmtId="0" fontId="4" fillId="2" borderId="1" xfId="0" applyFont="1" applyFill="1"/>
    <xf numFmtId="0" fontId="4" fillId="0" borderId="13" xfId="0" applyFont="1" applyFill="1" applyBorder="1"/>
    <xf numFmtId="14" fontId="4" fillId="2" borderId="1" xfId="0" applyNumberFormat="1" applyFont="1" applyFill="1" applyAlignment="1">
      <alignment horizontal="center"/>
    </xf>
    <xf numFmtId="0" fontId="4" fillId="2" borderId="1" xfId="0" applyFont="1" applyFill="1" applyAlignment="1">
      <alignment horizontal="left" vertical="center"/>
    </xf>
    <xf numFmtId="0" fontId="4" fillId="16" borderId="15" xfId="0" applyFont="1" applyFill="1" applyBorder="1" applyAlignment="1">
      <alignment horizontal="left"/>
    </xf>
    <xf numFmtId="0" fontId="4" fillId="16" borderId="15" xfId="0" applyFont="1" applyFill="1" applyBorder="1"/>
    <xf numFmtId="0" fontId="4" fillId="0" borderId="16" xfId="0" applyFont="1" applyFill="1" applyBorder="1" applyAlignment="1">
      <alignment horizontal="left"/>
    </xf>
    <xf numFmtId="0" fontId="4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/>
    </xf>
    <xf numFmtId="0" fontId="4" fillId="0" borderId="17" xfId="0" applyFont="1" applyFill="1" applyBorder="1" applyAlignment="1">
      <alignment horizontal="left"/>
    </xf>
    <xf numFmtId="0" fontId="4" fillId="0" borderId="18" xfId="0" applyFont="1" applyFill="1" applyBorder="1"/>
    <xf numFmtId="0" fontId="4" fillId="0" borderId="19" xfId="0" applyFont="1" applyFill="1" applyBorder="1" applyAlignment="1">
      <alignment horizontal="left"/>
    </xf>
    <xf numFmtId="0" fontId="4" fillId="0" borderId="19" xfId="0" applyFont="1" applyFill="1" applyBorder="1"/>
    <xf numFmtId="0" fontId="4" fillId="0" borderId="0" xfId="0" applyFont="1"/>
    <xf numFmtId="0" fontId="4" fillId="11" borderId="10" xfId="0" applyFont="1" applyFill="1" applyBorder="1"/>
    <xf numFmtId="0" fontId="4" fillId="21" borderId="20" xfId="0" applyFont="1" applyFill="1"/>
    <xf numFmtId="164" fontId="4" fillId="0" borderId="0" xfId="0" applyNumberFormat="1" applyFont="1"/>
    <xf numFmtId="164" fontId="4" fillId="21" borderId="20" xfId="0" applyNumberFormat="1" applyFont="1" applyFill="1"/>
    <xf numFmtId="0" fontId="4" fillId="0" borderId="0" xfId="0" applyFont="1" applyAlignment="1">
      <alignment horizontal="center"/>
    </xf>
    <xf numFmtId="0" fontId="4" fillId="2" borderId="1" xfId="0" applyFont="1" applyFill="1" applyAlignment="1">
      <alignment horizontal="left"/>
    </xf>
    <xf numFmtId="0" fontId="4" fillId="22" borderId="21" xfId="0" applyFont="1" applyFill="1" applyBorder="1" applyAlignment="1">
      <alignment horizontal="center" vertical="center"/>
    </xf>
    <xf numFmtId="0" fontId="4" fillId="22" borderId="21" xfId="0" applyFont="1" applyFill="1" applyBorder="1" applyAlignment="1">
      <alignment vertical="center"/>
    </xf>
    <xf numFmtId="14" fontId="4" fillId="22" borderId="21" xfId="0" applyNumberFormat="1" applyFont="1" applyFill="1" applyBorder="1" applyAlignment="1">
      <alignment horizontal="center" vertical="center"/>
    </xf>
    <xf numFmtId="0" fontId="4" fillId="22" borderId="21" xfId="0" applyFont="1" applyFill="1" applyBorder="1" applyAlignment="1">
      <alignment horizontal="left" vertical="center"/>
    </xf>
    <xf numFmtId="14" fontId="4" fillId="2" borderId="1" xfId="0" applyNumberFormat="1" applyFont="1" applyFill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22" xfId="0" applyFont="1" applyFill="1" applyBorder="1" applyAlignment="1">
      <alignment horizontal="center"/>
    </xf>
    <xf numFmtId="0" fontId="3" fillId="0" borderId="22" xfId="0" applyFont="1" applyFill="1" applyBorder="1" applyAlignment="1">
      <alignment horizontal="left"/>
    </xf>
    <xf numFmtId="0" fontId="4" fillId="0" borderId="0" xfId="6" applyFont="1" applyAlignment="1">
      <alignment horizontal="center"/>
    </xf>
    <xf numFmtId="0" fontId="4" fillId="0" borderId="23" xfId="0" applyFont="1" applyFill="1" applyBorder="1" applyAlignment="1">
      <alignment wrapText="1"/>
    </xf>
    <xf numFmtId="0" fontId="4" fillId="0" borderId="23" xfId="0" applyFont="1" applyFill="1" applyBorder="1"/>
    <xf numFmtId="0" fontId="4" fillId="0" borderId="24" xfId="0" applyFont="1" applyFill="1" applyBorder="1" applyAlignment="1">
      <alignment wrapText="1"/>
    </xf>
    <xf numFmtId="0" fontId="4" fillId="0" borderId="25" xfId="0" applyFont="1" applyFill="1" applyBorder="1" applyAlignment="1">
      <alignment wrapText="1"/>
    </xf>
    <xf numFmtId="0" fontId="4" fillId="27" borderId="26" xfId="0" applyFont="1" applyFill="1" applyBorder="1"/>
    <xf numFmtId="14" fontId="4" fillId="0" borderId="27" xfId="0" applyNumberFormat="1" applyFont="1" applyFill="1" applyBorder="1" applyAlignment="1">
      <alignment horizontal="center"/>
    </xf>
    <xf numFmtId="14" fontId="4" fillId="0" borderId="28" xfId="0" applyNumberFormat="1" applyFont="1" applyFill="1" applyBorder="1" applyAlignment="1">
      <alignment horizontal="center"/>
    </xf>
    <xf numFmtId="14" fontId="4" fillId="0" borderId="29" xfId="0" applyNumberFormat="1" applyFont="1" applyFill="1" applyBorder="1" applyAlignment="1">
      <alignment horizontal="center"/>
    </xf>
    <xf numFmtId="14" fontId="4" fillId="31" borderId="30" xfId="0" applyNumberFormat="1" applyFont="1" applyFill="1" applyBorder="1" applyAlignment="1">
      <alignment horizontal="center"/>
    </xf>
    <xf numFmtId="0" fontId="4" fillId="27" borderId="26" xfId="0" applyFont="1" applyFill="1" applyBorder="1" applyAlignment="1">
      <alignment vertical="center"/>
    </xf>
    <xf numFmtId="49" fontId="4" fillId="0" borderId="13" xfId="0" applyNumberFormat="1" applyFont="1" applyFill="1" applyBorder="1" applyAlignment="1">
      <alignment horizontal="left"/>
    </xf>
    <xf numFmtId="0" fontId="1" fillId="0" borderId="0" xfId="0" applyFont="1"/>
    <xf numFmtId="49" fontId="1" fillId="0" borderId="0" xfId="0" applyNumberFormat="1" applyFont="1"/>
    <xf numFmtId="167" fontId="1" fillId="0" borderId="0" xfId="0" applyNumberFormat="1" applyFont="1"/>
    <xf numFmtId="168" fontId="1" fillId="0" borderId="0" xfId="0" applyNumberFormat="1" applyFont="1"/>
    <xf numFmtId="0" fontId="1" fillId="0" borderId="0" xfId="0" applyFont="1" applyAlignment="1">
      <alignment horizontal="center"/>
    </xf>
    <xf numFmtId="0" fontId="4" fillId="33" borderId="32" xfId="0" applyFont="1" applyFill="1"/>
    <xf numFmtId="0" fontId="3" fillId="33" borderId="32" xfId="0" applyFont="1" applyFill="1" applyAlignment="1">
      <alignment horizontal="center"/>
    </xf>
    <xf numFmtId="0" fontId="3" fillId="34" borderId="33" xfId="0" applyFont="1" applyFill="1" applyBorder="1" applyAlignment="1">
      <alignment horizontal="center"/>
    </xf>
    <xf numFmtId="0" fontId="3" fillId="35" borderId="34" xfId="0" applyFont="1" applyFill="1" applyBorder="1" applyAlignment="1">
      <alignment horizontal="center" vertical="center"/>
    </xf>
    <xf numFmtId="0" fontId="4" fillId="36" borderId="35" xfId="0" applyFont="1" applyFill="1" applyBorder="1" applyAlignment="1">
      <alignment vertical="center"/>
    </xf>
    <xf numFmtId="0" fontId="4" fillId="36" borderId="35" xfId="0" applyFont="1" applyFill="1" applyBorder="1" applyAlignment="1">
      <alignment horizontal="left" vertical="center"/>
    </xf>
    <xf numFmtId="0" fontId="4" fillId="36" borderId="35" xfId="1" applyFont="1" applyFill="1" applyBorder="1"/>
    <xf numFmtId="0" fontId="4" fillId="36" borderId="35" xfId="2" applyFont="1" applyFill="1" applyBorder="1" applyAlignment="1">
      <alignment vertical="center"/>
    </xf>
    <xf numFmtId="0" fontId="4" fillId="36" borderId="35" xfId="3" applyFont="1" applyFill="1" applyBorder="1" applyAlignment="1">
      <alignment vertical="center"/>
    </xf>
    <xf numFmtId="0" fontId="4" fillId="36" borderId="35" xfId="3" applyFont="1" applyFill="1" applyBorder="1" applyAlignment="1">
      <alignment horizontal="left" vertical="center"/>
    </xf>
    <xf numFmtId="0" fontId="4" fillId="36" borderId="35" xfId="0" applyFont="1" applyFill="1" applyBorder="1" applyAlignment="1">
      <alignment vertical="top"/>
    </xf>
    <xf numFmtId="0" fontId="4" fillId="36" borderId="35" xfId="0" applyFont="1" applyFill="1" applyBorder="1" applyAlignment="1">
      <alignment horizontal="justify" vertical="center"/>
    </xf>
    <xf numFmtId="0" fontId="4" fillId="36" borderId="35" xfId="0" applyFont="1" applyFill="1" applyBorder="1"/>
    <xf numFmtId="0" fontId="4" fillId="36" borderId="35" xfId="2" applyFont="1" applyFill="1" applyBorder="1" applyAlignment="1">
      <alignment horizontal="left" vertical="center"/>
    </xf>
    <xf numFmtId="0" fontId="4" fillId="36" borderId="35" xfId="4" applyFont="1" applyFill="1" applyBorder="1" applyAlignment="1">
      <alignment vertical="center"/>
    </xf>
    <xf numFmtId="0" fontId="4" fillId="36" borderId="35" xfId="4" applyFont="1" applyFill="1" applyBorder="1" applyAlignment="1">
      <alignment horizontal="left" vertical="center"/>
    </xf>
    <xf numFmtId="0" fontId="8" fillId="36" borderId="35" xfId="0" applyFont="1" applyFill="1" applyBorder="1" applyAlignment="1">
      <alignment vertical="center"/>
    </xf>
    <xf numFmtId="0" fontId="4" fillId="36" borderId="35" xfId="5" applyFont="1" applyFill="1" applyBorder="1" applyAlignment="1">
      <alignment vertical="center"/>
    </xf>
    <xf numFmtId="0" fontId="7" fillId="36" borderId="35" xfId="0" applyFont="1" applyFill="1" applyBorder="1" applyAlignment="1">
      <alignment vertical="center"/>
    </xf>
    <xf numFmtId="0" fontId="4" fillId="36" borderId="35" xfId="2" applyFont="1" applyFill="1" applyBorder="1"/>
    <xf numFmtId="0" fontId="4" fillId="38" borderId="37" xfId="0" applyFont="1" applyFill="1" applyBorder="1" applyAlignment="1">
      <alignment vertical="center"/>
    </xf>
    <xf numFmtId="0" fontId="4" fillId="42" borderId="41" xfId="0" applyFont="1" applyFill="1" applyBorder="1" applyAlignment="1">
      <alignment vertical="center"/>
    </xf>
    <xf numFmtId="0" fontId="9" fillId="2" borderId="1" xfId="0" applyFont="1" applyFill="1" applyAlignment="1">
      <alignment horizontal="center"/>
    </xf>
    <xf numFmtId="0" fontId="9" fillId="9" borderId="8" xfId="0" applyFont="1" applyFill="1" applyBorder="1" applyAlignment="1">
      <alignment horizontal="center" vertical="center"/>
    </xf>
    <xf numFmtId="0" fontId="9" fillId="40" borderId="39" xfId="0" applyFont="1" applyFill="1" applyBorder="1" applyAlignment="1">
      <alignment wrapText="1"/>
    </xf>
    <xf numFmtId="49" fontId="9" fillId="39" borderId="38" xfId="0" applyNumberFormat="1" applyFont="1" applyFill="1" applyBorder="1" applyAlignment="1">
      <alignment horizontal="left"/>
    </xf>
    <xf numFmtId="14" fontId="9" fillId="0" borderId="27" xfId="0" applyNumberFormat="1" applyFont="1" applyFill="1" applyBorder="1" applyAlignment="1">
      <alignment horizontal="center"/>
    </xf>
    <xf numFmtId="0" fontId="9" fillId="9" borderId="8" xfId="0" applyFont="1" applyFill="1" applyBorder="1" applyAlignment="1">
      <alignment horizontal="center"/>
    </xf>
    <xf numFmtId="0" fontId="9" fillId="0" borderId="13" xfId="0" applyFont="1" applyFill="1" applyBorder="1" applyAlignment="1">
      <alignment horizontal="left"/>
    </xf>
    <xf numFmtId="0" fontId="9" fillId="9" borderId="8" xfId="0" applyFont="1" applyFill="1" applyBorder="1" applyAlignment="1">
      <alignment horizontal="left"/>
    </xf>
    <xf numFmtId="0" fontId="9" fillId="2" borderId="1" xfId="0" applyFont="1" applyFill="1"/>
    <xf numFmtId="0" fontId="9" fillId="0" borderId="13" xfId="0" applyFont="1" applyFill="1" applyBorder="1"/>
    <xf numFmtId="0" fontId="9" fillId="15" borderId="14" xfId="0" applyFont="1" applyFill="1" applyBorder="1" applyAlignment="1">
      <alignment horizontal="left" vertical="center"/>
    </xf>
    <xf numFmtId="14" fontId="9" fillId="2" borderId="1" xfId="0" applyNumberFormat="1" applyFont="1" applyFill="1" applyAlignment="1">
      <alignment horizontal="center"/>
    </xf>
    <xf numFmtId="0" fontId="7" fillId="36" borderId="35" xfId="0" applyFont="1" applyFill="1" applyBorder="1"/>
    <xf numFmtId="0" fontId="9" fillId="0" borderId="0" xfId="0" applyFont="1" applyAlignment="1">
      <alignment horizontal="center"/>
    </xf>
    <xf numFmtId="0" fontId="9" fillId="2" borderId="1" xfId="0" applyFont="1" applyFill="1" applyAlignment="1">
      <alignment horizontal="left" vertical="center"/>
    </xf>
    <xf numFmtId="0" fontId="9" fillId="16" borderId="15" xfId="0" applyFont="1" applyFill="1" applyBorder="1" applyAlignment="1">
      <alignment horizontal="left"/>
    </xf>
    <xf numFmtId="0" fontId="9" fillId="16" borderId="15" xfId="0" applyFont="1" applyFill="1" applyBorder="1"/>
    <xf numFmtId="0" fontId="9" fillId="0" borderId="0" xfId="0" applyFont="1"/>
    <xf numFmtId="0" fontId="9" fillId="0" borderId="16" xfId="0" applyFont="1" applyFill="1" applyBorder="1" applyAlignment="1">
      <alignment horizontal="left"/>
    </xf>
    <xf numFmtId="0" fontId="9" fillId="40" borderId="39" xfId="0" applyFont="1" applyFill="1" applyBorder="1"/>
    <xf numFmtId="0" fontId="9" fillId="4" borderId="3" xfId="0" applyFont="1" applyFill="1" applyBorder="1" applyAlignment="1">
      <alignment horizontal="center" vertical="center"/>
    </xf>
    <xf numFmtId="0" fontId="9" fillId="41" borderId="40" xfId="0" applyFont="1" applyFill="1" applyBorder="1" applyAlignment="1">
      <alignment wrapText="1"/>
    </xf>
    <xf numFmtId="14" fontId="9" fillId="0" borderId="28" xfId="0" applyNumberFormat="1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0" fontId="9" fillId="0" borderId="17" xfId="0" applyFont="1" applyFill="1" applyBorder="1" applyAlignment="1">
      <alignment horizontal="left"/>
    </xf>
    <xf numFmtId="0" fontId="9" fillId="0" borderId="18" xfId="0" applyFont="1" applyFill="1" applyBorder="1"/>
    <xf numFmtId="0" fontId="9" fillId="38" borderId="37" xfId="0" applyFont="1" applyFill="1" applyBorder="1" applyAlignment="1">
      <alignment wrapText="1"/>
    </xf>
    <xf numFmtId="14" fontId="9" fillId="0" borderId="29" xfId="0" applyNumberFormat="1" applyFont="1" applyFill="1" applyBorder="1" applyAlignment="1">
      <alignment horizontal="center"/>
    </xf>
    <xf numFmtId="0" fontId="9" fillId="0" borderId="19" xfId="0" applyFont="1" applyFill="1" applyBorder="1" applyAlignment="1">
      <alignment horizontal="left"/>
    </xf>
    <xf numFmtId="0" fontId="9" fillId="9" borderId="8" xfId="0" applyFont="1" applyFill="1" applyBorder="1"/>
    <xf numFmtId="0" fontId="9" fillId="0" borderId="19" xfId="0" applyFont="1" applyFill="1" applyBorder="1"/>
    <xf numFmtId="0" fontId="9" fillId="9" borderId="8" xfId="0" applyFont="1" applyFill="1" applyBorder="1" applyAlignment="1">
      <alignment horizontal="left" vertical="center"/>
    </xf>
    <xf numFmtId="0" fontId="9" fillId="38" borderId="37" xfId="0" applyFont="1" applyFill="1" applyBorder="1"/>
    <xf numFmtId="0" fontId="9" fillId="39" borderId="38" xfId="0" applyFont="1" applyFill="1" applyBorder="1" applyAlignment="1">
      <alignment horizontal="left"/>
    </xf>
    <xf numFmtId="14" fontId="9" fillId="31" borderId="30" xfId="0" applyNumberFormat="1" applyFont="1" applyFill="1" applyBorder="1" applyAlignment="1">
      <alignment horizontal="center"/>
    </xf>
    <xf numFmtId="0" fontId="4" fillId="9" borderId="8" xfId="0" applyFont="1" applyFill="1" applyBorder="1" applyAlignment="1" quotePrefix="1">
      <alignment horizontal="center" vertical="center"/>
    </xf>
    <xf numFmtId="0" fontId="4" fillId="32" borderId="31" xfId="0" applyFont="1" applyFill="1" applyBorder="1" applyAlignment="1" quotePrefix="1">
      <alignment/>
    </xf>
    <xf numFmtId="14" fontId="4" fillId="9" borderId="8" xfId="0" applyNumberFormat="1" applyFont="1" applyFill="1" applyBorder="1" applyAlignment="1" quotePrefix="1">
      <alignment horizontal="center" vertical="center"/>
    </xf>
    <xf numFmtId="14" fontId="4" fillId="9" borderId="8" xfId="0" applyNumberFormat="1" applyFont="1" applyFill="1" applyBorder="1" applyAlignment="1" quotePrefix="1">
      <alignment horizontal="center"/>
    </xf>
    <xf numFmtId="0" fontId="4" fillId="9" borderId="8" xfId="0" applyFont="1" applyFill="1" applyBorder="1" applyAlignment="1" quotePrefix="1">
      <alignment horizontal="center" vertical="top"/>
    </xf>
    <xf numFmtId="0" fontId="8" fillId="36" borderId="35" xfId="2" applyFont="1" applyFill="1" applyBorder="1" applyAlignment="1" quotePrefix="1">
      <alignment vertical="center"/>
    </xf>
    <xf numFmtId="0" fontId="8" fillId="36" borderId="35" xfId="2" applyFont="1" applyFill="1" applyBorder="1" applyAlignment="1" quotePrefix="1">
      <alignment horizontal="left" vertical="center"/>
    </xf>
    <xf numFmtId="0" fontId="8" fillId="36" borderId="35" xfId="3" applyFont="1" applyFill="1" applyBorder="1" applyAlignment="1" quotePrefix="1">
      <alignment vertical="center"/>
    </xf>
    <xf numFmtId="0" fontId="8" fillId="36" borderId="35" xfId="4" applyFont="1" applyFill="1" applyBorder="1" applyAlignment="1" quotePrefix="1">
      <alignment vertical="center"/>
    </xf>
    <xf numFmtId="0" fontId="8" fillId="36" borderId="35" xfId="4" applyFont="1" applyFill="1" applyBorder="1" applyAlignment="1" quotePrefix="1">
      <alignment horizontal="left" vertical="center"/>
    </xf>
    <xf numFmtId="0" fontId="8" fillId="36" borderId="35" xfId="0" applyFont="1" applyFill="1" applyBorder="1" applyAlignment="1" quotePrefix="1">
      <alignment vertical="center"/>
    </xf>
    <xf numFmtId="0" fontId="8" fillId="36" borderId="35" xfId="3" applyFont="1" applyFill="1" applyBorder="1" applyAlignment="1" quotePrefix="1">
      <alignment horizontal="left" vertical="center"/>
    </xf>
    <xf numFmtId="0" fontId="8" fillId="36" borderId="35" xfId="5" applyFont="1" applyFill="1" applyBorder="1" applyAlignment="1" quotePrefix="1">
      <alignment vertical="center"/>
    </xf>
    <xf numFmtId="0" fontId="8" fillId="33" borderId="32" xfId="4" applyFont="1" applyFill="1" applyAlignment="1" quotePrefix="1">
      <alignment vertical="center"/>
    </xf>
    <xf numFmtId="0" fontId="8" fillId="36" borderId="35" xfId="0" applyFont="1" applyFill="1" applyBorder="1" applyAlignment="1" quotePrefix="1">
      <alignment/>
    </xf>
    <xf numFmtId="0" fontId="8" fillId="33" borderId="32" xfId="0" applyFont="1" applyFill="1" applyAlignment="1" quotePrefix="1">
      <alignment vertical="center"/>
    </xf>
    <xf numFmtId="0" fontId="7" fillId="36" borderId="35" xfId="0" applyFont="1" applyFill="1" applyBorder="1" applyAlignment="1" quotePrefix="1">
      <alignment vertical="center"/>
    </xf>
    <xf numFmtId="49" fontId="7" fillId="33" borderId="32" xfId="0" applyNumberFormat="1" applyFont="1" applyFill="1" applyAlignment="1" quotePrefix="1">
      <alignment/>
    </xf>
    <xf numFmtId="0" fontId="7" fillId="36" borderId="35" xfId="0" applyFont="1" applyFill="1" applyBorder="1" applyAlignment="1" quotePrefix="1">
      <alignment/>
    </xf>
    <xf numFmtId="0" fontId="7" fillId="33" borderId="32" xfId="0" applyFont="1" applyFill="1" applyAlignment="1" quotePrefix="1">
      <alignment/>
    </xf>
    <xf numFmtId="0" fontId="7" fillId="36" borderId="35" xfId="2" applyFont="1" applyFill="1" applyBorder="1" applyAlignment="1" quotePrefix="1">
      <alignment/>
    </xf>
    <xf numFmtId="0" fontId="10" fillId="36" borderId="35" xfId="0" applyFont="1" applyFill="1" applyBorder="1" applyAlignment="1" quotePrefix="1">
      <alignment/>
    </xf>
    <xf numFmtId="0" fontId="7" fillId="37" borderId="36" xfId="0" applyFont="1" applyFill="1" applyBorder="1" applyAlignment="1" quotePrefix="1">
      <alignment vertical="center"/>
    </xf>
    <xf numFmtId="0" fontId="7" fillId="39" borderId="38" xfId="0" applyFont="1" applyFill="1" applyBorder="1" applyAlignment="1" quotePrefix="1">
      <alignment vertical="center"/>
    </xf>
    <xf numFmtId="0" fontId="9" fillId="9" borderId="8" xfId="0" applyFont="1" applyFill="1" applyBorder="1" applyAlignment="1" quotePrefix="1">
      <alignment horizontal="center" vertical="center"/>
    </xf>
    <xf numFmtId="0" fontId="9" fillId="4" borderId="3" xfId="0" applyFont="1" applyFill="1" applyBorder="1" applyAlignment="1" quotePrefix="1">
      <alignment horizontal="center" vertical="center"/>
    </xf>
    <xf numFmtId="0" fontId="4" fillId="22" borderId="21" xfId="0" applyFont="1" applyFill="1" applyBorder="1" applyAlignment="1" quotePrefix="1">
      <alignment horizontal="center" vertical="center"/>
    </xf>
    <xf numFmtId="0" fontId="4" fillId="9" borderId="8" xfId="2" applyFont="1" applyFill="1" applyBorder="1" applyAlignment="1" quotePrefix="1">
      <alignment vertical="center"/>
    </xf>
    <xf numFmtId="0" fontId="4" fillId="9" borderId="8" xfId="2" applyFont="1" applyFill="1" applyBorder="1" applyAlignment="1" quotePrefix="1">
      <alignment horizontal="left" vertical="center"/>
    </xf>
    <xf numFmtId="0" fontId="4" fillId="9" borderId="8" xfId="3" applyFont="1" applyFill="1" applyBorder="1" applyAlignment="1" quotePrefix="1">
      <alignment vertical="center"/>
    </xf>
    <xf numFmtId="0" fontId="4" fillId="9" borderId="8" xfId="4" applyFont="1" applyFill="1" applyBorder="1" applyAlignment="1" quotePrefix="1">
      <alignment vertical="center"/>
    </xf>
    <xf numFmtId="0" fontId="4" fillId="9" borderId="8" xfId="4" applyFont="1" applyFill="1" applyBorder="1" applyAlignment="1" quotePrefix="1">
      <alignment horizontal="left" vertical="center"/>
    </xf>
    <xf numFmtId="0" fontId="4" fillId="9" borderId="8" xfId="0" applyFont="1" applyFill="1" applyBorder="1" applyAlignment="1" quotePrefix="1">
      <alignment vertical="center"/>
    </xf>
    <xf numFmtId="0" fontId="4" fillId="9" borderId="8" xfId="3" applyFont="1" applyFill="1" applyBorder="1" applyAlignment="1" quotePrefix="1">
      <alignment horizontal="left" vertical="center"/>
    </xf>
    <xf numFmtId="0" fontId="4" fillId="9" borderId="8" xfId="5" applyFont="1" applyFill="1" applyBorder="1" applyAlignment="1" quotePrefix="1">
      <alignment vertical="center"/>
    </xf>
    <xf numFmtId="0" fontId="4" fillId="2" borderId="1" xfId="4" applyFont="1" applyFill="1" applyAlignment="1" quotePrefix="1">
      <alignment vertical="center"/>
    </xf>
    <xf numFmtId="0" fontId="4" fillId="9" borderId="8" xfId="0" applyFont="1" applyFill="1" applyBorder="1" applyAlignment="1" quotePrefix="1">
      <alignment/>
    </xf>
    <xf numFmtId="0" fontId="4" fillId="2" borderId="1" xfId="0" applyFont="1" applyFill="1" applyAlignment="1" quotePrefix="1">
      <alignment vertical="center"/>
    </xf>
    <xf numFmtId="49" fontId="4" fillId="0" borderId="0" xfId="0" applyNumberFormat="1" applyFont="1" applyAlignment="1" quotePrefix="1">
      <alignment/>
    </xf>
    <xf numFmtId="0" fontId="4" fillId="0" borderId="0" xfId="0" applyFont="1" applyAlignment="1" quotePrefix="1">
      <alignment/>
    </xf>
    <xf numFmtId="0" fontId="4" fillId="9" borderId="8" xfId="2" applyFont="1" applyFill="1" applyBorder="1" applyAlignment="1" quotePrefix="1">
      <alignment/>
    </xf>
    <xf numFmtId="0" fontId="6" fillId="0" borderId="19" xfId="0" applyFont="1" applyFill="1" applyBorder="1" applyAlignment="1" quotePrefix="1">
      <alignment/>
    </xf>
    <xf numFmtId="0" fontId="4" fillId="4" borderId="3" xfId="0" applyFont="1" applyFill="1" applyBorder="1" applyAlignment="1" quotePrefix="1">
      <alignment vertical="center"/>
    </xf>
    <xf numFmtId="0" fontId="4" fillId="16" borderId="15" xfId="0" applyFont="1" applyFill="1" applyBorder="1" applyAlignment="1" quotePrefix="1">
      <alignment vertical="center"/>
    </xf>
    <xf numFmtId="0" fontId="4" fillId="4" borderId="3" xfId="0" applyFont="1" applyFill="1" applyBorder="1" applyAlignment="1" quotePrefix="1">
      <alignment horizontal="center" vertical="center"/>
    </xf>
  </cellXfs>
  <cellStyles count="12">
    <cellStyle name="Normal" xfId="0" builtinId="0" customBuiltin="1"/>
    <cellStyle name="Normal 7" xfId="1"/>
    <cellStyle name="Normal_Sheet1" xfId="2"/>
    <cellStyle name="Normal 2 2" xfId="3"/>
    <cellStyle name="Normal 4" xfId="4"/>
    <cellStyle name="Normal 5" xfId="5"/>
    <cellStyle name="Normal 9" xfId="6"/>
    <cellStyle name="Normal 10" xfId="7"/>
    <cellStyle name="Normal 2" xfId="8"/>
    <cellStyle name="Normal 3" xfId="9"/>
    <cellStyle name="Normal 6" xfId="10"/>
    <cellStyle name="Normal 8" xfId="11"/>
  </cellStyles>
  <tableStyles count="0"/>
  <extLst>
    <ext uri="smNativeData">
      <pm:charStyles xmlns:pm="smNativeData" id="1759816862" count="1">
        <pm:charStyle name="Normal" fontId="0" Id="1"/>
      </pm:charStyles>
      <pm:colors xmlns:pm="smNativeData" id="1759816862" count="7">
        <pm:color name="Color 24" rgb="111111"/>
        <pm:color name="Color 25" rgb="212529"/>
        <pm:color name="Color 26" rgb="C5D9F1"/>
        <pm:color name="Color 27" rgb="DAEEF3"/>
        <pm:color name="Color 28" rgb="FCD5B4"/>
        <pm:color name="Color 29" rgb="92D050"/>
        <pm:color name="Color 30" rgb="FEF2CB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Basic Roman"/>
        <a:cs typeface="Basic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 filterMode="1"/>
  <dimension ref="A1:T739"/>
  <sheetViews>
    <sheetView tabSelected="1" view="normal" workbookViewId="0">
      <pane ySplit="3" topLeftCell="A4" activePane="bottomLeft" state="frozen"/>
      <selection pane="bottomLeft" activeCell="A4" sqref="A4"/>
    </sheetView>
  </sheetViews>
  <sheetFormatPr defaultRowHeight="16.60"/>
  <cols>
    <col min="1" max="1" width="6.288288" customWidth="1" style="56"/>
    <col min="2" max="2" width="31.117117" customWidth="1" style="102"/>
    <col min="3" max="3" width="36.144144" customWidth="1" style="102"/>
    <col min="4" max="4" width="23.711712" customWidth="1" style="56"/>
    <col min="5" max="5" width="17.855856" customWidth="1" style="56"/>
    <col min="6" max="6" width="12.144144" customWidth="1" style="56"/>
    <col min="7" max="7" width="11.711712" customWidth="1" style="56"/>
    <col min="8" max="8" width="34.000000" customWidth="1" style="75"/>
    <col min="9" max="10" width="29.144144" hidden="1" customWidth="1" style="56">
      <extLst>
        <ext uri="smNativeData">
          <pm:columnDef xmlns:pm="smNativeData" id="1759816862" min="9" max="10" hidden="1" collapsedDB="0" collapsedOL="0"/>
        </ext>
      </extLst>
    </col>
    <col min="11" max="11" width="23.000000" hidden="1" customWidth="1" style="75">
      <extLst>
        <ext uri="smNativeData">
          <pm:columnDef xmlns:pm="smNativeData" id="1759816862" min="11" max="11" hidden="1" collapsedDB="0" collapsedOL="0"/>
        </ext>
      </extLst>
    </col>
    <col min="12" max="12" width="43.144144" customWidth="1" style="56"/>
    <col min="13" max="14" width="9.855856" customWidth="1" style="12"/>
    <col min="15" max="15" width="27.144144" customWidth="1" style="12"/>
    <col min="16" max="16" width="11.711712" hidden="1" customWidth="1" style="56">
      <extLst>
        <ext uri="smNativeData">
          <pm:columnDef xmlns:pm="smNativeData" id="1759816862" min="16" max="16" hidden="1" collapsedDB="0" collapsedOL="0"/>
        </ext>
      </extLst>
    </col>
    <col min="17" max="17" width="18.144144" hidden="1" customWidth="1" style="56">
      <extLst>
        <ext uri="smNativeData">
          <pm:columnDef xmlns:pm="smNativeData" id="1759816862" min="17" max="17" hidden="1" collapsedDB="0" collapsedOL="0"/>
        </ext>
      </extLst>
    </col>
    <col min="18" max="18" width="15.288288" hidden="1" customWidth="1" style="12">
      <extLst>
        <ext uri="smNativeData">
          <pm:columnDef xmlns:pm="smNativeData" id="1759816862" min="18" max="18" hidden="1" collapsedDB="0" collapsedOL="0"/>
        </ext>
      </extLst>
    </col>
    <col min="19" max="19" width="15.288288" customWidth="1" style="12"/>
    <col min="20" max="20" width="9.567568" customWidth="1" style="69"/>
    <col min="21" max="16384" width="9.144144" customWidth="1" style="69"/>
  </cols>
  <sheetData>
    <row r="1" spans="1:14">
      <c r="A1" s="81" t="s">
        <v>0</v>
      </c>
      <c r="B1" s="103"/>
      <c r="C1" s="103"/>
      <c r="D1" s="81"/>
      <c r="E1" s="81"/>
      <c r="F1" s="81"/>
      <c r="G1" s="81"/>
      <c r="H1" s="82"/>
      <c r="I1" s="81"/>
      <c r="J1" s="81"/>
      <c r="K1" s="81"/>
      <c r="L1" s="81"/>
      <c r="M1" s="81"/>
      <c r="N1" s="81"/>
    </row>
    <row r="2" spans="1:14">
      <c r="A2" s="83" t="s">
        <v>1</v>
      </c>
      <c r="B2" s="104"/>
      <c r="C2" s="104"/>
      <c r="D2" s="83"/>
      <c r="E2" s="83"/>
      <c r="F2" s="83"/>
      <c r="G2" s="83"/>
      <c r="H2" s="84"/>
      <c r="I2" s="83"/>
      <c r="J2" s="83"/>
      <c r="K2" s="83"/>
      <c r="L2" s="83"/>
      <c r="M2" s="83"/>
      <c r="N2" s="83"/>
    </row>
    <row r="3" spans="1:20">
      <c r="A3" s="13" t="s">
        <v>2</v>
      </c>
      <c r="B3" s="105" t="s">
        <v>3</v>
      </c>
      <c r="C3" s="105" t="s">
        <v>4</v>
      </c>
      <c r="D3" s="13" t="s">
        <v>5</v>
      </c>
      <c r="E3" s="13" t="s">
        <v>6</v>
      </c>
      <c r="F3" s="13" t="s">
        <v>7</v>
      </c>
      <c r="G3" s="13" t="s">
        <v>8</v>
      </c>
      <c r="H3" s="14" t="s">
        <v>9</v>
      </c>
      <c r="I3" s="15" t="s">
        <v>10</v>
      </c>
      <c r="J3" s="16" t="s">
        <v>11</v>
      </c>
      <c r="K3" s="14" t="s">
        <v>12</v>
      </c>
      <c r="L3" s="17" t="s">
        <v>13</v>
      </c>
      <c r="M3" s="13" t="s">
        <v>14</v>
      </c>
      <c r="N3" s="13" t="s">
        <v>15</v>
      </c>
      <c r="O3" s="13" t="s">
        <v>16</v>
      </c>
      <c r="P3" s="13" t="s">
        <v>17</v>
      </c>
      <c r="Q3" s="18" t="s">
        <v>18</v>
      </c>
      <c r="R3" s="19" t="s">
        <v>19</v>
      </c>
      <c r="S3" s="19" t="s">
        <v>20</v>
      </c>
      <c r="T3" s="20" t="s">
        <v>21</v>
      </c>
    </row>
    <row r="4" spans="1:19">
      <c r="A4" s="21" t="n">
        <v>1</v>
      </c>
      <c r="B4" s="106" t="s">
        <v>22</v>
      </c>
      <c r="C4" s="106"/>
      <c r="D4" s="21" t="s">
        <v>23</v>
      </c>
      <c r="E4" s="21" t="s">
        <v>24</v>
      </c>
      <c r="F4" s="21" t="s">
        <v>25</v>
      </c>
      <c r="G4" s="21" t="s">
        <v>26</v>
      </c>
      <c r="H4" s="22" t="s">
        <v>27</v>
      </c>
      <c r="I4" s="22" t="s">
        <v>28</v>
      </c>
      <c r="J4" s="22" t="s">
        <v>27</v>
      </c>
      <c r="K4" s="23" t="s">
        <v>29</v>
      </c>
      <c r="L4" s="23" t="s">
        <v>30</v>
      </c>
      <c r="M4" s="24"/>
      <c r="N4" s="24"/>
      <c r="O4" s="24"/>
      <c r="P4" s="25"/>
      <c r="Q4" s="25"/>
      <c r="R4" s="56"/>
      <c r="S4" s="56"/>
    </row>
    <row r="5" spans="1:19">
      <c r="A5" s="21" t="n">
        <v>2</v>
      </c>
      <c r="B5" s="107" t="s">
        <v>31</v>
      </c>
      <c r="C5" s="107"/>
      <c r="D5" s="159" t="s">
        <v>32</v>
      </c>
      <c r="E5" s="21" t="s">
        <v>33</v>
      </c>
      <c r="F5" s="21" t="s">
        <v>25</v>
      </c>
      <c r="G5" s="21" t="s">
        <v>26</v>
      </c>
      <c r="H5" s="25" t="s">
        <v>34</v>
      </c>
      <c r="I5" s="22" t="s">
        <v>28</v>
      </c>
      <c r="J5" s="25" t="s">
        <v>34</v>
      </c>
      <c r="K5" s="23" t="s">
        <v>29</v>
      </c>
      <c r="L5" s="23" t="s">
        <v>35</v>
      </c>
      <c r="M5" s="24"/>
      <c r="N5" s="24"/>
      <c r="O5" s="24"/>
      <c r="P5" s="25"/>
      <c r="Q5" s="25"/>
      <c r="R5" s="56"/>
      <c r="S5" s="56"/>
    </row>
    <row r="6" spans="1:19">
      <c r="A6" s="21" t="n">
        <v>3</v>
      </c>
      <c r="B6" s="106" t="s">
        <v>36</v>
      </c>
      <c r="C6" s="106"/>
      <c r="D6" s="159" t="s">
        <v>37</v>
      </c>
      <c r="E6" s="21" t="s">
        <v>24</v>
      </c>
      <c r="F6" s="21" t="s">
        <v>25</v>
      </c>
      <c r="G6" s="21" t="s">
        <v>38</v>
      </c>
      <c r="H6" s="22" t="s">
        <v>39</v>
      </c>
      <c r="I6" s="22" t="s">
        <v>28</v>
      </c>
      <c r="J6" s="22"/>
      <c r="K6" s="23" t="s">
        <v>40</v>
      </c>
      <c r="L6" s="23" t="s">
        <v>41</v>
      </c>
      <c r="M6" s="24"/>
      <c r="N6" s="24"/>
      <c r="O6" s="24"/>
      <c r="P6" s="25"/>
      <c r="Q6" s="25"/>
      <c r="R6" s="56"/>
      <c r="S6" s="56"/>
    </row>
    <row r="7" spans="1:19">
      <c r="A7" s="21" t="n">
        <v>4</v>
      </c>
      <c r="B7" s="106" t="s">
        <v>42</v>
      </c>
      <c r="C7" s="106"/>
      <c r="D7" s="21" t="s">
        <v>43</v>
      </c>
      <c r="E7" s="21" t="s">
        <v>33</v>
      </c>
      <c r="F7" s="21" t="s">
        <v>25</v>
      </c>
      <c r="G7" s="21" t="s">
        <v>38</v>
      </c>
      <c r="H7" s="22" t="s">
        <v>44</v>
      </c>
      <c r="I7" s="22" t="s">
        <v>28</v>
      </c>
      <c r="J7" s="22"/>
      <c r="K7" s="23" t="s">
        <v>29</v>
      </c>
      <c r="L7" s="23" t="s">
        <v>45</v>
      </c>
      <c r="M7" s="24"/>
      <c r="N7" s="24"/>
      <c r="O7" s="24"/>
      <c r="P7" s="25"/>
      <c r="Q7" s="25"/>
      <c r="R7" s="56"/>
      <c r="S7" s="56"/>
    </row>
    <row r="8" spans="1:19">
      <c r="A8" s="21" t="n">
        <v>5</v>
      </c>
      <c r="B8" s="108" t="s">
        <v>46</v>
      </c>
      <c r="C8" s="108"/>
      <c r="D8" s="160" t="s">
        <v>47</v>
      </c>
      <c r="E8" s="21" t="s">
        <v>24</v>
      </c>
      <c r="F8" s="21" t="s">
        <v>25</v>
      </c>
      <c r="G8" s="21" t="s">
        <v>38</v>
      </c>
      <c r="H8" s="22" t="s">
        <v>48</v>
      </c>
      <c r="I8" s="22" t="s">
        <v>28</v>
      </c>
      <c r="J8" s="22" t="s">
        <v>48</v>
      </c>
      <c r="K8" s="23" t="s">
        <v>29</v>
      </c>
      <c r="L8" s="23" t="s">
        <v>49</v>
      </c>
      <c r="M8" s="24"/>
      <c r="N8" s="24"/>
      <c r="O8" s="24"/>
      <c r="P8" s="25"/>
      <c r="Q8" s="25"/>
      <c r="R8" s="56"/>
      <c r="S8" s="56"/>
    </row>
    <row r="9" spans="1:19">
      <c r="A9" s="21" t="n">
        <v>6</v>
      </c>
      <c r="B9" s="106" t="s">
        <v>50</v>
      </c>
      <c r="C9" s="106"/>
      <c r="D9" s="21" t="s">
        <v>51</v>
      </c>
      <c r="E9" s="21" t="s">
        <v>33</v>
      </c>
      <c r="F9" s="21" t="s">
        <v>25</v>
      </c>
      <c r="G9" s="21" t="s">
        <v>38</v>
      </c>
      <c r="H9" s="22" t="s">
        <v>52</v>
      </c>
      <c r="I9" s="22" t="s">
        <v>28</v>
      </c>
      <c r="J9" s="22"/>
      <c r="K9" s="23" t="s">
        <v>29</v>
      </c>
      <c r="L9" s="23" t="s">
        <v>53</v>
      </c>
      <c r="M9" s="24"/>
      <c r="N9" s="24"/>
      <c r="O9" s="24"/>
      <c r="P9" s="25"/>
      <c r="Q9" s="25"/>
      <c r="R9" s="56"/>
      <c r="S9" s="56"/>
    </row>
    <row r="10" spans="1:19">
      <c r="A10" s="21" t="n">
        <v>7</v>
      </c>
      <c r="B10" s="106" t="s">
        <v>54</v>
      </c>
      <c r="C10" s="106"/>
      <c r="D10" s="21" t="s">
        <v>55</v>
      </c>
      <c r="E10" s="21" t="s">
        <v>24</v>
      </c>
      <c r="F10" s="21" t="s">
        <v>25</v>
      </c>
      <c r="G10" s="21" t="s">
        <v>38</v>
      </c>
      <c r="H10" s="22" t="s">
        <v>56</v>
      </c>
      <c r="I10" s="22" t="s">
        <v>28</v>
      </c>
      <c r="J10" s="22"/>
      <c r="K10" s="23" t="s">
        <v>29</v>
      </c>
      <c r="L10" s="23" t="s">
        <v>57</v>
      </c>
      <c r="M10" s="24"/>
      <c r="N10" s="24"/>
      <c r="O10" s="24"/>
      <c r="P10" s="25"/>
      <c r="Q10" s="25"/>
      <c r="R10" s="56"/>
      <c r="S10" s="56"/>
    </row>
    <row r="11" spans="1:19">
      <c r="A11" s="21" t="n">
        <v>8</v>
      </c>
      <c r="B11" s="106" t="s">
        <v>58</v>
      </c>
      <c r="C11" s="106"/>
      <c r="D11" s="21" t="s">
        <v>59</v>
      </c>
      <c r="E11" s="21" t="s">
        <v>24</v>
      </c>
      <c r="F11" s="21" t="s">
        <v>25</v>
      </c>
      <c r="G11" s="21" t="s">
        <v>38</v>
      </c>
      <c r="H11" s="22" t="s">
        <v>60</v>
      </c>
      <c r="I11" s="22" t="s">
        <v>28</v>
      </c>
      <c r="J11" s="22"/>
      <c r="K11" s="23" t="s">
        <v>29</v>
      </c>
      <c r="L11" s="23" t="s">
        <v>61</v>
      </c>
      <c r="M11" s="24"/>
      <c r="N11" s="24"/>
      <c r="O11" s="24"/>
      <c r="P11" s="25"/>
      <c r="Q11" s="25"/>
      <c r="R11" s="56"/>
      <c r="S11" s="56"/>
    </row>
    <row r="12" spans="1:19">
      <c r="A12" s="21" t="n">
        <v>9</v>
      </c>
      <c r="B12" s="106" t="s">
        <v>62</v>
      </c>
      <c r="C12" s="106"/>
      <c r="D12" s="21" t="s">
        <v>63</v>
      </c>
      <c r="E12" s="21" t="s">
        <v>24</v>
      </c>
      <c r="F12" s="21" t="s">
        <v>25</v>
      </c>
      <c r="G12" s="24" t="s">
        <v>64</v>
      </c>
      <c r="H12" s="22" t="s">
        <v>65</v>
      </c>
      <c r="I12" s="27" t="s">
        <v>66</v>
      </c>
      <c r="J12" s="22" t="s">
        <v>65</v>
      </c>
      <c r="K12" s="23" t="s">
        <v>67</v>
      </c>
      <c r="L12" s="23" t="s">
        <v>68</v>
      </c>
      <c r="M12" s="24"/>
      <c r="N12" s="24"/>
      <c r="O12" s="24"/>
      <c r="P12" s="25"/>
      <c r="Q12" s="25"/>
      <c r="R12" s="56"/>
      <c r="S12" s="56"/>
    </row>
    <row r="13" spans="1:19">
      <c r="A13" s="21" t="n">
        <v>10</v>
      </c>
      <c r="B13" s="106" t="s">
        <v>69</v>
      </c>
      <c r="C13" s="106"/>
      <c r="D13" s="21" t="s">
        <v>70</v>
      </c>
      <c r="E13" s="21" t="s">
        <v>33</v>
      </c>
      <c r="F13" s="21" t="s">
        <v>25</v>
      </c>
      <c r="G13" s="24" t="s">
        <v>64</v>
      </c>
      <c r="H13" s="22" t="s">
        <v>71</v>
      </c>
      <c r="I13" s="27" t="s">
        <v>66</v>
      </c>
      <c r="J13" s="22" t="s">
        <v>71</v>
      </c>
      <c r="K13" s="23" t="s">
        <v>72</v>
      </c>
      <c r="L13" s="23" t="s">
        <v>73</v>
      </c>
      <c r="M13" s="24"/>
      <c r="N13" s="24"/>
      <c r="O13" s="24"/>
      <c r="P13" s="25"/>
      <c r="Q13" s="25"/>
      <c r="R13" s="56"/>
      <c r="S13" s="56"/>
    </row>
    <row r="14" spans="1:19">
      <c r="A14" s="21" t="n">
        <v>11</v>
      </c>
      <c r="B14" s="106" t="s">
        <v>74</v>
      </c>
      <c r="C14" s="106"/>
      <c r="D14" s="21" t="s">
        <v>75</v>
      </c>
      <c r="E14" s="21" t="s">
        <v>24</v>
      </c>
      <c r="F14" s="21" t="s">
        <v>25</v>
      </c>
      <c r="G14" s="24" t="s">
        <v>64</v>
      </c>
      <c r="H14" s="22" t="s">
        <v>76</v>
      </c>
      <c r="I14" s="27" t="s">
        <v>66</v>
      </c>
      <c r="J14" s="22" t="s">
        <v>76</v>
      </c>
      <c r="K14" s="23" t="s">
        <v>72</v>
      </c>
      <c r="L14" s="23" t="s">
        <v>77</v>
      </c>
      <c r="M14" s="24"/>
      <c r="N14" s="24"/>
      <c r="O14" s="24"/>
      <c r="P14" s="25"/>
      <c r="Q14" s="25"/>
      <c r="R14" s="56"/>
      <c r="S14" s="56"/>
    </row>
    <row r="15" spans="1:19">
      <c r="A15" s="21" t="n">
        <v>12</v>
      </c>
      <c r="B15" s="106" t="s">
        <v>78</v>
      </c>
      <c r="C15" s="106"/>
      <c r="D15" s="21" t="s">
        <v>79</v>
      </c>
      <c r="E15" s="21" t="s">
        <v>33</v>
      </c>
      <c r="F15" s="21" t="s">
        <v>25</v>
      </c>
      <c r="G15" s="21" t="s">
        <v>26</v>
      </c>
      <c r="H15" s="22" t="s">
        <v>65</v>
      </c>
      <c r="I15" s="27" t="s">
        <v>66</v>
      </c>
      <c r="J15" s="22" t="s">
        <v>65</v>
      </c>
      <c r="K15" s="23" t="s">
        <v>67</v>
      </c>
      <c r="L15" s="23" t="s">
        <v>68</v>
      </c>
      <c r="M15" s="24"/>
      <c r="N15" s="24"/>
      <c r="O15" s="24"/>
      <c r="P15" s="25"/>
      <c r="Q15" s="25"/>
      <c r="R15" s="56"/>
      <c r="S15" s="56"/>
    </row>
    <row r="16" spans="1:19">
      <c r="A16" s="21" t="n">
        <v>13</v>
      </c>
      <c r="B16" s="106" t="s">
        <v>80</v>
      </c>
      <c r="C16" s="106"/>
      <c r="D16" s="21" t="s">
        <v>81</v>
      </c>
      <c r="E16" s="21" t="s">
        <v>24</v>
      </c>
      <c r="F16" s="21" t="s">
        <v>25</v>
      </c>
      <c r="G16" s="21" t="s">
        <v>26</v>
      </c>
      <c r="H16" s="22" t="s">
        <v>82</v>
      </c>
      <c r="I16" s="27" t="s">
        <v>66</v>
      </c>
      <c r="J16" s="22" t="s">
        <v>82</v>
      </c>
      <c r="K16" s="23" t="s">
        <v>72</v>
      </c>
      <c r="L16" s="23" t="s">
        <v>83</v>
      </c>
      <c r="M16" s="24"/>
      <c r="N16" s="24"/>
      <c r="O16" s="24"/>
      <c r="P16" s="25"/>
      <c r="Q16" s="25"/>
      <c r="R16" s="56"/>
      <c r="S16" s="56"/>
    </row>
    <row r="17" spans="1:19">
      <c r="A17" s="21" t="n">
        <v>14</v>
      </c>
      <c r="B17" s="106" t="s">
        <v>84</v>
      </c>
      <c r="C17" s="106"/>
      <c r="D17" s="21" t="s">
        <v>85</v>
      </c>
      <c r="E17" s="21" t="s">
        <v>24</v>
      </c>
      <c r="F17" s="21" t="s">
        <v>25</v>
      </c>
      <c r="G17" s="21" t="s">
        <v>26</v>
      </c>
      <c r="H17" s="22" t="s">
        <v>86</v>
      </c>
      <c r="I17" s="27" t="s">
        <v>66</v>
      </c>
      <c r="J17" s="22" t="s">
        <v>86</v>
      </c>
      <c r="K17" s="23" t="s">
        <v>72</v>
      </c>
      <c r="L17" s="23" t="s">
        <v>87</v>
      </c>
      <c r="M17" s="24"/>
      <c r="N17" s="24"/>
      <c r="O17" s="24"/>
      <c r="P17" s="25"/>
      <c r="Q17" s="25"/>
      <c r="R17" s="56"/>
      <c r="S17" s="56"/>
    </row>
    <row r="18" spans="1:19">
      <c r="A18" s="21" t="n">
        <v>15</v>
      </c>
      <c r="B18" s="106" t="s">
        <v>88</v>
      </c>
      <c r="C18" s="106"/>
      <c r="D18" s="21" t="s">
        <v>89</v>
      </c>
      <c r="E18" s="21" t="s">
        <v>24</v>
      </c>
      <c r="F18" s="21" t="s">
        <v>25</v>
      </c>
      <c r="G18" s="21" t="s">
        <v>38</v>
      </c>
      <c r="H18" s="22" t="s">
        <v>90</v>
      </c>
      <c r="I18" s="22" t="s">
        <v>91</v>
      </c>
      <c r="J18" s="22" t="s">
        <v>90</v>
      </c>
      <c r="K18" s="23" t="s">
        <v>29</v>
      </c>
      <c r="L18" s="23" t="s">
        <v>92</v>
      </c>
      <c r="M18" s="24"/>
      <c r="N18" s="24"/>
      <c r="O18" s="24"/>
      <c r="P18" s="25"/>
      <c r="Q18" s="25"/>
      <c r="R18" s="56"/>
      <c r="S18" s="56"/>
    </row>
    <row r="19" spans="1:19">
      <c r="A19" s="21" t="n">
        <v>16</v>
      </c>
      <c r="B19" s="106" t="s">
        <v>93</v>
      </c>
      <c r="C19" s="106"/>
      <c r="D19" s="21" t="s">
        <v>94</v>
      </c>
      <c r="E19" s="21" t="s">
        <v>24</v>
      </c>
      <c r="F19" s="21" t="s">
        <v>25</v>
      </c>
      <c r="G19" s="21" t="s">
        <v>26</v>
      </c>
      <c r="H19" s="23" t="s">
        <v>95</v>
      </c>
      <c r="I19" s="27" t="s">
        <v>96</v>
      </c>
      <c r="J19" s="22" t="s">
        <v>95</v>
      </c>
      <c r="K19" s="23" t="s">
        <v>40</v>
      </c>
      <c r="L19" s="23" t="s">
        <v>97</v>
      </c>
      <c r="M19" s="24"/>
      <c r="N19" s="24"/>
      <c r="O19" s="24"/>
      <c r="P19" s="25"/>
      <c r="Q19" s="25"/>
      <c r="R19" s="56"/>
      <c r="S19" s="56"/>
    </row>
    <row r="20" spans="1:19">
      <c r="A20" s="21" t="n">
        <v>17</v>
      </c>
      <c r="B20" s="106" t="s">
        <v>98</v>
      </c>
      <c r="C20" s="106"/>
      <c r="D20" s="21" t="s">
        <v>99</v>
      </c>
      <c r="E20" s="21" t="s">
        <v>24</v>
      </c>
      <c r="F20" s="21" t="s">
        <v>25</v>
      </c>
      <c r="G20" s="21" t="s">
        <v>26</v>
      </c>
      <c r="H20" s="22" t="s">
        <v>100</v>
      </c>
      <c r="I20" s="22" t="s">
        <v>101</v>
      </c>
      <c r="J20" s="22" t="s">
        <v>100</v>
      </c>
      <c r="K20" s="28" t="s">
        <v>102</v>
      </c>
      <c r="L20" s="23" t="s">
        <v>103</v>
      </c>
      <c r="M20" s="24"/>
      <c r="N20" s="24"/>
      <c r="O20" s="24"/>
      <c r="P20" s="25"/>
      <c r="Q20" s="25"/>
      <c r="R20" s="56"/>
      <c r="S20" s="56"/>
    </row>
    <row r="21" spans="1:19">
      <c r="A21" s="21" t="n">
        <v>18</v>
      </c>
      <c r="B21" s="106" t="s">
        <v>104</v>
      </c>
      <c r="C21" s="106"/>
      <c r="D21" s="21" t="s">
        <v>105</v>
      </c>
      <c r="E21" s="21" t="s">
        <v>24</v>
      </c>
      <c r="F21" s="21" t="s">
        <v>25</v>
      </c>
      <c r="G21" s="21" t="s">
        <v>38</v>
      </c>
      <c r="H21" s="22" t="s">
        <v>100</v>
      </c>
      <c r="I21" s="22" t="s">
        <v>101</v>
      </c>
      <c r="J21" s="22" t="s">
        <v>100</v>
      </c>
      <c r="K21" s="28" t="s">
        <v>102</v>
      </c>
      <c r="L21" s="23" t="s">
        <v>103</v>
      </c>
      <c r="M21" s="24"/>
      <c r="N21" s="24"/>
      <c r="O21" s="24"/>
      <c r="P21" s="25"/>
      <c r="Q21" s="25"/>
      <c r="R21" s="56"/>
      <c r="S21" s="56"/>
    </row>
    <row r="22" spans="1:19">
      <c r="A22" s="21" t="n">
        <v>19</v>
      </c>
      <c r="B22" s="106" t="s">
        <v>106</v>
      </c>
      <c r="C22" s="106"/>
      <c r="D22" s="21" t="s">
        <v>107</v>
      </c>
      <c r="E22" s="21" t="s">
        <v>33</v>
      </c>
      <c r="F22" s="21" t="s">
        <v>25</v>
      </c>
      <c r="G22" s="21" t="s">
        <v>38</v>
      </c>
      <c r="H22" s="22" t="s">
        <v>100</v>
      </c>
      <c r="I22" s="22" t="s">
        <v>101</v>
      </c>
      <c r="J22" s="22" t="s">
        <v>100</v>
      </c>
      <c r="K22" s="28" t="s">
        <v>102</v>
      </c>
      <c r="L22" s="23" t="s">
        <v>103</v>
      </c>
      <c r="M22" s="24"/>
      <c r="N22" s="24"/>
      <c r="O22" s="24"/>
      <c r="P22" s="25"/>
      <c r="Q22" s="25"/>
      <c r="R22" s="56"/>
      <c r="S22" s="56"/>
    </row>
    <row r="23" spans="1:19">
      <c r="A23" s="21" t="n">
        <v>20</v>
      </c>
      <c r="B23" s="106" t="s">
        <v>108</v>
      </c>
      <c r="C23" s="106"/>
      <c r="D23" s="21" t="s">
        <v>109</v>
      </c>
      <c r="E23" s="21" t="s">
        <v>33</v>
      </c>
      <c r="F23" s="21" t="s">
        <v>25</v>
      </c>
      <c r="G23" s="21" t="s">
        <v>110</v>
      </c>
      <c r="H23" s="22" t="s">
        <v>111</v>
      </c>
      <c r="I23" s="22" t="s">
        <v>28</v>
      </c>
      <c r="J23" s="22" t="s">
        <v>111</v>
      </c>
      <c r="K23" s="23" t="s">
        <v>40</v>
      </c>
      <c r="L23" s="23" t="s">
        <v>112</v>
      </c>
      <c r="M23" s="24"/>
      <c r="N23" s="24"/>
      <c r="O23" s="24"/>
      <c r="P23" s="25"/>
      <c r="Q23" s="25"/>
      <c r="R23" s="56"/>
      <c r="S23" s="56"/>
    </row>
    <row r="24" spans="1:19">
      <c r="A24" s="21" t="n">
        <v>21</v>
      </c>
      <c r="B24" s="106" t="s">
        <v>113</v>
      </c>
      <c r="C24" s="106"/>
      <c r="D24" s="21" t="s">
        <v>114</v>
      </c>
      <c r="E24" s="21" t="s">
        <v>33</v>
      </c>
      <c r="F24" s="21" t="s">
        <v>25</v>
      </c>
      <c r="G24" s="21" t="s">
        <v>38</v>
      </c>
      <c r="H24" s="22" t="s">
        <v>115</v>
      </c>
      <c r="I24" s="22" t="s">
        <v>28</v>
      </c>
      <c r="J24" s="22" t="s">
        <v>115</v>
      </c>
      <c r="K24" s="23" t="s">
        <v>29</v>
      </c>
      <c r="L24" s="23" t="s">
        <v>61</v>
      </c>
      <c r="M24" s="24"/>
      <c r="N24" s="24"/>
      <c r="O24" s="24"/>
      <c r="P24" s="25"/>
      <c r="Q24" s="25"/>
      <c r="R24" s="56"/>
      <c r="S24" s="56"/>
    </row>
    <row r="25" spans="1:19">
      <c r="A25" s="21" t="n">
        <v>22</v>
      </c>
      <c r="B25" s="106" t="s">
        <v>116</v>
      </c>
      <c r="C25" s="106"/>
      <c r="D25" s="21" t="s">
        <v>117</v>
      </c>
      <c r="E25" s="21" t="s">
        <v>33</v>
      </c>
      <c r="F25" s="21" t="s">
        <v>25</v>
      </c>
      <c r="G25" s="21" t="s">
        <v>110</v>
      </c>
      <c r="H25" s="22" t="s">
        <v>118</v>
      </c>
      <c r="I25" s="22" t="s">
        <v>28</v>
      </c>
      <c r="J25" s="22" t="s">
        <v>118</v>
      </c>
      <c r="K25" s="23" t="s">
        <v>40</v>
      </c>
      <c r="L25" s="23" t="s">
        <v>119</v>
      </c>
      <c r="M25" s="24"/>
      <c r="N25" s="24"/>
      <c r="O25" s="24"/>
      <c r="P25" s="25"/>
      <c r="Q25" s="25"/>
      <c r="R25" s="56"/>
      <c r="S25" s="56"/>
    </row>
    <row r="26" spans="1:19">
      <c r="A26" s="21" t="n">
        <v>23</v>
      </c>
      <c r="B26" s="106" t="s">
        <v>120</v>
      </c>
      <c r="C26" s="106"/>
      <c r="D26" s="21" t="s">
        <v>121</v>
      </c>
      <c r="E26" s="21" t="s">
        <v>24</v>
      </c>
      <c r="F26" s="21" t="s">
        <v>25</v>
      </c>
      <c r="G26" s="21" t="s">
        <v>110</v>
      </c>
      <c r="H26" s="22" t="s">
        <v>118</v>
      </c>
      <c r="I26" s="22" t="s">
        <v>28</v>
      </c>
      <c r="J26" s="22" t="s">
        <v>118</v>
      </c>
      <c r="K26" s="23" t="s">
        <v>40</v>
      </c>
      <c r="L26" s="23" t="s">
        <v>122</v>
      </c>
      <c r="M26" s="24"/>
      <c r="N26" s="24"/>
      <c r="O26" s="24"/>
      <c r="P26" s="25"/>
      <c r="Q26" s="25"/>
      <c r="R26" s="56"/>
      <c r="S26" s="56"/>
    </row>
    <row r="27" spans="1:19">
      <c r="A27" s="21" t="n">
        <v>24</v>
      </c>
      <c r="B27" s="106" t="s">
        <v>123</v>
      </c>
      <c r="C27" s="106"/>
      <c r="D27" s="21" t="s">
        <v>124</v>
      </c>
      <c r="E27" s="21" t="s">
        <v>33</v>
      </c>
      <c r="F27" s="21" t="s">
        <v>25</v>
      </c>
      <c r="G27" s="21" t="s">
        <v>110</v>
      </c>
      <c r="H27" s="22" t="s">
        <v>125</v>
      </c>
      <c r="I27" s="22" t="s">
        <v>126</v>
      </c>
      <c r="J27" s="22" t="s">
        <v>125</v>
      </c>
      <c r="K27" s="23" t="s">
        <v>127</v>
      </c>
      <c r="L27" s="23" t="s">
        <v>128</v>
      </c>
      <c r="M27" s="24"/>
      <c r="N27" s="24"/>
      <c r="O27" s="24"/>
      <c r="P27" s="25"/>
      <c r="Q27" s="25"/>
      <c r="R27" s="56"/>
      <c r="S27" s="56"/>
    </row>
    <row r="28" spans="1:19">
      <c r="A28" s="21" t="n">
        <v>25</v>
      </c>
      <c r="B28" s="106" t="s">
        <v>129</v>
      </c>
      <c r="C28" s="106"/>
      <c r="D28" s="21" t="s">
        <v>130</v>
      </c>
      <c r="E28" s="21" t="s">
        <v>33</v>
      </c>
      <c r="F28" s="21" t="s">
        <v>25</v>
      </c>
      <c r="G28" s="21" t="s">
        <v>38</v>
      </c>
      <c r="H28" s="22" t="s">
        <v>131</v>
      </c>
      <c r="I28" s="22" t="s">
        <v>132</v>
      </c>
      <c r="J28" s="22" t="s">
        <v>131</v>
      </c>
      <c r="K28" s="23" t="s">
        <v>133</v>
      </c>
      <c r="L28" s="23" t="s">
        <v>134</v>
      </c>
      <c r="M28" s="24"/>
      <c r="N28" s="24"/>
      <c r="O28" s="24"/>
      <c r="P28" s="25"/>
      <c r="Q28" s="25"/>
      <c r="R28" s="56"/>
      <c r="S28" s="56"/>
    </row>
    <row r="29" spans="1:19">
      <c r="A29" s="21" t="n">
        <v>26</v>
      </c>
      <c r="B29" s="106" t="s">
        <v>135</v>
      </c>
      <c r="C29" s="106"/>
      <c r="D29" s="21" t="s">
        <v>136</v>
      </c>
      <c r="E29" s="21" t="s">
        <v>24</v>
      </c>
      <c r="F29" s="21" t="s">
        <v>25</v>
      </c>
      <c r="G29" s="21" t="s">
        <v>110</v>
      </c>
      <c r="H29" s="22" t="s">
        <v>137</v>
      </c>
      <c r="I29" s="22" t="s">
        <v>91</v>
      </c>
      <c r="J29" s="22" t="s">
        <v>137</v>
      </c>
      <c r="K29" s="23" t="s">
        <v>40</v>
      </c>
      <c r="L29" s="23" t="s">
        <v>92</v>
      </c>
      <c r="M29" s="24"/>
      <c r="N29" s="24"/>
      <c r="O29" s="24"/>
      <c r="P29" s="25"/>
      <c r="Q29" s="25"/>
      <c r="R29" s="56"/>
      <c r="S29" s="56"/>
    </row>
    <row r="30" spans="1:19">
      <c r="A30" s="21" t="n">
        <v>27</v>
      </c>
      <c r="B30" s="106" t="s">
        <v>138</v>
      </c>
      <c r="C30" s="106"/>
      <c r="D30" s="21" t="s">
        <v>139</v>
      </c>
      <c r="E30" s="21" t="s">
        <v>33</v>
      </c>
      <c r="F30" s="21" t="s">
        <v>25</v>
      </c>
      <c r="G30" s="21" t="s">
        <v>38</v>
      </c>
      <c r="H30" s="22" t="s">
        <v>71</v>
      </c>
      <c r="I30" s="27" t="s">
        <v>66</v>
      </c>
      <c r="J30" s="22" t="s">
        <v>71</v>
      </c>
      <c r="K30" s="23" t="s">
        <v>72</v>
      </c>
      <c r="L30" s="23" t="s">
        <v>73</v>
      </c>
      <c r="M30" s="24"/>
      <c r="N30" s="24"/>
      <c r="O30" s="24"/>
      <c r="P30" s="25"/>
      <c r="Q30" s="25"/>
      <c r="R30" s="56"/>
      <c r="S30" s="56"/>
    </row>
    <row r="31" spans="1:19">
      <c r="A31" s="21" t="n">
        <v>28</v>
      </c>
      <c r="B31" s="106" t="s">
        <v>140</v>
      </c>
      <c r="C31" s="106"/>
      <c r="D31" s="21" t="s">
        <v>141</v>
      </c>
      <c r="E31" s="21" t="s">
        <v>24</v>
      </c>
      <c r="F31" s="21" t="s">
        <v>25</v>
      </c>
      <c r="G31" s="21" t="s">
        <v>110</v>
      </c>
      <c r="H31" s="22" t="s">
        <v>142</v>
      </c>
      <c r="I31" s="22" t="s">
        <v>101</v>
      </c>
      <c r="J31" s="22" t="s">
        <v>142</v>
      </c>
      <c r="K31" s="23" t="s">
        <v>143</v>
      </c>
      <c r="L31" s="23" t="s">
        <v>103</v>
      </c>
      <c r="M31" s="24"/>
      <c r="N31" s="24"/>
      <c r="O31" s="24"/>
      <c r="P31" s="25"/>
      <c r="Q31" s="25"/>
      <c r="R31" s="56"/>
      <c r="S31" s="56"/>
    </row>
    <row r="32" spans="1:19">
      <c r="A32" s="21" t="n">
        <v>29</v>
      </c>
      <c r="B32" s="106" t="s">
        <v>144</v>
      </c>
      <c r="C32" s="106"/>
      <c r="D32" s="21" t="s">
        <v>145</v>
      </c>
      <c r="E32" s="21" t="s">
        <v>24</v>
      </c>
      <c r="F32" s="21" t="s">
        <v>25</v>
      </c>
      <c r="G32" s="21" t="s">
        <v>26</v>
      </c>
      <c r="H32" s="22" t="s">
        <v>146</v>
      </c>
      <c r="I32" s="27" t="s">
        <v>66</v>
      </c>
      <c r="J32" s="22" t="s">
        <v>146</v>
      </c>
      <c r="K32" s="23" t="s">
        <v>40</v>
      </c>
      <c r="L32" s="23" t="s">
        <v>77</v>
      </c>
      <c r="M32" s="24"/>
      <c r="N32" s="24"/>
      <c r="O32" s="24"/>
      <c r="P32" s="25"/>
      <c r="Q32" s="25"/>
      <c r="R32" s="56"/>
      <c r="S32" s="56"/>
    </row>
    <row r="33" spans="1:19">
      <c r="A33" s="21" t="n">
        <v>30</v>
      </c>
      <c r="B33" s="106" t="s">
        <v>147</v>
      </c>
      <c r="C33" s="106"/>
      <c r="D33" s="21" t="s">
        <v>148</v>
      </c>
      <c r="E33" s="21" t="s">
        <v>33</v>
      </c>
      <c r="F33" s="21" t="s">
        <v>25</v>
      </c>
      <c r="G33" s="21" t="s">
        <v>38</v>
      </c>
      <c r="H33" s="22" t="s">
        <v>149</v>
      </c>
      <c r="I33" s="27" t="s">
        <v>66</v>
      </c>
      <c r="J33" s="22" t="s">
        <v>149</v>
      </c>
      <c r="K33" s="23" t="s">
        <v>72</v>
      </c>
      <c r="L33" s="23" t="s">
        <v>150</v>
      </c>
      <c r="M33" s="24"/>
      <c r="N33" s="24"/>
      <c r="O33" s="24"/>
      <c r="P33" s="25"/>
      <c r="Q33" s="25"/>
      <c r="R33" s="56"/>
      <c r="S33" s="56"/>
    </row>
    <row r="34" spans="1:19">
      <c r="A34" s="21" t="n">
        <v>31</v>
      </c>
      <c r="B34" s="106" t="s">
        <v>151</v>
      </c>
      <c r="C34" s="106"/>
      <c r="D34" s="21" t="s">
        <v>152</v>
      </c>
      <c r="E34" s="21" t="s">
        <v>24</v>
      </c>
      <c r="F34" s="21" t="s">
        <v>25</v>
      </c>
      <c r="G34" s="21" t="s">
        <v>110</v>
      </c>
      <c r="H34" s="22" t="s">
        <v>125</v>
      </c>
      <c r="I34" s="22" t="s">
        <v>126</v>
      </c>
      <c r="J34" s="22" t="s">
        <v>125</v>
      </c>
      <c r="K34" s="23" t="s">
        <v>153</v>
      </c>
      <c r="L34" s="23" t="s">
        <v>128</v>
      </c>
      <c r="M34" s="24"/>
      <c r="N34" s="24"/>
      <c r="O34" s="24"/>
      <c r="P34" s="25"/>
      <c r="Q34" s="25"/>
      <c r="R34" s="56"/>
      <c r="S34" s="56"/>
    </row>
    <row r="35" spans="1:19">
      <c r="A35" s="21" t="n">
        <v>32</v>
      </c>
      <c r="B35" s="106" t="s">
        <v>154</v>
      </c>
      <c r="C35" s="106"/>
      <c r="D35" s="21" t="s">
        <v>155</v>
      </c>
      <c r="E35" s="21" t="s">
        <v>24</v>
      </c>
      <c r="F35" s="21" t="s">
        <v>25</v>
      </c>
      <c r="G35" s="21" t="s">
        <v>110</v>
      </c>
      <c r="H35" s="23" t="s">
        <v>156</v>
      </c>
      <c r="I35" s="27" t="s">
        <v>96</v>
      </c>
      <c r="J35" s="22" t="s">
        <v>156</v>
      </c>
      <c r="K35" s="23" t="s">
        <v>157</v>
      </c>
      <c r="L35" s="29" t="s">
        <v>158</v>
      </c>
      <c r="M35" s="24"/>
      <c r="N35" s="24"/>
      <c r="O35" s="24"/>
      <c r="P35" s="25"/>
      <c r="Q35" s="25"/>
      <c r="R35" s="56"/>
      <c r="S35" s="56"/>
    </row>
    <row r="36" spans="1:19">
      <c r="A36" s="21" t="n">
        <v>33</v>
      </c>
      <c r="B36" s="106" t="s">
        <v>159</v>
      </c>
      <c r="C36" s="106"/>
      <c r="D36" s="21" t="s">
        <v>160</v>
      </c>
      <c r="E36" s="21" t="s">
        <v>33</v>
      </c>
      <c r="F36" s="21" t="s">
        <v>25</v>
      </c>
      <c r="G36" s="21" t="s">
        <v>110</v>
      </c>
      <c r="H36" s="23" t="s">
        <v>156</v>
      </c>
      <c r="I36" s="27" t="s">
        <v>96</v>
      </c>
      <c r="J36" s="22" t="s">
        <v>156</v>
      </c>
      <c r="K36" s="23" t="s">
        <v>161</v>
      </c>
      <c r="L36" s="23" t="s">
        <v>162</v>
      </c>
      <c r="M36" s="24"/>
      <c r="N36" s="24"/>
      <c r="O36" s="24"/>
      <c r="P36" s="25"/>
      <c r="Q36" s="25"/>
      <c r="R36" s="56"/>
      <c r="S36" s="56"/>
    </row>
    <row r="37" spans="1:19">
      <c r="A37" s="21" t="n">
        <v>34</v>
      </c>
      <c r="B37" s="106" t="s">
        <v>163</v>
      </c>
      <c r="C37" s="106"/>
      <c r="D37" s="21" t="s">
        <v>164</v>
      </c>
      <c r="E37" s="21" t="s">
        <v>24</v>
      </c>
      <c r="F37" s="21" t="s">
        <v>25</v>
      </c>
      <c r="G37" s="21" t="s">
        <v>110</v>
      </c>
      <c r="H37" s="23" t="s">
        <v>156</v>
      </c>
      <c r="I37" s="27" t="s">
        <v>96</v>
      </c>
      <c r="J37" s="22" t="s">
        <v>156</v>
      </c>
      <c r="K37" s="23" t="s">
        <v>157</v>
      </c>
      <c r="L37" s="23" t="s">
        <v>165</v>
      </c>
      <c r="M37" s="24"/>
      <c r="N37" s="24"/>
      <c r="O37" s="24"/>
      <c r="P37" s="25"/>
      <c r="Q37" s="25"/>
      <c r="R37" s="56"/>
      <c r="S37" s="56"/>
    </row>
    <row r="38" spans="1:19">
      <c r="A38" s="21" t="n">
        <v>35</v>
      </c>
      <c r="B38" s="106" t="s">
        <v>166</v>
      </c>
      <c r="C38" s="106"/>
      <c r="D38" s="21" t="s">
        <v>167</v>
      </c>
      <c r="E38" s="21" t="s">
        <v>24</v>
      </c>
      <c r="F38" s="21" t="s">
        <v>25</v>
      </c>
      <c r="G38" s="21" t="s">
        <v>110</v>
      </c>
      <c r="H38" s="23" t="s">
        <v>156</v>
      </c>
      <c r="I38" s="27" t="s">
        <v>96</v>
      </c>
      <c r="J38" s="22" t="s">
        <v>156</v>
      </c>
      <c r="K38" s="23" t="s">
        <v>161</v>
      </c>
      <c r="L38" s="23" t="s">
        <v>168</v>
      </c>
      <c r="M38" s="24"/>
      <c r="N38" s="24"/>
      <c r="O38" s="24"/>
      <c r="P38" s="25"/>
      <c r="Q38" s="25"/>
      <c r="R38" s="56"/>
      <c r="S38" s="56"/>
    </row>
    <row r="39" spans="1:19">
      <c r="A39" s="21" t="n">
        <v>36</v>
      </c>
      <c r="B39" s="106" t="s">
        <v>169</v>
      </c>
      <c r="C39" s="106"/>
      <c r="D39" s="21" t="s">
        <v>170</v>
      </c>
      <c r="E39" s="21" t="s">
        <v>24</v>
      </c>
      <c r="F39" s="21" t="s">
        <v>25</v>
      </c>
      <c r="G39" s="21" t="s">
        <v>110</v>
      </c>
      <c r="H39" s="22" t="s">
        <v>171</v>
      </c>
      <c r="I39" s="22" t="s">
        <v>132</v>
      </c>
      <c r="J39" s="22" t="s">
        <v>171</v>
      </c>
      <c r="K39" s="23" t="s">
        <v>172</v>
      </c>
      <c r="L39" s="23" t="s">
        <v>173</v>
      </c>
      <c r="M39" s="24"/>
      <c r="N39" s="24"/>
      <c r="O39" s="24"/>
      <c r="P39" s="25"/>
      <c r="Q39" s="25"/>
      <c r="R39" s="56"/>
      <c r="S39" s="56"/>
    </row>
    <row r="40" spans="1:19">
      <c r="A40" s="21" t="n">
        <v>37</v>
      </c>
      <c r="B40" s="106" t="s">
        <v>174</v>
      </c>
      <c r="C40" s="106"/>
      <c r="D40" s="21" t="s">
        <v>175</v>
      </c>
      <c r="E40" s="21" t="s">
        <v>24</v>
      </c>
      <c r="F40" s="21" t="s">
        <v>25</v>
      </c>
      <c r="G40" s="21" t="s">
        <v>110</v>
      </c>
      <c r="H40" s="23" t="s">
        <v>156</v>
      </c>
      <c r="I40" s="27" t="s">
        <v>96</v>
      </c>
      <c r="J40" s="22" t="s">
        <v>156</v>
      </c>
      <c r="K40" s="23" t="s">
        <v>161</v>
      </c>
      <c r="L40" s="23" t="s">
        <v>176</v>
      </c>
      <c r="M40" s="24"/>
      <c r="N40" s="24"/>
      <c r="O40" s="24"/>
      <c r="P40" s="25"/>
      <c r="Q40" s="25"/>
      <c r="R40" s="56"/>
      <c r="S40" s="56"/>
    </row>
    <row r="41" spans="1:19">
      <c r="A41" s="21" t="n">
        <v>38</v>
      </c>
      <c r="B41" s="106" t="s">
        <v>177</v>
      </c>
      <c r="C41" s="106"/>
      <c r="D41" s="21" t="s">
        <v>178</v>
      </c>
      <c r="E41" s="21" t="s">
        <v>33</v>
      </c>
      <c r="F41" s="21" t="s">
        <v>25</v>
      </c>
      <c r="G41" s="21" t="s">
        <v>110</v>
      </c>
      <c r="H41" s="23" t="s">
        <v>156</v>
      </c>
      <c r="I41" s="27" t="s">
        <v>96</v>
      </c>
      <c r="J41" s="22" t="s">
        <v>156</v>
      </c>
      <c r="K41" s="23" t="s">
        <v>40</v>
      </c>
      <c r="L41" s="23" t="s">
        <v>168</v>
      </c>
      <c r="M41" s="24"/>
      <c r="N41" s="24"/>
      <c r="O41" s="24"/>
      <c r="P41" s="25"/>
      <c r="Q41" s="25"/>
      <c r="R41" s="56"/>
      <c r="S41" s="56"/>
    </row>
    <row r="42" spans="1:19">
      <c r="A42" s="21" t="n">
        <v>39</v>
      </c>
      <c r="B42" s="106" t="s">
        <v>179</v>
      </c>
      <c r="C42" s="106"/>
      <c r="D42" s="21" t="s">
        <v>180</v>
      </c>
      <c r="E42" s="21" t="s">
        <v>33</v>
      </c>
      <c r="F42" s="21" t="s">
        <v>25</v>
      </c>
      <c r="G42" s="21" t="s">
        <v>110</v>
      </c>
      <c r="H42" s="23" t="s">
        <v>156</v>
      </c>
      <c r="I42" s="27" t="s">
        <v>96</v>
      </c>
      <c r="J42" s="22" t="s">
        <v>156</v>
      </c>
      <c r="K42" s="28" t="s">
        <v>181</v>
      </c>
      <c r="L42" s="23" t="s">
        <v>182</v>
      </c>
      <c r="M42" s="24"/>
      <c r="N42" s="24"/>
      <c r="O42" s="24"/>
      <c r="P42" s="25"/>
      <c r="Q42" s="25"/>
      <c r="R42" s="56"/>
      <c r="S42" s="56"/>
    </row>
    <row r="43" spans="1:19">
      <c r="A43" s="21" t="n">
        <v>40</v>
      </c>
      <c r="B43" s="106" t="s">
        <v>183</v>
      </c>
      <c r="C43" s="106"/>
      <c r="D43" s="21" t="s">
        <v>184</v>
      </c>
      <c r="E43" s="21" t="s">
        <v>24</v>
      </c>
      <c r="F43" s="21" t="s">
        <v>25</v>
      </c>
      <c r="G43" s="21" t="s">
        <v>38</v>
      </c>
      <c r="H43" s="22" t="s">
        <v>65</v>
      </c>
      <c r="I43" s="27" t="s">
        <v>66</v>
      </c>
      <c r="J43" s="22" t="s">
        <v>65</v>
      </c>
      <c r="K43" s="23" t="s">
        <v>67</v>
      </c>
      <c r="L43" s="23" t="s">
        <v>68</v>
      </c>
      <c r="M43" s="24"/>
      <c r="N43" s="24"/>
      <c r="O43" s="24"/>
      <c r="P43" s="25"/>
      <c r="Q43" s="25"/>
      <c r="R43" s="56"/>
      <c r="S43" s="56"/>
    </row>
    <row r="44" spans="1:19">
      <c r="A44" s="21" t="n">
        <v>41</v>
      </c>
      <c r="B44" s="106" t="s">
        <v>185</v>
      </c>
      <c r="C44" s="106"/>
      <c r="D44" s="21" t="s">
        <v>186</v>
      </c>
      <c r="E44" s="21" t="s">
        <v>33</v>
      </c>
      <c r="F44" s="21" t="s">
        <v>25</v>
      </c>
      <c r="G44" s="21" t="s">
        <v>110</v>
      </c>
      <c r="H44" s="22" t="s">
        <v>187</v>
      </c>
      <c r="I44" s="27" t="s">
        <v>66</v>
      </c>
      <c r="J44" s="22" t="s">
        <v>187</v>
      </c>
      <c r="K44" s="23" t="s">
        <v>72</v>
      </c>
      <c r="L44" s="23" t="s">
        <v>188</v>
      </c>
      <c r="M44" s="24"/>
      <c r="N44" s="24"/>
      <c r="O44" s="24"/>
      <c r="P44" s="25"/>
      <c r="Q44" s="25"/>
      <c r="R44" s="56"/>
      <c r="S44" s="56"/>
    </row>
    <row r="45" spans="1:19">
      <c r="A45" s="21" t="n">
        <v>42</v>
      </c>
      <c r="B45" s="106" t="s">
        <v>189</v>
      </c>
      <c r="C45" s="106"/>
      <c r="D45" s="21" t="s">
        <v>190</v>
      </c>
      <c r="E45" s="21" t="s">
        <v>33</v>
      </c>
      <c r="F45" s="21" t="s">
        <v>25</v>
      </c>
      <c r="G45" s="21" t="s">
        <v>38</v>
      </c>
      <c r="H45" s="23" t="s">
        <v>95</v>
      </c>
      <c r="I45" s="27" t="s">
        <v>96</v>
      </c>
      <c r="J45" s="22" t="s">
        <v>95</v>
      </c>
      <c r="K45" s="23" t="s">
        <v>40</v>
      </c>
      <c r="L45" s="23" t="s">
        <v>168</v>
      </c>
      <c r="M45" s="24"/>
      <c r="N45" s="24"/>
      <c r="O45" s="24"/>
      <c r="P45" s="25"/>
      <c r="Q45" s="25"/>
      <c r="R45" s="56"/>
      <c r="S45" s="56"/>
    </row>
    <row r="46" spans="1:19">
      <c r="A46" s="21" t="n">
        <v>43</v>
      </c>
      <c r="B46" s="106" t="s">
        <v>191</v>
      </c>
      <c r="C46" s="106"/>
      <c r="D46" s="21" t="s">
        <v>192</v>
      </c>
      <c r="E46" s="21" t="s">
        <v>24</v>
      </c>
      <c r="F46" s="21" t="s">
        <v>25</v>
      </c>
      <c r="G46" s="21" t="s">
        <v>110</v>
      </c>
      <c r="H46" s="22" t="s">
        <v>193</v>
      </c>
      <c r="I46" s="27" t="s">
        <v>66</v>
      </c>
      <c r="J46" s="22" t="s">
        <v>194</v>
      </c>
      <c r="K46" s="23" t="s">
        <v>72</v>
      </c>
      <c r="L46" s="23" t="s">
        <v>173</v>
      </c>
      <c r="M46" s="24"/>
      <c r="N46" s="24"/>
      <c r="O46" s="24"/>
      <c r="P46" s="25"/>
      <c r="Q46" s="25"/>
      <c r="R46" s="56"/>
      <c r="S46" s="56"/>
    </row>
    <row r="47" spans="1:19">
      <c r="A47" s="21" t="n">
        <v>44</v>
      </c>
      <c r="B47" s="106" t="s">
        <v>195</v>
      </c>
      <c r="C47" s="106"/>
      <c r="D47" s="21" t="s">
        <v>196</v>
      </c>
      <c r="E47" s="21" t="s">
        <v>33</v>
      </c>
      <c r="F47" s="21" t="s">
        <v>25</v>
      </c>
      <c r="G47" s="21" t="s">
        <v>38</v>
      </c>
      <c r="H47" s="23" t="s">
        <v>95</v>
      </c>
      <c r="I47" s="27" t="s">
        <v>96</v>
      </c>
      <c r="J47" s="22" t="s">
        <v>95</v>
      </c>
      <c r="K47" s="23" t="s">
        <v>40</v>
      </c>
      <c r="L47" s="30" t="s">
        <v>197</v>
      </c>
      <c r="M47" s="24"/>
      <c r="N47" s="24"/>
      <c r="O47" s="24"/>
      <c r="P47" s="25"/>
      <c r="Q47" s="25"/>
      <c r="R47" s="56"/>
      <c r="S47" s="56"/>
    </row>
    <row r="48" spans="1:19">
      <c r="A48" s="21" t="n">
        <v>45</v>
      </c>
      <c r="B48" s="106" t="s">
        <v>198</v>
      </c>
      <c r="C48" s="106"/>
      <c r="D48" s="21" t="s">
        <v>199</v>
      </c>
      <c r="E48" s="21" t="s">
        <v>24</v>
      </c>
      <c r="F48" s="21" t="s">
        <v>25</v>
      </c>
      <c r="G48" s="21" t="s">
        <v>38</v>
      </c>
      <c r="H48" s="22" t="s">
        <v>200</v>
      </c>
      <c r="I48" s="27" t="s">
        <v>201</v>
      </c>
      <c r="J48" s="22" t="s">
        <v>200</v>
      </c>
      <c r="K48" s="28" t="s">
        <v>202</v>
      </c>
      <c r="L48" s="23" t="s">
        <v>203</v>
      </c>
      <c r="M48" s="24"/>
      <c r="N48" s="24"/>
      <c r="O48" s="24"/>
      <c r="P48" s="25"/>
      <c r="Q48" s="25"/>
      <c r="R48" s="56"/>
      <c r="S48" s="56"/>
    </row>
    <row r="49" spans="1:19">
      <c r="A49" s="21" t="n">
        <v>46</v>
      </c>
      <c r="B49" s="106" t="s">
        <v>204</v>
      </c>
      <c r="C49" s="106"/>
      <c r="D49" s="21" t="s">
        <v>205</v>
      </c>
      <c r="E49" s="21" t="s">
        <v>33</v>
      </c>
      <c r="F49" s="21" t="s">
        <v>25</v>
      </c>
      <c r="G49" s="21" t="s">
        <v>110</v>
      </c>
      <c r="H49" s="23" t="s">
        <v>156</v>
      </c>
      <c r="I49" s="27" t="s">
        <v>96</v>
      </c>
      <c r="J49" s="22" t="s">
        <v>156</v>
      </c>
      <c r="K49" s="23" t="s">
        <v>40</v>
      </c>
      <c r="L49" s="23" t="s">
        <v>168</v>
      </c>
      <c r="M49" s="24"/>
      <c r="N49" s="24"/>
      <c r="O49" s="24"/>
      <c r="P49" s="25"/>
      <c r="Q49" s="25"/>
      <c r="R49" s="56"/>
      <c r="S49" s="56"/>
    </row>
    <row r="50" spans="1:19">
      <c r="A50" s="21" t="n">
        <v>47</v>
      </c>
      <c r="B50" s="106" t="s">
        <v>206</v>
      </c>
      <c r="C50" s="106"/>
      <c r="D50" s="21" t="s">
        <v>207</v>
      </c>
      <c r="E50" s="21" t="s">
        <v>24</v>
      </c>
      <c r="F50" s="21" t="s">
        <v>25</v>
      </c>
      <c r="G50" s="21" t="s">
        <v>110</v>
      </c>
      <c r="H50" s="22" t="s">
        <v>208</v>
      </c>
      <c r="I50" s="27" t="s">
        <v>201</v>
      </c>
      <c r="J50" s="22" t="s">
        <v>208</v>
      </c>
      <c r="K50" s="23" t="s">
        <v>209</v>
      </c>
      <c r="L50" s="23" t="s">
        <v>210</v>
      </c>
      <c r="M50" s="24"/>
      <c r="N50" s="24"/>
      <c r="O50" s="24"/>
      <c r="P50" s="25"/>
      <c r="Q50" s="25"/>
      <c r="R50" s="56"/>
      <c r="S50" s="56"/>
    </row>
    <row r="51" spans="1:19">
      <c r="A51" s="21" t="n">
        <v>48</v>
      </c>
      <c r="B51" s="106" t="s">
        <v>211</v>
      </c>
      <c r="C51" s="106"/>
      <c r="D51" s="21" t="s">
        <v>212</v>
      </c>
      <c r="E51" s="21" t="s">
        <v>33</v>
      </c>
      <c r="F51" s="21" t="s">
        <v>25</v>
      </c>
      <c r="G51" s="21" t="s">
        <v>110</v>
      </c>
      <c r="H51" s="22" t="s">
        <v>213</v>
      </c>
      <c r="I51" s="22" t="s">
        <v>132</v>
      </c>
      <c r="J51" s="22" t="s">
        <v>213</v>
      </c>
      <c r="K51" s="23" t="s">
        <v>214</v>
      </c>
      <c r="L51" s="23" t="s">
        <v>134</v>
      </c>
      <c r="M51" s="24"/>
      <c r="N51" s="24"/>
      <c r="O51" s="24"/>
      <c r="P51" s="25"/>
      <c r="Q51" s="25"/>
      <c r="R51" s="56"/>
      <c r="S51" s="56"/>
    </row>
    <row r="52" spans="1:19">
      <c r="A52" s="21" t="n">
        <v>49</v>
      </c>
      <c r="B52" s="106" t="s">
        <v>215</v>
      </c>
      <c r="C52" s="106"/>
      <c r="D52" s="21" t="s">
        <v>216</v>
      </c>
      <c r="E52" s="21" t="s">
        <v>24</v>
      </c>
      <c r="F52" s="21" t="s">
        <v>25</v>
      </c>
      <c r="G52" s="21" t="s">
        <v>110</v>
      </c>
      <c r="H52" s="22" t="s">
        <v>217</v>
      </c>
      <c r="I52" s="27" t="s">
        <v>66</v>
      </c>
      <c r="J52" s="22" t="s">
        <v>217</v>
      </c>
      <c r="K52" s="23" t="s">
        <v>72</v>
      </c>
      <c r="L52" s="23" t="s">
        <v>218</v>
      </c>
      <c r="M52" s="24"/>
      <c r="N52" s="24"/>
      <c r="O52" s="24"/>
      <c r="P52" s="25"/>
      <c r="Q52" s="25"/>
      <c r="R52" s="56"/>
      <c r="S52" s="56"/>
    </row>
    <row r="53" spans="1:19">
      <c r="A53" s="21" t="n">
        <v>50</v>
      </c>
      <c r="B53" s="106" t="s">
        <v>219</v>
      </c>
      <c r="C53" s="106"/>
      <c r="D53" s="21" t="s">
        <v>220</v>
      </c>
      <c r="E53" s="21" t="s">
        <v>24</v>
      </c>
      <c r="F53" s="21" t="s">
        <v>25</v>
      </c>
      <c r="G53" s="21" t="s">
        <v>110</v>
      </c>
      <c r="H53" s="23" t="s">
        <v>221</v>
      </c>
      <c r="I53" s="27" t="s">
        <v>96</v>
      </c>
      <c r="J53" s="22" t="s">
        <v>221</v>
      </c>
      <c r="K53" s="23" t="s">
        <v>40</v>
      </c>
      <c r="L53" s="23" t="s">
        <v>222</v>
      </c>
      <c r="M53" s="24"/>
      <c r="N53" s="24"/>
      <c r="O53" s="24"/>
      <c r="P53" s="25"/>
      <c r="Q53" s="25"/>
      <c r="R53" s="56"/>
      <c r="S53" s="56"/>
    </row>
    <row r="54" spans="1:19">
      <c r="A54" s="21" t="n">
        <v>51</v>
      </c>
      <c r="B54" s="106" t="s">
        <v>223</v>
      </c>
      <c r="C54" s="106"/>
      <c r="D54" s="21" t="s">
        <v>224</v>
      </c>
      <c r="E54" s="21" t="s">
        <v>24</v>
      </c>
      <c r="F54" s="21" t="s">
        <v>25</v>
      </c>
      <c r="G54" s="21" t="s">
        <v>110</v>
      </c>
      <c r="H54" s="23" t="s">
        <v>221</v>
      </c>
      <c r="I54" s="27" t="s">
        <v>96</v>
      </c>
      <c r="J54" s="22" t="s">
        <v>221</v>
      </c>
      <c r="K54" s="23" t="s">
        <v>40</v>
      </c>
      <c r="L54" s="23" t="s">
        <v>225</v>
      </c>
      <c r="M54" s="24"/>
      <c r="N54" s="24"/>
      <c r="O54" s="24"/>
      <c r="P54" s="25"/>
      <c r="Q54" s="25"/>
      <c r="R54" s="56"/>
      <c r="S54" s="56"/>
    </row>
    <row r="55" spans="1:19">
      <c r="A55" s="21" t="n">
        <v>52</v>
      </c>
      <c r="B55" s="106" t="s">
        <v>226</v>
      </c>
      <c r="C55" s="106"/>
      <c r="D55" s="21" t="s">
        <v>227</v>
      </c>
      <c r="E55" s="21" t="s">
        <v>33</v>
      </c>
      <c r="F55" s="21" t="s">
        <v>25</v>
      </c>
      <c r="G55" s="21" t="s">
        <v>110</v>
      </c>
      <c r="H55" s="22" t="s">
        <v>228</v>
      </c>
      <c r="I55" s="27" t="s">
        <v>66</v>
      </c>
      <c r="J55" s="22" t="s">
        <v>187</v>
      </c>
      <c r="K55" s="23" t="s">
        <v>72</v>
      </c>
      <c r="L55" s="23" t="s">
        <v>188</v>
      </c>
      <c r="M55" s="24"/>
      <c r="N55" s="24"/>
      <c r="O55" s="24"/>
      <c r="P55" s="25"/>
      <c r="Q55" s="25"/>
      <c r="R55" s="56"/>
      <c r="S55" s="56"/>
    </row>
    <row r="56" spans="1:19">
      <c r="A56" s="21" t="n">
        <v>53</v>
      </c>
      <c r="B56" s="106" t="s">
        <v>229</v>
      </c>
      <c r="C56" s="106"/>
      <c r="D56" s="21" t="s">
        <v>230</v>
      </c>
      <c r="E56" s="21" t="s">
        <v>24</v>
      </c>
      <c r="F56" s="21" t="s">
        <v>25</v>
      </c>
      <c r="G56" s="21" t="s">
        <v>231</v>
      </c>
      <c r="H56" s="22" t="s">
        <v>232</v>
      </c>
      <c r="I56" s="27" t="s">
        <v>66</v>
      </c>
      <c r="J56" s="22" t="s">
        <v>232</v>
      </c>
      <c r="K56" s="23" t="s">
        <v>72</v>
      </c>
      <c r="L56" s="23" t="s">
        <v>134</v>
      </c>
      <c r="M56" s="24"/>
      <c r="N56" s="24"/>
      <c r="O56" s="24"/>
      <c r="P56" s="25"/>
      <c r="Q56" s="25"/>
      <c r="R56" s="56"/>
      <c r="S56" s="56"/>
    </row>
    <row r="57" spans="1:19">
      <c r="A57" s="21" t="n">
        <v>54</v>
      </c>
      <c r="B57" s="106" t="s">
        <v>233</v>
      </c>
      <c r="C57" s="106"/>
      <c r="D57" s="21" t="s">
        <v>234</v>
      </c>
      <c r="E57" s="21" t="s">
        <v>33</v>
      </c>
      <c r="F57" s="21" t="s">
        <v>25</v>
      </c>
      <c r="G57" s="21" t="s">
        <v>110</v>
      </c>
      <c r="H57" s="23" t="s">
        <v>156</v>
      </c>
      <c r="I57" s="27" t="s">
        <v>96</v>
      </c>
      <c r="J57" s="22" t="s">
        <v>156</v>
      </c>
      <c r="K57" s="23" t="s">
        <v>40</v>
      </c>
      <c r="L57" s="23" t="s">
        <v>235</v>
      </c>
      <c r="M57" s="24"/>
      <c r="N57" s="24"/>
      <c r="O57" s="24"/>
      <c r="P57" s="25"/>
      <c r="Q57" s="25"/>
      <c r="R57" s="56"/>
      <c r="S57" s="56"/>
    </row>
    <row r="58" spans="1:19">
      <c r="A58" s="21" t="n">
        <v>55</v>
      </c>
      <c r="B58" s="106" t="s">
        <v>236</v>
      </c>
      <c r="C58" s="106"/>
      <c r="D58" s="21" t="s">
        <v>237</v>
      </c>
      <c r="E58" s="21" t="s">
        <v>33</v>
      </c>
      <c r="F58" s="21" t="s">
        <v>25</v>
      </c>
      <c r="G58" s="21" t="s">
        <v>110</v>
      </c>
      <c r="H58" s="22" t="s">
        <v>238</v>
      </c>
      <c r="I58" s="27" t="s">
        <v>66</v>
      </c>
      <c r="J58" s="22" t="s">
        <v>238</v>
      </c>
      <c r="K58" s="23" t="s">
        <v>67</v>
      </c>
      <c r="L58" s="23" t="s">
        <v>68</v>
      </c>
      <c r="M58" s="24"/>
      <c r="N58" s="24"/>
      <c r="O58" s="24"/>
      <c r="P58" s="25"/>
      <c r="Q58" s="25"/>
      <c r="R58" s="56"/>
      <c r="S58" s="56"/>
    </row>
    <row r="59" spans="1:19">
      <c r="A59" s="21" t="n">
        <v>56</v>
      </c>
      <c r="B59" s="106" t="s">
        <v>239</v>
      </c>
      <c r="C59" s="106"/>
      <c r="D59" s="21" t="s">
        <v>240</v>
      </c>
      <c r="E59" s="21" t="s">
        <v>33</v>
      </c>
      <c r="F59" s="21" t="s">
        <v>25</v>
      </c>
      <c r="G59" s="21" t="s">
        <v>231</v>
      </c>
      <c r="H59" s="22" t="s">
        <v>241</v>
      </c>
      <c r="I59" s="22" t="s">
        <v>242</v>
      </c>
      <c r="J59" s="22" t="s">
        <v>243</v>
      </c>
      <c r="K59" s="23" t="s">
        <v>244</v>
      </c>
      <c r="L59" s="23" t="s">
        <v>245</v>
      </c>
      <c r="M59" s="24"/>
      <c r="N59" s="24"/>
      <c r="O59" s="24"/>
      <c r="P59" s="25"/>
      <c r="Q59" s="25"/>
      <c r="R59" s="56"/>
      <c r="S59" s="56"/>
    </row>
    <row r="60" spans="1:19">
      <c r="A60" s="21" t="n">
        <v>57</v>
      </c>
      <c r="B60" s="106" t="s">
        <v>246</v>
      </c>
      <c r="C60" s="106"/>
      <c r="D60" s="21" t="s">
        <v>247</v>
      </c>
      <c r="E60" s="21" t="s">
        <v>24</v>
      </c>
      <c r="F60" s="21" t="s">
        <v>25</v>
      </c>
      <c r="G60" s="24" t="s">
        <v>110</v>
      </c>
      <c r="H60" s="23" t="s">
        <v>156</v>
      </c>
      <c r="I60" s="27" t="s">
        <v>96</v>
      </c>
      <c r="J60" s="22" t="s">
        <v>156</v>
      </c>
      <c r="K60" s="28" t="s">
        <v>181</v>
      </c>
      <c r="L60" s="23" t="s">
        <v>83</v>
      </c>
      <c r="M60" s="24"/>
      <c r="N60" s="24"/>
      <c r="O60" s="24"/>
      <c r="P60" s="25"/>
      <c r="Q60" s="25"/>
      <c r="R60" s="56"/>
      <c r="S60" s="56"/>
    </row>
    <row r="61" spans="1:19">
      <c r="A61" s="21" t="n">
        <v>58</v>
      </c>
      <c r="B61" s="106" t="s">
        <v>248</v>
      </c>
      <c r="C61" s="106"/>
      <c r="D61" s="21" t="s">
        <v>249</v>
      </c>
      <c r="E61" s="21" t="s">
        <v>24</v>
      </c>
      <c r="F61" s="21" t="s">
        <v>25</v>
      </c>
      <c r="G61" s="21" t="s">
        <v>110</v>
      </c>
      <c r="H61" s="23" t="s">
        <v>221</v>
      </c>
      <c r="I61" s="27" t="s">
        <v>96</v>
      </c>
      <c r="J61" s="22" t="s">
        <v>221</v>
      </c>
      <c r="K61" s="23" t="s">
        <v>40</v>
      </c>
      <c r="L61" s="29" t="s">
        <v>250</v>
      </c>
      <c r="M61" s="24"/>
      <c r="N61" s="24"/>
      <c r="O61" s="24"/>
      <c r="P61" s="25"/>
      <c r="Q61" s="25"/>
      <c r="R61" s="56"/>
      <c r="S61" s="56"/>
    </row>
    <row r="62" spans="1:19">
      <c r="A62" s="21" t="n">
        <v>59</v>
      </c>
      <c r="B62" s="106" t="s">
        <v>251</v>
      </c>
      <c r="C62" s="106"/>
      <c r="D62" s="21" t="s">
        <v>252</v>
      </c>
      <c r="E62" s="21" t="s">
        <v>24</v>
      </c>
      <c r="F62" s="21" t="s">
        <v>25</v>
      </c>
      <c r="G62" s="24" t="s">
        <v>110</v>
      </c>
      <c r="H62" s="22" t="s">
        <v>253</v>
      </c>
      <c r="I62" s="22" t="s">
        <v>254</v>
      </c>
      <c r="J62" s="22" t="s">
        <v>253</v>
      </c>
      <c r="K62" s="23" t="s">
        <v>40</v>
      </c>
      <c r="L62" s="23" t="s">
        <v>61</v>
      </c>
      <c r="M62" s="24"/>
      <c r="N62" s="24"/>
      <c r="O62" s="24"/>
      <c r="P62" s="25"/>
      <c r="Q62" s="25"/>
      <c r="R62" s="56"/>
      <c r="S62" s="56"/>
    </row>
    <row r="63" spans="1:19">
      <c r="A63" s="21" t="n">
        <v>60</v>
      </c>
      <c r="B63" s="106" t="s">
        <v>255</v>
      </c>
      <c r="C63" s="106"/>
      <c r="D63" s="21" t="s">
        <v>256</v>
      </c>
      <c r="E63" s="21" t="s">
        <v>24</v>
      </c>
      <c r="F63" s="21" t="s">
        <v>25</v>
      </c>
      <c r="G63" s="21" t="s">
        <v>110</v>
      </c>
      <c r="H63" s="23" t="s">
        <v>221</v>
      </c>
      <c r="I63" s="27" t="s">
        <v>96</v>
      </c>
      <c r="J63" s="22" t="s">
        <v>221</v>
      </c>
      <c r="K63" s="23" t="s">
        <v>40</v>
      </c>
      <c r="L63" s="29" t="s">
        <v>162</v>
      </c>
      <c r="M63" s="24"/>
      <c r="N63" s="24"/>
      <c r="O63" s="24"/>
      <c r="P63" s="25"/>
      <c r="Q63" s="25"/>
      <c r="R63" s="56"/>
      <c r="S63" s="56"/>
    </row>
    <row r="64" spans="1:19">
      <c r="A64" s="21" t="n">
        <v>61</v>
      </c>
      <c r="B64" s="106" t="s">
        <v>257</v>
      </c>
      <c r="C64" s="106"/>
      <c r="D64" s="21" t="s">
        <v>258</v>
      </c>
      <c r="E64" s="21" t="s">
        <v>24</v>
      </c>
      <c r="F64" s="21" t="s">
        <v>25</v>
      </c>
      <c r="G64" s="24" t="s">
        <v>110</v>
      </c>
      <c r="H64" s="22" t="s">
        <v>253</v>
      </c>
      <c r="I64" s="22" t="s">
        <v>254</v>
      </c>
      <c r="J64" s="22" t="s">
        <v>253</v>
      </c>
      <c r="K64" s="23" t="s">
        <v>40</v>
      </c>
      <c r="L64" s="23" t="s">
        <v>112</v>
      </c>
      <c r="M64" s="24"/>
      <c r="N64" s="24"/>
      <c r="O64" s="24"/>
      <c r="P64" s="25"/>
      <c r="Q64" s="25"/>
      <c r="R64" s="56"/>
      <c r="S64" s="56"/>
    </row>
    <row r="65" spans="1:19">
      <c r="A65" s="21" t="n">
        <v>62</v>
      </c>
      <c r="B65" s="106" t="s">
        <v>259</v>
      </c>
      <c r="C65" s="106"/>
      <c r="D65" s="21" t="s">
        <v>260</v>
      </c>
      <c r="E65" s="21" t="s">
        <v>24</v>
      </c>
      <c r="F65" s="21" t="s">
        <v>25</v>
      </c>
      <c r="G65" s="24" t="s">
        <v>110</v>
      </c>
      <c r="H65" s="22" t="s">
        <v>261</v>
      </c>
      <c r="I65" s="22" t="s">
        <v>28</v>
      </c>
      <c r="J65" s="25" t="s">
        <v>262</v>
      </c>
      <c r="K65" s="23" t="s">
        <v>40</v>
      </c>
      <c r="L65" s="23" t="s">
        <v>61</v>
      </c>
      <c r="M65" s="24"/>
      <c r="N65" s="24"/>
      <c r="O65" s="24"/>
      <c r="P65" s="25"/>
      <c r="Q65" s="25"/>
      <c r="R65" s="56"/>
      <c r="S65" s="56"/>
    </row>
    <row r="66" spans="1:19">
      <c r="A66" s="21" t="n">
        <v>63</v>
      </c>
      <c r="B66" s="106" t="s">
        <v>263</v>
      </c>
      <c r="C66" s="106"/>
      <c r="D66" s="21" t="s">
        <v>264</v>
      </c>
      <c r="E66" s="21" t="s">
        <v>24</v>
      </c>
      <c r="F66" s="21" t="s">
        <v>25</v>
      </c>
      <c r="G66" s="21" t="s">
        <v>110</v>
      </c>
      <c r="H66" s="23" t="s">
        <v>221</v>
      </c>
      <c r="I66" s="27" t="s">
        <v>96</v>
      </c>
      <c r="J66" s="22" t="s">
        <v>221</v>
      </c>
      <c r="K66" s="23" t="s">
        <v>40</v>
      </c>
      <c r="L66" s="23" t="s">
        <v>162</v>
      </c>
      <c r="M66" s="24"/>
      <c r="N66" s="24"/>
      <c r="O66" s="24"/>
      <c r="P66" s="25"/>
      <c r="Q66" s="25"/>
      <c r="R66" s="56"/>
      <c r="S66" s="56"/>
    </row>
    <row r="67" spans="1:19">
      <c r="A67" s="21" t="n">
        <v>64</v>
      </c>
      <c r="B67" s="106" t="s">
        <v>265</v>
      </c>
      <c r="C67" s="106"/>
      <c r="D67" s="21" t="s">
        <v>266</v>
      </c>
      <c r="E67" s="21" t="s">
        <v>24</v>
      </c>
      <c r="F67" s="21" t="s">
        <v>25</v>
      </c>
      <c r="G67" s="21" t="s">
        <v>231</v>
      </c>
      <c r="H67" s="22" t="s">
        <v>267</v>
      </c>
      <c r="I67" s="22" t="s">
        <v>28</v>
      </c>
      <c r="J67" s="25" t="s">
        <v>262</v>
      </c>
      <c r="K67" s="23" t="s">
        <v>29</v>
      </c>
      <c r="L67" s="23" t="s">
        <v>268</v>
      </c>
      <c r="M67" s="24"/>
      <c r="N67" s="24"/>
      <c r="O67" s="24"/>
      <c r="P67" s="25"/>
      <c r="Q67" s="25"/>
      <c r="R67" s="56"/>
      <c r="S67" s="56"/>
    </row>
    <row r="68" spans="1:19">
      <c r="A68" s="21" t="n">
        <v>65</v>
      </c>
      <c r="B68" s="106" t="s">
        <v>269</v>
      </c>
      <c r="C68" s="106"/>
      <c r="D68" s="21" t="s">
        <v>270</v>
      </c>
      <c r="E68" s="21" t="s">
        <v>24</v>
      </c>
      <c r="F68" s="21" t="s">
        <v>25</v>
      </c>
      <c r="G68" s="24" t="s">
        <v>110</v>
      </c>
      <c r="H68" s="23" t="s">
        <v>156</v>
      </c>
      <c r="I68" s="27" t="s">
        <v>96</v>
      </c>
      <c r="J68" s="22" t="s">
        <v>156</v>
      </c>
      <c r="K68" s="23" t="s">
        <v>157</v>
      </c>
      <c r="L68" s="23" t="s">
        <v>271</v>
      </c>
      <c r="M68" s="24"/>
      <c r="N68" s="24"/>
      <c r="O68" s="24"/>
      <c r="P68" s="25"/>
      <c r="Q68" s="25"/>
      <c r="R68" s="56"/>
      <c r="S68" s="56"/>
    </row>
    <row r="69" spans="1:19">
      <c r="A69" s="21" t="n">
        <v>66</v>
      </c>
      <c r="B69" s="106" t="s">
        <v>272</v>
      </c>
      <c r="C69" s="106"/>
      <c r="D69" s="21" t="s">
        <v>273</v>
      </c>
      <c r="E69" s="21" t="s">
        <v>24</v>
      </c>
      <c r="F69" s="21" t="s">
        <v>25</v>
      </c>
      <c r="G69" s="21" t="s">
        <v>110</v>
      </c>
      <c r="H69" s="23" t="s">
        <v>156</v>
      </c>
      <c r="I69" s="27" t="s">
        <v>96</v>
      </c>
      <c r="J69" s="22" t="s">
        <v>156</v>
      </c>
      <c r="K69" s="28" t="s">
        <v>274</v>
      </c>
      <c r="L69" s="23" t="s">
        <v>275</v>
      </c>
      <c r="M69" s="24"/>
      <c r="N69" s="24"/>
      <c r="O69" s="24"/>
      <c r="P69" s="25"/>
      <c r="Q69" s="25"/>
      <c r="R69" s="56"/>
      <c r="S69" s="56"/>
    </row>
    <row r="70" spans="1:19">
      <c r="A70" s="21" t="n">
        <v>67</v>
      </c>
      <c r="B70" s="106" t="s">
        <v>276</v>
      </c>
      <c r="C70" s="106"/>
      <c r="D70" s="21" t="s">
        <v>277</v>
      </c>
      <c r="E70" s="21" t="s">
        <v>24</v>
      </c>
      <c r="F70" s="21" t="s">
        <v>25</v>
      </c>
      <c r="G70" s="21" t="s">
        <v>110</v>
      </c>
      <c r="H70" s="23" t="s">
        <v>221</v>
      </c>
      <c r="I70" s="27" t="s">
        <v>96</v>
      </c>
      <c r="J70" s="22" t="s">
        <v>221</v>
      </c>
      <c r="K70" s="23" t="s">
        <v>274</v>
      </c>
      <c r="L70" s="29" t="s">
        <v>278</v>
      </c>
      <c r="M70" s="24"/>
      <c r="N70" s="24"/>
      <c r="O70" s="24"/>
      <c r="P70" s="25"/>
      <c r="Q70" s="25"/>
      <c r="R70" s="56"/>
      <c r="S70" s="56"/>
    </row>
    <row r="71" spans="1:19">
      <c r="A71" s="21" t="n">
        <v>68</v>
      </c>
      <c r="B71" s="106" t="s">
        <v>279</v>
      </c>
      <c r="C71" s="106"/>
      <c r="D71" s="21" t="s">
        <v>280</v>
      </c>
      <c r="E71" s="21" t="s">
        <v>33</v>
      </c>
      <c r="F71" s="21" t="s">
        <v>25</v>
      </c>
      <c r="G71" s="21" t="s">
        <v>110</v>
      </c>
      <c r="H71" s="22" t="s">
        <v>281</v>
      </c>
      <c r="I71" s="27" t="s">
        <v>66</v>
      </c>
      <c r="J71" s="22" t="s">
        <v>281</v>
      </c>
      <c r="K71" s="23" t="s">
        <v>282</v>
      </c>
      <c r="L71" s="23" t="s">
        <v>271</v>
      </c>
      <c r="M71" s="24"/>
      <c r="N71" s="24"/>
      <c r="O71" s="24"/>
      <c r="P71" s="25"/>
      <c r="Q71" s="25"/>
      <c r="R71" s="56"/>
      <c r="S71" s="56"/>
    </row>
    <row r="72" spans="1:19">
      <c r="A72" s="21" t="n">
        <v>69</v>
      </c>
      <c r="B72" s="106" t="s">
        <v>283</v>
      </c>
      <c r="C72" s="106"/>
      <c r="D72" s="21" t="s">
        <v>284</v>
      </c>
      <c r="E72" s="21" t="s">
        <v>24</v>
      </c>
      <c r="F72" s="21" t="s">
        <v>25</v>
      </c>
      <c r="G72" s="21" t="s">
        <v>110</v>
      </c>
      <c r="H72" s="23" t="s">
        <v>221</v>
      </c>
      <c r="I72" s="27" t="s">
        <v>96</v>
      </c>
      <c r="J72" s="22" t="s">
        <v>221</v>
      </c>
      <c r="K72" s="23" t="s">
        <v>161</v>
      </c>
      <c r="L72" s="23" t="s">
        <v>162</v>
      </c>
      <c r="M72" s="24"/>
      <c r="N72" s="24"/>
      <c r="O72" s="24"/>
      <c r="P72" s="25"/>
      <c r="Q72" s="25"/>
      <c r="R72" s="56"/>
      <c r="S72" s="56"/>
    </row>
    <row r="73" spans="1:19">
      <c r="A73" s="21" t="n">
        <v>70</v>
      </c>
      <c r="B73" s="106" t="s">
        <v>285</v>
      </c>
      <c r="C73" s="106"/>
      <c r="D73" s="21" t="s">
        <v>286</v>
      </c>
      <c r="E73" s="21" t="s">
        <v>24</v>
      </c>
      <c r="F73" s="21" t="s">
        <v>25</v>
      </c>
      <c r="G73" s="21" t="s">
        <v>110</v>
      </c>
      <c r="H73" s="22" t="s">
        <v>287</v>
      </c>
      <c r="I73" s="22" t="s">
        <v>28</v>
      </c>
      <c r="J73" s="22" t="s">
        <v>288</v>
      </c>
      <c r="K73" s="23" t="s">
        <v>29</v>
      </c>
      <c r="L73" s="23" t="s">
        <v>268</v>
      </c>
      <c r="M73" s="24"/>
      <c r="N73" s="24"/>
      <c r="O73" s="24"/>
      <c r="P73" s="25"/>
      <c r="Q73" s="25"/>
      <c r="R73" s="56"/>
      <c r="S73" s="56"/>
    </row>
    <row r="74" spans="1:19">
      <c r="A74" s="21" t="n">
        <v>71</v>
      </c>
      <c r="B74" s="106" t="s">
        <v>289</v>
      </c>
      <c r="C74" s="106"/>
      <c r="D74" s="21" t="s">
        <v>290</v>
      </c>
      <c r="E74" s="21" t="s">
        <v>24</v>
      </c>
      <c r="F74" s="21" t="s">
        <v>25</v>
      </c>
      <c r="G74" s="21" t="s">
        <v>231</v>
      </c>
      <c r="H74" s="23" t="s">
        <v>291</v>
      </c>
      <c r="I74" s="27" t="s">
        <v>96</v>
      </c>
      <c r="J74" s="23" t="s">
        <v>291</v>
      </c>
      <c r="K74" s="23" t="s">
        <v>29</v>
      </c>
      <c r="L74" s="23" t="s">
        <v>57</v>
      </c>
      <c r="M74" s="24"/>
      <c r="N74" s="24"/>
      <c r="O74" s="24"/>
      <c r="P74" s="25"/>
      <c r="Q74" s="25"/>
      <c r="R74" s="56"/>
      <c r="S74" s="56"/>
    </row>
    <row r="75" spans="1:19">
      <c r="A75" s="21" t="n">
        <v>72</v>
      </c>
      <c r="B75" s="106" t="s">
        <v>292</v>
      </c>
      <c r="C75" s="106"/>
      <c r="D75" s="21" t="s">
        <v>293</v>
      </c>
      <c r="E75" s="21" t="s">
        <v>24</v>
      </c>
      <c r="F75" s="21" t="s">
        <v>25</v>
      </c>
      <c r="G75" s="21" t="s">
        <v>110</v>
      </c>
      <c r="H75" s="23" t="s">
        <v>156</v>
      </c>
      <c r="I75" s="27" t="s">
        <v>96</v>
      </c>
      <c r="J75" s="22" t="s">
        <v>156</v>
      </c>
      <c r="K75" s="23" t="s">
        <v>40</v>
      </c>
      <c r="L75" s="29" t="s">
        <v>275</v>
      </c>
      <c r="M75" s="24"/>
      <c r="N75" s="24"/>
      <c r="O75" s="24"/>
      <c r="P75" s="25"/>
      <c r="Q75" s="25"/>
      <c r="R75" s="56"/>
      <c r="S75" s="56"/>
    </row>
    <row r="76" spans="1:19">
      <c r="A76" s="21" t="n">
        <v>73</v>
      </c>
      <c r="B76" s="106" t="s">
        <v>294</v>
      </c>
      <c r="C76" s="106"/>
      <c r="D76" s="21" t="s">
        <v>295</v>
      </c>
      <c r="E76" s="21" t="s">
        <v>24</v>
      </c>
      <c r="F76" s="21" t="s">
        <v>25</v>
      </c>
      <c r="G76" s="21" t="s">
        <v>110</v>
      </c>
      <c r="H76" s="22" t="s">
        <v>296</v>
      </c>
      <c r="I76" s="22" t="s">
        <v>28</v>
      </c>
      <c r="J76" s="25" t="s">
        <v>262</v>
      </c>
      <c r="K76" s="23" t="s">
        <v>29</v>
      </c>
      <c r="L76" s="23" t="s">
        <v>297</v>
      </c>
      <c r="M76" s="24"/>
      <c r="N76" s="24"/>
      <c r="O76" s="24"/>
      <c r="P76" s="25"/>
      <c r="Q76" s="25"/>
      <c r="R76" s="56"/>
      <c r="S76" s="56"/>
    </row>
    <row r="77" spans="1:19">
      <c r="A77" s="21" t="n">
        <v>74</v>
      </c>
      <c r="B77" s="106" t="s">
        <v>298</v>
      </c>
      <c r="C77" s="106"/>
      <c r="D77" s="21" t="s">
        <v>299</v>
      </c>
      <c r="E77" s="21" t="s">
        <v>24</v>
      </c>
      <c r="F77" s="21" t="s">
        <v>25</v>
      </c>
      <c r="G77" s="21" t="s">
        <v>110</v>
      </c>
      <c r="H77" s="22" t="s">
        <v>137</v>
      </c>
      <c r="I77" s="22" t="s">
        <v>91</v>
      </c>
      <c r="J77" s="22" t="s">
        <v>137</v>
      </c>
      <c r="K77" s="23" t="s">
        <v>300</v>
      </c>
      <c r="L77" s="23" t="s">
        <v>92</v>
      </c>
      <c r="M77" s="24"/>
      <c r="N77" s="24"/>
      <c r="O77" s="24"/>
      <c r="P77" s="25"/>
      <c r="Q77" s="25"/>
      <c r="R77" s="56"/>
      <c r="S77" s="56"/>
    </row>
    <row r="78" spans="1:19">
      <c r="A78" s="21" t="n">
        <v>75</v>
      </c>
      <c r="B78" s="106" t="s">
        <v>301</v>
      </c>
      <c r="C78" s="106"/>
      <c r="D78" s="21" t="s">
        <v>302</v>
      </c>
      <c r="E78" s="21" t="s">
        <v>33</v>
      </c>
      <c r="F78" s="21" t="s">
        <v>25</v>
      </c>
      <c r="G78" s="21" t="s">
        <v>231</v>
      </c>
      <c r="H78" s="22" t="s">
        <v>303</v>
      </c>
      <c r="I78" s="27" t="s">
        <v>66</v>
      </c>
      <c r="J78" s="22" t="s">
        <v>303</v>
      </c>
      <c r="K78" s="23" t="s">
        <v>72</v>
      </c>
      <c r="L78" s="23" t="s">
        <v>304</v>
      </c>
      <c r="M78" s="24"/>
      <c r="N78" s="24"/>
      <c r="O78" s="24"/>
      <c r="P78" s="25"/>
      <c r="Q78" s="25"/>
      <c r="R78" s="56"/>
      <c r="S78" s="56"/>
    </row>
    <row r="79" spans="1:19">
      <c r="A79" s="21" t="n">
        <v>76</v>
      </c>
      <c r="B79" s="106" t="s">
        <v>305</v>
      </c>
      <c r="C79" s="106"/>
      <c r="D79" s="21" t="s">
        <v>306</v>
      </c>
      <c r="E79" s="21" t="s">
        <v>24</v>
      </c>
      <c r="F79" s="21" t="s">
        <v>25</v>
      </c>
      <c r="G79" s="21" t="s">
        <v>110</v>
      </c>
      <c r="H79" s="23" t="s">
        <v>156</v>
      </c>
      <c r="I79" s="27" t="s">
        <v>96</v>
      </c>
      <c r="J79" s="22" t="s">
        <v>156</v>
      </c>
      <c r="K79" s="23" t="s">
        <v>161</v>
      </c>
      <c r="L79" s="23" t="s">
        <v>218</v>
      </c>
      <c r="M79" s="24"/>
      <c r="N79" s="24"/>
      <c r="O79" s="24"/>
      <c r="P79" s="25"/>
      <c r="Q79" s="25"/>
      <c r="R79" s="56"/>
      <c r="S79" s="56"/>
    </row>
    <row r="80" spans="1:19">
      <c r="A80" s="21" t="n">
        <v>77</v>
      </c>
      <c r="B80" s="106" t="s">
        <v>307</v>
      </c>
      <c r="C80" s="106"/>
      <c r="D80" s="21" t="s">
        <v>308</v>
      </c>
      <c r="E80" s="21" t="s">
        <v>24</v>
      </c>
      <c r="F80" s="21" t="s">
        <v>25</v>
      </c>
      <c r="G80" s="21" t="s">
        <v>110</v>
      </c>
      <c r="H80" s="22" t="s">
        <v>171</v>
      </c>
      <c r="I80" s="22" t="s">
        <v>132</v>
      </c>
      <c r="J80" s="22" t="s">
        <v>171</v>
      </c>
      <c r="K80" s="23" t="s">
        <v>172</v>
      </c>
      <c r="L80" s="23" t="s">
        <v>173</v>
      </c>
      <c r="M80" s="24"/>
      <c r="N80" s="24"/>
      <c r="O80" s="24"/>
      <c r="P80" s="25"/>
      <c r="Q80" s="25"/>
      <c r="R80" s="56"/>
      <c r="S80" s="56"/>
    </row>
    <row r="81" spans="1:19">
      <c r="A81" s="21" t="n">
        <v>78</v>
      </c>
      <c r="B81" s="106" t="s">
        <v>309</v>
      </c>
      <c r="C81" s="106"/>
      <c r="D81" s="21" t="s">
        <v>310</v>
      </c>
      <c r="E81" s="21" t="s">
        <v>24</v>
      </c>
      <c r="F81" s="21" t="s">
        <v>25</v>
      </c>
      <c r="G81" s="21" t="s">
        <v>231</v>
      </c>
      <c r="H81" s="23" t="s">
        <v>156</v>
      </c>
      <c r="I81" s="27" t="s">
        <v>96</v>
      </c>
      <c r="J81" s="22" t="s">
        <v>156</v>
      </c>
      <c r="K81" s="28" t="s">
        <v>181</v>
      </c>
      <c r="L81" s="23" t="s">
        <v>68</v>
      </c>
      <c r="M81" s="24"/>
      <c r="N81" s="24"/>
      <c r="O81" s="24"/>
      <c r="P81" s="25"/>
      <c r="Q81" s="25"/>
      <c r="R81" s="56"/>
      <c r="S81" s="56"/>
    </row>
    <row r="82" spans="1:19">
      <c r="A82" s="21" t="n">
        <v>79</v>
      </c>
      <c r="B82" s="106" t="s">
        <v>311</v>
      </c>
      <c r="C82" s="106"/>
      <c r="D82" s="21" t="s">
        <v>312</v>
      </c>
      <c r="E82" s="21" t="s">
        <v>24</v>
      </c>
      <c r="F82" s="21" t="s">
        <v>25</v>
      </c>
      <c r="G82" s="21" t="s">
        <v>110</v>
      </c>
      <c r="H82" s="23" t="s">
        <v>156</v>
      </c>
      <c r="I82" s="27" t="s">
        <v>96</v>
      </c>
      <c r="J82" s="22" t="s">
        <v>156</v>
      </c>
      <c r="K82" s="23" t="s">
        <v>40</v>
      </c>
      <c r="L82" s="23" t="s">
        <v>165</v>
      </c>
      <c r="M82" s="24"/>
      <c r="N82" s="24"/>
      <c r="O82" s="24"/>
      <c r="P82" s="25"/>
      <c r="Q82" s="25"/>
      <c r="R82" s="56"/>
      <c r="S82" s="56"/>
    </row>
    <row r="83" spans="1:19">
      <c r="A83" s="21" t="n">
        <v>80</v>
      </c>
      <c r="B83" s="106" t="s">
        <v>313</v>
      </c>
      <c r="C83" s="106"/>
      <c r="D83" s="21" t="s">
        <v>314</v>
      </c>
      <c r="E83" s="21" t="s">
        <v>24</v>
      </c>
      <c r="F83" s="21" t="s">
        <v>25</v>
      </c>
      <c r="G83" s="21" t="s">
        <v>231</v>
      </c>
      <c r="H83" s="23" t="s">
        <v>156</v>
      </c>
      <c r="I83" s="27" t="s">
        <v>96</v>
      </c>
      <c r="J83" s="22" t="s">
        <v>156</v>
      </c>
      <c r="K83" s="23" t="s">
        <v>40</v>
      </c>
      <c r="L83" s="23" t="s">
        <v>165</v>
      </c>
      <c r="M83" s="24"/>
      <c r="N83" s="24"/>
      <c r="O83" s="24"/>
      <c r="P83" s="25"/>
      <c r="Q83" s="25"/>
      <c r="R83" s="56"/>
      <c r="S83" s="56"/>
    </row>
    <row r="84" spans="1:19">
      <c r="A84" s="21" t="n">
        <v>81</v>
      </c>
      <c r="B84" s="106" t="s">
        <v>315</v>
      </c>
      <c r="C84" s="106"/>
      <c r="D84" s="21" t="s">
        <v>316</v>
      </c>
      <c r="E84" s="21" t="s">
        <v>33</v>
      </c>
      <c r="F84" s="21" t="s">
        <v>25</v>
      </c>
      <c r="G84" s="21" t="s">
        <v>231</v>
      </c>
      <c r="H84" s="22" t="s">
        <v>317</v>
      </c>
      <c r="I84" s="27" t="s">
        <v>66</v>
      </c>
      <c r="J84" s="22" t="s">
        <v>317</v>
      </c>
      <c r="K84" s="23" t="s">
        <v>318</v>
      </c>
      <c r="L84" s="23" t="s">
        <v>319</v>
      </c>
      <c r="M84" s="24"/>
      <c r="N84" s="24"/>
      <c r="O84" s="24"/>
      <c r="P84" s="25"/>
      <c r="Q84" s="25"/>
      <c r="R84" s="56"/>
      <c r="S84" s="56"/>
    </row>
    <row r="85" spans="1:19">
      <c r="A85" s="21" t="n">
        <v>82</v>
      </c>
      <c r="B85" s="106" t="s">
        <v>320</v>
      </c>
      <c r="C85" s="106"/>
      <c r="D85" s="161" t="s">
        <v>321</v>
      </c>
      <c r="E85" s="21" t="s">
        <v>33</v>
      </c>
      <c r="F85" s="21" t="s">
        <v>25</v>
      </c>
      <c r="G85" s="21" t="s">
        <v>322</v>
      </c>
      <c r="H85" s="22" t="s">
        <v>323</v>
      </c>
      <c r="I85" s="27" t="s">
        <v>66</v>
      </c>
      <c r="J85" s="22" t="s">
        <v>323</v>
      </c>
      <c r="K85" s="23" t="s">
        <v>324</v>
      </c>
      <c r="L85" s="23" t="s">
        <v>325</v>
      </c>
      <c r="M85" s="24"/>
      <c r="N85" s="24"/>
      <c r="O85" s="24"/>
      <c r="P85" s="25"/>
      <c r="Q85" s="25"/>
      <c r="R85" s="56"/>
      <c r="S85" s="56"/>
    </row>
    <row r="86" spans="1:19">
      <c r="A86" s="21" t="n">
        <v>83</v>
      </c>
      <c r="B86" s="106" t="s">
        <v>326</v>
      </c>
      <c r="C86" s="106"/>
      <c r="D86" s="21" t="s">
        <v>327</v>
      </c>
      <c r="E86" s="21" t="s">
        <v>24</v>
      </c>
      <c r="F86" s="21" t="s">
        <v>25</v>
      </c>
      <c r="G86" s="21" t="s">
        <v>110</v>
      </c>
      <c r="H86" s="23" t="s">
        <v>156</v>
      </c>
      <c r="I86" s="27" t="s">
        <v>96</v>
      </c>
      <c r="J86" s="22" t="s">
        <v>156</v>
      </c>
      <c r="K86" s="28" t="s">
        <v>274</v>
      </c>
      <c r="L86" s="29" t="s">
        <v>328</v>
      </c>
      <c r="M86" s="24"/>
      <c r="N86" s="24"/>
      <c r="O86" s="24"/>
      <c r="P86" s="25"/>
      <c r="Q86" s="25"/>
      <c r="R86" s="56"/>
      <c r="S86" s="56"/>
    </row>
    <row r="87" spans="1:19">
      <c r="A87" s="21" t="n">
        <v>84</v>
      </c>
      <c r="B87" s="106" t="s">
        <v>329</v>
      </c>
      <c r="C87" s="106"/>
      <c r="D87" s="21" t="s">
        <v>330</v>
      </c>
      <c r="E87" s="21" t="s">
        <v>24</v>
      </c>
      <c r="F87" s="21" t="s">
        <v>25</v>
      </c>
      <c r="G87" s="21" t="s">
        <v>231</v>
      </c>
      <c r="H87" s="23" t="s">
        <v>221</v>
      </c>
      <c r="I87" s="27" t="s">
        <v>96</v>
      </c>
      <c r="J87" s="22" t="s">
        <v>221</v>
      </c>
      <c r="K87" s="23" t="s">
        <v>40</v>
      </c>
      <c r="L87" s="23" t="s">
        <v>331</v>
      </c>
      <c r="M87" s="24"/>
      <c r="N87" s="24"/>
      <c r="O87" s="24"/>
      <c r="P87" s="25"/>
      <c r="Q87" s="25"/>
      <c r="R87" s="56"/>
      <c r="S87" s="56"/>
    </row>
    <row r="88" spans="1:19">
      <c r="A88" s="21" t="n">
        <v>85</v>
      </c>
      <c r="B88" s="106" t="s">
        <v>332</v>
      </c>
      <c r="C88" s="106"/>
      <c r="D88" s="21" t="s">
        <v>333</v>
      </c>
      <c r="E88" s="21" t="s">
        <v>24</v>
      </c>
      <c r="F88" s="21" t="s">
        <v>25</v>
      </c>
      <c r="G88" s="21" t="s">
        <v>110</v>
      </c>
      <c r="H88" s="22" t="s">
        <v>137</v>
      </c>
      <c r="I88" s="22" t="s">
        <v>91</v>
      </c>
      <c r="J88" s="22" t="s">
        <v>137</v>
      </c>
      <c r="K88" s="23" t="s">
        <v>40</v>
      </c>
      <c r="L88" s="23" t="s">
        <v>92</v>
      </c>
      <c r="M88" s="24"/>
      <c r="N88" s="24"/>
      <c r="O88" s="24"/>
      <c r="P88" s="25"/>
      <c r="Q88" s="25"/>
      <c r="R88" s="56"/>
      <c r="S88" s="56"/>
    </row>
    <row r="89" spans="1:19">
      <c r="A89" s="21" t="n">
        <v>86</v>
      </c>
      <c r="B89" s="106" t="s">
        <v>334</v>
      </c>
      <c r="C89" s="106"/>
      <c r="D89" s="21" t="s">
        <v>335</v>
      </c>
      <c r="E89" s="21" t="s">
        <v>33</v>
      </c>
      <c r="F89" s="21" t="s">
        <v>25</v>
      </c>
      <c r="G89" s="21" t="s">
        <v>110</v>
      </c>
      <c r="H89" s="22" t="s">
        <v>336</v>
      </c>
      <c r="I89" s="22" t="s">
        <v>132</v>
      </c>
      <c r="J89" s="22" t="s">
        <v>336</v>
      </c>
      <c r="K89" s="23" t="s">
        <v>40</v>
      </c>
      <c r="L89" s="23" t="s">
        <v>128</v>
      </c>
      <c r="M89" s="24"/>
      <c r="N89" s="24"/>
      <c r="O89" s="24"/>
      <c r="P89" s="25"/>
      <c r="Q89" s="25"/>
      <c r="R89" s="56"/>
      <c r="S89" s="56"/>
    </row>
    <row r="90" spans="1:19">
      <c r="A90" s="21" t="n">
        <v>87</v>
      </c>
      <c r="B90" s="106" t="s">
        <v>337</v>
      </c>
      <c r="C90" s="106"/>
      <c r="D90" s="21" t="s">
        <v>338</v>
      </c>
      <c r="E90" s="21" t="s">
        <v>24</v>
      </c>
      <c r="F90" s="21" t="s">
        <v>25</v>
      </c>
      <c r="G90" s="21" t="s">
        <v>110</v>
      </c>
      <c r="H90" s="22" t="s">
        <v>142</v>
      </c>
      <c r="I90" s="22" t="s">
        <v>101</v>
      </c>
      <c r="J90" s="22" t="s">
        <v>142</v>
      </c>
      <c r="K90" s="23" t="s">
        <v>339</v>
      </c>
      <c r="L90" s="23" t="s">
        <v>103</v>
      </c>
      <c r="M90" s="24"/>
      <c r="N90" s="24"/>
      <c r="O90" s="24"/>
      <c r="P90" s="25"/>
      <c r="Q90" s="25"/>
      <c r="R90" s="56"/>
      <c r="S90" s="56"/>
    </row>
    <row r="91" spans="1:19">
      <c r="A91" s="21" t="n">
        <v>88</v>
      </c>
      <c r="B91" s="106" t="s">
        <v>340</v>
      </c>
      <c r="C91" s="106"/>
      <c r="D91" s="21" t="s">
        <v>341</v>
      </c>
      <c r="E91" s="21" t="s">
        <v>24</v>
      </c>
      <c r="F91" s="21" t="s">
        <v>25</v>
      </c>
      <c r="G91" s="21" t="s">
        <v>231</v>
      </c>
      <c r="H91" s="22" t="s">
        <v>213</v>
      </c>
      <c r="I91" s="22" t="s">
        <v>132</v>
      </c>
      <c r="J91" s="22" t="s">
        <v>213</v>
      </c>
      <c r="K91" s="23" t="s">
        <v>214</v>
      </c>
      <c r="L91" s="23" t="s">
        <v>134</v>
      </c>
      <c r="M91" s="24"/>
      <c r="N91" s="24"/>
      <c r="O91" s="24"/>
      <c r="P91" s="25"/>
      <c r="Q91" s="25"/>
      <c r="R91" s="56"/>
      <c r="S91" s="56"/>
    </row>
    <row r="92" spans="1:19">
      <c r="A92" s="21" t="n">
        <v>89</v>
      </c>
      <c r="B92" s="106" t="s">
        <v>342</v>
      </c>
      <c r="C92" s="106"/>
      <c r="D92" s="21" t="s">
        <v>343</v>
      </c>
      <c r="E92" s="21" t="s">
        <v>24</v>
      </c>
      <c r="F92" s="21" t="s">
        <v>25</v>
      </c>
      <c r="G92" s="21" t="s">
        <v>231</v>
      </c>
      <c r="H92" s="22" t="s">
        <v>213</v>
      </c>
      <c r="I92" s="22" t="s">
        <v>132</v>
      </c>
      <c r="J92" s="22" t="s">
        <v>213</v>
      </c>
      <c r="K92" s="23" t="s">
        <v>214</v>
      </c>
      <c r="L92" s="23" t="s">
        <v>134</v>
      </c>
      <c r="M92" s="24"/>
      <c r="N92" s="24"/>
      <c r="O92" s="24"/>
      <c r="P92" s="25"/>
      <c r="Q92" s="25"/>
      <c r="R92" s="56"/>
      <c r="S92" s="56"/>
    </row>
    <row r="93" spans="1:19">
      <c r="A93" s="21" t="n">
        <v>90</v>
      </c>
      <c r="B93" s="106" t="s">
        <v>344</v>
      </c>
      <c r="C93" s="106"/>
      <c r="D93" s="21" t="s">
        <v>345</v>
      </c>
      <c r="E93" s="21" t="s">
        <v>33</v>
      </c>
      <c r="F93" s="21" t="s">
        <v>25</v>
      </c>
      <c r="G93" s="21" t="s">
        <v>231</v>
      </c>
      <c r="H93" s="22" t="s">
        <v>346</v>
      </c>
      <c r="I93" s="22" t="s">
        <v>28</v>
      </c>
      <c r="J93" s="25" t="s">
        <v>347</v>
      </c>
      <c r="K93" s="23" t="s">
        <v>244</v>
      </c>
      <c r="L93" s="23" t="s">
        <v>128</v>
      </c>
      <c r="M93" s="24"/>
      <c r="N93" s="24"/>
      <c r="O93" s="24"/>
      <c r="P93" s="25"/>
      <c r="Q93" s="25"/>
      <c r="R93" s="56"/>
      <c r="S93" s="56"/>
    </row>
    <row r="94" spans="1:19">
      <c r="A94" s="21" t="n">
        <v>91</v>
      </c>
      <c r="B94" s="106" t="s">
        <v>348</v>
      </c>
      <c r="C94" s="106"/>
      <c r="D94" s="21" t="s">
        <v>349</v>
      </c>
      <c r="E94" s="21" t="s">
        <v>24</v>
      </c>
      <c r="F94" s="21" t="s">
        <v>25</v>
      </c>
      <c r="G94" s="21" t="s">
        <v>231</v>
      </c>
      <c r="H94" s="25" t="s">
        <v>350</v>
      </c>
      <c r="I94" s="22" t="s">
        <v>28</v>
      </c>
      <c r="J94" s="25" t="s">
        <v>262</v>
      </c>
      <c r="K94" s="23" t="s">
        <v>40</v>
      </c>
      <c r="L94" s="23" t="s">
        <v>351</v>
      </c>
      <c r="M94" s="24"/>
      <c r="N94" s="24"/>
      <c r="O94" s="24"/>
      <c r="P94" s="25"/>
      <c r="Q94" s="25"/>
      <c r="R94" s="56"/>
      <c r="S94" s="56"/>
    </row>
    <row r="95" spans="1:19">
      <c r="A95" s="21" t="n">
        <v>92</v>
      </c>
      <c r="B95" s="106" t="s">
        <v>352</v>
      </c>
      <c r="C95" s="106"/>
      <c r="D95" s="21" t="s">
        <v>353</v>
      </c>
      <c r="E95" s="21" t="s">
        <v>24</v>
      </c>
      <c r="F95" s="21" t="s">
        <v>25</v>
      </c>
      <c r="G95" s="21" t="s">
        <v>231</v>
      </c>
      <c r="H95" s="22" t="s">
        <v>354</v>
      </c>
      <c r="I95" s="22" t="s">
        <v>242</v>
      </c>
      <c r="J95" s="22" t="s">
        <v>354</v>
      </c>
      <c r="K95" s="23" t="s">
        <v>355</v>
      </c>
      <c r="L95" s="23" t="s">
        <v>304</v>
      </c>
      <c r="M95" s="24"/>
      <c r="N95" s="24"/>
      <c r="O95" s="24"/>
      <c r="P95" s="25"/>
      <c r="Q95" s="25"/>
      <c r="R95" s="56"/>
      <c r="S95" s="56"/>
    </row>
    <row r="96" spans="1:19">
      <c r="A96" s="21" t="n">
        <v>93</v>
      </c>
      <c r="B96" s="106" t="s">
        <v>356</v>
      </c>
      <c r="C96" s="106"/>
      <c r="D96" s="21" t="s">
        <v>357</v>
      </c>
      <c r="E96" s="21" t="s">
        <v>33</v>
      </c>
      <c r="F96" s="21" t="s">
        <v>25</v>
      </c>
      <c r="G96" s="21" t="s">
        <v>110</v>
      </c>
      <c r="H96" s="22" t="s">
        <v>358</v>
      </c>
      <c r="I96" s="27" t="s">
        <v>66</v>
      </c>
      <c r="J96" s="22" t="s">
        <v>358</v>
      </c>
      <c r="K96" s="23" t="s">
        <v>72</v>
      </c>
      <c r="L96" s="23" t="s">
        <v>359</v>
      </c>
      <c r="M96" s="24"/>
      <c r="N96" s="24"/>
      <c r="O96" s="24"/>
      <c r="P96" s="25"/>
      <c r="Q96" s="25"/>
      <c r="R96" s="56"/>
      <c r="S96" s="56"/>
    </row>
    <row r="97" spans="1:19">
      <c r="A97" s="21" t="n">
        <v>94</v>
      </c>
      <c r="B97" s="106" t="s">
        <v>360</v>
      </c>
      <c r="C97" s="106"/>
      <c r="D97" s="21" t="s">
        <v>361</v>
      </c>
      <c r="E97" s="21" t="s">
        <v>33</v>
      </c>
      <c r="F97" s="21" t="s">
        <v>25</v>
      </c>
      <c r="G97" s="21" t="s">
        <v>231</v>
      </c>
      <c r="H97" s="22" t="s">
        <v>362</v>
      </c>
      <c r="I97" s="27" t="s">
        <v>66</v>
      </c>
      <c r="J97" s="22" t="s">
        <v>362</v>
      </c>
      <c r="K97" s="23" t="s">
        <v>72</v>
      </c>
      <c r="L97" s="23" t="s">
        <v>168</v>
      </c>
      <c r="M97" s="24"/>
      <c r="N97" s="24"/>
      <c r="O97" s="24"/>
      <c r="P97" s="25"/>
      <c r="Q97" s="25"/>
      <c r="R97" s="56"/>
      <c r="S97" s="56"/>
    </row>
    <row r="98" spans="1:19">
      <c r="A98" s="21" t="n">
        <v>95</v>
      </c>
      <c r="B98" s="106" t="s">
        <v>363</v>
      </c>
      <c r="C98" s="106"/>
      <c r="D98" s="21" t="s">
        <v>364</v>
      </c>
      <c r="E98" s="21" t="s">
        <v>24</v>
      </c>
      <c r="F98" s="21" t="s">
        <v>25</v>
      </c>
      <c r="G98" s="21" t="s">
        <v>231</v>
      </c>
      <c r="H98" s="22" t="s">
        <v>208</v>
      </c>
      <c r="I98" s="27" t="s">
        <v>201</v>
      </c>
      <c r="J98" s="22" t="s">
        <v>208</v>
      </c>
      <c r="K98" s="28" t="s">
        <v>202</v>
      </c>
      <c r="L98" s="23" t="s">
        <v>271</v>
      </c>
      <c r="M98" s="24"/>
      <c r="N98" s="24"/>
      <c r="O98" s="24"/>
      <c r="P98" s="25"/>
      <c r="Q98" s="25"/>
      <c r="R98" s="56"/>
      <c r="S98" s="56"/>
    </row>
    <row r="99" spans="1:19">
      <c r="A99" s="21" t="n">
        <v>96</v>
      </c>
      <c r="B99" s="106" t="s">
        <v>365</v>
      </c>
      <c r="C99" s="106"/>
      <c r="D99" s="21" t="s">
        <v>366</v>
      </c>
      <c r="E99" s="21" t="s">
        <v>33</v>
      </c>
      <c r="F99" s="21" t="s">
        <v>25</v>
      </c>
      <c r="G99" s="21" t="s">
        <v>231</v>
      </c>
      <c r="H99" s="23" t="s">
        <v>221</v>
      </c>
      <c r="I99" s="27" t="s">
        <v>96</v>
      </c>
      <c r="J99" s="22" t="s">
        <v>221</v>
      </c>
      <c r="K99" s="23" t="s">
        <v>161</v>
      </c>
      <c r="L99" s="23" t="s">
        <v>331</v>
      </c>
      <c r="M99" s="24"/>
      <c r="N99" s="24"/>
      <c r="O99" s="24"/>
      <c r="P99" s="25"/>
      <c r="Q99" s="25"/>
      <c r="R99" s="56"/>
      <c r="S99" s="56"/>
    </row>
    <row r="100" spans="1:19">
      <c r="A100" s="21" t="n">
        <v>97</v>
      </c>
      <c r="B100" s="106" t="s">
        <v>367</v>
      </c>
      <c r="C100" s="106"/>
      <c r="D100" s="21" t="s">
        <v>368</v>
      </c>
      <c r="E100" s="21" t="s">
        <v>24</v>
      </c>
      <c r="F100" s="21" t="s">
        <v>25</v>
      </c>
      <c r="G100" s="21" t="s">
        <v>369</v>
      </c>
      <c r="H100" s="23" t="s">
        <v>156</v>
      </c>
      <c r="I100" s="27" t="s">
        <v>96</v>
      </c>
      <c r="J100" s="22" t="s">
        <v>156</v>
      </c>
      <c r="K100" s="23" t="s">
        <v>40</v>
      </c>
      <c r="L100" s="23" t="s">
        <v>278</v>
      </c>
      <c r="M100" s="24"/>
      <c r="N100" s="24"/>
      <c r="O100" s="24"/>
      <c r="P100" s="25"/>
      <c r="Q100" s="25"/>
      <c r="R100" s="56"/>
      <c r="S100" s="56"/>
    </row>
    <row r="101" spans="1:19">
      <c r="A101" s="21" t="n">
        <v>98</v>
      </c>
      <c r="B101" s="106" t="s">
        <v>370</v>
      </c>
      <c r="C101" s="106"/>
      <c r="D101" s="21" t="s">
        <v>371</v>
      </c>
      <c r="E101" s="21" t="s">
        <v>24</v>
      </c>
      <c r="F101" s="21" t="s">
        <v>25</v>
      </c>
      <c r="G101" s="21" t="s">
        <v>231</v>
      </c>
      <c r="H101" s="23" t="s">
        <v>156</v>
      </c>
      <c r="I101" s="27" t="s">
        <v>96</v>
      </c>
      <c r="J101" s="22" t="s">
        <v>156</v>
      </c>
      <c r="K101" s="23" t="s">
        <v>40</v>
      </c>
      <c r="L101" s="23" t="s">
        <v>319</v>
      </c>
      <c r="M101" s="24"/>
      <c r="N101" s="24"/>
      <c r="O101" s="24"/>
      <c r="P101" s="25"/>
      <c r="Q101" s="25"/>
      <c r="R101" s="56"/>
      <c r="S101" s="56"/>
    </row>
    <row r="102" spans="1:19">
      <c r="A102" s="21" t="n">
        <v>99</v>
      </c>
      <c r="B102" s="106" t="s">
        <v>372</v>
      </c>
      <c r="C102" s="106"/>
      <c r="D102" s="21" t="s">
        <v>373</v>
      </c>
      <c r="E102" s="21" t="s">
        <v>24</v>
      </c>
      <c r="F102" s="21" t="s">
        <v>25</v>
      </c>
      <c r="G102" s="21" t="s">
        <v>231</v>
      </c>
      <c r="H102" s="23" t="s">
        <v>156</v>
      </c>
      <c r="I102" s="27" t="s">
        <v>96</v>
      </c>
      <c r="J102" s="22" t="s">
        <v>156</v>
      </c>
      <c r="K102" s="23" t="s">
        <v>40</v>
      </c>
      <c r="L102" s="23" t="s">
        <v>374</v>
      </c>
      <c r="M102" s="24"/>
      <c r="N102" s="24"/>
      <c r="O102" s="24"/>
      <c r="P102" s="25"/>
      <c r="Q102" s="25"/>
      <c r="R102" s="56"/>
      <c r="S102" s="56"/>
    </row>
    <row r="103" spans="1:19">
      <c r="A103" s="21" t="n">
        <v>100</v>
      </c>
      <c r="B103" s="106" t="s">
        <v>375</v>
      </c>
      <c r="C103" s="106"/>
      <c r="D103" s="21" t="s">
        <v>376</v>
      </c>
      <c r="E103" s="21" t="s">
        <v>24</v>
      </c>
      <c r="F103" s="21" t="s">
        <v>25</v>
      </c>
      <c r="G103" s="21" t="s">
        <v>231</v>
      </c>
      <c r="H103" s="23" t="s">
        <v>156</v>
      </c>
      <c r="I103" s="27" t="s">
        <v>96</v>
      </c>
      <c r="J103" s="22" t="s">
        <v>156</v>
      </c>
      <c r="K103" s="28" t="s">
        <v>181</v>
      </c>
      <c r="L103" s="29" t="s">
        <v>235</v>
      </c>
      <c r="M103" s="24"/>
      <c r="N103" s="24"/>
      <c r="O103" s="24"/>
      <c r="P103" s="25"/>
      <c r="Q103" s="25"/>
      <c r="R103" s="56"/>
      <c r="S103" s="56"/>
    </row>
    <row r="104" spans="1:19">
      <c r="A104" s="21" t="n">
        <v>101</v>
      </c>
      <c r="B104" s="106" t="s">
        <v>377</v>
      </c>
      <c r="C104" s="106"/>
      <c r="D104" s="21" t="s">
        <v>378</v>
      </c>
      <c r="E104" s="21" t="s">
        <v>24</v>
      </c>
      <c r="F104" s="21" t="s">
        <v>25</v>
      </c>
      <c r="G104" s="21" t="s">
        <v>231</v>
      </c>
      <c r="H104" s="23" t="s">
        <v>156</v>
      </c>
      <c r="I104" s="27" t="s">
        <v>96</v>
      </c>
      <c r="J104" s="22" t="s">
        <v>156</v>
      </c>
      <c r="K104" s="28" t="s">
        <v>181</v>
      </c>
      <c r="L104" s="23" t="s">
        <v>379</v>
      </c>
      <c r="M104" s="24"/>
      <c r="N104" s="24"/>
      <c r="O104" s="24"/>
      <c r="P104" s="25"/>
      <c r="Q104" s="25"/>
      <c r="R104" s="56"/>
      <c r="S104" s="56"/>
    </row>
    <row r="105" spans="1:19">
      <c r="A105" s="21" t="n">
        <v>102</v>
      </c>
      <c r="B105" s="106" t="s">
        <v>380</v>
      </c>
      <c r="C105" s="106"/>
      <c r="D105" s="21" t="s">
        <v>381</v>
      </c>
      <c r="E105" s="21" t="s">
        <v>24</v>
      </c>
      <c r="F105" s="21" t="s">
        <v>25</v>
      </c>
      <c r="G105" s="21" t="s">
        <v>369</v>
      </c>
      <c r="H105" s="23" t="s">
        <v>156</v>
      </c>
      <c r="I105" s="27" t="s">
        <v>96</v>
      </c>
      <c r="J105" s="22" t="s">
        <v>156</v>
      </c>
      <c r="K105" s="28" t="s">
        <v>181</v>
      </c>
      <c r="L105" s="23" t="s">
        <v>382</v>
      </c>
      <c r="M105" s="24"/>
      <c r="N105" s="24"/>
      <c r="O105" s="24"/>
      <c r="P105" s="25"/>
      <c r="Q105" s="25"/>
      <c r="R105" s="56"/>
      <c r="S105" s="56"/>
    </row>
    <row r="106" spans="1:19">
      <c r="A106" s="21" t="n">
        <v>103</v>
      </c>
      <c r="B106" s="106" t="s">
        <v>383</v>
      </c>
      <c r="C106" s="106"/>
      <c r="D106" s="21" t="s">
        <v>384</v>
      </c>
      <c r="E106" s="21" t="s">
        <v>24</v>
      </c>
      <c r="F106" s="21" t="s">
        <v>25</v>
      </c>
      <c r="G106" s="21" t="s">
        <v>369</v>
      </c>
      <c r="H106" s="23" t="s">
        <v>156</v>
      </c>
      <c r="I106" s="27" t="s">
        <v>96</v>
      </c>
      <c r="J106" s="22" t="s">
        <v>156</v>
      </c>
      <c r="K106" s="23" t="s">
        <v>40</v>
      </c>
      <c r="L106" s="29" t="s">
        <v>385</v>
      </c>
      <c r="M106" s="24"/>
      <c r="N106" s="24"/>
      <c r="O106" s="24"/>
      <c r="P106" s="25"/>
      <c r="Q106" s="25"/>
      <c r="R106" s="56"/>
      <c r="S106" s="56"/>
    </row>
    <row r="107" spans="1:19">
      <c r="A107" s="21" t="n">
        <v>104</v>
      </c>
      <c r="B107" s="106" t="s">
        <v>386</v>
      </c>
      <c r="C107" s="106"/>
      <c r="D107" s="21" t="s">
        <v>387</v>
      </c>
      <c r="E107" s="21" t="s">
        <v>33</v>
      </c>
      <c r="F107" s="21" t="s">
        <v>25</v>
      </c>
      <c r="G107" s="21" t="s">
        <v>231</v>
      </c>
      <c r="H107" s="23" t="s">
        <v>156</v>
      </c>
      <c r="I107" s="27" t="s">
        <v>96</v>
      </c>
      <c r="J107" s="22" t="s">
        <v>156</v>
      </c>
      <c r="K107" s="23" t="s">
        <v>40</v>
      </c>
      <c r="L107" s="23" t="s">
        <v>68</v>
      </c>
      <c r="M107" s="24"/>
      <c r="N107" s="24"/>
      <c r="O107" s="24"/>
      <c r="P107" s="25"/>
      <c r="Q107" s="25"/>
      <c r="R107" s="56"/>
      <c r="S107" s="56"/>
    </row>
    <row r="108" spans="1:19">
      <c r="A108" s="21" t="n">
        <v>105</v>
      </c>
      <c r="B108" s="106" t="s">
        <v>388</v>
      </c>
      <c r="C108" s="106"/>
      <c r="D108" s="21" t="s">
        <v>389</v>
      </c>
      <c r="E108" s="21" t="s">
        <v>33</v>
      </c>
      <c r="F108" s="21" t="s">
        <v>25</v>
      </c>
      <c r="G108" s="21" t="s">
        <v>369</v>
      </c>
      <c r="H108" s="23" t="s">
        <v>156</v>
      </c>
      <c r="I108" s="27" t="s">
        <v>96</v>
      </c>
      <c r="J108" s="22" t="s">
        <v>156</v>
      </c>
      <c r="K108" s="23" t="s">
        <v>40</v>
      </c>
      <c r="L108" s="23" t="s">
        <v>382</v>
      </c>
      <c r="M108" s="24"/>
      <c r="N108" s="24"/>
      <c r="O108" s="24"/>
      <c r="P108" s="25"/>
      <c r="Q108" s="25"/>
      <c r="R108" s="56"/>
      <c r="S108" s="56"/>
    </row>
    <row r="109" spans="1:19">
      <c r="A109" s="21" t="n">
        <v>106</v>
      </c>
      <c r="B109" s="106" t="s">
        <v>390</v>
      </c>
      <c r="C109" s="106"/>
      <c r="D109" s="21" t="s">
        <v>391</v>
      </c>
      <c r="E109" s="21" t="s">
        <v>33</v>
      </c>
      <c r="F109" s="21" t="s">
        <v>25</v>
      </c>
      <c r="G109" s="21" t="s">
        <v>231</v>
      </c>
      <c r="H109" s="22" t="s">
        <v>392</v>
      </c>
      <c r="I109" s="22" t="s">
        <v>28</v>
      </c>
      <c r="J109" s="25" t="s">
        <v>262</v>
      </c>
      <c r="K109" s="23" t="s">
        <v>274</v>
      </c>
      <c r="L109" s="31" t="s">
        <v>393</v>
      </c>
      <c r="M109" s="24"/>
      <c r="N109" s="24"/>
      <c r="O109" s="24"/>
      <c r="P109" s="25"/>
      <c r="Q109" s="25"/>
      <c r="R109" s="56"/>
      <c r="S109" s="56"/>
    </row>
    <row r="110" spans="1:19">
      <c r="A110" s="21" t="n">
        <v>107</v>
      </c>
      <c r="B110" s="106" t="s">
        <v>394</v>
      </c>
      <c r="C110" s="106"/>
      <c r="D110" s="21" t="s">
        <v>395</v>
      </c>
      <c r="E110" s="21" t="s">
        <v>24</v>
      </c>
      <c r="F110" s="21" t="s">
        <v>25</v>
      </c>
      <c r="G110" s="21" t="s">
        <v>231</v>
      </c>
      <c r="H110" s="23" t="s">
        <v>156</v>
      </c>
      <c r="I110" s="27" t="s">
        <v>96</v>
      </c>
      <c r="J110" s="22" t="s">
        <v>156</v>
      </c>
      <c r="K110" s="23" t="s">
        <v>161</v>
      </c>
      <c r="L110" s="23" t="s">
        <v>396</v>
      </c>
      <c r="M110" s="24"/>
      <c r="N110" s="24"/>
      <c r="O110" s="24"/>
      <c r="P110" s="25"/>
      <c r="Q110" s="25"/>
      <c r="R110" s="56"/>
      <c r="S110" s="56"/>
    </row>
    <row r="111" spans="1:19">
      <c r="A111" s="21" t="n">
        <v>108</v>
      </c>
      <c r="B111" s="106" t="s">
        <v>397</v>
      </c>
      <c r="C111" s="106"/>
      <c r="D111" s="21" t="s">
        <v>398</v>
      </c>
      <c r="E111" s="21" t="s">
        <v>33</v>
      </c>
      <c r="F111" s="21" t="s">
        <v>25</v>
      </c>
      <c r="G111" s="21" t="s">
        <v>369</v>
      </c>
      <c r="H111" s="23" t="s">
        <v>156</v>
      </c>
      <c r="I111" s="27" t="s">
        <v>96</v>
      </c>
      <c r="J111" s="22" t="s">
        <v>156</v>
      </c>
      <c r="K111" s="23" t="s">
        <v>40</v>
      </c>
      <c r="L111" s="29" t="s">
        <v>278</v>
      </c>
      <c r="M111" s="24"/>
      <c r="N111" s="24"/>
      <c r="O111" s="24"/>
      <c r="P111" s="25"/>
      <c r="Q111" s="25"/>
      <c r="R111" s="56"/>
      <c r="S111" s="56"/>
    </row>
    <row r="112" spans="1:19">
      <c r="A112" s="21" t="n">
        <v>109</v>
      </c>
      <c r="B112" s="106" t="s">
        <v>399</v>
      </c>
      <c r="C112" s="106"/>
      <c r="D112" s="21" t="s">
        <v>400</v>
      </c>
      <c r="E112" s="21" t="s">
        <v>24</v>
      </c>
      <c r="F112" s="21" t="s">
        <v>25</v>
      </c>
      <c r="G112" s="21" t="s">
        <v>231</v>
      </c>
      <c r="H112" s="23" t="s">
        <v>156</v>
      </c>
      <c r="I112" s="27" t="s">
        <v>96</v>
      </c>
      <c r="J112" s="22" t="s">
        <v>156</v>
      </c>
      <c r="K112" s="28" t="s">
        <v>181</v>
      </c>
      <c r="L112" s="23" t="s">
        <v>401</v>
      </c>
      <c r="M112" s="24"/>
      <c r="N112" s="24"/>
      <c r="O112" s="24"/>
      <c r="P112" s="25"/>
      <c r="Q112" s="25"/>
      <c r="R112" s="56"/>
      <c r="S112" s="56"/>
    </row>
    <row r="113" spans="1:19">
      <c r="A113" s="21" t="n">
        <v>110</v>
      </c>
      <c r="B113" s="106" t="s">
        <v>402</v>
      </c>
      <c r="C113" s="106"/>
      <c r="D113" s="21" t="s">
        <v>403</v>
      </c>
      <c r="E113" s="21" t="s">
        <v>24</v>
      </c>
      <c r="F113" s="21" t="s">
        <v>25</v>
      </c>
      <c r="G113" s="21" t="s">
        <v>369</v>
      </c>
      <c r="H113" s="23" t="s">
        <v>156</v>
      </c>
      <c r="I113" s="27" t="s">
        <v>96</v>
      </c>
      <c r="J113" s="22" t="s">
        <v>156</v>
      </c>
      <c r="K113" s="28" t="s">
        <v>181</v>
      </c>
      <c r="L113" s="30" t="s">
        <v>197</v>
      </c>
      <c r="M113" s="24"/>
      <c r="N113" s="24"/>
      <c r="O113" s="24"/>
      <c r="P113" s="25"/>
      <c r="Q113" s="25"/>
      <c r="R113" s="56"/>
      <c r="S113" s="56"/>
    </row>
    <row r="114" spans="1:19">
      <c r="A114" s="21" t="n">
        <v>111</v>
      </c>
      <c r="B114" s="106" t="s">
        <v>404</v>
      </c>
      <c r="C114" s="106"/>
      <c r="D114" s="21" t="s">
        <v>405</v>
      </c>
      <c r="E114" s="21" t="s">
        <v>24</v>
      </c>
      <c r="F114" s="21" t="s">
        <v>25</v>
      </c>
      <c r="G114" s="21" t="s">
        <v>369</v>
      </c>
      <c r="H114" s="23" t="s">
        <v>156</v>
      </c>
      <c r="I114" s="27" t="s">
        <v>96</v>
      </c>
      <c r="J114" s="22" t="s">
        <v>156</v>
      </c>
      <c r="K114" s="23" t="s">
        <v>40</v>
      </c>
      <c r="L114" s="29" t="s">
        <v>406</v>
      </c>
      <c r="M114" s="24"/>
      <c r="N114" s="24"/>
      <c r="O114" s="24"/>
      <c r="P114" s="25"/>
      <c r="Q114" s="25"/>
      <c r="R114" s="56"/>
      <c r="S114" s="56"/>
    </row>
    <row r="115" spans="1:19">
      <c r="A115" s="21" t="n">
        <v>112</v>
      </c>
      <c r="B115" s="106" t="s">
        <v>407</v>
      </c>
      <c r="C115" s="106"/>
      <c r="D115" s="21" t="s">
        <v>408</v>
      </c>
      <c r="E115" s="21" t="s">
        <v>24</v>
      </c>
      <c r="F115" s="21" t="s">
        <v>25</v>
      </c>
      <c r="G115" s="21" t="s">
        <v>231</v>
      </c>
      <c r="H115" s="22" t="s">
        <v>409</v>
      </c>
      <c r="I115" s="22" t="s">
        <v>132</v>
      </c>
      <c r="J115" s="22" t="s">
        <v>409</v>
      </c>
      <c r="K115" s="23" t="s">
        <v>172</v>
      </c>
      <c r="L115" s="23" t="s">
        <v>173</v>
      </c>
      <c r="M115" s="24"/>
      <c r="N115" s="24"/>
      <c r="O115" s="24"/>
      <c r="P115" s="25"/>
      <c r="Q115" s="25"/>
      <c r="R115" s="56"/>
      <c r="S115" s="56"/>
    </row>
    <row r="116" spans="1:19">
      <c r="A116" s="21" t="n">
        <v>113</v>
      </c>
      <c r="B116" s="106" t="s">
        <v>410</v>
      </c>
      <c r="C116" s="106"/>
      <c r="D116" s="21" t="s">
        <v>411</v>
      </c>
      <c r="E116" s="21" t="s">
        <v>24</v>
      </c>
      <c r="F116" s="21" t="s">
        <v>25</v>
      </c>
      <c r="G116" s="21" t="s">
        <v>369</v>
      </c>
      <c r="H116" s="22" t="s">
        <v>392</v>
      </c>
      <c r="I116" s="22" t="s">
        <v>28</v>
      </c>
      <c r="J116" s="25" t="s">
        <v>262</v>
      </c>
      <c r="K116" s="23" t="s">
        <v>40</v>
      </c>
      <c r="L116" s="23" t="s">
        <v>158</v>
      </c>
      <c r="M116" s="24"/>
      <c r="N116" s="24"/>
      <c r="O116" s="24"/>
      <c r="P116" s="25"/>
      <c r="Q116" s="25"/>
      <c r="R116" s="56"/>
      <c r="S116" s="56"/>
    </row>
    <row r="117" spans="1:19">
      <c r="A117" s="21" t="n">
        <v>114</v>
      </c>
      <c r="B117" s="106" t="s">
        <v>412</v>
      </c>
      <c r="C117" s="106"/>
      <c r="D117" s="21" t="s">
        <v>413</v>
      </c>
      <c r="E117" s="21" t="s">
        <v>24</v>
      </c>
      <c r="F117" s="21" t="s">
        <v>25</v>
      </c>
      <c r="G117" s="21" t="s">
        <v>231</v>
      </c>
      <c r="H117" s="22" t="s">
        <v>392</v>
      </c>
      <c r="I117" s="22" t="s">
        <v>28</v>
      </c>
      <c r="J117" s="25" t="s">
        <v>262</v>
      </c>
      <c r="K117" s="23" t="s">
        <v>40</v>
      </c>
      <c r="L117" s="23" t="s">
        <v>396</v>
      </c>
      <c r="M117" s="24"/>
      <c r="N117" s="24"/>
      <c r="O117" s="24"/>
      <c r="P117" s="25"/>
      <c r="Q117" s="25"/>
      <c r="R117" s="56"/>
      <c r="S117" s="56"/>
    </row>
    <row r="118" spans="1:19">
      <c r="A118" s="21" t="n">
        <v>115</v>
      </c>
      <c r="B118" s="106" t="s">
        <v>414</v>
      </c>
      <c r="C118" s="106"/>
      <c r="D118" s="21" t="s">
        <v>415</v>
      </c>
      <c r="E118" s="21" t="s">
        <v>33</v>
      </c>
      <c r="F118" s="21" t="s">
        <v>25</v>
      </c>
      <c r="G118" s="21" t="s">
        <v>231</v>
      </c>
      <c r="H118" s="23" t="s">
        <v>156</v>
      </c>
      <c r="I118" s="27" t="s">
        <v>96</v>
      </c>
      <c r="J118" s="22" t="s">
        <v>156</v>
      </c>
      <c r="K118" s="28" t="s">
        <v>181</v>
      </c>
      <c r="L118" s="23" t="s">
        <v>275</v>
      </c>
      <c r="M118" s="24"/>
      <c r="N118" s="24"/>
      <c r="O118" s="24"/>
      <c r="P118" s="25"/>
      <c r="Q118" s="25"/>
      <c r="R118" s="56"/>
      <c r="S118" s="56"/>
    </row>
    <row r="119" spans="1:19">
      <c r="A119" s="21" t="n">
        <v>116</v>
      </c>
      <c r="B119" s="106" t="s">
        <v>416</v>
      </c>
      <c r="C119" s="106"/>
      <c r="D119" s="21" t="s">
        <v>417</v>
      </c>
      <c r="E119" s="21" t="s">
        <v>24</v>
      </c>
      <c r="F119" s="21" t="s">
        <v>25</v>
      </c>
      <c r="G119" s="21" t="s">
        <v>110</v>
      </c>
      <c r="H119" s="23" t="s">
        <v>156</v>
      </c>
      <c r="I119" s="27" t="s">
        <v>96</v>
      </c>
      <c r="J119" s="22" t="s">
        <v>156</v>
      </c>
      <c r="K119" s="28" t="s">
        <v>274</v>
      </c>
      <c r="L119" s="23" t="s">
        <v>97</v>
      </c>
      <c r="M119" s="24"/>
      <c r="N119" s="24"/>
      <c r="O119" s="24"/>
      <c r="P119" s="25"/>
      <c r="Q119" s="25"/>
      <c r="R119" s="56"/>
      <c r="S119" s="56"/>
    </row>
    <row r="120" spans="1:19">
      <c r="A120" s="21" t="n">
        <v>117</v>
      </c>
      <c r="B120" s="106" t="s">
        <v>418</v>
      </c>
      <c r="C120" s="106"/>
      <c r="D120" s="21" t="s">
        <v>419</v>
      </c>
      <c r="E120" s="21" t="s">
        <v>24</v>
      </c>
      <c r="F120" s="21" t="s">
        <v>25</v>
      </c>
      <c r="G120" s="21" t="s">
        <v>231</v>
      </c>
      <c r="H120" s="22" t="s">
        <v>420</v>
      </c>
      <c r="I120" s="27" t="s">
        <v>201</v>
      </c>
      <c r="J120" s="22" t="s">
        <v>420</v>
      </c>
      <c r="K120" s="28" t="s">
        <v>202</v>
      </c>
      <c r="L120" s="23" t="s">
        <v>210</v>
      </c>
      <c r="M120" s="24"/>
      <c r="N120" s="24"/>
      <c r="O120" s="24"/>
      <c r="P120" s="25"/>
      <c r="Q120" s="25"/>
      <c r="R120" s="56"/>
      <c r="S120" s="56"/>
    </row>
    <row r="121" spans="1:19">
      <c r="A121" s="21" t="n">
        <v>118</v>
      </c>
      <c r="B121" s="106" t="s">
        <v>421</v>
      </c>
      <c r="C121" s="106"/>
      <c r="D121" s="21" t="s">
        <v>422</v>
      </c>
      <c r="E121" s="21" t="s">
        <v>24</v>
      </c>
      <c r="F121" s="21" t="s">
        <v>25</v>
      </c>
      <c r="G121" s="21" t="s">
        <v>110</v>
      </c>
      <c r="H121" s="22" t="s">
        <v>208</v>
      </c>
      <c r="I121" s="27" t="s">
        <v>201</v>
      </c>
      <c r="J121" s="22" t="s">
        <v>208</v>
      </c>
      <c r="K121" s="28" t="s">
        <v>423</v>
      </c>
      <c r="L121" s="23" t="s">
        <v>210</v>
      </c>
      <c r="M121" s="24"/>
      <c r="N121" s="24"/>
      <c r="O121" s="24"/>
      <c r="P121" s="25"/>
      <c r="Q121" s="25"/>
      <c r="R121" s="56"/>
      <c r="S121" s="56"/>
    </row>
    <row r="122" spans="1:19">
      <c r="A122" s="21" t="n">
        <v>119</v>
      </c>
      <c r="B122" s="106" t="s">
        <v>424</v>
      </c>
      <c r="C122" s="106"/>
      <c r="D122" s="21" t="s">
        <v>425</v>
      </c>
      <c r="E122" s="21" t="s">
        <v>33</v>
      </c>
      <c r="F122" s="21" t="s">
        <v>25</v>
      </c>
      <c r="G122" s="21" t="s">
        <v>231</v>
      </c>
      <c r="H122" s="23" t="s">
        <v>156</v>
      </c>
      <c r="I122" s="27" t="s">
        <v>96</v>
      </c>
      <c r="J122" s="22" t="s">
        <v>156</v>
      </c>
      <c r="K122" s="23" t="s">
        <v>40</v>
      </c>
      <c r="L122" s="23" t="s">
        <v>325</v>
      </c>
      <c r="M122" s="24"/>
      <c r="N122" s="24"/>
      <c r="O122" s="24"/>
      <c r="P122" s="25"/>
      <c r="Q122" s="25"/>
      <c r="R122" s="56"/>
      <c r="S122" s="56"/>
    </row>
    <row r="123" spans="1:19">
      <c r="A123" s="21" t="n">
        <v>120</v>
      </c>
      <c r="B123" s="106" t="s">
        <v>426</v>
      </c>
      <c r="C123" s="106"/>
      <c r="D123" s="21" t="s">
        <v>427</v>
      </c>
      <c r="E123" s="21" t="s">
        <v>24</v>
      </c>
      <c r="F123" s="21" t="s">
        <v>25</v>
      </c>
      <c r="G123" s="21" t="s">
        <v>231</v>
      </c>
      <c r="H123" s="22" t="s">
        <v>392</v>
      </c>
      <c r="I123" s="22" t="s">
        <v>28</v>
      </c>
      <c r="J123" s="25" t="s">
        <v>262</v>
      </c>
      <c r="K123" s="23" t="s">
        <v>29</v>
      </c>
      <c r="L123" s="23" t="s">
        <v>41</v>
      </c>
      <c r="M123" s="24"/>
      <c r="N123" s="24"/>
      <c r="O123" s="24"/>
      <c r="P123" s="25"/>
      <c r="Q123" s="25"/>
      <c r="R123" s="56"/>
      <c r="S123" s="56"/>
    </row>
    <row r="124" spans="1:19">
      <c r="A124" s="21" t="n">
        <v>121</v>
      </c>
      <c r="B124" s="106" t="s">
        <v>428</v>
      </c>
      <c r="C124" s="106"/>
      <c r="D124" s="21" t="s">
        <v>429</v>
      </c>
      <c r="E124" s="21" t="s">
        <v>24</v>
      </c>
      <c r="F124" s="21" t="s">
        <v>25</v>
      </c>
      <c r="G124" s="21" t="s">
        <v>231</v>
      </c>
      <c r="H124" s="23" t="s">
        <v>156</v>
      </c>
      <c r="I124" s="27" t="s">
        <v>96</v>
      </c>
      <c r="J124" s="22" t="s">
        <v>156</v>
      </c>
      <c r="K124" s="23" t="s">
        <v>274</v>
      </c>
      <c r="L124" s="29" t="s">
        <v>430</v>
      </c>
      <c r="M124" s="24"/>
      <c r="N124" s="24"/>
      <c r="O124" s="24"/>
      <c r="P124" s="25"/>
      <c r="Q124" s="25"/>
      <c r="R124" s="56"/>
      <c r="S124" s="56"/>
    </row>
    <row r="125" spans="1:19">
      <c r="A125" s="21" t="n">
        <v>122</v>
      </c>
      <c r="B125" s="106" t="s">
        <v>431</v>
      </c>
      <c r="C125" s="106"/>
      <c r="D125" s="21" t="s">
        <v>432</v>
      </c>
      <c r="E125" s="21" t="s">
        <v>33</v>
      </c>
      <c r="F125" s="21" t="s">
        <v>25</v>
      </c>
      <c r="G125" s="21" t="s">
        <v>231</v>
      </c>
      <c r="H125" s="22" t="s">
        <v>433</v>
      </c>
      <c r="I125" s="22" t="s">
        <v>28</v>
      </c>
      <c r="J125" s="25" t="s">
        <v>262</v>
      </c>
      <c r="K125" s="23" t="s">
        <v>29</v>
      </c>
      <c r="L125" s="23" t="s">
        <v>112</v>
      </c>
      <c r="M125" s="24"/>
      <c r="N125" s="24"/>
      <c r="O125" s="24"/>
      <c r="P125" s="25"/>
      <c r="Q125" s="25"/>
      <c r="R125" s="56"/>
      <c r="S125" s="56"/>
    </row>
    <row r="126" spans="1:19">
      <c r="A126" s="21" t="n">
        <v>123</v>
      </c>
      <c r="B126" s="106" t="s">
        <v>434</v>
      </c>
      <c r="C126" s="106"/>
      <c r="D126" s="21" t="s">
        <v>435</v>
      </c>
      <c r="E126" s="21" t="s">
        <v>24</v>
      </c>
      <c r="F126" s="21" t="s">
        <v>25</v>
      </c>
      <c r="G126" s="21" t="s">
        <v>231</v>
      </c>
      <c r="H126" s="22" t="s">
        <v>392</v>
      </c>
      <c r="I126" s="22" t="s">
        <v>28</v>
      </c>
      <c r="J126" s="25" t="s">
        <v>262</v>
      </c>
      <c r="K126" s="23" t="s">
        <v>40</v>
      </c>
      <c r="L126" s="23" t="s">
        <v>150</v>
      </c>
      <c r="M126" s="24"/>
      <c r="N126" s="24"/>
      <c r="O126" s="24"/>
      <c r="P126" s="25"/>
      <c r="Q126" s="25"/>
      <c r="R126" s="56"/>
      <c r="S126" s="56"/>
    </row>
    <row r="127" spans="1:19">
      <c r="A127" s="21" t="n">
        <v>124</v>
      </c>
      <c r="B127" s="106" t="s">
        <v>436</v>
      </c>
      <c r="C127" s="106"/>
      <c r="D127" s="21" t="s">
        <v>437</v>
      </c>
      <c r="E127" s="21" t="s">
        <v>33</v>
      </c>
      <c r="F127" s="21" t="s">
        <v>25</v>
      </c>
      <c r="G127" s="21" t="s">
        <v>231</v>
      </c>
      <c r="H127" s="23" t="s">
        <v>156</v>
      </c>
      <c r="I127" s="27" t="s">
        <v>96</v>
      </c>
      <c r="J127" s="22" t="s">
        <v>156</v>
      </c>
      <c r="K127" s="28" t="s">
        <v>274</v>
      </c>
      <c r="L127" s="23" t="s">
        <v>68</v>
      </c>
      <c r="M127" s="24"/>
      <c r="N127" s="24"/>
      <c r="O127" s="24"/>
      <c r="P127" s="25"/>
      <c r="Q127" s="25"/>
      <c r="R127" s="56"/>
      <c r="S127" s="56"/>
    </row>
    <row r="128" spans="1:19">
      <c r="A128" s="21" t="n">
        <v>125</v>
      </c>
      <c r="B128" s="106" t="s">
        <v>438</v>
      </c>
      <c r="C128" s="106"/>
      <c r="D128" s="21" t="s">
        <v>439</v>
      </c>
      <c r="E128" s="21" t="s">
        <v>24</v>
      </c>
      <c r="F128" s="21" t="s">
        <v>25</v>
      </c>
      <c r="G128" s="21" t="s">
        <v>231</v>
      </c>
      <c r="H128" s="23" t="s">
        <v>156</v>
      </c>
      <c r="I128" s="27" t="s">
        <v>96</v>
      </c>
      <c r="J128" s="22" t="s">
        <v>156</v>
      </c>
      <c r="K128" s="28" t="s">
        <v>181</v>
      </c>
      <c r="L128" s="23" t="s">
        <v>245</v>
      </c>
      <c r="M128" s="24"/>
      <c r="N128" s="24"/>
      <c r="O128" s="24"/>
      <c r="P128" s="25"/>
      <c r="Q128" s="25"/>
      <c r="R128" s="56"/>
      <c r="S128" s="56"/>
    </row>
    <row r="129" spans="1:19">
      <c r="A129" s="21" t="n">
        <v>126</v>
      </c>
      <c r="B129" s="106" t="s">
        <v>440</v>
      </c>
      <c r="C129" s="106"/>
      <c r="D129" s="21" t="s">
        <v>441</v>
      </c>
      <c r="E129" s="21" t="s">
        <v>24</v>
      </c>
      <c r="F129" s="21" t="s">
        <v>25</v>
      </c>
      <c r="G129" s="21" t="s">
        <v>231</v>
      </c>
      <c r="H129" s="22" t="s">
        <v>208</v>
      </c>
      <c r="I129" s="27" t="s">
        <v>201</v>
      </c>
      <c r="J129" s="22" t="s">
        <v>208</v>
      </c>
      <c r="K129" s="23" t="s">
        <v>209</v>
      </c>
      <c r="L129" s="23" t="s">
        <v>210</v>
      </c>
      <c r="M129" s="24"/>
      <c r="N129" s="24"/>
      <c r="O129" s="24"/>
      <c r="P129" s="25"/>
      <c r="Q129" s="25"/>
      <c r="R129" s="56"/>
      <c r="S129" s="56"/>
    </row>
    <row r="130" spans="1:19">
      <c r="A130" s="21" t="n">
        <v>127</v>
      </c>
      <c r="B130" s="106" t="s">
        <v>442</v>
      </c>
      <c r="C130" s="106"/>
      <c r="D130" s="21" t="s">
        <v>443</v>
      </c>
      <c r="E130" s="21" t="s">
        <v>24</v>
      </c>
      <c r="F130" s="21" t="s">
        <v>25</v>
      </c>
      <c r="G130" s="21" t="s">
        <v>231</v>
      </c>
      <c r="H130" s="22" t="s">
        <v>171</v>
      </c>
      <c r="I130" s="22" t="s">
        <v>132</v>
      </c>
      <c r="J130" s="22" t="s">
        <v>171</v>
      </c>
      <c r="K130" s="23" t="s">
        <v>444</v>
      </c>
      <c r="L130" s="23" t="s">
        <v>173</v>
      </c>
      <c r="M130" s="24"/>
      <c r="N130" s="24"/>
      <c r="O130" s="24"/>
      <c r="P130" s="25"/>
      <c r="Q130" s="25"/>
      <c r="R130" s="56"/>
      <c r="S130" s="56"/>
    </row>
    <row r="131" spans="1:19">
      <c r="A131" s="21" t="n">
        <v>128</v>
      </c>
      <c r="B131" s="106" t="s">
        <v>445</v>
      </c>
      <c r="C131" s="106"/>
      <c r="D131" s="21" t="s">
        <v>446</v>
      </c>
      <c r="E131" s="21" t="s">
        <v>33</v>
      </c>
      <c r="F131" s="21" t="s">
        <v>25</v>
      </c>
      <c r="G131" s="21" t="s">
        <v>369</v>
      </c>
      <c r="H131" s="22" t="s">
        <v>171</v>
      </c>
      <c r="I131" s="22" t="s">
        <v>132</v>
      </c>
      <c r="J131" s="22" t="s">
        <v>171</v>
      </c>
      <c r="K131" s="23" t="s">
        <v>172</v>
      </c>
      <c r="L131" s="23" t="s">
        <v>173</v>
      </c>
      <c r="M131" s="24"/>
      <c r="N131" s="24"/>
      <c r="O131" s="24"/>
      <c r="P131" s="25"/>
      <c r="Q131" s="25"/>
      <c r="R131" s="56"/>
      <c r="S131" s="56"/>
    </row>
    <row r="132" spans="1:19">
      <c r="A132" s="21" t="n">
        <v>129</v>
      </c>
      <c r="B132" s="106" t="s">
        <v>447</v>
      </c>
      <c r="C132" s="106"/>
      <c r="D132" s="21" t="s">
        <v>448</v>
      </c>
      <c r="E132" s="21" t="s">
        <v>33</v>
      </c>
      <c r="F132" s="21" t="s">
        <v>25</v>
      </c>
      <c r="G132" s="21" t="s">
        <v>231</v>
      </c>
      <c r="H132" s="23" t="s">
        <v>156</v>
      </c>
      <c r="I132" s="27" t="s">
        <v>96</v>
      </c>
      <c r="J132" s="22" t="s">
        <v>156</v>
      </c>
      <c r="K132" s="23" t="s">
        <v>40</v>
      </c>
      <c r="L132" s="23" t="s">
        <v>331</v>
      </c>
      <c r="M132" s="24"/>
      <c r="N132" s="24"/>
      <c r="O132" s="24"/>
      <c r="P132" s="25"/>
      <c r="Q132" s="25"/>
      <c r="R132" s="56"/>
      <c r="S132" s="56"/>
    </row>
    <row r="133" spans="1:19">
      <c r="A133" s="21" t="n">
        <v>130</v>
      </c>
      <c r="B133" s="106" t="s">
        <v>449</v>
      </c>
      <c r="C133" s="106"/>
      <c r="D133" s="21" t="s">
        <v>450</v>
      </c>
      <c r="E133" s="21" t="s">
        <v>24</v>
      </c>
      <c r="F133" s="21" t="s">
        <v>25</v>
      </c>
      <c r="G133" s="21" t="s">
        <v>231</v>
      </c>
      <c r="H133" s="22" t="s">
        <v>208</v>
      </c>
      <c r="I133" s="27" t="s">
        <v>201</v>
      </c>
      <c r="J133" s="22" t="s">
        <v>208</v>
      </c>
      <c r="K133" s="23" t="s">
        <v>202</v>
      </c>
      <c r="L133" s="23" t="s">
        <v>210</v>
      </c>
      <c r="M133" s="24"/>
      <c r="N133" s="24"/>
      <c r="O133" s="24"/>
      <c r="P133" s="25"/>
      <c r="Q133" s="25"/>
      <c r="R133" s="56"/>
      <c r="S133" s="56"/>
    </row>
    <row r="134" spans="1:17" s="71" customFormat="1">
      <c r="A134" s="21" t="n">
        <v>131</v>
      </c>
      <c r="B134" s="106" t="s">
        <v>451</v>
      </c>
      <c r="C134" s="106"/>
      <c r="D134" s="21" t="s">
        <v>452</v>
      </c>
      <c r="E134" s="21" t="s">
        <v>24</v>
      </c>
      <c r="F134" s="21" t="s">
        <v>25</v>
      </c>
      <c r="G134" s="21" t="s">
        <v>231</v>
      </c>
      <c r="H134" s="22" t="s">
        <v>208</v>
      </c>
      <c r="I134" s="27" t="s">
        <v>201</v>
      </c>
      <c r="J134" s="22" t="s">
        <v>208</v>
      </c>
      <c r="K134" s="23" t="s">
        <v>209</v>
      </c>
      <c r="L134" s="23" t="s">
        <v>210</v>
      </c>
      <c r="M134" s="24"/>
      <c r="N134" s="24"/>
      <c r="O134" s="24"/>
      <c r="P134" s="70"/>
      <c r="Q134" s="70"/>
    </row>
    <row r="135" spans="1:19">
      <c r="A135" s="21" t="n">
        <v>132</v>
      </c>
      <c r="B135" s="106" t="s">
        <v>453</v>
      </c>
      <c r="C135" s="106"/>
      <c r="D135" s="21" t="s">
        <v>454</v>
      </c>
      <c r="E135" s="21" t="s">
        <v>33</v>
      </c>
      <c r="F135" s="21" t="s">
        <v>25</v>
      </c>
      <c r="G135" s="21" t="s">
        <v>231</v>
      </c>
      <c r="H135" s="23" t="s">
        <v>156</v>
      </c>
      <c r="I135" s="27" t="s">
        <v>96</v>
      </c>
      <c r="J135" s="22" t="s">
        <v>156</v>
      </c>
      <c r="K135" s="23" t="s">
        <v>40</v>
      </c>
      <c r="L135" s="23" t="s">
        <v>331</v>
      </c>
      <c r="M135" s="24"/>
      <c r="N135" s="24"/>
      <c r="O135" s="24"/>
      <c r="P135" s="25"/>
      <c r="Q135" s="25"/>
      <c r="R135" s="56"/>
      <c r="S135" s="56"/>
    </row>
    <row r="136" spans="1:17" s="71" customFormat="1">
      <c r="A136" s="21" t="n">
        <v>133</v>
      </c>
      <c r="B136" s="106" t="s">
        <v>455</v>
      </c>
      <c r="C136" s="106"/>
      <c r="D136" s="21" t="s">
        <v>456</v>
      </c>
      <c r="E136" s="21" t="s">
        <v>24</v>
      </c>
      <c r="F136" s="21" t="s">
        <v>25</v>
      </c>
      <c r="G136" s="21" t="s">
        <v>369</v>
      </c>
      <c r="H136" s="22" t="s">
        <v>457</v>
      </c>
      <c r="I136" s="27" t="s">
        <v>201</v>
      </c>
      <c r="J136" s="22" t="s">
        <v>457</v>
      </c>
      <c r="K136" s="23" t="s">
        <v>209</v>
      </c>
      <c r="L136" s="23" t="s">
        <v>458</v>
      </c>
      <c r="M136" s="24"/>
      <c r="N136" s="24"/>
      <c r="O136" s="24"/>
      <c r="P136" s="70"/>
      <c r="Q136" s="70"/>
    </row>
    <row r="137" spans="1:19">
      <c r="A137" s="21" t="n">
        <v>134</v>
      </c>
      <c r="B137" s="106" t="s">
        <v>459</v>
      </c>
      <c r="C137" s="106"/>
      <c r="D137" s="21" t="s">
        <v>460</v>
      </c>
      <c r="E137" s="21" t="s">
        <v>24</v>
      </c>
      <c r="F137" s="21" t="s">
        <v>25</v>
      </c>
      <c r="G137" s="21" t="s">
        <v>231</v>
      </c>
      <c r="H137" s="23" t="s">
        <v>156</v>
      </c>
      <c r="I137" s="27" t="s">
        <v>96</v>
      </c>
      <c r="J137" s="22" t="s">
        <v>156</v>
      </c>
      <c r="K137" s="28" t="s">
        <v>181</v>
      </c>
      <c r="L137" s="23" t="s">
        <v>461</v>
      </c>
      <c r="M137" s="24"/>
      <c r="N137" s="24"/>
      <c r="O137" s="24"/>
      <c r="P137" s="25"/>
      <c r="Q137" s="25"/>
      <c r="R137" s="56"/>
      <c r="S137" s="56"/>
    </row>
    <row r="138" spans="1:19">
      <c r="A138" s="21" t="n">
        <v>135</v>
      </c>
      <c r="B138" s="106" t="s">
        <v>462</v>
      </c>
      <c r="C138" s="106"/>
      <c r="D138" s="21" t="s">
        <v>463</v>
      </c>
      <c r="E138" s="21" t="s">
        <v>33</v>
      </c>
      <c r="F138" s="21" t="s">
        <v>25</v>
      </c>
      <c r="G138" s="21" t="s">
        <v>369</v>
      </c>
      <c r="H138" s="22" t="s">
        <v>464</v>
      </c>
      <c r="I138" s="27" t="s">
        <v>66</v>
      </c>
      <c r="J138" s="22" t="s">
        <v>464</v>
      </c>
      <c r="K138" s="23" t="s">
        <v>67</v>
      </c>
      <c r="L138" s="23" t="s">
        <v>68</v>
      </c>
      <c r="M138" s="24"/>
      <c r="N138" s="24"/>
      <c r="O138" s="24"/>
      <c r="P138" s="25"/>
      <c r="Q138" s="25"/>
      <c r="R138" s="56"/>
      <c r="S138" s="56"/>
    </row>
    <row r="139" spans="1:19">
      <c r="A139" s="21" t="n">
        <v>136</v>
      </c>
      <c r="B139" s="106" t="s">
        <v>465</v>
      </c>
      <c r="C139" s="106"/>
      <c r="D139" s="21" t="s">
        <v>466</v>
      </c>
      <c r="E139" s="21" t="s">
        <v>24</v>
      </c>
      <c r="F139" s="21" t="s">
        <v>25</v>
      </c>
      <c r="G139" s="21" t="s">
        <v>369</v>
      </c>
      <c r="H139" s="22" t="s">
        <v>467</v>
      </c>
      <c r="I139" s="22" t="s">
        <v>28</v>
      </c>
      <c r="J139" s="25" t="s">
        <v>262</v>
      </c>
      <c r="K139" s="23" t="s">
        <v>40</v>
      </c>
      <c r="L139" s="23" t="s">
        <v>458</v>
      </c>
      <c r="M139" s="24"/>
      <c r="N139" s="24"/>
      <c r="O139" s="24"/>
      <c r="P139" s="25"/>
      <c r="Q139" s="25"/>
      <c r="R139" s="56"/>
      <c r="S139" s="56"/>
    </row>
    <row r="140" spans="1:19">
      <c r="A140" s="21" t="n">
        <v>137</v>
      </c>
      <c r="B140" s="106" t="s">
        <v>468</v>
      </c>
      <c r="C140" s="106"/>
      <c r="D140" s="21" t="s">
        <v>469</v>
      </c>
      <c r="E140" s="21" t="s">
        <v>24</v>
      </c>
      <c r="F140" s="21" t="s">
        <v>25</v>
      </c>
      <c r="G140" s="21" t="s">
        <v>231</v>
      </c>
      <c r="H140" s="22" t="s">
        <v>392</v>
      </c>
      <c r="I140" s="22" t="s">
        <v>28</v>
      </c>
      <c r="J140" s="25" t="s">
        <v>262</v>
      </c>
      <c r="K140" s="23" t="s">
        <v>40</v>
      </c>
      <c r="L140" s="23" t="s">
        <v>77</v>
      </c>
      <c r="M140" s="24"/>
      <c r="N140" s="24"/>
      <c r="O140" s="24"/>
      <c r="P140" s="25"/>
      <c r="Q140" s="25"/>
      <c r="R140" s="56"/>
      <c r="S140" s="56"/>
    </row>
    <row r="141" spans="1:19">
      <c r="A141" s="21" t="n">
        <v>138</v>
      </c>
      <c r="B141" s="106" t="s">
        <v>470</v>
      </c>
      <c r="C141" s="106"/>
      <c r="D141" s="21" t="s">
        <v>471</v>
      </c>
      <c r="E141" s="21" t="s">
        <v>24</v>
      </c>
      <c r="F141" s="21" t="s">
        <v>25</v>
      </c>
      <c r="G141" s="21" t="s">
        <v>231</v>
      </c>
      <c r="H141" s="22" t="s">
        <v>208</v>
      </c>
      <c r="I141" s="27" t="s">
        <v>201</v>
      </c>
      <c r="J141" s="22" t="s">
        <v>208</v>
      </c>
      <c r="K141" s="23" t="s">
        <v>209</v>
      </c>
      <c r="L141" s="23" t="s">
        <v>210</v>
      </c>
      <c r="M141" s="24"/>
      <c r="N141" s="24"/>
      <c r="O141" s="24"/>
      <c r="P141" s="25"/>
      <c r="Q141" s="25"/>
      <c r="R141" s="56"/>
      <c r="S141" s="56"/>
    </row>
    <row r="142" spans="1:19">
      <c r="A142" s="21" t="n">
        <v>139</v>
      </c>
      <c r="B142" s="106" t="s">
        <v>472</v>
      </c>
      <c r="C142" s="106"/>
      <c r="D142" s="21" t="s">
        <v>473</v>
      </c>
      <c r="E142" s="21" t="s">
        <v>24</v>
      </c>
      <c r="F142" s="21" t="s">
        <v>25</v>
      </c>
      <c r="G142" s="21" t="s">
        <v>231</v>
      </c>
      <c r="H142" s="22" t="s">
        <v>208</v>
      </c>
      <c r="I142" s="27" t="s">
        <v>201</v>
      </c>
      <c r="J142" s="22" t="s">
        <v>208</v>
      </c>
      <c r="K142" s="23" t="s">
        <v>209</v>
      </c>
      <c r="L142" s="23" t="s">
        <v>210</v>
      </c>
      <c r="M142" s="24"/>
      <c r="N142" s="24"/>
      <c r="O142" s="24"/>
      <c r="P142" s="25"/>
      <c r="Q142" s="25"/>
      <c r="R142" s="56"/>
      <c r="S142" s="56"/>
    </row>
    <row r="143" spans="1:19">
      <c r="A143" s="21" t="n">
        <v>140</v>
      </c>
      <c r="B143" s="106" t="s">
        <v>474</v>
      </c>
      <c r="C143" s="106"/>
      <c r="D143" s="21" t="s">
        <v>475</v>
      </c>
      <c r="E143" s="21" t="s">
        <v>33</v>
      </c>
      <c r="F143" s="21" t="s">
        <v>25</v>
      </c>
      <c r="G143" s="21" t="s">
        <v>231</v>
      </c>
      <c r="H143" s="22" t="s">
        <v>142</v>
      </c>
      <c r="I143" s="22" t="s">
        <v>101</v>
      </c>
      <c r="J143" s="22" t="s">
        <v>142</v>
      </c>
      <c r="K143" s="23" t="s">
        <v>143</v>
      </c>
      <c r="L143" s="23" t="s">
        <v>103</v>
      </c>
      <c r="M143" s="24"/>
      <c r="N143" s="24"/>
      <c r="O143" s="24"/>
      <c r="P143" s="25"/>
      <c r="Q143" s="25"/>
      <c r="R143" s="56"/>
      <c r="S143" s="56"/>
    </row>
    <row r="144" spans="1:19">
      <c r="A144" s="21" t="n">
        <v>141</v>
      </c>
      <c r="B144" s="106" t="s">
        <v>476</v>
      </c>
      <c r="C144" s="106"/>
      <c r="D144" s="21" t="s">
        <v>477</v>
      </c>
      <c r="E144" s="21" t="s">
        <v>24</v>
      </c>
      <c r="F144" s="21" t="s">
        <v>25</v>
      </c>
      <c r="G144" s="21" t="s">
        <v>231</v>
      </c>
      <c r="H144" s="22" t="s">
        <v>208</v>
      </c>
      <c r="I144" s="27" t="s">
        <v>201</v>
      </c>
      <c r="J144" s="22" t="s">
        <v>208</v>
      </c>
      <c r="K144" s="23" t="s">
        <v>209</v>
      </c>
      <c r="L144" s="23" t="s">
        <v>210</v>
      </c>
      <c r="M144" s="24"/>
      <c r="N144" s="24"/>
      <c r="O144" s="24"/>
      <c r="P144" s="25"/>
      <c r="Q144" s="25"/>
      <c r="R144" s="56"/>
      <c r="S144" s="56"/>
    </row>
    <row r="145" spans="1:19">
      <c r="A145" s="21" t="n">
        <v>142</v>
      </c>
      <c r="B145" s="106" t="s">
        <v>478</v>
      </c>
      <c r="C145" s="106"/>
      <c r="D145" s="21" t="s">
        <v>479</v>
      </c>
      <c r="E145" s="21" t="s">
        <v>24</v>
      </c>
      <c r="F145" s="21" t="s">
        <v>25</v>
      </c>
      <c r="G145" s="21" t="s">
        <v>231</v>
      </c>
      <c r="H145" s="22" t="s">
        <v>125</v>
      </c>
      <c r="I145" s="22" t="s">
        <v>126</v>
      </c>
      <c r="J145" s="22" t="s">
        <v>125</v>
      </c>
      <c r="K145" s="23" t="s">
        <v>40</v>
      </c>
      <c r="L145" s="23" t="s">
        <v>480</v>
      </c>
      <c r="M145" s="24"/>
      <c r="N145" s="24"/>
      <c r="O145" s="24"/>
      <c r="P145" s="25"/>
      <c r="Q145" s="25"/>
      <c r="R145" s="56"/>
      <c r="S145" s="56"/>
    </row>
    <row r="146" spans="1:19">
      <c r="A146" s="21" t="n">
        <v>143</v>
      </c>
      <c r="B146" s="106" t="s">
        <v>481</v>
      </c>
      <c r="C146" s="106"/>
      <c r="D146" s="21" t="s">
        <v>482</v>
      </c>
      <c r="E146" s="21" t="s">
        <v>24</v>
      </c>
      <c r="F146" s="21" t="s">
        <v>25</v>
      </c>
      <c r="G146" s="21" t="s">
        <v>369</v>
      </c>
      <c r="H146" s="22" t="s">
        <v>409</v>
      </c>
      <c r="I146" s="22" t="s">
        <v>132</v>
      </c>
      <c r="J146" s="22" t="s">
        <v>409</v>
      </c>
      <c r="K146" s="23" t="s">
        <v>172</v>
      </c>
      <c r="L146" s="23" t="s">
        <v>173</v>
      </c>
      <c r="M146" s="24"/>
      <c r="N146" s="24"/>
      <c r="O146" s="24"/>
      <c r="P146" s="25"/>
      <c r="Q146" s="25"/>
      <c r="R146" s="56"/>
      <c r="S146" s="56"/>
    </row>
    <row r="147" spans="1:19">
      <c r="A147" s="21" t="n">
        <v>144</v>
      </c>
      <c r="B147" s="106" t="s">
        <v>483</v>
      </c>
      <c r="C147" s="106"/>
      <c r="D147" s="21" t="s">
        <v>484</v>
      </c>
      <c r="E147" s="21" t="s">
        <v>33</v>
      </c>
      <c r="F147" s="21" t="s">
        <v>25</v>
      </c>
      <c r="G147" s="21" t="s">
        <v>231</v>
      </c>
      <c r="H147" s="22" t="s">
        <v>287</v>
      </c>
      <c r="I147" s="22" t="s">
        <v>28</v>
      </c>
      <c r="J147" s="22" t="s">
        <v>288</v>
      </c>
      <c r="K147" s="23" t="s">
        <v>40</v>
      </c>
      <c r="L147" s="23" t="s">
        <v>122</v>
      </c>
      <c r="M147" s="24"/>
      <c r="N147" s="24"/>
      <c r="O147" s="24"/>
      <c r="P147" s="25"/>
      <c r="Q147" s="25"/>
      <c r="R147" s="56"/>
      <c r="S147" s="56"/>
    </row>
    <row r="148" spans="1:19">
      <c r="A148" s="21" t="n">
        <v>145</v>
      </c>
      <c r="B148" s="106" t="s">
        <v>485</v>
      </c>
      <c r="C148" s="106"/>
      <c r="D148" s="21" t="s">
        <v>486</v>
      </c>
      <c r="E148" s="21" t="s">
        <v>24</v>
      </c>
      <c r="F148" s="21" t="s">
        <v>25</v>
      </c>
      <c r="G148" s="21" t="s">
        <v>231</v>
      </c>
      <c r="H148" s="22" t="s">
        <v>125</v>
      </c>
      <c r="I148" s="22" t="s">
        <v>126</v>
      </c>
      <c r="J148" s="22" t="s">
        <v>125</v>
      </c>
      <c r="K148" s="23" t="s">
        <v>487</v>
      </c>
      <c r="L148" s="23" t="s">
        <v>61</v>
      </c>
      <c r="M148" s="24"/>
      <c r="N148" s="24"/>
      <c r="O148" s="24"/>
      <c r="P148" s="25"/>
      <c r="Q148" s="25"/>
      <c r="R148" s="56"/>
      <c r="S148" s="56"/>
    </row>
    <row r="149" spans="1:19">
      <c r="A149" s="21" t="n">
        <v>146</v>
      </c>
      <c r="B149" s="106" t="s">
        <v>488</v>
      </c>
      <c r="C149" s="106"/>
      <c r="D149" s="21" t="s">
        <v>489</v>
      </c>
      <c r="E149" s="21" t="s">
        <v>24</v>
      </c>
      <c r="F149" s="21" t="s">
        <v>25</v>
      </c>
      <c r="G149" s="21" t="s">
        <v>231</v>
      </c>
      <c r="H149" s="22" t="s">
        <v>137</v>
      </c>
      <c r="I149" s="22" t="s">
        <v>91</v>
      </c>
      <c r="J149" s="22" t="s">
        <v>137</v>
      </c>
      <c r="K149" s="23" t="s">
        <v>490</v>
      </c>
      <c r="L149" s="23" t="s">
        <v>92</v>
      </c>
      <c r="M149" s="24"/>
      <c r="N149" s="24"/>
      <c r="O149" s="24"/>
      <c r="P149" s="25"/>
      <c r="Q149" s="25"/>
      <c r="R149" s="56"/>
      <c r="S149" s="56"/>
    </row>
    <row r="150" spans="1:19">
      <c r="A150" s="21" t="n">
        <v>147</v>
      </c>
      <c r="B150" s="106" t="s">
        <v>491</v>
      </c>
      <c r="C150" s="106"/>
      <c r="D150" s="21" t="s">
        <v>492</v>
      </c>
      <c r="E150" s="21" t="s">
        <v>24</v>
      </c>
      <c r="F150" s="21" t="s">
        <v>25</v>
      </c>
      <c r="G150" s="21" t="s">
        <v>231</v>
      </c>
      <c r="H150" s="22" t="s">
        <v>296</v>
      </c>
      <c r="I150" s="22" t="s">
        <v>28</v>
      </c>
      <c r="J150" s="25" t="s">
        <v>262</v>
      </c>
      <c r="K150" s="23" t="s">
        <v>29</v>
      </c>
      <c r="L150" s="23" t="s">
        <v>53</v>
      </c>
      <c r="M150" s="24"/>
      <c r="N150" s="24"/>
      <c r="O150" s="24"/>
      <c r="P150" s="25"/>
      <c r="Q150" s="25"/>
      <c r="R150" s="56"/>
      <c r="S150" s="56"/>
    </row>
    <row r="151" spans="1:19">
      <c r="A151" s="21" t="n">
        <v>148</v>
      </c>
      <c r="B151" s="106" t="s">
        <v>493</v>
      </c>
      <c r="C151" s="106"/>
      <c r="D151" s="21" t="s">
        <v>494</v>
      </c>
      <c r="E151" s="21" t="s">
        <v>33</v>
      </c>
      <c r="F151" s="21" t="s">
        <v>25</v>
      </c>
      <c r="G151" s="21" t="s">
        <v>231</v>
      </c>
      <c r="H151" s="25" t="s">
        <v>495</v>
      </c>
      <c r="I151" s="22" t="s">
        <v>28</v>
      </c>
      <c r="J151" s="25" t="s">
        <v>262</v>
      </c>
      <c r="K151" s="23" t="s">
        <v>29</v>
      </c>
      <c r="L151" s="23" t="s">
        <v>496</v>
      </c>
      <c r="M151" s="24"/>
      <c r="N151" s="24"/>
      <c r="O151" s="24"/>
      <c r="P151" s="25"/>
      <c r="Q151" s="25"/>
      <c r="R151" s="56"/>
      <c r="S151" s="56"/>
    </row>
    <row r="152" spans="1:19">
      <c r="A152" s="21" t="n">
        <v>149</v>
      </c>
      <c r="B152" s="106" t="s">
        <v>497</v>
      </c>
      <c r="C152" s="106"/>
      <c r="D152" s="21" t="s">
        <v>498</v>
      </c>
      <c r="E152" s="21" t="s">
        <v>24</v>
      </c>
      <c r="F152" s="21" t="s">
        <v>25</v>
      </c>
      <c r="G152" s="21" t="s">
        <v>231</v>
      </c>
      <c r="H152" s="23" t="s">
        <v>499</v>
      </c>
      <c r="I152" s="22" t="s">
        <v>28</v>
      </c>
      <c r="J152" s="25" t="s">
        <v>262</v>
      </c>
      <c r="K152" s="23" t="s">
        <v>40</v>
      </c>
      <c r="L152" s="23" t="s">
        <v>92</v>
      </c>
      <c r="M152" s="24"/>
      <c r="N152" s="24"/>
      <c r="O152" s="24"/>
      <c r="P152" s="25"/>
      <c r="Q152" s="25"/>
      <c r="R152" s="56"/>
      <c r="S152" s="56"/>
    </row>
    <row r="153" spans="1:19">
      <c r="A153" s="21" t="n">
        <v>150</v>
      </c>
      <c r="B153" s="106" t="s">
        <v>500</v>
      </c>
      <c r="C153" s="106"/>
      <c r="D153" s="21" t="s">
        <v>501</v>
      </c>
      <c r="E153" s="21" t="s">
        <v>33</v>
      </c>
      <c r="F153" s="21" t="s">
        <v>25</v>
      </c>
      <c r="G153" s="21" t="s">
        <v>231</v>
      </c>
      <c r="H153" s="22" t="s">
        <v>502</v>
      </c>
      <c r="I153" s="22" t="s">
        <v>28</v>
      </c>
      <c r="J153" s="25" t="s">
        <v>262</v>
      </c>
      <c r="K153" s="23" t="s">
        <v>40</v>
      </c>
      <c r="L153" s="23" t="s">
        <v>268</v>
      </c>
      <c r="M153" s="24"/>
      <c r="N153" s="24"/>
      <c r="O153" s="24"/>
      <c r="P153" s="25"/>
      <c r="Q153" s="25"/>
      <c r="R153" s="56"/>
      <c r="S153" s="56"/>
    </row>
    <row r="154" spans="1:19">
      <c r="A154" s="21" t="n">
        <v>151</v>
      </c>
      <c r="B154" s="106" t="s">
        <v>503</v>
      </c>
      <c r="C154" s="106"/>
      <c r="D154" s="21" t="s">
        <v>504</v>
      </c>
      <c r="E154" s="21" t="s">
        <v>33</v>
      </c>
      <c r="F154" s="21" t="s">
        <v>25</v>
      </c>
      <c r="G154" s="21" t="s">
        <v>231</v>
      </c>
      <c r="H154" s="22" t="s">
        <v>505</v>
      </c>
      <c r="I154" s="22" t="s">
        <v>28</v>
      </c>
      <c r="J154" s="25" t="s">
        <v>262</v>
      </c>
      <c r="K154" s="23" t="s">
        <v>40</v>
      </c>
      <c r="L154" s="23" t="s">
        <v>112</v>
      </c>
      <c r="M154" s="24"/>
      <c r="N154" s="24"/>
      <c r="O154" s="24"/>
      <c r="P154" s="25"/>
      <c r="Q154" s="25"/>
      <c r="R154" s="56"/>
      <c r="S154" s="56"/>
    </row>
    <row r="155" spans="1:19">
      <c r="A155" s="21" t="n">
        <v>152</v>
      </c>
      <c r="B155" s="106" t="s">
        <v>506</v>
      </c>
      <c r="C155" s="106"/>
      <c r="D155" s="21" t="s">
        <v>507</v>
      </c>
      <c r="E155" s="21" t="s">
        <v>24</v>
      </c>
      <c r="F155" s="21" t="s">
        <v>25</v>
      </c>
      <c r="G155" s="21" t="s">
        <v>369</v>
      </c>
      <c r="H155" s="23" t="s">
        <v>508</v>
      </c>
      <c r="I155" s="27" t="s">
        <v>96</v>
      </c>
      <c r="J155" s="22" t="s">
        <v>508</v>
      </c>
      <c r="K155" s="23" t="s">
        <v>40</v>
      </c>
      <c r="L155" s="23" t="s">
        <v>158</v>
      </c>
      <c r="M155" s="24"/>
      <c r="N155" s="24"/>
      <c r="O155" s="24"/>
      <c r="P155" s="25"/>
      <c r="Q155" s="25"/>
      <c r="R155" s="56"/>
      <c r="S155" s="56"/>
    </row>
    <row r="156" spans="1:19">
      <c r="A156" s="21" t="n">
        <v>153</v>
      </c>
      <c r="B156" s="106" t="s">
        <v>509</v>
      </c>
      <c r="C156" s="106"/>
      <c r="D156" s="21" t="s">
        <v>510</v>
      </c>
      <c r="E156" s="21" t="s">
        <v>33</v>
      </c>
      <c r="F156" s="21" t="s">
        <v>25</v>
      </c>
      <c r="G156" s="21" t="s">
        <v>369</v>
      </c>
      <c r="H156" s="23" t="s">
        <v>508</v>
      </c>
      <c r="I156" s="27" t="s">
        <v>96</v>
      </c>
      <c r="J156" s="22" t="s">
        <v>508</v>
      </c>
      <c r="K156" s="23" t="s">
        <v>181</v>
      </c>
      <c r="L156" s="23" t="s">
        <v>222</v>
      </c>
      <c r="M156" s="24"/>
      <c r="N156" s="24"/>
      <c r="O156" s="24"/>
      <c r="P156" s="25"/>
      <c r="Q156" s="25"/>
      <c r="R156" s="56"/>
      <c r="S156" s="56"/>
    </row>
    <row r="157" spans="1:19">
      <c r="A157" s="21" t="n">
        <v>154</v>
      </c>
      <c r="B157" s="106" t="s">
        <v>511</v>
      </c>
      <c r="C157" s="106"/>
      <c r="D157" s="21" t="s">
        <v>512</v>
      </c>
      <c r="E157" s="21" t="s">
        <v>24</v>
      </c>
      <c r="F157" s="21" t="s">
        <v>25</v>
      </c>
      <c r="G157" s="21" t="s">
        <v>369</v>
      </c>
      <c r="H157" s="22" t="s">
        <v>213</v>
      </c>
      <c r="I157" s="22" t="s">
        <v>132</v>
      </c>
      <c r="J157" s="22" t="s">
        <v>213</v>
      </c>
      <c r="K157" s="23" t="s">
        <v>214</v>
      </c>
      <c r="L157" s="23" t="s">
        <v>134</v>
      </c>
      <c r="M157" s="24"/>
      <c r="N157" s="24"/>
      <c r="O157" s="24"/>
      <c r="P157" s="25"/>
      <c r="Q157" s="25"/>
      <c r="R157" s="56"/>
      <c r="S157" s="56"/>
    </row>
    <row r="158" spans="1:19">
      <c r="A158" s="21" t="n">
        <v>155</v>
      </c>
      <c r="B158" s="106" t="s">
        <v>513</v>
      </c>
      <c r="C158" s="106"/>
      <c r="D158" s="21" t="s">
        <v>514</v>
      </c>
      <c r="E158" s="21" t="s">
        <v>24</v>
      </c>
      <c r="F158" s="21" t="s">
        <v>25</v>
      </c>
      <c r="G158" s="21" t="s">
        <v>369</v>
      </c>
      <c r="H158" s="22" t="s">
        <v>213</v>
      </c>
      <c r="I158" s="22" t="s">
        <v>132</v>
      </c>
      <c r="J158" s="22" t="s">
        <v>213</v>
      </c>
      <c r="K158" s="23" t="s">
        <v>214</v>
      </c>
      <c r="L158" s="23" t="s">
        <v>134</v>
      </c>
      <c r="M158" s="24"/>
      <c r="N158" s="24"/>
      <c r="O158" s="24"/>
      <c r="P158" s="25"/>
      <c r="Q158" s="25"/>
      <c r="R158" s="56"/>
      <c r="S158" s="56"/>
    </row>
    <row r="159" spans="1:19">
      <c r="A159" s="21" t="n">
        <v>156</v>
      </c>
      <c r="B159" s="106" t="s">
        <v>515</v>
      </c>
      <c r="C159" s="106"/>
      <c r="D159" s="21" t="s">
        <v>516</v>
      </c>
      <c r="E159" s="21" t="s">
        <v>33</v>
      </c>
      <c r="F159" s="21" t="s">
        <v>25</v>
      </c>
      <c r="G159" s="21" t="s">
        <v>231</v>
      </c>
      <c r="H159" s="23" t="s">
        <v>156</v>
      </c>
      <c r="I159" s="27" t="s">
        <v>96</v>
      </c>
      <c r="J159" s="22" t="s">
        <v>156</v>
      </c>
      <c r="K159" s="23" t="s">
        <v>40</v>
      </c>
      <c r="L159" s="23" t="s">
        <v>222</v>
      </c>
      <c r="M159" s="24"/>
      <c r="N159" s="24"/>
      <c r="O159" s="24"/>
      <c r="P159" s="25"/>
      <c r="Q159" s="25"/>
      <c r="R159" s="56"/>
      <c r="S159" s="56"/>
    </row>
    <row r="160" spans="1:19">
      <c r="A160" s="21" t="n">
        <v>157</v>
      </c>
      <c r="B160" s="106" t="s">
        <v>517</v>
      </c>
      <c r="C160" s="106"/>
      <c r="D160" s="21" t="s">
        <v>518</v>
      </c>
      <c r="E160" s="21" t="s">
        <v>24</v>
      </c>
      <c r="F160" s="21" t="s">
        <v>25</v>
      </c>
      <c r="G160" s="21" t="s">
        <v>231</v>
      </c>
      <c r="H160" s="22" t="s">
        <v>519</v>
      </c>
      <c r="I160" s="22" t="s">
        <v>28</v>
      </c>
      <c r="J160" s="25" t="s">
        <v>262</v>
      </c>
      <c r="K160" s="23" t="s">
        <v>29</v>
      </c>
      <c r="L160" s="23" t="s">
        <v>520</v>
      </c>
      <c r="M160" s="24"/>
      <c r="N160" s="24"/>
      <c r="O160" s="24"/>
      <c r="P160" s="25"/>
      <c r="Q160" s="25"/>
      <c r="R160" s="56"/>
      <c r="S160" s="56"/>
    </row>
    <row r="161" spans="1:19">
      <c r="A161" s="21" t="n">
        <v>158</v>
      </c>
      <c r="B161" s="106" t="s">
        <v>521</v>
      </c>
      <c r="C161" s="106"/>
      <c r="D161" s="21" t="s">
        <v>522</v>
      </c>
      <c r="E161" s="21" t="s">
        <v>24</v>
      </c>
      <c r="F161" s="21" t="s">
        <v>25</v>
      </c>
      <c r="G161" s="21" t="s">
        <v>231</v>
      </c>
      <c r="H161" s="22" t="s">
        <v>502</v>
      </c>
      <c r="I161" s="22" t="s">
        <v>28</v>
      </c>
      <c r="J161" s="25" t="s">
        <v>262</v>
      </c>
      <c r="K161" s="23" t="s">
        <v>40</v>
      </c>
      <c r="L161" s="23" t="s">
        <v>523</v>
      </c>
      <c r="M161" s="24"/>
      <c r="N161" s="24"/>
      <c r="O161" s="24"/>
      <c r="P161" s="25"/>
      <c r="Q161" s="25"/>
      <c r="R161" s="56"/>
      <c r="S161" s="56"/>
    </row>
    <row r="162" spans="1:19">
      <c r="A162" s="21" t="n">
        <v>159</v>
      </c>
      <c r="B162" s="106" t="s">
        <v>524</v>
      </c>
      <c r="C162" s="106"/>
      <c r="D162" s="21" t="s">
        <v>525</v>
      </c>
      <c r="E162" s="21" t="s">
        <v>24</v>
      </c>
      <c r="F162" s="21" t="s">
        <v>25</v>
      </c>
      <c r="G162" s="21" t="s">
        <v>231</v>
      </c>
      <c r="H162" s="22" t="s">
        <v>296</v>
      </c>
      <c r="I162" s="22" t="s">
        <v>28</v>
      </c>
      <c r="J162" s="25" t="s">
        <v>262</v>
      </c>
      <c r="K162" s="23" t="s">
        <v>40</v>
      </c>
      <c r="L162" s="23" t="s">
        <v>103</v>
      </c>
      <c r="M162" s="24"/>
      <c r="N162" s="24"/>
      <c r="O162" s="24"/>
      <c r="P162" s="25"/>
      <c r="Q162" s="25"/>
      <c r="R162" s="56"/>
      <c r="S162" s="56"/>
    </row>
    <row r="163" spans="1:19">
      <c r="A163" s="21" t="n">
        <v>160</v>
      </c>
      <c r="B163" s="106" t="s">
        <v>526</v>
      </c>
      <c r="C163" s="106"/>
      <c r="D163" s="21" t="s">
        <v>527</v>
      </c>
      <c r="E163" s="21" t="s">
        <v>33</v>
      </c>
      <c r="F163" s="21" t="s">
        <v>25</v>
      </c>
      <c r="G163" s="21" t="s">
        <v>369</v>
      </c>
      <c r="H163" s="23" t="s">
        <v>528</v>
      </c>
      <c r="I163" s="27" t="s">
        <v>96</v>
      </c>
      <c r="J163" s="22" t="s">
        <v>528</v>
      </c>
      <c r="K163" s="23" t="s">
        <v>181</v>
      </c>
      <c r="L163" s="23" t="s">
        <v>168</v>
      </c>
      <c r="M163" s="24"/>
      <c r="N163" s="24"/>
      <c r="O163" s="24"/>
      <c r="P163" s="25"/>
      <c r="Q163" s="25"/>
      <c r="R163" s="56"/>
      <c r="S163" s="56"/>
    </row>
    <row r="164" spans="1:19">
      <c r="A164" s="21" t="n">
        <v>161</v>
      </c>
      <c r="B164" s="106" t="s">
        <v>529</v>
      </c>
      <c r="C164" s="106"/>
      <c r="D164" s="21" t="s">
        <v>530</v>
      </c>
      <c r="E164" s="21" t="s">
        <v>24</v>
      </c>
      <c r="F164" s="21" t="s">
        <v>25</v>
      </c>
      <c r="G164" s="21" t="s">
        <v>231</v>
      </c>
      <c r="H164" s="22" t="s">
        <v>502</v>
      </c>
      <c r="I164" s="22" t="s">
        <v>28</v>
      </c>
      <c r="J164" s="25" t="s">
        <v>262</v>
      </c>
      <c r="K164" s="23" t="s">
        <v>40</v>
      </c>
      <c r="L164" s="23" t="s">
        <v>531</v>
      </c>
      <c r="M164" s="24"/>
      <c r="N164" s="24"/>
      <c r="O164" s="24"/>
      <c r="P164" s="25"/>
      <c r="Q164" s="25"/>
      <c r="R164" s="56"/>
      <c r="S164" s="56"/>
    </row>
    <row r="165" spans="1:19">
      <c r="A165" s="21" t="n">
        <v>162</v>
      </c>
      <c r="B165" s="106" t="s">
        <v>532</v>
      </c>
      <c r="C165" s="106"/>
      <c r="D165" s="21" t="s">
        <v>533</v>
      </c>
      <c r="E165" s="21" t="s">
        <v>24</v>
      </c>
      <c r="F165" s="21" t="s">
        <v>25</v>
      </c>
      <c r="G165" s="21" t="s">
        <v>231</v>
      </c>
      <c r="H165" s="22" t="s">
        <v>392</v>
      </c>
      <c r="I165" s="22" t="s">
        <v>28</v>
      </c>
      <c r="J165" s="25" t="s">
        <v>262</v>
      </c>
      <c r="K165" s="23" t="s">
        <v>40</v>
      </c>
      <c r="L165" s="23" t="s">
        <v>210</v>
      </c>
      <c r="M165" s="24"/>
      <c r="N165" s="24"/>
      <c r="O165" s="24"/>
      <c r="P165" s="25"/>
      <c r="Q165" s="25"/>
      <c r="R165" s="56"/>
      <c r="S165" s="56"/>
    </row>
    <row r="166" spans="1:19">
      <c r="A166" s="21" t="n">
        <v>163</v>
      </c>
      <c r="B166" s="106" t="s">
        <v>534</v>
      </c>
      <c r="C166" s="106"/>
      <c r="D166" s="21" t="s">
        <v>535</v>
      </c>
      <c r="E166" s="21" t="s">
        <v>33</v>
      </c>
      <c r="F166" s="21" t="s">
        <v>25</v>
      </c>
      <c r="G166" s="21" t="s">
        <v>369</v>
      </c>
      <c r="H166" s="22" t="s">
        <v>536</v>
      </c>
      <c r="I166" s="22" t="s">
        <v>28</v>
      </c>
      <c r="J166" s="25" t="s">
        <v>262</v>
      </c>
      <c r="K166" s="23" t="s">
        <v>40</v>
      </c>
      <c r="L166" s="23" t="s">
        <v>245</v>
      </c>
      <c r="M166" s="24"/>
      <c r="N166" s="24"/>
      <c r="O166" s="24"/>
      <c r="P166" s="25"/>
      <c r="Q166" s="25"/>
      <c r="R166" s="56"/>
      <c r="S166" s="56"/>
    </row>
    <row r="167" spans="1:19">
      <c r="A167" s="21" t="n">
        <v>164</v>
      </c>
      <c r="B167" s="106" t="s">
        <v>537</v>
      </c>
      <c r="C167" s="106"/>
      <c r="D167" s="21" t="s">
        <v>538</v>
      </c>
      <c r="E167" s="21" t="s">
        <v>24</v>
      </c>
      <c r="F167" s="21" t="s">
        <v>25</v>
      </c>
      <c r="G167" s="21" t="s">
        <v>369</v>
      </c>
      <c r="H167" s="23" t="s">
        <v>528</v>
      </c>
      <c r="I167" s="27" t="s">
        <v>96</v>
      </c>
      <c r="J167" s="22" t="s">
        <v>528</v>
      </c>
      <c r="K167" s="23" t="s">
        <v>181</v>
      </c>
      <c r="L167" s="23" t="s">
        <v>168</v>
      </c>
      <c r="M167" s="24"/>
      <c r="N167" s="24"/>
      <c r="O167" s="24"/>
      <c r="P167" s="25"/>
      <c r="Q167" s="25"/>
      <c r="R167" s="56"/>
      <c r="S167" s="56"/>
    </row>
    <row r="168" spans="1:19">
      <c r="A168" s="21" t="n">
        <v>165</v>
      </c>
      <c r="B168" s="106" t="s">
        <v>539</v>
      </c>
      <c r="C168" s="106"/>
      <c r="D168" s="21" t="s">
        <v>540</v>
      </c>
      <c r="E168" s="21" t="s">
        <v>24</v>
      </c>
      <c r="F168" s="21" t="s">
        <v>25</v>
      </c>
      <c r="G168" s="21" t="s">
        <v>369</v>
      </c>
      <c r="H168" s="23" t="s">
        <v>528</v>
      </c>
      <c r="I168" s="27" t="s">
        <v>96</v>
      </c>
      <c r="J168" s="22" t="s">
        <v>528</v>
      </c>
      <c r="K168" s="23" t="s">
        <v>40</v>
      </c>
      <c r="L168" s="23" t="s">
        <v>325</v>
      </c>
      <c r="M168" s="24"/>
      <c r="N168" s="24"/>
      <c r="O168" s="24"/>
      <c r="P168" s="25"/>
      <c r="Q168" s="25"/>
      <c r="R168" s="56"/>
      <c r="S168" s="56"/>
    </row>
    <row r="169" spans="1:19">
      <c r="A169" s="21" t="n">
        <v>166</v>
      </c>
      <c r="B169" s="106" t="s">
        <v>541</v>
      </c>
      <c r="C169" s="106"/>
      <c r="D169" s="21" t="s">
        <v>542</v>
      </c>
      <c r="E169" s="21" t="s">
        <v>24</v>
      </c>
      <c r="F169" s="21" t="s">
        <v>25</v>
      </c>
      <c r="G169" s="21" t="s">
        <v>231</v>
      </c>
      <c r="H169" s="23" t="s">
        <v>156</v>
      </c>
      <c r="I169" s="27" t="s">
        <v>96</v>
      </c>
      <c r="J169" s="22" t="s">
        <v>156</v>
      </c>
      <c r="K169" s="23" t="s">
        <v>181</v>
      </c>
      <c r="L169" s="23" t="s">
        <v>158</v>
      </c>
      <c r="M169" s="24"/>
      <c r="N169" s="24"/>
      <c r="O169" s="24"/>
      <c r="P169" s="25"/>
      <c r="Q169" s="25"/>
      <c r="R169" s="56"/>
      <c r="S169" s="56"/>
    </row>
    <row r="170" spans="1:19">
      <c r="A170" s="21" t="n">
        <v>167</v>
      </c>
      <c r="B170" s="106" t="s">
        <v>543</v>
      </c>
      <c r="C170" s="106"/>
      <c r="D170" s="21" t="s">
        <v>544</v>
      </c>
      <c r="E170" s="21" t="s">
        <v>33</v>
      </c>
      <c r="F170" s="21" t="s">
        <v>25</v>
      </c>
      <c r="G170" s="21" t="s">
        <v>369</v>
      </c>
      <c r="H170" s="23" t="s">
        <v>528</v>
      </c>
      <c r="I170" s="27" t="s">
        <v>96</v>
      </c>
      <c r="J170" s="22" t="s">
        <v>528</v>
      </c>
      <c r="K170" s="23" t="s">
        <v>181</v>
      </c>
      <c r="L170" s="23" t="s">
        <v>168</v>
      </c>
      <c r="M170" s="24"/>
      <c r="N170" s="24"/>
      <c r="O170" s="24"/>
      <c r="P170" s="25"/>
      <c r="Q170" s="25"/>
      <c r="R170" s="56"/>
      <c r="S170" s="56"/>
    </row>
    <row r="171" spans="1:19">
      <c r="A171" s="21" t="n">
        <v>168</v>
      </c>
      <c r="B171" s="106" t="s">
        <v>545</v>
      </c>
      <c r="C171" s="106"/>
      <c r="D171" s="21" t="s">
        <v>546</v>
      </c>
      <c r="E171" s="21" t="s">
        <v>33</v>
      </c>
      <c r="F171" s="21" t="s">
        <v>25</v>
      </c>
      <c r="G171" s="21" t="s">
        <v>231</v>
      </c>
      <c r="H171" s="22" t="s">
        <v>267</v>
      </c>
      <c r="I171" s="22" t="s">
        <v>28</v>
      </c>
      <c r="J171" s="25" t="s">
        <v>262</v>
      </c>
      <c r="K171" s="23" t="s">
        <v>40</v>
      </c>
      <c r="L171" s="23" t="s">
        <v>268</v>
      </c>
      <c r="M171" s="24"/>
      <c r="N171" s="24"/>
      <c r="O171" s="24"/>
      <c r="P171" s="25"/>
      <c r="Q171" s="25"/>
      <c r="R171" s="56"/>
      <c r="S171" s="56"/>
    </row>
    <row r="172" spans="1:19">
      <c r="A172" s="21" t="n">
        <v>169</v>
      </c>
      <c r="B172" s="106" t="s">
        <v>547</v>
      </c>
      <c r="C172" s="106"/>
      <c r="D172" s="21" t="s">
        <v>548</v>
      </c>
      <c r="E172" s="21" t="s">
        <v>24</v>
      </c>
      <c r="F172" s="21" t="s">
        <v>25</v>
      </c>
      <c r="G172" s="21" t="s">
        <v>231</v>
      </c>
      <c r="H172" s="23" t="s">
        <v>156</v>
      </c>
      <c r="I172" s="27" t="s">
        <v>96</v>
      </c>
      <c r="J172" s="22" t="s">
        <v>156</v>
      </c>
      <c r="K172" s="23" t="s">
        <v>40</v>
      </c>
      <c r="L172" s="23" t="s">
        <v>549</v>
      </c>
      <c r="M172" s="24"/>
      <c r="N172" s="24"/>
      <c r="O172" s="24"/>
      <c r="P172" s="25"/>
      <c r="Q172" s="25"/>
      <c r="R172" s="56"/>
      <c r="S172" s="56"/>
    </row>
    <row r="173" spans="1:19">
      <c r="A173" s="21" t="n">
        <v>170</v>
      </c>
      <c r="B173" s="106" t="s">
        <v>550</v>
      </c>
      <c r="C173" s="106"/>
      <c r="D173" s="21" t="s">
        <v>551</v>
      </c>
      <c r="E173" s="21" t="s">
        <v>24</v>
      </c>
      <c r="F173" s="21" t="s">
        <v>25</v>
      </c>
      <c r="G173" s="21" t="s">
        <v>231</v>
      </c>
      <c r="H173" s="23" t="s">
        <v>156</v>
      </c>
      <c r="I173" s="27" t="s">
        <v>96</v>
      </c>
      <c r="J173" s="22" t="s">
        <v>156</v>
      </c>
      <c r="K173" s="23" t="s">
        <v>181</v>
      </c>
      <c r="L173" s="23" t="s">
        <v>331</v>
      </c>
      <c r="M173" s="24"/>
      <c r="N173" s="24"/>
      <c r="O173" s="24"/>
      <c r="P173" s="25"/>
      <c r="Q173" s="25"/>
      <c r="R173" s="56"/>
      <c r="S173" s="56"/>
    </row>
    <row r="174" spans="1:19">
      <c r="A174" s="21" t="n">
        <v>171</v>
      </c>
      <c r="B174" s="106" t="s">
        <v>552</v>
      </c>
      <c r="C174" s="106"/>
      <c r="D174" s="21" t="s">
        <v>553</v>
      </c>
      <c r="E174" s="21" t="s">
        <v>24</v>
      </c>
      <c r="F174" s="21" t="s">
        <v>25</v>
      </c>
      <c r="G174" s="21" t="s">
        <v>231</v>
      </c>
      <c r="H174" s="23" t="s">
        <v>156</v>
      </c>
      <c r="I174" s="27" t="s">
        <v>96</v>
      </c>
      <c r="J174" s="22" t="s">
        <v>156</v>
      </c>
      <c r="K174" s="28" t="s">
        <v>274</v>
      </c>
      <c r="L174" s="23" t="s">
        <v>382</v>
      </c>
      <c r="M174" s="24"/>
      <c r="N174" s="24"/>
      <c r="O174" s="24"/>
      <c r="P174" s="25"/>
      <c r="Q174" s="25"/>
      <c r="R174" s="56"/>
      <c r="S174" s="56"/>
    </row>
    <row r="175" spans="1:19">
      <c r="A175" s="21" t="n">
        <v>172</v>
      </c>
      <c r="B175" s="106" t="s">
        <v>554</v>
      </c>
      <c r="C175" s="106"/>
      <c r="D175" s="21" t="s">
        <v>555</v>
      </c>
      <c r="E175" s="21" t="s">
        <v>24</v>
      </c>
      <c r="F175" s="21" t="s">
        <v>25</v>
      </c>
      <c r="G175" s="21" t="s">
        <v>231</v>
      </c>
      <c r="H175" s="23" t="s">
        <v>156</v>
      </c>
      <c r="I175" s="27" t="s">
        <v>96</v>
      </c>
      <c r="J175" s="22" t="s">
        <v>156</v>
      </c>
      <c r="K175" s="23" t="s">
        <v>161</v>
      </c>
      <c r="L175" s="23" t="s">
        <v>331</v>
      </c>
      <c r="M175" s="24"/>
      <c r="N175" s="24"/>
      <c r="O175" s="24"/>
      <c r="P175" s="25"/>
      <c r="Q175" s="25"/>
      <c r="R175" s="56"/>
      <c r="S175" s="56"/>
    </row>
    <row r="176" spans="1:19">
      <c r="A176" s="21" t="n">
        <v>173</v>
      </c>
      <c r="B176" s="106" t="s">
        <v>556</v>
      </c>
      <c r="C176" s="106"/>
      <c r="D176" s="21" t="s">
        <v>557</v>
      </c>
      <c r="E176" s="21" t="s">
        <v>24</v>
      </c>
      <c r="F176" s="21" t="s">
        <v>25</v>
      </c>
      <c r="G176" s="21" t="s">
        <v>369</v>
      </c>
      <c r="H176" s="22" t="s">
        <v>243</v>
      </c>
      <c r="I176" s="22" t="s">
        <v>242</v>
      </c>
      <c r="J176" s="22" t="s">
        <v>243</v>
      </c>
      <c r="K176" s="23" t="s">
        <v>244</v>
      </c>
      <c r="L176" s="23" t="s">
        <v>77</v>
      </c>
      <c r="M176" s="24"/>
      <c r="N176" s="24"/>
      <c r="O176" s="24"/>
      <c r="P176" s="25"/>
      <c r="Q176" s="25"/>
      <c r="R176" s="56"/>
      <c r="S176" s="56"/>
    </row>
    <row r="177" spans="1:19">
      <c r="A177" s="21" t="n">
        <v>174</v>
      </c>
      <c r="B177" s="106" t="s">
        <v>558</v>
      </c>
      <c r="C177" s="106"/>
      <c r="D177" s="21" t="s">
        <v>559</v>
      </c>
      <c r="E177" s="21" t="s">
        <v>24</v>
      </c>
      <c r="F177" s="21" t="s">
        <v>25</v>
      </c>
      <c r="G177" s="21" t="s">
        <v>231</v>
      </c>
      <c r="H177" s="23" t="s">
        <v>156</v>
      </c>
      <c r="I177" s="27" t="s">
        <v>96</v>
      </c>
      <c r="J177" s="22" t="s">
        <v>156</v>
      </c>
      <c r="K177" s="23" t="s">
        <v>40</v>
      </c>
      <c r="L177" s="23" t="s">
        <v>158</v>
      </c>
      <c r="M177" s="24"/>
      <c r="N177" s="24"/>
      <c r="O177" s="24"/>
      <c r="P177" s="25"/>
      <c r="Q177" s="25"/>
      <c r="R177" s="56"/>
      <c r="S177" s="56"/>
    </row>
    <row r="178" spans="1:19">
      <c r="A178" s="21" t="n">
        <v>175</v>
      </c>
      <c r="B178" s="106" t="s">
        <v>560</v>
      </c>
      <c r="C178" s="106"/>
      <c r="D178" s="21" t="s">
        <v>561</v>
      </c>
      <c r="E178" s="21" t="s">
        <v>33</v>
      </c>
      <c r="F178" s="21" t="s">
        <v>25</v>
      </c>
      <c r="G178" s="21" t="s">
        <v>369</v>
      </c>
      <c r="H178" s="22" t="s">
        <v>464</v>
      </c>
      <c r="I178" s="27" t="s">
        <v>66</v>
      </c>
      <c r="J178" s="22" t="s">
        <v>464</v>
      </c>
      <c r="K178" s="23" t="s">
        <v>67</v>
      </c>
      <c r="L178" s="23" t="s">
        <v>68</v>
      </c>
      <c r="M178" s="24"/>
      <c r="N178" s="24"/>
      <c r="O178" s="24"/>
      <c r="P178" s="25"/>
      <c r="Q178" s="25"/>
      <c r="R178" s="56"/>
      <c r="S178" s="56"/>
    </row>
    <row r="179" spans="1:19">
      <c r="A179" s="21" t="n">
        <v>176</v>
      </c>
      <c r="B179" s="106" t="s">
        <v>562</v>
      </c>
      <c r="C179" s="106"/>
      <c r="D179" s="21" t="s">
        <v>563</v>
      </c>
      <c r="E179" s="21" t="s">
        <v>24</v>
      </c>
      <c r="F179" s="21" t="s">
        <v>25</v>
      </c>
      <c r="G179" s="21" t="s">
        <v>369</v>
      </c>
      <c r="H179" s="23" t="s">
        <v>564</v>
      </c>
      <c r="I179" s="22" t="s">
        <v>101</v>
      </c>
      <c r="J179" s="23" t="s">
        <v>564</v>
      </c>
      <c r="K179" s="28" t="s">
        <v>102</v>
      </c>
      <c r="L179" s="23" t="s">
        <v>103</v>
      </c>
      <c r="M179" s="24"/>
      <c r="N179" s="24"/>
      <c r="O179" s="24"/>
      <c r="P179" s="25"/>
      <c r="Q179" s="25"/>
      <c r="R179" s="56"/>
      <c r="S179" s="56"/>
    </row>
    <row r="180" spans="1:19">
      <c r="A180" s="21" t="n">
        <v>177</v>
      </c>
      <c r="B180" s="106" t="s">
        <v>565</v>
      </c>
      <c r="C180" s="106"/>
      <c r="D180" s="21" t="s">
        <v>566</v>
      </c>
      <c r="E180" s="21" t="s">
        <v>33</v>
      </c>
      <c r="F180" s="21" t="s">
        <v>25</v>
      </c>
      <c r="G180" s="21" t="s">
        <v>369</v>
      </c>
      <c r="H180" s="22" t="s">
        <v>464</v>
      </c>
      <c r="I180" s="27" t="s">
        <v>66</v>
      </c>
      <c r="J180" s="22" t="s">
        <v>464</v>
      </c>
      <c r="K180" s="23" t="s">
        <v>67</v>
      </c>
      <c r="L180" s="23" t="s">
        <v>68</v>
      </c>
      <c r="M180" s="24"/>
      <c r="N180" s="24"/>
      <c r="O180" s="24"/>
      <c r="P180" s="25"/>
      <c r="Q180" s="25"/>
      <c r="R180" s="56"/>
      <c r="S180" s="56"/>
    </row>
    <row r="181" spans="1:19">
      <c r="A181" s="21" t="n">
        <v>178</v>
      </c>
      <c r="B181" s="106" t="s">
        <v>567</v>
      </c>
      <c r="C181" s="106"/>
      <c r="D181" s="21" t="s">
        <v>568</v>
      </c>
      <c r="E181" s="21" t="s">
        <v>24</v>
      </c>
      <c r="F181" s="21" t="s">
        <v>25</v>
      </c>
      <c r="G181" s="21" t="s">
        <v>369</v>
      </c>
      <c r="H181" s="23" t="s">
        <v>564</v>
      </c>
      <c r="I181" s="22" t="s">
        <v>101</v>
      </c>
      <c r="J181" s="23" t="s">
        <v>564</v>
      </c>
      <c r="K181" s="28" t="s">
        <v>102</v>
      </c>
      <c r="L181" s="23" t="s">
        <v>103</v>
      </c>
      <c r="M181" s="24"/>
      <c r="N181" s="24"/>
      <c r="O181" s="24"/>
      <c r="P181" s="25"/>
      <c r="Q181" s="25"/>
      <c r="R181" s="56"/>
      <c r="S181" s="56"/>
    </row>
    <row r="182" spans="1:19">
      <c r="A182" s="21" t="n">
        <v>179</v>
      </c>
      <c r="B182" s="106" t="s">
        <v>569</v>
      </c>
      <c r="C182" s="106"/>
      <c r="D182" s="21" t="s">
        <v>570</v>
      </c>
      <c r="E182" s="21" t="s">
        <v>24</v>
      </c>
      <c r="F182" s="21" t="s">
        <v>25</v>
      </c>
      <c r="G182" s="21" t="s">
        <v>369</v>
      </c>
      <c r="H182" s="23" t="s">
        <v>564</v>
      </c>
      <c r="I182" s="22" t="s">
        <v>101</v>
      </c>
      <c r="J182" s="23" t="s">
        <v>564</v>
      </c>
      <c r="K182" s="28" t="s">
        <v>102</v>
      </c>
      <c r="L182" s="23" t="s">
        <v>103</v>
      </c>
      <c r="M182" s="24"/>
      <c r="N182" s="24"/>
      <c r="O182" s="24"/>
      <c r="P182" s="25"/>
      <c r="Q182" s="25"/>
      <c r="R182" s="56"/>
      <c r="S182" s="56"/>
    </row>
    <row r="183" spans="1:19">
      <c r="A183" s="21" t="n">
        <v>180</v>
      </c>
      <c r="B183" s="106" t="s">
        <v>571</v>
      </c>
      <c r="C183" s="106"/>
      <c r="D183" s="21" t="s">
        <v>572</v>
      </c>
      <c r="E183" s="21" t="s">
        <v>24</v>
      </c>
      <c r="F183" s="21" t="s">
        <v>25</v>
      </c>
      <c r="G183" s="21" t="s">
        <v>369</v>
      </c>
      <c r="H183" s="23" t="s">
        <v>564</v>
      </c>
      <c r="I183" s="22" t="s">
        <v>101</v>
      </c>
      <c r="J183" s="23" t="s">
        <v>564</v>
      </c>
      <c r="K183" s="28" t="s">
        <v>102</v>
      </c>
      <c r="L183" s="23" t="s">
        <v>103</v>
      </c>
      <c r="M183" s="24"/>
      <c r="N183" s="24"/>
      <c r="O183" s="24"/>
      <c r="P183" s="25"/>
      <c r="Q183" s="25"/>
      <c r="R183" s="56"/>
      <c r="S183" s="56"/>
    </row>
    <row r="184" spans="1:19">
      <c r="A184" s="21" t="n">
        <v>181</v>
      </c>
      <c r="B184" s="106" t="s">
        <v>573</v>
      </c>
      <c r="C184" s="106"/>
      <c r="D184" s="21" t="s">
        <v>574</v>
      </c>
      <c r="E184" s="21" t="s">
        <v>24</v>
      </c>
      <c r="F184" s="21" t="s">
        <v>25</v>
      </c>
      <c r="G184" s="21" t="s">
        <v>369</v>
      </c>
      <c r="H184" s="23" t="s">
        <v>564</v>
      </c>
      <c r="I184" s="22" t="s">
        <v>101</v>
      </c>
      <c r="J184" s="23" t="s">
        <v>564</v>
      </c>
      <c r="K184" s="28" t="s">
        <v>102</v>
      </c>
      <c r="L184" s="23" t="s">
        <v>103</v>
      </c>
      <c r="M184" s="24"/>
      <c r="N184" s="24"/>
      <c r="O184" s="24"/>
      <c r="P184" s="25"/>
      <c r="Q184" s="25"/>
      <c r="R184" s="56"/>
      <c r="S184" s="56"/>
    </row>
    <row r="185" spans="1:19">
      <c r="A185" s="21" t="n">
        <v>182</v>
      </c>
      <c r="B185" s="106" t="s">
        <v>575</v>
      </c>
      <c r="C185" s="106"/>
      <c r="D185" s="21" t="s">
        <v>576</v>
      </c>
      <c r="E185" s="21" t="s">
        <v>24</v>
      </c>
      <c r="F185" s="21" t="s">
        <v>25</v>
      </c>
      <c r="G185" s="21" t="s">
        <v>369</v>
      </c>
      <c r="H185" s="23" t="s">
        <v>528</v>
      </c>
      <c r="I185" s="27" t="s">
        <v>96</v>
      </c>
      <c r="J185" s="22" t="s">
        <v>528</v>
      </c>
      <c r="K185" s="23" t="s">
        <v>181</v>
      </c>
      <c r="L185" s="23" t="s">
        <v>68</v>
      </c>
      <c r="M185" s="24"/>
      <c r="N185" s="24"/>
      <c r="O185" s="24"/>
      <c r="P185" s="25"/>
      <c r="Q185" s="25"/>
      <c r="R185" s="56"/>
      <c r="S185" s="56"/>
    </row>
    <row r="186" spans="1:19">
      <c r="A186" s="21" t="n">
        <v>183</v>
      </c>
      <c r="B186" s="106" t="s">
        <v>577</v>
      </c>
      <c r="C186" s="106"/>
      <c r="D186" s="21" t="s">
        <v>578</v>
      </c>
      <c r="E186" s="21" t="s">
        <v>33</v>
      </c>
      <c r="F186" s="21" t="s">
        <v>25</v>
      </c>
      <c r="G186" s="21" t="s">
        <v>369</v>
      </c>
      <c r="H186" s="23" t="s">
        <v>528</v>
      </c>
      <c r="I186" s="27" t="s">
        <v>96</v>
      </c>
      <c r="J186" s="22" t="s">
        <v>528</v>
      </c>
      <c r="K186" s="23" t="s">
        <v>181</v>
      </c>
      <c r="L186" s="23" t="s">
        <v>222</v>
      </c>
      <c r="M186" s="24"/>
      <c r="N186" s="24"/>
      <c r="O186" s="24"/>
      <c r="P186" s="25"/>
      <c r="Q186" s="25"/>
      <c r="R186" s="56"/>
      <c r="S186" s="56"/>
    </row>
    <row r="187" spans="1:19">
      <c r="A187" s="21" t="n">
        <v>184</v>
      </c>
      <c r="B187" s="106" t="s">
        <v>579</v>
      </c>
      <c r="C187" s="106"/>
      <c r="D187" s="21" t="s">
        <v>580</v>
      </c>
      <c r="E187" s="21" t="s">
        <v>24</v>
      </c>
      <c r="F187" s="21" t="s">
        <v>25</v>
      </c>
      <c r="G187" s="21" t="s">
        <v>369</v>
      </c>
      <c r="H187" s="22" t="s">
        <v>142</v>
      </c>
      <c r="I187" s="22" t="s">
        <v>101</v>
      </c>
      <c r="J187" s="22" t="s">
        <v>142</v>
      </c>
      <c r="K187" s="23" t="s">
        <v>143</v>
      </c>
      <c r="L187" s="23" t="s">
        <v>103</v>
      </c>
      <c r="M187" s="24"/>
      <c r="N187" s="24"/>
      <c r="O187" s="24"/>
      <c r="P187" s="25"/>
      <c r="Q187" s="25"/>
      <c r="R187" s="56"/>
      <c r="S187" s="56"/>
    </row>
    <row r="188" spans="1:19">
      <c r="A188" s="21" t="n">
        <v>185</v>
      </c>
      <c r="B188" s="106" t="s">
        <v>581</v>
      </c>
      <c r="C188" s="106"/>
      <c r="D188" s="21" t="s">
        <v>582</v>
      </c>
      <c r="E188" s="21" t="s">
        <v>24</v>
      </c>
      <c r="F188" s="21" t="s">
        <v>25</v>
      </c>
      <c r="G188" s="21" t="s">
        <v>369</v>
      </c>
      <c r="H188" s="22" t="s">
        <v>583</v>
      </c>
      <c r="I188" s="22" t="s">
        <v>28</v>
      </c>
      <c r="J188" s="25" t="s">
        <v>347</v>
      </c>
      <c r="K188" s="23" t="s">
        <v>244</v>
      </c>
      <c r="L188" s="23" t="s">
        <v>122</v>
      </c>
      <c r="M188" s="24"/>
      <c r="N188" s="24"/>
      <c r="O188" s="24"/>
      <c r="P188" s="25"/>
      <c r="Q188" s="25"/>
      <c r="R188" s="56"/>
      <c r="S188" s="56"/>
    </row>
    <row r="189" spans="1:19">
      <c r="A189" s="21" t="n">
        <v>186</v>
      </c>
      <c r="B189" s="106" t="s">
        <v>584</v>
      </c>
      <c r="C189" s="106"/>
      <c r="D189" s="21" t="s">
        <v>585</v>
      </c>
      <c r="E189" s="21" t="s">
        <v>33</v>
      </c>
      <c r="F189" s="21" t="s">
        <v>25</v>
      </c>
      <c r="G189" s="21" t="s">
        <v>369</v>
      </c>
      <c r="H189" s="22" t="s">
        <v>392</v>
      </c>
      <c r="I189" s="22" t="s">
        <v>28</v>
      </c>
      <c r="J189" s="25" t="s">
        <v>262</v>
      </c>
      <c r="K189" s="23" t="s">
        <v>40</v>
      </c>
      <c r="L189" s="23" t="s">
        <v>275</v>
      </c>
      <c r="M189" s="24"/>
      <c r="N189" s="24"/>
      <c r="O189" s="24"/>
      <c r="P189" s="25"/>
      <c r="Q189" s="25"/>
      <c r="R189" s="56"/>
      <c r="S189" s="56"/>
    </row>
    <row r="190" spans="1:19">
      <c r="A190" s="21" t="n">
        <v>187</v>
      </c>
      <c r="B190" s="106" t="s">
        <v>586</v>
      </c>
      <c r="C190" s="106"/>
      <c r="D190" s="21" t="s">
        <v>587</v>
      </c>
      <c r="E190" s="21" t="s">
        <v>24</v>
      </c>
      <c r="F190" s="21" t="s">
        <v>25</v>
      </c>
      <c r="G190" s="21" t="s">
        <v>369</v>
      </c>
      <c r="H190" s="22" t="s">
        <v>457</v>
      </c>
      <c r="I190" s="27" t="s">
        <v>201</v>
      </c>
      <c r="J190" s="22" t="s">
        <v>457</v>
      </c>
      <c r="K190" s="23" t="s">
        <v>588</v>
      </c>
      <c r="L190" s="23" t="s">
        <v>406</v>
      </c>
      <c r="M190" s="24"/>
      <c r="N190" s="24"/>
      <c r="O190" s="24"/>
      <c r="P190" s="25"/>
      <c r="Q190" s="25"/>
      <c r="R190" s="56"/>
      <c r="S190" s="56"/>
    </row>
    <row r="191" spans="1:19">
      <c r="A191" s="21" t="n">
        <v>188</v>
      </c>
      <c r="B191" s="106" t="s">
        <v>589</v>
      </c>
      <c r="C191" s="106"/>
      <c r="D191" s="21" t="s">
        <v>590</v>
      </c>
      <c r="E191" s="21" t="s">
        <v>33</v>
      </c>
      <c r="F191" s="21" t="s">
        <v>25</v>
      </c>
      <c r="G191" s="21" t="s">
        <v>369</v>
      </c>
      <c r="H191" s="23" t="s">
        <v>528</v>
      </c>
      <c r="I191" s="27" t="s">
        <v>96</v>
      </c>
      <c r="J191" s="22" t="s">
        <v>528</v>
      </c>
      <c r="K191" s="23" t="s">
        <v>40</v>
      </c>
      <c r="L191" s="23" t="s">
        <v>168</v>
      </c>
      <c r="M191" s="24"/>
      <c r="N191" s="24"/>
      <c r="O191" s="24"/>
      <c r="P191" s="25"/>
      <c r="Q191" s="25"/>
      <c r="R191" s="56"/>
      <c r="S191" s="56"/>
    </row>
    <row r="192" spans="1:19">
      <c r="A192" s="21" t="n">
        <v>189</v>
      </c>
      <c r="B192" s="106" t="s">
        <v>591</v>
      </c>
      <c r="C192" s="106"/>
      <c r="D192" s="21" t="s">
        <v>592</v>
      </c>
      <c r="E192" s="21" t="s">
        <v>24</v>
      </c>
      <c r="F192" s="21" t="s">
        <v>25</v>
      </c>
      <c r="G192" s="21" t="s">
        <v>369</v>
      </c>
      <c r="H192" s="22" t="s">
        <v>593</v>
      </c>
      <c r="I192" s="22" t="s">
        <v>594</v>
      </c>
      <c r="J192" s="22" t="s">
        <v>593</v>
      </c>
      <c r="K192" s="28" t="s">
        <v>595</v>
      </c>
      <c r="L192" s="23" t="s">
        <v>87</v>
      </c>
      <c r="M192" s="24"/>
      <c r="N192" s="24"/>
      <c r="O192" s="24"/>
      <c r="P192" s="25"/>
      <c r="Q192" s="25"/>
      <c r="R192" s="56"/>
      <c r="S192" s="56"/>
    </row>
    <row r="193" spans="1:19">
      <c r="A193" s="21" t="n">
        <v>190</v>
      </c>
      <c r="B193" s="106" t="s">
        <v>596</v>
      </c>
      <c r="C193" s="106"/>
      <c r="D193" s="21" t="s">
        <v>597</v>
      </c>
      <c r="E193" s="21" t="s">
        <v>24</v>
      </c>
      <c r="F193" s="21" t="s">
        <v>25</v>
      </c>
      <c r="G193" s="21" t="s">
        <v>369</v>
      </c>
      <c r="H193" s="23" t="s">
        <v>528</v>
      </c>
      <c r="I193" s="27" t="s">
        <v>96</v>
      </c>
      <c r="J193" s="22" t="s">
        <v>528</v>
      </c>
      <c r="K193" s="23" t="s">
        <v>181</v>
      </c>
      <c r="L193" s="23" t="s">
        <v>97</v>
      </c>
      <c r="M193" s="24"/>
      <c r="N193" s="24"/>
      <c r="O193" s="24"/>
      <c r="P193" s="25"/>
      <c r="Q193" s="25"/>
      <c r="R193" s="56"/>
      <c r="S193" s="56"/>
    </row>
    <row r="194" spans="1:19">
      <c r="A194" s="21" t="n">
        <v>191</v>
      </c>
      <c r="B194" s="106" t="s">
        <v>598</v>
      </c>
      <c r="C194" s="106"/>
      <c r="D194" s="21" t="s">
        <v>599</v>
      </c>
      <c r="E194" s="21" t="s">
        <v>24</v>
      </c>
      <c r="F194" s="21" t="s">
        <v>25</v>
      </c>
      <c r="G194" s="21" t="s">
        <v>369</v>
      </c>
      <c r="H194" s="22" t="s">
        <v>392</v>
      </c>
      <c r="I194" s="22" t="s">
        <v>28</v>
      </c>
      <c r="J194" s="25" t="s">
        <v>600</v>
      </c>
      <c r="K194" s="23" t="s">
        <v>601</v>
      </c>
      <c r="L194" s="23" t="s">
        <v>41</v>
      </c>
      <c r="M194" s="24"/>
      <c r="N194" s="24"/>
      <c r="O194" s="24"/>
      <c r="P194" s="25"/>
      <c r="Q194" s="25"/>
      <c r="R194" s="56"/>
      <c r="S194" s="56"/>
    </row>
    <row r="195" spans="1:19">
      <c r="A195" s="21" t="n">
        <v>192</v>
      </c>
      <c r="B195" s="106" t="s">
        <v>602</v>
      </c>
      <c r="C195" s="106"/>
      <c r="D195" s="21" t="s">
        <v>603</v>
      </c>
      <c r="E195" s="21" t="s">
        <v>24</v>
      </c>
      <c r="F195" s="21" t="s">
        <v>25</v>
      </c>
      <c r="G195" s="21" t="s">
        <v>369</v>
      </c>
      <c r="H195" s="23" t="s">
        <v>528</v>
      </c>
      <c r="I195" s="27" t="s">
        <v>96</v>
      </c>
      <c r="J195" s="22" t="s">
        <v>528</v>
      </c>
      <c r="K195" s="23" t="s">
        <v>181</v>
      </c>
      <c r="L195" s="23" t="s">
        <v>275</v>
      </c>
      <c r="M195" s="24"/>
      <c r="N195" s="24"/>
      <c r="O195" s="24"/>
      <c r="P195" s="25"/>
      <c r="Q195" s="25"/>
      <c r="R195" s="56"/>
      <c r="S195" s="56"/>
    </row>
    <row r="196" spans="1:19">
      <c r="A196" s="21" t="n">
        <v>193</v>
      </c>
      <c r="B196" s="106" t="s">
        <v>604</v>
      </c>
      <c r="C196" s="106"/>
      <c r="D196" s="21" t="s">
        <v>605</v>
      </c>
      <c r="E196" s="21" t="s">
        <v>33</v>
      </c>
      <c r="F196" s="21" t="s">
        <v>25</v>
      </c>
      <c r="G196" s="21" t="s">
        <v>369</v>
      </c>
      <c r="H196" s="22" t="s">
        <v>409</v>
      </c>
      <c r="I196" s="22" t="s">
        <v>132</v>
      </c>
      <c r="J196" s="22" t="s">
        <v>409</v>
      </c>
      <c r="K196" s="23" t="s">
        <v>444</v>
      </c>
      <c r="L196" s="23" t="s">
        <v>606</v>
      </c>
      <c r="M196" s="24"/>
      <c r="N196" s="24"/>
      <c r="O196" s="24"/>
      <c r="P196" s="25"/>
      <c r="Q196" s="25"/>
      <c r="R196" s="56"/>
      <c r="S196" s="56"/>
    </row>
    <row r="197" spans="1:19">
      <c r="A197" s="21" t="n">
        <v>194</v>
      </c>
      <c r="B197" s="106" t="s">
        <v>607</v>
      </c>
      <c r="C197" s="106"/>
      <c r="D197" s="21" t="s">
        <v>608</v>
      </c>
      <c r="E197" s="21" t="s">
        <v>24</v>
      </c>
      <c r="F197" s="21" t="s">
        <v>25</v>
      </c>
      <c r="G197" s="21" t="s">
        <v>369</v>
      </c>
      <c r="H197" s="23" t="s">
        <v>508</v>
      </c>
      <c r="I197" s="27" t="s">
        <v>96</v>
      </c>
      <c r="J197" s="22" t="s">
        <v>508</v>
      </c>
      <c r="K197" s="23" t="s">
        <v>181</v>
      </c>
      <c r="L197" s="23" t="s">
        <v>168</v>
      </c>
      <c r="M197" s="24"/>
      <c r="N197" s="24"/>
      <c r="O197" s="24"/>
      <c r="P197" s="25"/>
      <c r="Q197" s="25"/>
      <c r="R197" s="56"/>
      <c r="S197" s="56"/>
    </row>
    <row r="198" spans="1:19">
      <c r="A198" s="21" t="n">
        <v>195</v>
      </c>
      <c r="B198" s="106" t="s">
        <v>609</v>
      </c>
      <c r="C198" s="106"/>
      <c r="D198" s="21" t="s">
        <v>610</v>
      </c>
      <c r="E198" s="21" t="s">
        <v>24</v>
      </c>
      <c r="F198" s="21" t="s">
        <v>25</v>
      </c>
      <c r="G198" s="21" t="s">
        <v>369</v>
      </c>
      <c r="H198" s="22" t="s">
        <v>593</v>
      </c>
      <c r="I198" s="22" t="s">
        <v>594</v>
      </c>
      <c r="J198" s="22" t="s">
        <v>593</v>
      </c>
      <c r="K198" s="28" t="s">
        <v>595</v>
      </c>
      <c r="L198" s="23" t="s">
        <v>87</v>
      </c>
      <c r="M198" s="24"/>
      <c r="N198" s="24"/>
      <c r="O198" s="24"/>
      <c r="P198" s="25"/>
      <c r="Q198" s="25"/>
      <c r="R198" s="56"/>
      <c r="S198" s="56"/>
    </row>
    <row r="199" spans="1:19">
      <c r="A199" s="21" t="n">
        <v>196</v>
      </c>
      <c r="B199" s="106" t="s">
        <v>611</v>
      </c>
      <c r="C199" s="106"/>
      <c r="D199" s="21" t="s">
        <v>612</v>
      </c>
      <c r="E199" s="21" t="s">
        <v>24</v>
      </c>
      <c r="F199" s="21" t="s">
        <v>25</v>
      </c>
      <c r="G199" s="21" t="s">
        <v>369</v>
      </c>
      <c r="H199" s="23" t="s">
        <v>528</v>
      </c>
      <c r="I199" s="27" t="s">
        <v>96</v>
      </c>
      <c r="J199" s="22" t="s">
        <v>528</v>
      </c>
      <c r="K199" s="23" t="s">
        <v>40</v>
      </c>
      <c r="L199" s="23" t="s">
        <v>162</v>
      </c>
      <c r="M199" s="24"/>
      <c r="N199" s="24"/>
      <c r="O199" s="24"/>
      <c r="P199" s="25"/>
      <c r="Q199" s="25"/>
      <c r="R199" s="56"/>
      <c r="S199" s="56"/>
    </row>
    <row r="200" spans="1:19">
      <c r="A200" s="21" t="n">
        <v>197</v>
      </c>
      <c r="B200" s="106" t="s">
        <v>613</v>
      </c>
      <c r="C200" s="106"/>
      <c r="D200" s="21" t="s">
        <v>614</v>
      </c>
      <c r="E200" s="21" t="s">
        <v>33</v>
      </c>
      <c r="F200" s="21" t="s">
        <v>25</v>
      </c>
      <c r="G200" s="21" t="s">
        <v>369</v>
      </c>
      <c r="H200" s="23" t="s">
        <v>508</v>
      </c>
      <c r="I200" s="27" t="s">
        <v>96</v>
      </c>
      <c r="J200" s="22" t="s">
        <v>508</v>
      </c>
      <c r="K200" s="23" t="s">
        <v>40</v>
      </c>
      <c r="L200" s="29" t="s">
        <v>615</v>
      </c>
      <c r="M200" s="24"/>
      <c r="N200" s="24"/>
      <c r="O200" s="24"/>
      <c r="P200" s="25"/>
      <c r="Q200" s="25"/>
      <c r="R200" s="56"/>
      <c r="S200" s="56"/>
    </row>
    <row r="201" spans="1:19">
      <c r="A201" s="21" t="n">
        <v>198</v>
      </c>
      <c r="B201" s="106" t="s">
        <v>616</v>
      </c>
      <c r="C201" s="106"/>
      <c r="D201" s="21" t="s">
        <v>617</v>
      </c>
      <c r="E201" s="21" t="s">
        <v>33</v>
      </c>
      <c r="F201" s="21" t="s">
        <v>25</v>
      </c>
      <c r="G201" s="21" t="s">
        <v>369</v>
      </c>
      <c r="H201" s="22" t="s">
        <v>409</v>
      </c>
      <c r="I201" s="22" t="s">
        <v>132</v>
      </c>
      <c r="J201" s="22" t="s">
        <v>409</v>
      </c>
      <c r="K201" s="23" t="s">
        <v>444</v>
      </c>
      <c r="L201" s="23" t="s">
        <v>173</v>
      </c>
      <c r="M201" s="24"/>
      <c r="N201" s="24"/>
      <c r="O201" s="24"/>
      <c r="P201" s="25"/>
      <c r="Q201" s="25"/>
      <c r="R201" s="56"/>
      <c r="S201" s="56"/>
    </row>
    <row r="202" spans="1:19">
      <c r="A202" s="21" t="n">
        <v>199</v>
      </c>
      <c r="B202" s="106" t="s">
        <v>618</v>
      </c>
      <c r="C202" s="106"/>
      <c r="D202" s="21" t="s">
        <v>619</v>
      </c>
      <c r="E202" s="21" t="s">
        <v>24</v>
      </c>
      <c r="F202" s="21" t="s">
        <v>25</v>
      </c>
      <c r="G202" s="21" t="s">
        <v>369</v>
      </c>
      <c r="H202" s="22" t="s">
        <v>583</v>
      </c>
      <c r="I202" s="22" t="s">
        <v>28</v>
      </c>
      <c r="J202" s="25" t="s">
        <v>347</v>
      </c>
      <c r="K202" s="23" t="s">
        <v>244</v>
      </c>
      <c r="L202" s="23" t="s">
        <v>122</v>
      </c>
      <c r="M202" s="24"/>
      <c r="N202" s="24"/>
      <c r="O202" s="24"/>
      <c r="P202" s="25"/>
      <c r="Q202" s="25"/>
      <c r="R202" s="56"/>
      <c r="S202" s="56"/>
    </row>
    <row r="203" spans="1:19">
      <c r="A203" s="21" t="n">
        <v>200</v>
      </c>
      <c r="B203" s="106" t="s">
        <v>620</v>
      </c>
      <c r="C203" s="106"/>
      <c r="D203" s="21" t="s">
        <v>621</v>
      </c>
      <c r="E203" s="21" t="s">
        <v>24</v>
      </c>
      <c r="F203" s="21" t="s">
        <v>25</v>
      </c>
      <c r="G203" s="21" t="s">
        <v>369</v>
      </c>
      <c r="H203" s="22" t="s">
        <v>457</v>
      </c>
      <c r="I203" s="27" t="s">
        <v>201</v>
      </c>
      <c r="J203" s="22" t="s">
        <v>457</v>
      </c>
      <c r="K203" s="23" t="s">
        <v>209</v>
      </c>
      <c r="L203" s="23" t="s">
        <v>622</v>
      </c>
      <c r="M203" s="24"/>
      <c r="N203" s="24"/>
      <c r="O203" s="24"/>
      <c r="P203" s="25"/>
      <c r="Q203" s="25"/>
      <c r="R203" s="56"/>
      <c r="S203" s="56"/>
    </row>
    <row r="204" spans="1:19">
      <c r="A204" s="21" t="n">
        <v>201</v>
      </c>
      <c r="B204" s="106" t="s">
        <v>623</v>
      </c>
      <c r="C204" s="106"/>
      <c r="D204" s="21" t="s">
        <v>624</v>
      </c>
      <c r="E204" s="21" t="s">
        <v>33</v>
      </c>
      <c r="F204" s="21" t="s">
        <v>25</v>
      </c>
      <c r="G204" s="21" t="s">
        <v>369</v>
      </c>
      <c r="H204" s="22" t="s">
        <v>464</v>
      </c>
      <c r="I204" s="27" t="s">
        <v>66</v>
      </c>
      <c r="J204" s="22" t="s">
        <v>464</v>
      </c>
      <c r="K204" s="23" t="s">
        <v>67</v>
      </c>
      <c r="L204" s="23" t="s">
        <v>68</v>
      </c>
      <c r="M204" s="24"/>
      <c r="N204" s="24"/>
      <c r="O204" s="24"/>
      <c r="P204" s="25"/>
      <c r="Q204" s="25"/>
      <c r="R204" s="56"/>
      <c r="S204" s="56"/>
    </row>
    <row r="205" spans="1:19">
      <c r="A205" s="21" t="n">
        <v>202</v>
      </c>
      <c r="B205" s="106" t="s">
        <v>625</v>
      </c>
      <c r="C205" s="106"/>
      <c r="D205" s="21" t="s">
        <v>626</v>
      </c>
      <c r="E205" s="21" t="s">
        <v>33</v>
      </c>
      <c r="F205" s="21" t="s">
        <v>25</v>
      </c>
      <c r="G205" s="21" t="s">
        <v>627</v>
      </c>
      <c r="H205" s="22" t="s">
        <v>628</v>
      </c>
      <c r="I205" s="22" t="s">
        <v>242</v>
      </c>
      <c r="J205" s="22" t="s">
        <v>628</v>
      </c>
      <c r="K205" s="23" t="s">
        <v>244</v>
      </c>
      <c r="L205" s="23" t="s">
        <v>304</v>
      </c>
      <c r="M205" s="24"/>
      <c r="N205" s="24"/>
      <c r="O205" s="24"/>
      <c r="P205" s="25"/>
      <c r="Q205" s="25"/>
      <c r="R205" s="56"/>
      <c r="S205" s="56"/>
    </row>
    <row r="206" spans="1:19">
      <c r="A206" s="21" t="n">
        <v>203</v>
      </c>
      <c r="B206" s="106" t="s">
        <v>629</v>
      </c>
      <c r="C206" s="106"/>
      <c r="D206" s="21" t="s">
        <v>630</v>
      </c>
      <c r="E206" s="21" t="s">
        <v>24</v>
      </c>
      <c r="F206" s="21" t="s">
        <v>25</v>
      </c>
      <c r="G206" s="21" t="s">
        <v>369</v>
      </c>
      <c r="H206" s="22" t="s">
        <v>631</v>
      </c>
      <c r="I206" s="27" t="s">
        <v>201</v>
      </c>
      <c r="J206" s="22" t="s">
        <v>631</v>
      </c>
      <c r="K206" s="23" t="s">
        <v>40</v>
      </c>
      <c r="L206" s="23" t="s">
        <v>632</v>
      </c>
      <c r="M206" s="24"/>
      <c r="N206" s="24"/>
      <c r="O206" s="24"/>
      <c r="P206" s="25"/>
      <c r="Q206" s="25"/>
      <c r="R206" s="56"/>
      <c r="S206" s="56"/>
    </row>
    <row r="207" spans="1:19">
      <c r="A207" s="21" t="n">
        <v>204</v>
      </c>
      <c r="B207" s="106" t="s">
        <v>633</v>
      </c>
      <c r="C207" s="106"/>
      <c r="D207" s="21" t="s">
        <v>634</v>
      </c>
      <c r="E207" s="21" t="s">
        <v>24</v>
      </c>
      <c r="F207" s="21" t="s">
        <v>25</v>
      </c>
      <c r="G207" s="21" t="s">
        <v>369</v>
      </c>
      <c r="H207" s="23" t="s">
        <v>291</v>
      </c>
      <c r="I207" s="27" t="s">
        <v>96</v>
      </c>
      <c r="J207" s="23" t="s">
        <v>291</v>
      </c>
      <c r="K207" s="23" t="s">
        <v>161</v>
      </c>
      <c r="L207" s="30" t="s">
        <v>197</v>
      </c>
      <c r="M207" s="24"/>
      <c r="N207" s="24"/>
      <c r="O207" s="24"/>
      <c r="P207" s="25"/>
      <c r="Q207" s="25"/>
      <c r="R207" s="56"/>
      <c r="S207" s="56"/>
    </row>
    <row r="208" spans="1:19">
      <c r="A208" s="21" t="n">
        <v>205</v>
      </c>
      <c r="B208" s="106" t="s">
        <v>635</v>
      </c>
      <c r="C208" s="106"/>
      <c r="D208" s="21" t="s">
        <v>636</v>
      </c>
      <c r="E208" s="21" t="s">
        <v>24</v>
      </c>
      <c r="F208" s="21" t="s">
        <v>25</v>
      </c>
      <c r="G208" s="21" t="s">
        <v>369</v>
      </c>
      <c r="H208" s="23" t="s">
        <v>291</v>
      </c>
      <c r="I208" s="27" t="s">
        <v>96</v>
      </c>
      <c r="J208" s="23" t="s">
        <v>291</v>
      </c>
      <c r="K208" s="23" t="s">
        <v>161</v>
      </c>
      <c r="L208" s="23" t="s">
        <v>382</v>
      </c>
      <c r="M208" s="24"/>
      <c r="N208" s="24"/>
      <c r="O208" s="24"/>
      <c r="P208" s="25"/>
      <c r="Q208" s="25"/>
      <c r="R208" s="56"/>
      <c r="S208" s="56"/>
    </row>
    <row r="209" spans="1:19">
      <c r="A209" s="21" t="n">
        <v>206</v>
      </c>
      <c r="B209" s="106" t="s">
        <v>637</v>
      </c>
      <c r="C209" s="106"/>
      <c r="D209" s="21" t="s">
        <v>638</v>
      </c>
      <c r="E209" s="21" t="s">
        <v>33</v>
      </c>
      <c r="F209" s="21" t="s">
        <v>25</v>
      </c>
      <c r="G209" s="21" t="s">
        <v>369</v>
      </c>
      <c r="H209" s="23" t="s">
        <v>291</v>
      </c>
      <c r="I209" s="27" t="s">
        <v>96</v>
      </c>
      <c r="J209" s="23" t="s">
        <v>291</v>
      </c>
      <c r="K209" s="23" t="s">
        <v>161</v>
      </c>
      <c r="L209" s="23" t="s">
        <v>225</v>
      </c>
      <c r="M209" s="24"/>
      <c r="N209" s="24"/>
      <c r="O209" s="24"/>
      <c r="P209" s="25"/>
      <c r="Q209" s="25"/>
      <c r="R209" s="56"/>
      <c r="S209" s="56"/>
    </row>
    <row r="210" spans="1:19">
      <c r="A210" s="21" t="n">
        <v>207</v>
      </c>
      <c r="B210" s="106" t="s">
        <v>639</v>
      </c>
      <c r="C210" s="106"/>
      <c r="D210" s="21" t="s">
        <v>640</v>
      </c>
      <c r="E210" s="21" t="s">
        <v>24</v>
      </c>
      <c r="F210" s="21" t="s">
        <v>25</v>
      </c>
      <c r="G210" s="21" t="s">
        <v>369</v>
      </c>
      <c r="H210" s="22" t="s">
        <v>631</v>
      </c>
      <c r="I210" s="27" t="s">
        <v>201</v>
      </c>
      <c r="J210" s="22" t="s">
        <v>631</v>
      </c>
      <c r="K210" s="23" t="s">
        <v>40</v>
      </c>
      <c r="L210" s="23" t="s">
        <v>622</v>
      </c>
      <c r="M210" s="24"/>
      <c r="N210" s="24"/>
      <c r="O210" s="24"/>
      <c r="P210" s="25"/>
      <c r="Q210" s="25"/>
      <c r="R210" s="56"/>
      <c r="S210" s="56"/>
    </row>
    <row r="211" spans="1:19">
      <c r="A211" s="21" t="n">
        <v>208</v>
      </c>
      <c r="B211" s="106" t="s">
        <v>641</v>
      </c>
      <c r="C211" s="106"/>
      <c r="D211" s="21" t="s">
        <v>642</v>
      </c>
      <c r="E211" s="21" t="s">
        <v>24</v>
      </c>
      <c r="F211" s="21" t="s">
        <v>25</v>
      </c>
      <c r="G211" s="21" t="s">
        <v>369</v>
      </c>
      <c r="H211" s="22" t="s">
        <v>631</v>
      </c>
      <c r="I211" s="27" t="s">
        <v>201</v>
      </c>
      <c r="J211" s="22" t="s">
        <v>631</v>
      </c>
      <c r="K211" s="23" t="s">
        <v>40</v>
      </c>
      <c r="L211" s="23" t="s">
        <v>210</v>
      </c>
      <c r="M211" s="24"/>
      <c r="N211" s="24"/>
      <c r="O211" s="24"/>
      <c r="P211" s="25"/>
      <c r="Q211" s="25"/>
      <c r="R211" s="56"/>
      <c r="S211" s="56"/>
    </row>
    <row r="212" spans="1:19">
      <c r="A212" s="21" t="n">
        <v>209</v>
      </c>
      <c r="B212" s="106" t="s">
        <v>643</v>
      </c>
      <c r="C212" s="106"/>
      <c r="D212" s="21" t="s">
        <v>644</v>
      </c>
      <c r="E212" s="21" t="s">
        <v>33</v>
      </c>
      <c r="F212" s="21" t="s">
        <v>25</v>
      </c>
      <c r="G212" s="21" t="s">
        <v>369</v>
      </c>
      <c r="H212" s="22" t="s">
        <v>467</v>
      </c>
      <c r="I212" s="22" t="s">
        <v>28</v>
      </c>
      <c r="J212" s="25" t="s">
        <v>262</v>
      </c>
      <c r="K212" s="28" t="s">
        <v>423</v>
      </c>
      <c r="L212" s="23" t="s">
        <v>458</v>
      </c>
      <c r="M212" s="24"/>
      <c r="N212" s="24"/>
      <c r="O212" s="24"/>
      <c r="P212" s="25"/>
      <c r="Q212" s="25"/>
      <c r="R212" s="56"/>
      <c r="S212" s="56"/>
    </row>
    <row r="213" spans="1:19">
      <c r="A213" s="21" t="n">
        <v>210</v>
      </c>
      <c r="B213" s="106" t="s">
        <v>645</v>
      </c>
      <c r="C213" s="106"/>
      <c r="D213" s="21" t="s">
        <v>646</v>
      </c>
      <c r="E213" s="21" t="s">
        <v>33</v>
      </c>
      <c r="F213" s="21" t="s">
        <v>25</v>
      </c>
      <c r="G213" s="21" t="s">
        <v>627</v>
      </c>
      <c r="H213" s="22" t="s">
        <v>647</v>
      </c>
      <c r="I213" s="22" t="s">
        <v>28</v>
      </c>
      <c r="J213" s="25" t="s">
        <v>262</v>
      </c>
      <c r="K213" s="23" t="s">
        <v>40</v>
      </c>
      <c r="L213" s="23" t="s">
        <v>648</v>
      </c>
      <c r="M213" s="24"/>
      <c r="N213" s="24"/>
      <c r="O213" s="24"/>
      <c r="P213" s="25"/>
      <c r="Q213" s="25"/>
      <c r="R213" s="56"/>
      <c r="S213" s="56"/>
    </row>
    <row r="214" spans="1:19">
      <c r="A214" s="21" t="n">
        <v>211</v>
      </c>
      <c r="B214" s="106" t="s">
        <v>649</v>
      </c>
      <c r="C214" s="106"/>
      <c r="D214" s="21" t="s">
        <v>650</v>
      </c>
      <c r="E214" s="21" t="s">
        <v>33</v>
      </c>
      <c r="F214" s="21" t="s">
        <v>25</v>
      </c>
      <c r="G214" s="21" t="s">
        <v>627</v>
      </c>
      <c r="H214" s="23" t="s">
        <v>508</v>
      </c>
      <c r="I214" s="27" t="s">
        <v>96</v>
      </c>
      <c r="J214" s="22" t="s">
        <v>508</v>
      </c>
      <c r="K214" s="23" t="s">
        <v>181</v>
      </c>
      <c r="L214" s="23" t="s">
        <v>225</v>
      </c>
      <c r="M214" s="24"/>
      <c r="N214" s="24"/>
      <c r="O214" s="24"/>
      <c r="P214" s="25"/>
      <c r="Q214" s="25"/>
      <c r="R214" s="56"/>
      <c r="S214" s="56"/>
    </row>
    <row r="215" spans="1:19">
      <c r="A215" s="21" t="n">
        <v>212</v>
      </c>
      <c r="B215" s="106" t="s">
        <v>651</v>
      </c>
      <c r="C215" s="106"/>
      <c r="D215" s="21" t="s">
        <v>652</v>
      </c>
      <c r="E215" s="21" t="s">
        <v>33</v>
      </c>
      <c r="F215" s="21" t="s">
        <v>25</v>
      </c>
      <c r="G215" s="21" t="s">
        <v>627</v>
      </c>
      <c r="H215" s="22" t="s">
        <v>653</v>
      </c>
      <c r="I215" s="22" t="s">
        <v>132</v>
      </c>
      <c r="J215" s="22" t="s">
        <v>653</v>
      </c>
      <c r="K215" s="23" t="s">
        <v>214</v>
      </c>
      <c r="L215" s="23" t="s">
        <v>134</v>
      </c>
      <c r="M215" s="24"/>
      <c r="N215" s="24"/>
      <c r="O215" s="24"/>
      <c r="P215" s="25"/>
      <c r="Q215" s="25"/>
      <c r="R215" s="56"/>
      <c r="S215" s="56"/>
    </row>
    <row r="216" spans="1:19">
      <c r="A216" s="21" t="n">
        <v>213</v>
      </c>
      <c r="B216" s="106" t="s">
        <v>654</v>
      </c>
      <c r="C216" s="106"/>
      <c r="D216" s="21" t="s">
        <v>655</v>
      </c>
      <c r="E216" s="21" t="s">
        <v>24</v>
      </c>
      <c r="F216" s="21" t="s">
        <v>25</v>
      </c>
      <c r="G216" s="21" t="s">
        <v>369</v>
      </c>
      <c r="H216" s="22" t="s">
        <v>656</v>
      </c>
      <c r="I216" s="22" t="s">
        <v>101</v>
      </c>
      <c r="J216" s="22" t="s">
        <v>656</v>
      </c>
      <c r="K216" s="23" t="s">
        <v>143</v>
      </c>
      <c r="L216" s="23" t="s">
        <v>103</v>
      </c>
      <c r="M216" s="24"/>
      <c r="N216" s="24"/>
      <c r="O216" s="24"/>
      <c r="P216" s="25"/>
      <c r="Q216" s="25"/>
      <c r="R216" s="56"/>
      <c r="S216" s="56"/>
    </row>
    <row r="217" spans="1:19">
      <c r="A217" s="21" t="n">
        <v>214</v>
      </c>
      <c r="B217" s="106" t="s">
        <v>657</v>
      </c>
      <c r="C217" s="106"/>
      <c r="D217" s="21" t="s">
        <v>658</v>
      </c>
      <c r="E217" s="21" t="s">
        <v>33</v>
      </c>
      <c r="F217" s="21" t="s">
        <v>25</v>
      </c>
      <c r="G217" s="21" t="s">
        <v>659</v>
      </c>
      <c r="H217" s="23" t="s">
        <v>660</v>
      </c>
      <c r="I217" s="22" t="s">
        <v>132</v>
      </c>
      <c r="J217" s="23" t="s">
        <v>660</v>
      </c>
      <c r="K217" s="23" t="s">
        <v>444</v>
      </c>
      <c r="L217" s="23" t="s">
        <v>606</v>
      </c>
      <c r="M217" s="24"/>
      <c r="N217" s="24"/>
      <c r="O217" s="24"/>
      <c r="P217" s="25"/>
      <c r="Q217" s="25"/>
      <c r="R217" s="56"/>
      <c r="S217" s="56"/>
    </row>
    <row r="218" spans="1:17" s="71" customFormat="1">
      <c r="A218" s="21" t="n">
        <v>215</v>
      </c>
      <c r="B218" s="106" t="s">
        <v>661</v>
      </c>
      <c r="C218" s="106"/>
      <c r="D218" s="21" t="s">
        <v>662</v>
      </c>
      <c r="E218" s="21" t="s">
        <v>24</v>
      </c>
      <c r="F218" s="21" t="s">
        <v>25</v>
      </c>
      <c r="G218" s="21" t="s">
        <v>659</v>
      </c>
      <c r="H218" s="22" t="s">
        <v>663</v>
      </c>
      <c r="I218" s="27" t="s">
        <v>201</v>
      </c>
      <c r="J218" s="22" t="s">
        <v>663</v>
      </c>
      <c r="K218" s="23" t="s">
        <v>209</v>
      </c>
      <c r="L218" s="23" t="s">
        <v>664</v>
      </c>
      <c r="M218" s="24"/>
      <c r="N218" s="24"/>
      <c r="O218" s="24"/>
      <c r="P218" s="70"/>
      <c r="Q218" s="70"/>
    </row>
    <row r="219" spans="1:19">
      <c r="A219" s="21" t="n">
        <v>216</v>
      </c>
      <c r="B219" s="106" t="s">
        <v>665</v>
      </c>
      <c r="C219" s="106"/>
      <c r="D219" s="21" t="s">
        <v>666</v>
      </c>
      <c r="E219" s="21" t="s">
        <v>24</v>
      </c>
      <c r="F219" s="21" t="s">
        <v>25</v>
      </c>
      <c r="G219" s="21" t="s">
        <v>659</v>
      </c>
      <c r="H219" s="22" t="s">
        <v>663</v>
      </c>
      <c r="I219" s="27" t="s">
        <v>201</v>
      </c>
      <c r="J219" s="22" t="s">
        <v>663</v>
      </c>
      <c r="K219" s="23" t="s">
        <v>209</v>
      </c>
      <c r="L219" s="29" t="s">
        <v>667</v>
      </c>
      <c r="M219" s="24"/>
      <c r="N219" s="24"/>
      <c r="O219" s="24"/>
      <c r="P219" s="25"/>
      <c r="Q219" s="25"/>
      <c r="R219" s="56"/>
      <c r="S219" s="56"/>
    </row>
    <row r="220" spans="1:19">
      <c r="A220" s="21" t="n">
        <v>217</v>
      </c>
      <c r="B220" s="106" t="s">
        <v>668</v>
      </c>
      <c r="C220" s="106"/>
      <c r="D220" s="21" t="s">
        <v>669</v>
      </c>
      <c r="E220" s="21" t="s">
        <v>24</v>
      </c>
      <c r="F220" s="21" t="s">
        <v>25</v>
      </c>
      <c r="G220" s="21" t="s">
        <v>627</v>
      </c>
      <c r="H220" s="22" t="s">
        <v>457</v>
      </c>
      <c r="I220" s="27" t="s">
        <v>201</v>
      </c>
      <c r="J220" s="22" t="s">
        <v>457</v>
      </c>
      <c r="K220" s="23" t="s">
        <v>209</v>
      </c>
      <c r="L220" s="29" t="s">
        <v>461</v>
      </c>
      <c r="M220" s="24"/>
      <c r="N220" s="24"/>
      <c r="O220" s="24"/>
      <c r="P220" s="25"/>
      <c r="Q220" s="25"/>
      <c r="R220" s="56"/>
      <c r="S220" s="56"/>
    </row>
    <row r="221" spans="1:19">
      <c r="A221" s="21" t="n">
        <v>218</v>
      </c>
      <c r="B221" s="106" t="s">
        <v>670</v>
      </c>
      <c r="C221" s="106"/>
      <c r="D221" s="21" t="s">
        <v>671</v>
      </c>
      <c r="E221" s="21" t="s">
        <v>33</v>
      </c>
      <c r="F221" s="21" t="s">
        <v>25</v>
      </c>
      <c r="G221" s="21" t="s">
        <v>659</v>
      </c>
      <c r="H221" s="22" t="s">
        <v>672</v>
      </c>
      <c r="I221" s="22" t="s">
        <v>28</v>
      </c>
      <c r="J221" s="25" t="s">
        <v>673</v>
      </c>
      <c r="K221" s="23" t="s">
        <v>157</v>
      </c>
      <c r="L221" s="23" t="s">
        <v>103</v>
      </c>
      <c r="M221" s="24"/>
      <c r="N221" s="24"/>
      <c r="O221" s="24"/>
      <c r="P221" s="25"/>
      <c r="Q221" s="25"/>
      <c r="R221" s="56"/>
      <c r="S221" s="56"/>
    </row>
    <row r="222" spans="1:19">
      <c r="A222" s="21" t="n">
        <v>219</v>
      </c>
      <c r="B222" s="106" t="s">
        <v>674</v>
      </c>
      <c r="C222" s="106"/>
      <c r="D222" s="21" t="s">
        <v>675</v>
      </c>
      <c r="E222" s="21" t="s">
        <v>24</v>
      </c>
      <c r="F222" s="21" t="s">
        <v>25</v>
      </c>
      <c r="G222" s="32" t="s">
        <v>627</v>
      </c>
      <c r="H222" s="22" t="s">
        <v>392</v>
      </c>
      <c r="I222" s="22" t="s">
        <v>28</v>
      </c>
      <c r="J222" s="25" t="s">
        <v>676</v>
      </c>
      <c r="K222" s="23" t="s">
        <v>157</v>
      </c>
      <c r="L222" s="23" t="s">
        <v>168</v>
      </c>
      <c r="M222" s="24"/>
      <c r="N222" s="24"/>
      <c r="O222" s="24"/>
      <c r="P222" s="25"/>
      <c r="Q222" s="25"/>
      <c r="R222" s="56"/>
      <c r="S222" s="56"/>
    </row>
    <row r="223" spans="1:19">
      <c r="A223" s="21" t="n">
        <v>220</v>
      </c>
      <c r="B223" s="106" t="s">
        <v>677</v>
      </c>
      <c r="C223" s="106"/>
      <c r="D223" s="21" t="s">
        <v>678</v>
      </c>
      <c r="E223" s="21" t="s">
        <v>33</v>
      </c>
      <c r="F223" s="21" t="s">
        <v>25</v>
      </c>
      <c r="G223" s="21" t="s">
        <v>627</v>
      </c>
      <c r="H223" s="23" t="s">
        <v>508</v>
      </c>
      <c r="I223" s="27" t="s">
        <v>96</v>
      </c>
      <c r="J223" s="22" t="s">
        <v>508</v>
      </c>
      <c r="K223" s="23" t="s">
        <v>181</v>
      </c>
      <c r="L223" s="23" t="s">
        <v>168</v>
      </c>
      <c r="M223" s="24"/>
      <c r="N223" s="24"/>
      <c r="O223" s="24"/>
      <c r="P223" s="25"/>
      <c r="Q223" s="25"/>
      <c r="R223" s="56"/>
      <c r="S223" s="56"/>
    </row>
    <row r="224" spans="1:19">
      <c r="A224" s="21" t="n">
        <v>221</v>
      </c>
      <c r="B224" s="106" t="s">
        <v>679</v>
      </c>
      <c r="C224" s="106"/>
      <c r="D224" s="21" t="s">
        <v>680</v>
      </c>
      <c r="E224" s="21" t="s">
        <v>33</v>
      </c>
      <c r="F224" s="21" t="s">
        <v>25</v>
      </c>
      <c r="G224" s="21" t="s">
        <v>659</v>
      </c>
      <c r="H224" s="22" t="s">
        <v>502</v>
      </c>
      <c r="I224" s="22" t="s">
        <v>28</v>
      </c>
      <c r="J224" s="25" t="s">
        <v>673</v>
      </c>
      <c r="K224" s="23" t="s">
        <v>157</v>
      </c>
      <c r="L224" s="23" t="s">
        <v>523</v>
      </c>
      <c r="M224" s="24"/>
      <c r="N224" s="24"/>
      <c r="O224" s="24"/>
      <c r="P224" s="25"/>
      <c r="Q224" s="25"/>
      <c r="R224" s="56"/>
      <c r="S224" s="56"/>
    </row>
    <row r="225" spans="1:19">
      <c r="A225" s="21" t="n">
        <v>222</v>
      </c>
      <c r="B225" s="106" t="s">
        <v>681</v>
      </c>
      <c r="C225" s="106"/>
      <c r="D225" s="21" t="s">
        <v>682</v>
      </c>
      <c r="E225" s="21" t="s">
        <v>33</v>
      </c>
      <c r="F225" s="21" t="s">
        <v>25</v>
      </c>
      <c r="G225" s="32" t="s">
        <v>627</v>
      </c>
      <c r="H225" s="22" t="s">
        <v>467</v>
      </c>
      <c r="I225" s="22" t="s">
        <v>28</v>
      </c>
      <c r="J225" s="25" t="s">
        <v>676</v>
      </c>
      <c r="K225" s="23" t="s">
        <v>157</v>
      </c>
      <c r="L225" s="23" t="s">
        <v>122</v>
      </c>
      <c r="M225" s="24"/>
      <c r="N225" s="24"/>
      <c r="O225" s="24"/>
      <c r="P225" s="25"/>
      <c r="Q225" s="25"/>
      <c r="R225" s="56"/>
      <c r="S225" s="56"/>
    </row>
    <row r="226" spans="1:19">
      <c r="A226" s="21" t="n">
        <v>223</v>
      </c>
      <c r="B226" s="106" t="s">
        <v>683</v>
      </c>
      <c r="C226" s="106"/>
      <c r="D226" s="21" t="s">
        <v>684</v>
      </c>
      <c r="E226" s="21" t="s">
        <v>24</v>
      </c>
      <c r="F226" s="21" t="s">
        <v>25</v>
      </c>
      <c r="G226" s="32" t="s">
        <v>627</v>
      </c>
      <c r="H226" s="22" t="s">
        <v>296</v>
      </c>
      <c r="I226" s="22" t="s">
        <v>28</v>
      </c>
      <c r="J226" s="25" t="s">
        <v>673</v>
      </c>
      <c r="K226" s="23" t="s">
        <v>157</v>
      </c>
      <c r="L226" s="23" t="s">
        <v>103</v>
      </c>
      <c r="M226" s="24"/>
      <c r="N226" s="24"/>
      <c r="O226" s="24"/>
      <c r="P226" s="25"/>
      <c r="Q226" s="25"/>
      <c r="R226" s="56"/>
      <c r="S226" s="56"/>
    </row>
    <row r="227" spans="1:19">
      <c r="A227" s="21" t="n">
        <v>224</v>
      </c>
      <c r="B227" s="106" t="s">
        <v>685</v>
      </c>
      <c r="C227" s="106"/>
      <c r="D227" s="21" t="s">
        <v>686</v>
      </c>
      <c r="E227" s="21" t="s">
        <v>24</v>
      </c>
      <c r="F227" s="21" t="s">
        <v>25</v>
      </c>
      <c r="G227" s="32" t="s">
        <v>627</v>
      </c>
      <c r="H227" s="22" t="s">
        <v>392</v>
      </c>
      <c r="I227" s="22" t="s">
        <v>28</v>
      </c>
      <c r="J227" s="25" t="s">
        <v>676</v>
      </c>
      <c r="K227" s="23" t="s">
        <v>157</v>
      </c>
      <c r="L227" s="23" t="s">
        <v>168</v>
      </c>
      <c r="M227" s="24"/>
      <c r="N227" s="24"/>
      <c r="O227" s="24"/>
      <c r="P227" s="25"/>
      <c r="Q227" s="25"/>
      <c r="R227" s="56"/>
      <c r="S227" s="56"/>
    </row>
    <row r="228" spans="1:19">
      <c r="A228" s="21" t="n">
        <v>225</v>
      </c>
      <c r="B228" s="106" t="s">
        <v>687</v>
      </c>
      <c r="C228" s="106"/>
      <c r="D228" s="21" t="s">
        <v>688</v>
      </c>
      <c r="E228" s="21" t="s">
        <v>24</v>
      </c>
      <c r="F228" s="21" t="s">
        <v>25</v>
      </c>
      <c r="G228" s="32" t="s">
        <v>627</v>
      </c>
      <c r="H228" s="22" t="s">
        <v>689</v>
      </c>
      <c r="I228" s="22" t="s">
        <v>28</v>
      </c>
      <c r="J228" s="25" t="s">
        <v>673</v>
      </c>
      <c r="K228" s="23" t="s">
        <v>157</v>
      </c>
      <c r="L228" s="23" t="s">
        <v>112</v>
      </c>
      <c r="M228" s="24"/>
      <c r="N228" s="24"/>
      <c r="O228" s="24"/>
      <c r="P228" s="25"/>
      <c r="Q228" s="25"/>
      <c r="R228" s="56"/>
      <c r="S228" s="56"/>
    </row>
    <row r="229" spans="1:19">
      <c r="A229" s="21" t="n">
        <v>226</v>
      </c>
      <c r="B229" s="106" t="s">
        <v>690</v>
      </c>
      <c r="C229" s="106"/>
      <c r="D229" s="21" t="s">
        <v>691</v>
      </c>
      <c r="E229" s="21" t="s">
        <v>24</v>
      </c>
      <c r="F229" s="21" t="s">
        <v>25</v>
      </c>
      <c r="G229" s="21" t="s">
        <v>659</v>
      </c>
      <c r="H229" s="23" t="s">
        <v>499</v>
      </c>
      <c r="I229" s="22" t="s">
        <v>28</v>
      </c>
      <c r="J229" s="25" t="s">
        <v>673</v>
      </c>
      <c r="K229" s="23" t="s">
        <v>157</v>
      </c>
      <c r="L229" s="23" t="s">
        <v>92</v>
      </c>
      <c r="M229" s="24"/>
      <c r="N229" s="24"/>
      <c r="O229" s="24"/>
      <c r="P229" s="25"/>
      <c r="Q229" s="25"/>
      <c r="R229" s="56"/>
      <c r="S229" s="56"/>
    </row>
    <row r="230" spans="1:19">
      <c r="A230" s="21" t="n">
        <v>227</v>
      </c>
      <c r="B230" s="106" t="s">
        <v>692</v>
      </c>
      <c r="C230" s="106"/>
      <c r="D230" s="21" t="s">
        <v>693</v>
      </c>
      <c r="E230" s="21" t="s">
        <v>33</v>
      </c>
      <c r="F230" s="21" t="s">
        <v>25</v>
      </c>
      <c r="G230" s="21" t="s">
        <v>659</v>
      </c>
      <c r="H230" s="31" t="s">
        <v>694</v>
      </c>
      <c r="I230" s="27" t="s">
        <v>96</v>
      </c>
      <c r="J230" s="27" t="s">
        <v>695</v>
      </c>
      <c r="K230" s="23" t="s">
        <v>157</v>
      </c>
      <c r="L230" s="23" t="s">
        <v>696</v>
      </c>
      <c r="M230" s="24"/>
      <c r="N230" s="24"/>
      <c r="O230" s="24"/>
      <c r="P230" s="25"/>
      <c r="Q230" s="25"/>
      <c r="R230" s="56"/>
      <c r="S230" s="56"/>
    </row>
    <row r="231" spans="1:19">
      <c r="A231" s="21" t="n">
        <v>228</v>
      </c>
      <c r="B231" s="106" t="s">
        <v>697</v>
      </c>
      <c r="C231" s="106"/>
      <c r="D231" s="21" t="s">
        <v>698</v>
      </c>
      <c r="E231" s="21" t="s">
        <v>24</v>
      </c>
      <c r="F231" s="21" t="s">
        <v>25</v>
      </c>
      <c r="G231" s="21" t="s">
        <v>699</v>
      </c>
      <c r="H231" s="22" t="s">
        <v>392</v>
      </c>
      <c r="I231" s="22" t="s">
        <v>28</v>
      </c>
      <c r="J231" s="25" t="s">
        <v>676</v>
      </c>
      <c r="K231" s="23" t="s">
        <v>157</v>
      </c>
      <c r="L231" s="23" t="s">
        <v>235</v>
      </c>
      <c r="M231" s="24"/>
      <c r="N231" s="24"/>
      <c r="O231" s="24"/>
      <c r="P231" s="25"/>
      <c r="Q231" s="25"/>
      <c r="R231" s="56"/>
      <c r="S231" s="56"/>
    </row>
    <row r="232" spans="1:19">
      <c r="A232" s="21" t="n">
        <v>229</v>
      </c>
      <c r="B232" s="106" t="s">
        <v>700</v>
      </c>
      <c r="C232" s="106"/>
      <c r="D232" s="21" t="s">
        <v>701</v>
      </c>
      <c r="E232" s="21" t="s">
        <v>24</v>
      </c>
      <c r="F232" s="21" t="s">
        <v>25</v>
      </c>
      <c r="G232" s="21" t="s">
        <v>699</v>
      </c>
      <c r="H232" s="22" t="s">
        <v>392</v>
      </c>
      <c r="I232" s="22" t="s">
        <v>28</v>
      </c>
      <c r="J232" s="25" t="s">
        <v>673</v>
      </c>
      <c r="K232" s="23" t="s">
        <v>40</v>
      </c>
      <c r="L232" s="23" t="s">
        <v>57</v>
      </c>
      <c r="M232" s="24"/>
      <c r="N232" s="24"/>
      <c r="O232" s="24"/>
      <c r="P232" s="25"/>
      <c r="Q232" s="25"/>
      <c r="R232" s="56"/>
      <c r="S232" s="56"/>
    </row>
    <row r="233" spans="1:19">
      <c r="A233" s="21" t="n">
        <v>230</v>
      </c>
      <c r="B233" s="106" t="s">
        <v>702</v>
      </c>
      <c r="C233" s="106"/>
      <c r="D233" s="21" t="s">
        <v>703</v>
      </c>
      <c r="E233" s="21" t="s">
        <v>24</v>
      </c>
      <c r="F233" s="21" t="s">
        <v>25</v>
      </c>
      <c r="G233" s="21" t="s">
        <v>699</v>
      </c>
      <c r="H233" s="22" t="s">
        <v>392</v>
      </c>
      <c r="I233" s="22" t="s">
        <v>28</v>
      </c>
      <c r="J233" s="25" t="s">
        <v>676</v>
      </c>
      <c r="K233" s="23" t="s">
        <v>157</v>
      </c>
      <c r="L233" s="23" t="s">
        <v>168</v>
      </c>
      <c r="M233" s="24"/>
      <c r="N233" s="24"/>
      <c r="O233" s="24"/>
      <c r="P233" s="25"/>
      <c r="Q233" s="25"/>
      <c r="R233" s="56"/>
      <c r="S233" s="56"/>
    </row>
    <row r="234" spans="1:19">
      <c r="A234" s="21" t="n">
        <v>231</v>
      </c>
      <c r="B234" s="106" t="s">
        <v>704</v>
      </c>
      <c r="C234" s="106"/>
      <c r="D234" s="21" t="s">
        <v>705</v>
      </c>
      <c r="E234" s="21" t="s">
        <v>33</v>
      </c>
      <c r="F234" s="21" t="s">
        <v>25</v>
      </c>
      <c r="G234" s="21" t="s">
        <v>659</v>
      </c>
      <c r="H234" s="22" t="s">
        <v>267</v>
      </c>
      <c r="I234" s="22" t="s">
        <v>28</v>
      </c>
      <c r="J234" s="25" t="s">
        <v>676</v>
      </c>
      <c r="K234" s="23" t="s">
        <v>157</v>
      </c>
      <c r="L234" s="23" t="s">
        <v>268</v>
      </c>
      <c r="M234" s="24"/>
      <c r="N234" s="24"/>
      <c r="O234" s="24"/>
      <c r="P234" s="25"/>
      <c r="Q234" s="25"/>
      <c r="R234" s="56"/>
      <c r="S234" s="56"/>
    </row>
    <row r="235" spans="1:19">
      <c r="A235" s="21" t="n">
        <v>232</v>
      </c>
      <c r="B235" s="106" t="s">
        <v>706</v>
      </c>
      <c r="C235" s="106"/>
      <c r="D235" s="21" t="s">
        <v>707</v>
      </c>
      <c r="E235" s="21" t="s">
        <v>24</v>
      </c>
      <c r="F235" s="21" t="s">
        <v>25</v>
      </c>
      <c r="G235" s="21" t="s">
        <v>659</v>
      </c>
      <c r="H235" s="22" t="s">
        <v>392</v>
      </c>
      <c r="I235" s="22" t="s">
        <v>28</v>
      </c>
      <c r="J235" s="25" t="s">
        <v>676</v>
      </c>
      <c r="K235" s="23" t="s">
        <v>157</v>
      </c>
      <c r="L235" s="23" t="s">
        <v>278</v>
      </c>
      <c r="M235" s="24"/>
      <c r="N235" s="24"/>
      <c r="O235" s="24"/>
      <c r="P235" s="25"/>
      <c r="Q235" s="25"/>
      <c r="R235" s="56"/>
      <c r="S235" s="56"/>
    </row>
    <row r="236" spans="1:19">
      <c r="A236" s="21" t="n">
        <v>233</v>
      </c>
      <c r="B236" s="106" t="s">
        <v>708</v>
      </c>
      <c r="C236" s="106"/>
      <c r="D236" s="21" t="s">
        <v>709</v>
      </c>
      <c r="E236" s="21" t="s">
        <v>24</v>
      </c>
      <c r="F236" s="21" t="s">
        <v>25</v>
      </c>
      <c r="G236" s="21" t="s">
        <v>699</v>
      </c>
      <c r="H236" s="22" t="s">
        <v>467</v>
      </c>
      <c r="I236" s="22" t="s">
        <v>28</v>
      </c>
      <c r="J236" s="25" t="s">
        <v>676</v>
      </c>
      <c r="K236" s="23" t="s">
        <v>157</v>
      </c>
      <c r="L236" s="23" t="s">
        <v>458</v>
      </c>
      <c r="M236" s="24"/>
      <c r="N236" s="24"/>
      <c r="O236" s="24"/>
      <c r="P236" s="25"/>
      <c r="Q236" s="25"/>
      <c r="R236" s="56"/>
      <c r="S236" s="56"/>
    </row>
    <row r="237" spans="1:19">
      <c r="A237" s="21" t="n">
        <v>234</v>
      </c>
      <c r="B237" s="106" t="s">
        <v>710</v>
      </c>
      <c r="C237" s="106"/>
      <c r="D237" s="21" t="s">
        <v>711</v>
      </c>
      <c r="E237" s="21" t="s">
        <v>24</v>
      </c>
      <c r="F237" s="21" t="s">
        <v>25</v>
      </c>
      <c r="G237" s="21" t="s">
        <v>699</v>
      </c>
      <c r="H237" s="22" t="s">
        <v>392</v>
      </c>
      <c r="I237" s="22" t="s">
        <v>28</v>
      </c>
      <c r="J237" s="25" t="s">
        <v>676</v>
      </c>
      <c r="K237" s="23" t="s">
        <v>157</v>
      </c>
      <c r="L237" s="23" t="s">
        <v>461</v>
      </c>
      <c r="M237" s="24"/>
      <c r="N237" s="24"/>
      <c r="O237" s="24"/>
      <c r="P237" s="25"/>
      <c r="Q237" s="25"/>
      <c r="R237" s="56"/>
      <c r="S237" s="56"/>
    </row>
    <row r="238" spans="1:19">
      <c r="A238" s="21" t="n">
        <v>235</v>
      </c>
      <c r="B238" s="106" t="s">
        <v>712</v>
      </c>
      <c r="C238" s="106"/>
      <c r="D238" s="21" t="s">
        <v>713</v>
      </c>
      <c r="E238" s="21" t="s">
        <v>24</v>
      </c>
      <c r="F238" s="21" t="s">
        <v>25</v>
      </c>
      <c r="G238" s="21" t="s">
        <v>699</v>
      </c>
      <c r="H238" s="22" t="s">
        <v>392</v>
      </c>
      <c r="I238" s="22" t="s">
        <v>28</v>
      </c>
      <c r="J238" s="25" t="s">
        <v>676</v>
      </c>
      <c r="K238" s="23" t="s">
        <v>127</v>
      </c>
      <c r="L238" s="23" t="s">
        <v>173</v>
      </c>
      <c r="M238" s="24"/>
      <c r="N238" s="24"/>
      <c r="O238" s="24"/>
      <c r="P238" s="25"/>
      <c r="Q238" s="25"/>
      <c r="R238" s="56"/>
      <c r="S238" s="56"/>
    </row>
    <row r="239" spans="1:19">
      <c r="A239" s="21" t="n">
        <v>236</v>
      </c>
      <c r="B239" s="106" t="s">
        <v>714</v>
      </c>
      <c r="C239" s="106"/>
      <c r="D239" s="21" t="s">
        <v>715</v>
      </c>
      <c r="E239" s="21" t="s">
        <v>24</v>
      </c>
      <c r="F239" s="21" t="s">
        <v>25</v>
      </c>
      <c r="G239" s="21" t="s">
        <v>699</v>
      </c>
      <c r="H239" s="23" t="s">
        <v>499</v>
      </c>
      <c r="I239" s="22" t="s">
        <v>28</v>
      </c>
      <c r="J239" s="25" t="s">
        <v>676</v>
      </c>
      <c r="K239" s="23" t="s">
        <v>157</v>
      </c>
      <c r="L239" s="23" t="s">
        <v>92</v>
      </c>
      <c r="M239" s="24"/>
      <c r="N239" s="24"/>
      <c r="O239" s="24"/>
      <c r="P239" s="25"/>
      <c r="Q239" s="25"/>
      <c r="R239" s="56"/>
      <c r="S239" s="56"/>
    </row>
    <row r="240" spans="1:19">
      <c r="A240" s="21" t="n">
        <v>237</v>
      </c>
      <c r="B240" s="106" t="s">
        <v>716</v>
      </c>
      <c r="C240" s="106"/>
      <c r="D240" s="21" t="s">
        <v>717</v>
      </c>
      <c r="E240" s="21" t="s">
        <v>24</v>
      </c>
      <c r="F240" s="21" t="s">
        <v>25</v>
      </c>
      <c r="G240" s="21" t="s">
        <v>659</v>
      </c>
      <c r="H240" s="22" t="s">
        <v>296</v>
      </c>
      <c r="I240" s="22" t="s">
        <v>28</v>
      </c>
      <c r="J240" s="25" t="s">
        <v>673</v>
      </c>
      <c r="K240" s="23" t="s">
        <v>157</v>
      </c>
      <c r="L240" s="23" t="s">
        <v>103</v>
      </c>
      <c r="M240" s="24"/>
      <c r="N240" s="24"/>
      <c r="O240" s="24"/>
      <c r="P240" s="25"/>
      <c r="Q240" s="25"/>
      <c r="R240" s="56"/>
      <c r="S240" s="56"/>
    </row>
    <row r="241" spans="1:19">
      <c r="A241" s="21" t="n">
        <v>238</v>
      </c>
      <c r="B241" s="106" t="s">
        <v>718</v>
      </c>
      <c r="C241" s="106"/>
      <c r="D241" s="21" t="s">
        <v>719</v>
      </c>
      <c r="E241" s="21" t="s">
        <v>24</v>
      </c>
      <c r="F241" s="21" t="s">
        <v>25</v>
      </c>
      <c r="G241" s="21" t="s">
        <v>659</v>
      </c>
      <c r="H241" s="23" t="s">
        <v>499</v>
      </c>
      <c r="I241" s="22" t="s">
        <v>28</v>
      </c>
      <c r="J241" s="25" t="s">
        <v>673</v>
      </c>
      <c r="K241" s="23" t="s">
        <v>157</v>
      </c>
      <c r="L241" s="23" t="s">
        <v>92</v>
      </c>
      <c r="M241" s="24"/>
      <c r="N241" s="24"/>
      <c r="O241" s="24"/>
      <c r="P241" s="25"/>
      <c r="Q241" s="25"/>
      <c r="R241" s="56"/>
      <c r="S241" s="56"/>
    </row>
    <row r="242" spans="1:19">
      <c r="A242" s="21" t="n">
        <v>239</v>
      </c>
      <c r="B242" s="106" t="s">
        <v>720</v>
      </c>
      <c r="C242" s="106"/>
      <c r="D242" s="21" t="s">
        <v>721</v>
      </c>
      <c r="E242" s="21" t="s">
        <v>33</v>
      </c>
      <c r="F242" s="21" t="s">
        <v>25</v>
      </c>
      <c r="G242" s="21" t="s">
        <v>659</v>
      </c>
      <c r="H242" s="22" t="s">
        <v>672</v>
      </c>
      <c r="I242" s="22" t="s">
        <v>28</v>
      </c>
      <c r="J242" s="25" t="s">
        <v>673</v>
      </c>
      <c r="K242" s="23" t="s">
        <v>157</v>
      </c>
      <c r="L242" s="23" t="s">
        <v>128</v>
      </c>
      <c r="M242" s="24"/>
      <c r="N242" s="24"/>
      <c r="O242" s="24"/>
      <c r="P242" s="25"/>
      <c r="Q242" s="25"/>
      <c r="R242" s="56"/>
      <c r="S242" s="56"/>
    </row>
    <row r="243" spans="1:19">
      <c r="A243" s="21" t="n">
        <v>240</v>
      </c>
      <c r="B243" s="106" t="s">
        <v>722</v>
      </c>
      <c r="C243" s="106"/>
      <c r="D243" s="21" t="s">
        <v>723</v>
      </c>
      <c r="E243" s="21" t="s">
        <v>24</v>
      </c>
      <c r="F243" s="21" t="s">
        <v>25</v>
      </c>
      <c r="G243" s="21" t="s">
        <v>699</v>
      </c>
      <c r="H243" s="23" t="s">
        <v>724</v>
      </c>
      <c r="I243" s="27" t="s">
        <v>96</v>
      </c>
      <c r="J243" s="22" t="s">
        <v>724</v>
      </c>
      <c r="K243" s="23" t="s">
        <v>181</v>
      </c>
      <c r="L243" s="23" t="s">
        <v>158</v>
      </c>
      <c r="M243" s="24"/>
      <c r="N243" s="24"/>
      <c r="O243" s="24"/>
      <c r="P243" s="25"/>
      <c r="Q243" s="25"/>
      <c r="R243" s="56"/>
      <c r="S243" s="56"/>
    </row>
    <row r="244" spans="1:19">
      <c r="A244" s="21" t="n">
        <v>241</v>
      </c>
      <c r="B244" s="106" t="s">
        <v>725</v>
      </c>
      <c r="C244" s="106"/>
      <c r="D244" s="21" t="s">
        <v>726</v>
      </c>
      <c r="E244" s="21" t="s">
        <v>24</v>
      </c>
      <c r="F244" s="21" t="s">
        <v>25</v>
      </c>
      <c r="G244" s="21" t="s">
        <v>699</v>
      </c>
      <c r="H244" s="23" t="s">
        <v>660</v>
      </c>
      <c r="I244" s="22" t="s">
        <v>132</v>
      </c>
      <c r="J244" s="23" t="s">
        <v>660</v>
      </c>
      <c r="K244" s="23" t="s">
        <v>444</v>
      </c>
      <c r="L244" s="23" t="s">
        <v>173</v>
      </c>
      <c r="M244" s="24"/>
      <c r="N244" s="24"/>
      <c r="O244" s="24"/>
      <c r="P244" s="25"/>
      <c r="Q244" s="25"/>
      <c r="R244" s="56"/>
      <c r="S244" s="56"/>
    </row>
    <row r="245" spans="1:19">
      <c r="A245" s="21" t="n">
        <v>242</v>
      </c>
      <c r="B245" s="106" t="s">
        <v>727</v>
      </c>
      <c r="C245" s="106"/>
      <c r="D245" s="21" t="s">
        <v>728</v>
      </c>
      <c r="E245" s="21" t="s">
        <v>24</v>
      </c>
      <c r="F245" s="21" t="s">
        <v>25</v>
      </c>
      <c r="G245" s="21" t="s">
        <v>699</v>
      </c>
      <c r="H245" s="23" t="s">
        <v>724</v>
      </c>
      <c r="I245" s="27" t="s">
        <v>96</v>
      </c>
      <c r="J245" s="22" t="s">
        <v>724</v>
      </c>
      <c r="K245" s="23" t="s">
        <v>181</v>
      </c>
      <c r="L245" s="23" t="s">
        <v>168</v>
      </c>
      <c r="M245" s="24"/>
      <c r="N245" s="24"/>
      <c r="O245" s="24"/>
      <c r="P245" s="25"/>
      <c r="Q245" s="25"/>
      <c r="R245" s="56"/>
      <c r="S245" s="56"/>
    </row>
    <row r="246" spans="1:19">
      <c r="A246" s="21" t="n">
        <v>243</v>
      </c>
      <c r="B246" s="106" t="s">
        <v>729</v>
      </c>
      <c r="C246" s="106"/>
      <c r="D246" s="21" t="s">
        <v>730</v>
      </c>
      <c r="E246" s="21" t="s">
        <v>33</v>
      </c>
      <c r="F246" s="21" t="s">
        <v>25</v>
      </c>
      <c r="G246" s="21" t="s">
        <v>699</v>
      </c>
      <c r="H246" s="23" t="s">
        <v>724</v>
      </c>
      <c r="I246" s="27" t="s">
        <v>96</v>
      </c>
      <c r="J246" s="22" t="s">
        <v>724</v>
      </c>
      <c r="K246" s="23" t="s">
        <v>181</v>
      </c>
      <c r="L246" s="23" t="s">
        <v>97</v>
      </c>
      <c r="M246" s="24"/>
      <c r="N246" s="24"/>
      <c r="O246" s="24"/>
      <c r="P246" s="25"/>
      <c r="Q246" s="25"/>
      <c r="R246" s="56"/>
      <c r="S246" s="56"/>
    </row>
    <row r="247" spans="1:19">
      <c r="A247" s="21" t="n">
        <v>244</v>
      </c>
      <c r="B247" s="106" t="s">
        <v>731</v>
      </c>
      <c r="C247" s="106"/>
      <c r="D247" s="21" t="s">
        <v>732</v>
      </c>
      <c r="E247" s="21" t="s">
        <v>24</v>
      </c>
      <c r="F247" s="21" t="s">
        <v>25</v>
      </c>
      <c r="G247" s="21" t="s">
        <v>699</v>
      </c>
      <c r="H247" s="23" t="s">
        <v>724</v>
      </c>
      <c r="I247" s="27" t="s">
        <v>96</v>
      </c>
      <c r="J247" s="22" t="s">
        <v>724</v>
      </c>
      <c r="K247" s="23" t="s">
        <v>181</v>
      </c>
      <c r="L247" s="23" t="s">
        <v>97</v>
      </c>
      <c r="M247" s="24"/>
      <c r="N247" s="24"/>
      <c r="O247" s="24"/>
      <c r="P247" s="25"/>
      <c r="Q247" s="25"/>
      <c r="R247" s="56"/>
      <c r="S247" s="56"/>
    </row>
    <row r="248" spans="1:19">
      <c r="A248" s="21" t="n">
        <v>245</v>
      </c>
      <c r="B248" s="106" t="s">
        <v>733</v>
      </c>
      <c r="C248" s="106"/>
      <c r="D248" s="21" t="s">
        <v>734</v>
      </c>
      <c r="E248" s="21" t="s">
        <v>24</v>
      </c>
      <c r="F248" s="21" t="s">
        <v>25</v>
      </c>
      <c r="G248" s="21" t="s">
        <v>699</v>
      </c>
      <c r="H248" s="23" t="s">
        <v>724</v>
      </c>
      <c r="I248" s="27" t="s">
        <v>96</v>
      </c>
      <c r="J248" s="22" t="s">
        <v>724</v>
      </c>
      <c r="K248" s="23" t="s">
        <v>181</v>
      </c>
      <c r="L248" s="23" t="s">
        <v>97</v>
      </c>
      <c r="M248" s="24"/>
      <c r="N248" s="24"/>
      <c r="O248" s="24"/>
      <c r="P248" s="25"/>
      <c r="Q248" s="25"/>
      <c r="R248" s="56"/>
      <c r="S248" s="56"/>
    </row>
    <row r="249" spans="1:19">
      <c r="A249" s="21" t="n">
        <v>246</v>
      </c>
      <c r="B249" s="106" t="s">
        <v>735</v>
      </c>
      <c r="C249" s="106"/>
      <c r="D249" s="21" t="s">
        <v>736</v>
      </c>
      <c r="E249" s="21" t="s">
        <v>24</v>
      </c>
      <c r="F249" s="21" t="s">
        <v>25</v>
      </c>
      <c r="G249" s="21" t="s">
        <v>699</v>
      </c>
      <c r="H249" s="23" t="s">
        <v>724</v>
      </c>
      <c r="I249" s="27" t="s">
        <v>96</v>
      </c>
      <c r="J249" s="22" t="s">
        <v>724</v>
      </c>
      <c r="K249" s="23" t="s">
        <v>181</v>
      </c>
      <c r="L249" s="23" t="s">
        <v>737</v>
      </c>
      <c r="M249" s="24"/>
      <c r="N249" s="24"/>
      <c r="O249" s="24"/>
      <c r="P249" s="25"/>
      <c r="Q249" s="25"/>
      <c r="R249" s="56"/>
      <c r="S249" s="56"/>
    </row>
    <row r="250" spans="1:19">
      <c r="A250" s="21" t="n">
        <v>247</v>
      </c>
      <c r="B250" s="106" t="s">
        <v>738</v>
      </c>
      <c r="C250" s="106"/>
      <c r="D250" s="21" t="s">
        <v>739</v>
      </c>
      <c r="E250" s="21" t="s">
        <v>24</v>
      </c>
      <c r="F250" s="21" t="s">
        <v>25</v>
      </c>
      <c r="G250" s="21" t="s">
        <v>699</v>
      </c>
      <c r="H250" s="23" t="s">
        <v>724</v>
      </c>
      <c r="I250" s="27" t="s">
        <v>96</v>
      </c>
      <c r="J250" s="22" t="s">
        <v>724</v>
      </c>
      <c r="K250" s="23" t="s">
        <v>181</v>
      </c>
      <c r="L250" s="23" t="s">
        <v>168</v>
      </c>
      <c r="M250" s="24"/>
      <c r="N250" s="24"/>
      <c r="O250" s="24"/>
      <c r="P250" s="25"/>
      <c r="Q250" s="25"/>
      <c r="R250" s="56"/>
      <c r="S250" s="56"/>
    </row>
    <row r="251" spans="1:19">
      <c r="A251" s="21" t="n">
        <v>248</v>
      </c>
      <c r="B251" s="106" t="s">
        <v>740</v>
      </c>
      <c r="C251" s="106"/>
      <c r="D251" s="21" t="s">
        <v>741</v>
      </c>
      <c r="E251" s="21" t="s">
        <v>24</v>
      </c>
      <c r="F251" s="21" t="s">
        <v>25</v>
      </c>
      <c r="G251" s="21" t="s">
        <v>699</v>
      </c>
      <c r="H251" s="23" t="s">
        <v>724</v>
      </c>
      <c r="I251" s="27" t="s">
        <v>96</v>
      </c>
      <c r="J251" s="22" t="s">
        <v>724</v>
      </c>
      <c r="K251" s="23" t="s">
        <v>181</v>
      </c>
      <c r="L251" s="23" t="s">
        <v>737</v>
      </c>
      <c r="M251" s="24"/>
      <c r="N251" s="24"/>
      <c r="O251" s="24"/>
      <c r="P251" s="25"/>
      <c r="Q251" s="25"/>
      <c r="R251" s="56"/>
      <c r="S251" s="56"/>
    </row>
    <row r="252" spans="1:19">
      <c r="A252" s="21" t="n">
        <v>249</v>
      </c>
      <c r="B252" s="106" t="s">
        <v>742</v>
      </c>
      <c r="C252" s="106"/>
      <c r="D252" s="21" t="s">
        <v>743</v>
      </c>
      <c r="E252" s="21" t="s">
        <v>24</v>
      </c>
      <c r="F252" s="21" t="s">
        <v>25</v>
      </c>
      <c r="G252" s="21" t="s">
        <v>699</v>
      </c>
      <c r="H252" s="23" t="s">
        <v>724</v>
      </c>
      <c r="I252" s="27" t="s">
        <v>96</v>
      </c>
      <c r="J252" s="22" t="s">
        <v>724</v>
      </c>
      <c r="K252" s="23" t="s">
        <v>181</v>
      </c>
      <c r="L252" s="23" t="s">
        <v>396</v>
      </c>
      <c r="M252" s="24"/>
      <c r="N252" s="24"/>
      <c r="O252" s="24"/>
      <c r="P252" s="25"/>
      <c r="Q252" s="25"/>
      <c r="R252" s="56"/>
      <c r="S252" s="56"/>
    </row>
    <row r="253" spans="1:19">
      <c r="A253" s="21" t="n">
        <v>250</v>
      </c>
      <c r="B253" s="106" t="s">
        <v>744</v>
      </c>
      <c r="C253" s="106"/>
      <c r="D253" s="21" t="s">
        <v>745</v>
      </c>
      <c r="E253" s="21" t="s">
        <v>24</v>
      </c>
      <c r="F253" s="21" t="s">
        <v>25</v>
      </c>
      <c r="G253" s="21" t="s">
        <v>699</v>
      </c>
      <c r="H253" s="23" t="s">
        <v>724</v>
      </c>
      <c r="I253" s="27" t="s">
        <v>96</v>
      </c>
      <c r="J253" s="22" t="s">
        <v>724</v>
      </c>
      <c r="K253" s="23" t="s">
        <v>181</v>
      </c>
      <c r="L253" s="23" t="s">
        <v>275</v>
      </c>
      <c r="M253" s="24"/>
      <c r="N253" s="24"/>
      <c r="O253" s="24"/>
      <c r="P253" s="25"/>
      <c r="Q253" s="25"/>
      <c r="R253" s="56"/>
      <c r="S253" s="56"/>
    </row>
    <row r="254" spans="1:19">
      <c r="A254" s="21" t="n">
        <v>251</v>
      </c>
      <c r="B254" s="106" t="s">
        <v>746</v>
      </c>
      <c r="C254" s="106"/>
      <c r="D254" s="21" t="s">
        <v>747</v>
      </c>
      <c r="E254" s="21" t="s">
        <v>24</v>
      </c>
      <c r="F254" s="21" t="s">
        <v>25</v>
      </c>
      <c r="G254" s="21" t="s">
        <v>699</v>
      </c>
      <c r="H254" s="23" t="s">
        <v>660</v>
      </c>
      <c r="I254" s="22" t="s">
        <v>132</v>
      </c>
      <c r="J254" s="23" t="s">
        <v>660</v>
      </c>
      <c r="K254" s="23" t="s">
        <v>444</v>
      </c>
      <c r="L254" s="23" t="s">
        <v>173</v>
      </c>
      <c r="M254" s="24"/>
      <c r="N254" s="24"/>
      <c r="O254" s="24"/>
      <c r="P254" s="25"/>
      <c r="Q254" s="25"/>
      <c r="R254" s="56"/>
      <c r="S254" s="56"/>
    </row>
    <row r="255" spans="1:19">
      <c r="A255" s="21" t="n">
        <v>252</v>
      </c>
      <c r="B255" s="106" t="s">
        <v>748</v>
      </c>
      <c r="C255" s="106"/>
      <c r="D255" s="21" t="s">
        <v>749</v>
      </c>
      <c r="E255" s="21" t="s">
        <v>24</v>
      </c>
      <c r="F255" s="21" t="s">
        <v>25</v>
      </c>
      <c r="G255" s="21" t="s">
        <v>699</v>
      </c>
      <c r="H255" s="22" t="s">
        <v>750</v>
      </c>
      <c r="I255" s="22" t="s">
        <v>91</v>
      </c>
      <c r="J255" s="22" t="s">
        <v>750</v>
      </c>
      <c r="K255" s="23" t="s">
        <v>490</v>
      </c>
      <c r="L255" s="23" t="s">
        <v>92</v>
      </c>
      <c r="M255" s="24"/>
      <c r="N255" s="24"/>
      <c r="O255" s="24"/>
      <c r="P255" s="25"/>
      <c r="Q255" s="25"/>
      <c r="R255" s="56"/>
      <c r="S255" s="56"/>
    </row>
    <row r="256" spans="1:19">
      <c r="A256" s="21" t="n">
        <v>253</v>
      </c>
      <c r="B256" s="106" t="s">
        <v>751</v>
      </c>
      <c r="C256" s="106"/>
      <c r="D256" s="21" t="s">
        <v>752</v>
      </c>
      <c r="E256" s="21" t="s">
        <v>33</v>
      </c>
      <c r="F256" s="21" t="s">
        <v>25</v>
      </c>
      <c r="G256" s="21" t="s">
        <v>699</v>
      </c>
      <c r="H256" s="23" t="s">
        <v>724</v>
      </c>
      <c r="I256" s="27" t="s">
        <v>96</v>
      </c>
      <c r="J256" s="22" t="s">
        <v>724</v>
      </c>
      <c r="K256" s="23" t="s">
        <v>181</v>
      </c>
      <c r="L256" s="23" t="s">
        <v>168</v>
      </c>
      <c r="M256" s="24"/>
      <c r="N256" s="24"/>
      <c r="O256" s="24"/>
      <c r="P256" s="25"/>
      <c r="Q256" s="25"/>
      <c r="R256" s="56"/>
      <c r="S256" s="56"/>
    </row>
    <row r="257" spans="1:19">
      <c r="A257" s="21" t="n">
        <v>254</v>
      </c>
      <c r="B257" s="106" t="s">
        <v>753</v>
      </c>
      <c r="C257" s="106"/>
      <c r="D257" s="21" t="s">
        <v>754</v>
      </c>
      <c r="E257" s="21" t="s">
        <v>33</v>
      </c>
      <c r="F257" s="21" t="s">
        <v>25</v>
      </c>
      <c r="G257" s="21" t="s">
        <v>699</v>
      </c>
      <c r="H257" s="23" t="s">
        <v>724</v>
      </c>
      <c r="I257" s="27" t="s">
        <v>96</v>
      </c>
      <c r="J257" s="22" t="s">
        <v>724</v>
      </c>
      <c r="K257" s="23" t="s">
        <v>181</v>
      </c>
      <c r="L257" s="30" t="s">
        <v>197</v>
      </c>
      <c r="M257" s="24"/>
      <c r="N257" s="24"/>
      <c r="O257" s="24"/>
      <c r="P257" s="25"/>
      <c r="Q257" s="25"/>
      <c r="R257" s="56"/>
      <c r="S257" s="56"/>
    </row>
    <row r="258" spans="1:19">
      <c r="A258" s="21" t="n">
        <v>255</v>
      </c>
      <c r="B258" s="106" t="s">
        <v>755</v>
      </c>
      <c r="C258" s="106"/>
      <c r="D258" s="21" t="s">
        <v>756</v>
      </c>
      <c r="E258" s="21" t="s">
        <v>33</v>
      </c>
      <c r="F258" s="21" t="s">
        <v>25</v>
      </c>
      <c r="G258" s="21" t="s">
        <v>699</v>
      </c>
      <c r="H258" s="23" t="s">
        <v>724</v>
      </c>
      <c r="I258" s="27" t="s">
        <v>96</v>
      </c>
      <c r="J258" s="22" t="s">
        <v>724</v>
      </c>
      <c r="K258" s="23" t="s">
        <v>181</v>
      </c>
      <c r="L258" s="23" t="s">
        <v>68</v>
      </c>
      <c r="M258" s="24"/>
      <c r="N258" s="24"/>
      <c r="O258" s="24"/>
      <c r="P258" s="25"/>
      <c r="Q258" s="25"/>
      <c r="R258" s="56"/>
      <c r="S258" s="56"/>
    </row>
    <row r="259" spans="1:19">
      <c r="A259" s="21" t="n">
        <v>256</v>
      </c>
      <c r="B259" s="106" t="s">
        <v>757</v>
      </c>
      <c r="C259" s="106"/>
      <c r="D259" s="21" t="s">
        <v>758</v>
      </c>
      <c r="E259" s="21" t="s">
        <v>33</v>
      </c>
      <c r="F259" s="21" t="s">
        <v>25</v>
      </c>
      <c r="G259" s="21" t="s">
        <v>699</v>
      </c>
      <c r="H259" s="23" t="s">
        <v>724</v>
      </c>
      <c r="I259" s="27" t="s">
        <v>96</v>
      </c>
      <c r="J259" s="22" t="s">
        <v>724</v>
      </c>
      <c r="K259" s="23" t="s">
        <v>181</v>
      </c>
      <c r="L259" s="23" t="s">
        <v>168</v>
      </c>
      <c r="M259" s="24"/>
      <c r="N259" s="24"/>
      <c r="O259" s="24"/>
      <c r="P259" s="25"/>
      <c r="Q259" s="25"/>
      <c r="R259" s="56"/>
      <c r="S259" s="56"/>
    </row>
    <row r="260" spans="1:19">
      <c r="A260" s="21" t="n">
        <v>257</v>
      </c>
      <c r="B260" s="106" t="s">
        <v>759</v>
      </c>
      <c r="C260" s="106"/>
      <c r="D260" s="21" t="s">
        <v>760</v>
      </c>
      <c r="E260" s="21" t="s">
        <v>33</v>
      </c>
      <c r="F260" s="21" t="s">
        <v>25</v>
      </c>
      <c r="G260" s="21" t="s">
        <v>699</v>
      </c>
      <c r="H260" s="23" t="s">
        <v>724</v>
      </c>
      <c r="I260" s="27" t="s">
        <v>96</v>
      </c>
      <c r="J260" s="22" t="s">
        <v>724</v>
      </c>
      <c r="K260" s="23" t="s">
        <v>181</v>
      </c>
      <c r="L260" s="30" t="s">
        <v>197</v>
      </c>
      <c r="M260" s="24"/>
      <c r="N260" s="24"/>
      <c r="O260" s="24"/>
      <c r="P260" s="25"/>
      <c r="Q260" s="25"/>
      <c r="R260" s="56"/>
      <c r="S260" s="56"/>
    </row>
    <row r="261" spans="1:19">
      <c r="A261" s="21" t="n">
        <v>258</v>
      </c>
      <c r="B261" s="106" t="s">
        <v>761</v>
      </c>
      <c r="C261" s="106"/>
      <c r="D261" s="21" t="s">
        <v>762</v>
      </c>
      <c r="E261" s="21" t="s">
        <v>33</v>
      </c>
      <c r="F261" s="21" t="s">
        <v>25</v>
      </c>
      <c r="G261" s="21" t="s">
        <v>699</v>
      </c>
      <c r="H261" s="23" t="s">
        <v>724</v>
      </c>
      <c r="I261" s="27" t="s">
        <v>96</v>
      </c>
      <c r="J261" s="22" t="s">
        <v>724</v>
      </c>
      <c r="K261" s="23" t="s">
        <v>181</v>
      </c>
      <c r="L261" s="23" t="s">
        <v>162</v>
      </c>
      <c r="M261" s="24"/>
      <c r="N261" s="24"/>
      <c r="O261" s="24"/>
      <c r="P261" s="25"/>
      <c r="Q261" s="25"/>
      <c r="R261" s="56"/>
      <c r="S261" s="56"/>
    </row>
    <row r="262" spans="1:19">
      <c r="A262" s="21" t="n">
        <v>259</v>
      </c>
      <c r="B262" s="106" t="s">
        <v>763</v>
      </c>
      <c r="C262" s="106"/>
      <c r="D262" s="21" t="s">
        <v>764</v>
      </c>
      <c r="E262" s="21" t="s">
        <v>33</v>
      </c>
      <c r="F262" s="21" t="s">
        <v>25</v>
      </c>
      <c r="G262" s="21" t="s">
        <v>699</v>
      </c>
      <c r="H262" s="23" t="s">
        <v>724</v>
      </c>
      <c r="I262" s="27" t="s">
        <v>96</v>
      </c>
      <c r="J262" s="22" t="s">
        <v>724</v>
      </c>
      <c r="K262" s="23" t="s">
        <v>181</v>
      </c>
      <c r="L262" s="23" t="s">
        <v>68</v>
      </c>
      <c r="M262" s="24"/>
      <c r="N262" s="24"/>
      <c r="O262" s="24"/>
      <c r="P262" s="25"/>
      <c r="Q262" s="25"/>
      <c r="R262" s="56"/>
      <c r="S262" s="56"/>
    </row>
    <row r="263" spans="1:19">
      <c r="A263" s="21" t="n">
        <v>260</v>
      </c>
      <c r="B263" s="106" t="s">
        <v>765</v>
      </c>
      <c r="C263" s="106"/>
      <c r="D263" s="21" t="s">
        <v>766</v>
      </c>
      <c r="E263" s="21" t="s">
        <v>33</v>
      </c>
      <c r="F263" s="21" t="s">
        <v>25</v>
      </c>
      <c r="G263" s="21" t="s">
        <v>699</v>
      </c>
      <c r="H263" s="23" t="s">
        <v>724</v>
      </c>
      <c r="I263" s="27" t="s">
        <v>96</v>
      </c>
      <c r="J263" s="22" t="s">
        <v>724</v>
      </c>
      <c r="K263" s="23" t="s">
        <v>181</v>
      </c>
      <c r="L263" s="30" t="s">
        <v>197</v>
      </c>
      <c r="M263" s="24"/>
      <c r="N263" s="24"/>
      <c r="O263" s="24"/>
      <c r="P263" s="25"/>
      <c r="Q263" s="25"/>
      <c r="R263" s="56"/>
      <c r="S263" s="56"/>
    </row>
    <row r="264" spans="1:19">
      <c r="A264" s="21" t="n">
        <v>261</v>
      </c>
      <c r="B264" s="106" t="s">
        <v>767</v>
      </c>
      <c r="C264" s="106"/>
      <c r="D264" s="21" t="s">
        <v>768</v>
      </c>
      <c r="E264" s="21" t="s">
        <v>24</v>
      </c>
      <c r="F264" s="21" t="s">
        <v>25</v>
      </c>
      <c r="G264" s="21" t="s">
        <v>699</v>
      </c>
      <c r="H264" s="23" t="s">
        <v>724</v>
      </c>
      <c r="I264" s="27" t="s">
        <v>96</v>
      </c>
      <c r="J264" s="22" t="s">
        <v>724</v>
      </c>
      <c r="K264" s="23" t="s">
        <v>181</v>
      </c>
      <c r="L264" s="23" t="s">
        <v>158</v>
      </c>
      <c r="M264" s="24"/>
      <c r="N264" s="24"/>
      <c r="O264" s="24"/>
      <c r="P264" s="25"/>
      <c r="Q264" s="25"/>
      <c r="R264" s="56"/>
      <c r="S264" s="56"/>
    </row>
    <row r="265" spans="1:19">
      <c r="A265" s="21" t="n">
        <v>262</v>
      </c>
      <c r="B265" s="106" t="s">
        <v>769</v>
      </c>
      <c r="C265" s="106"/>
      <c r="D265" s="21" t="s">
        <v>770</v>
      </c>
      <c r="E265" s="21" t="s">
        <v>24</v>
      </c>
      <c r="F265" s="21" t="s">
        <v>25</v>
      </c>
      <c r="G265" s="21" t="s">
        <v>699</v>
      </c>
      <c r="H265" s="23" t="s">
        <v>724</v>
      </c>
      <c r="I265" s="27" t="s">
        <v>96</v>
      </c>
      <c r="J265" s="22" t="s">
        <v>724</v>
      </c>
      <c r="K265" s="23" t="s">
        <v>181</v>
      </c>
      <c r="L265" s="23" t="s">
        <v>396</v>
      </c>
      <c r="M265" s="24"/>
      <c r="N265" s="24"/>
      <c r="O265" s="24"/>
      <c r="P265" s="25"/>
      <c r="Q265" s="25"/>
      <c r="R265" s="56"/>
      <c r="S265" s="56"/>
    </row>
    <row r="266" spans="1:19">
      <c r="A266" s="21" t="n">
        <v>263</v>
      </c>
      <c r="B266" s="106" t="s">
        <v>771</v>
      </c>
      <c r="C266" s="106"/>
      <c r="D266" s="21" t="s">
        <v>772</v>
      </c>
      <c r="E266" s="21" t="s">
        <v>24</v>
      </c>
      <c r="F266" s="21" t="s">
        <v>25</v>
      </c>
      <c r="G266" s="21" t="s">
        <v>699</v>
      </c>
      <c r="H266" s="23" t="s">
        <v>724</v>
      </c>
      <c r="I266" s="27" t="s">
        <v>96</v>
      </c>
      <c r="J266" s="22" t="s">
        <v>724</v>
      </c>
      <c r="K266" s="23" t="s">
        <v>181</v>
      </c>
      <c r="L266" s="23" t="s">
        <v>222</v>
      </c>
      <c r="M266" s="24"/>
      <c r="N266" s="24"/>
      <c r="O266" s="24"/>
      <c r="P266" s="25"/>
      <c r="Q266" s="25"/>
      <c r="R266" s="56"/>
      <c r="S266" s="56"/>
    </row>
    <row r="267" spans="1:19">
      <c r="A267" s="21" t="n">
        <v>264</v>
      </c>
      <c r="B267" s="106" t="s">
        <v>773</v>
      </c>
      <c r="C267" s="106"/>
      <c r="D267" s="21" t="s">
        <v>774</v>
      </c>
      <c r="E267" s="21" t="s">
        <v>33</v>
      </c>
      <c r="F267" s="21" t="s">
        <v>25</v>
      </c>
      <c r="G267" s="21" t="s">
        <v>699</v>
      </c>
      <c r="H267" s="23" t="s">
        <v>724</v>
      </c>
      <c r="I267" s="27" t="s">
        <v>96</v>
      </c>
      <c r="J267" s="22" t="s">
        <v>724</v>
      </c>
      <c r="K267" s="23" t="s">
        <v>181</v>
      </c>
      <c r="L267" s="23" t="s">
        <v>168</v>
      </c>
      <c r="M267" s="24"/>
      <c r="N267" s="24"/>
      <c r="O267" s="24"/>
      <c r="P267" s="25"/>
      <c r="Q267" s="25"/>
      <c r="R267" s="56"/>
      <c r="S267" s="56"/>
    </row>
    <row r="268" spans="1:19">
      <c r="A268" s="21" t="n">
        <v>265</v>
      </c>
      <c r="B268" s="106" t="s">
        <v>775</v>
      </c>
      <c r="C268" s="106"/>
      <c r="D268" s="21" t="s">
        <v>776</v>
      </c>
      <c r="E268" s="21" t="s">
        <v>24</v>
      </c>
      <c r="F268" s="21" t="s">
        <v>25</v>
      </c>
      <c r="G268" s="21" t="s">
        <v>699</v>
      </c>
      <c r="H268" s="23" t="s">
        <v>724</v>
      </c>
      <c r="I268" s="27" t="s">
        <v>96</v>
      </c>
      <c r="J268" s="22" t="s">
        <v>724</v>
      </c>
      <c r="K268" s="23" t="s">
        <v>181</v>
      </c>
      <c r="L268" s="23" t="s">
        <v>396</v>
      </c>
      <c r="M268" s="24"/>
      <c r="N268" s="24"/>
      <c r="O268" s="24"/>
      <c r="P268" s="25"/>
      <c r="Q268" s="25"/>
      <c r="R268" s="56"/>
      <c r="S268" s="56"/>
    </row>
    <row r="269" spans="1:19">
      <c r="A269" s="21" t="n">
        <v>266</v>
      </c>
      <c r="B269" s="106" t="s">
        <v>777</v>
      </c>
      <c r="C269" s="106"/>
      <c r="D269" s="21" t="s">
        <v>778</v>
      </c>
      <c r="E269" s="21" t="s">
        <v>24</v>
      </c>
      <c r="F269" s="21" t="s">
        <v>25</v>
      </c>
      <c r="G269" s="21" t="s">
        <v>699</v>
      </c>
      <c r="H269" s="23" t="s">
        <v>724</v>
      </c>
      <c r="I269" s="27" t="s">
        <v>96</v>
      </c>
      <c r="J269" s="22" t="s">
        <v>724</v>
      </c>
      <c r="K269" s="23" t="s">
        <v>181</v>
      </c>
      <c r="L269" s="23" t="s">
        <v>158</v>
      </c>
      <c r="M269" s="24"/>
      <c r="N269" s="24"/>
      <c r="O269" s="24"/>
      <c r="P269" s="25"/>
      <c r="Q269" s="25"/>
      <c r="R269" s="56"/>
      <c r="S269" s="56"/>
    </row>
    <row r="270" spans="1:19">
      <c r="A270" s="21" t="n">
        <v>267</v>
      </c>
      <c r="B270" s="106" t="s">
        <v>779</v>
      </c>
      <c r="C270" s="106"/>
      <c r="D270" s="21" t="s">
        <v>780</v>
      </c>
      <c r="E270" s="21" t="s">
        <v>33</v>
      </c>
      <c r="F270" s="21" t="s">
        <v>25</v>
      </c>
      <c r="G270" s="21" t="s">
        <v>699</v>
      </c>
      <c r="H270" s="22" t="s">
        <v>781</v>
      </c>
      <c r="I270" s="22" t="s">
        <v>101</v>
      </c>
      <c r="J270" s="22" t="s">
        <v>781</v>
      </c>
      <c r="K270" s="23" t="s">
        <v>143</v>
      </c>
      <c r="L270" s="23" t="s">
        <v>103</v>
      </c>
      <c r="M270" s="24"/>
      <c r="N270" s="24"/>
      <c r="O270" s="24"/>
      <c r="P270" s="25"/>
      <c r="Q270" s="25"/>
      <c r="R270" s="56"/>
      <c r="S270" s="56"/>
    </row>
    <row r="271" spans="1:19">
      <c r="A271" s="21" t="n">
        <v>268</v>
      </c>
      <c r="B271" s="106" t="s">
        <v>782</v>
      </c>
      <c r="C271" s="106"/>
      <c r="D271" s="21" t="s">
        <v>783</v>
      </c>
      <c r="E271" s="21" t="s">
        <v>24</v>
      </c>
      <c r="F271" s="21" t="s">
        <v>25</v>
      </c>
      <c r="G271" s="21" t="s">
        <v>699</v>
      </c>
      <c r="H271" s="22" t="s">
        <v>781</v>
      </c>
      <c r="I271" s="22" t="s">
        <v>101</v>
      </c>
      <c r="J271" s="22" t="s">
        <v>781</v>
      </c>
      <c r="K271" s="23" t="s">
        <v>143</v>
      </c>
      <c r="L271" s="23" t="s">
        <v>103</v>
      </c>
      <c r="M271" s="24"/>
      <c r="N271" s="24"/>
      <c r="O271" s="24"/>
      <c r="P271" s="25"/>
      <c r="Q271" s="25"/>
      <c r="R271" s="56"/>
      <c r="S271" s="56"/>
    </row>
    <row r="272" spans="1:19">
      <c r="A272" s="21" t="n">
        <v>269</v>
      </c>
      <c r="B272" s="106" t="s">
        <v>784</v>
      </c>
      <c r="C272" s="106"/>
      <c r="D272" s="21" t="s">
        <v>785</v>
      </c>
      <c r="E272" s="21" t="s">
        <v>24</v>
      </c>
      <c r="F272" s="21" t="s">
        <v>25</v>
      </c>
      <c r="G272" s="21" t="s">
        <v>699</v>
      </c>
      <c r="H272" s="23" t="s">
        <v>724</v>
      </c>
      <c r="I272" s="27" t="s">
        <v>96</v>
      </c>
      <c r="J272" s="22" t="s">
        <v>724</v>
      </c>
      <c r="K272" s="23" t="s">
        <v>181</v>
      </c>
      <c r="L272" s="23" t="s">
        <v>396</v>
      </c>
      <c r="M272" s="24"/>
      <c r="N272" s="24"/>
      <c r="O272" s="24"/>
      <c r="P272" s="25"/>
      <c r="Q272" s="25"/>
      <c r="R272" s="56"/>
      <c r="S272" s="56"/>
    </row>
    <row r="273" spans="1:19">
      <c r="A273" s="21" t="n">
        <v>270</v>
      </c>
      <c r="B273" s="106" t="s">
        <v>786</v>
      </c>
      <c r="C273" s="106"/>
      <c r="D273" s="21" t="s">
        <v>787</v>
      </c>
      <c r="E273" s="21" t="s">
        <v>24</v>
      </c>
      <c r="F273" s="21" t="s">
        <v>25</v>
      </c>
      <c r="G273" s="21" t="s">
        <v>699</v>
      </c>
      <c r="H273" s="23" t="s">
        <v>724</v>
      </c>
      <c r="I273" s="27" t="s">
        <v>96</v>
      </c>
      <c r="J273" s="22" t="s">
        <v>724</v>
      </c>
      <c r="K273" s="23" t="s">
        <v>181</v>
      </c>
      <c r="L273" s="23" t="s">
        <v>737</v>
      </c>
      <c r="M273" s="24"/>
      <c r="N273" s="24"/>
      <c r="O273" s="24"/>
      <c r="P273" s="25"/>
      <c r="Q273" s="25"/>
      <c r="R273" s="56"/>
      <c r="S273" s="56"/>
    </row>
    <row r="274" spans="1:19">
      <c r="A274" s="21" t="n">
        <v>271</v>
      </c>
      <c r="B274" s="106" t="s">
        <v>788</v>
      </c>
      <c r="C274" s="106"/>
      <c r="D274" s="21" t="s">
        <v>789</v>
      </c>
      <c r="E274" s="21" t="s">
        <v>24</v>
      </c>
      <c r="F274" s="21" t="s">
        <v>25</v>
      </c>
      <c r="G274" s="21" t="s">
        <v>699</v>
      </c>
      <c r="H274" s="22" t="s">
        <v>781</v>
      </c>
      <c r="I274" s="22" t="s">
        <v>101</v>
      </c>
      <c r="J274" s="22" t="s">
        <v>781</v>
      </c>
      <c r="K274" s="23" t="s">
        <v>143</v>
      </c>
      <c r="L274" s="23" t="s">
        <v>103</v>
      </c>
      <c r="M274" s="24"/>
      <c r="N274" s="24"/>
      <c r="O274" s="24"/>
      <c r="P274" s="25"/>
      <c r="Q274" s="25"/>
      <c r="R274" s="56"/>
      <c r="S274" s="56"/>
    </row>
    <row r="275" spans="1:19">
      <c r="A275" s="21" t="n">
        <v>272</v>
      </c>
      <c r="B275" s="106" t="s">
        <v>790</v>
      </c>
      <c r="C275" s="106"/>
      <c r="D275" s="21" t="s">
        <v>791</v>
      </c>
      <c r="E275" s="21" t="s">
        <v>33</v>
      </c>
      <c r="F275" s="21" t="s">
        <v>25</v>
      </c>
      <c r="G275" s="21" t="s">
        <v>699</v>
      </c>
      <c r="H275" s="22" t="s">
        <v>750</v>
      </c>
      <c r="I275" s="22" t="s">
        <v>91</v>
      </c>
      <c r="J275" s="22" t="s">
        <v>750</v>
      </c>
      <c r="K275" s="23" t="s">
        <v>490</v>
      </c>
      <c r="L275" s="23" t="s">
        <v>92</v>
      </c>
      <c r="M275" s="24"/>
      <c r="N275" s="24"/>
      <c r="O275" s="24"/>
      <c r="P275" s="25"/>
      <c r="Q275" s="25"/>
      <c r="R275" s="56"/>
      <c r="S275" s="56"/>
    </row>
    <row r="276" spans="1:19">
      <c r="A276" s="21" t="n">
        <v>273</v>
      </c>
      <c r="B276" s="106" t="s">
        <v>792</v>
      </c>
      <c r="C276" s="106"/>
      <c r="D276" s="21" t="s">
        <v>793</v>
      </c>
      <c r="E276" s="21" t="s">
        <v>24</v>
      </c>
      <c r="F276" s="21" t="s">
        <v>25</v>
      </c>
      <c r="G276" s="21" t="s">
        <v>699</v>
      </c>
      <c r="H276" s="22" t="s">
        <v>781</v>
      </c>
      <c r="I276" s="22" t="s">
        <v>101</v>
      </c>
      <c r="J276" s="22" t="s">
        <v>781</v>
      </c>
      <c r="K276" s="23" t="s">
        <v>143</v>
      </c>
      <c r="L276" s="23" t="s">
        <v>103</v>
      </c>
      <c r="M276" s="24"/>
      <c r="N276" s="24"/>
      <c r="O276" s="24"/>
      <c r="P276" s="25"/>
      <c r="Q276" s="25"/>
      <c r="R276" s="56"/>
      <c r="S276" s="56"/>
    </row>
    <row r="277" spans="1:19">
      <c r="A277" s="21" t="n">
        <v>274</v>
      </c>
      <c r="B277" s="106" t="s">
        <v>794</v>
      </c>
      <c r="C277" s="106"/>
      <c r="D277" s="21" t="s">
        <v>795</v>
      </c>
      <c r="E277" s="21" t="s">
        <v>24</v>
      </c>
      <c r="F277" s="21" t="s">
        <v>25</v>
      </c>
      <c r="G277" s="21" t="s">
        <v>699</v>
      </c>
      <c r="H277" s="23" t="s">
        <v>724</v>
      </c>
      <c r="I277" s="27" t="s">
        <v>96</v>
      </c>
      <c r="J277" s="22" t="s">
        <v>724</v>
      </c>
      <c r="K277" s="23" t="s">
        <v>181</v>
      </c>
      <c r="L277" s="23" t="s">
        <v>396</v>
      </c>
      <c r="M277" s="24"/>
      <c r="N277" s="24"/>
      <c r="O277" s="24"/>
      <c r="P277" s="25"/>
      <c r="Q277" s="25"/>
      <c r="R277" s="56"/>
      <c r="S277" s="56"/>
    </row>
    <row r="278" spans="1:19">
      <c r="A278" s="21" t="n">
        <v>275</v>
      </c>
      <c r="B278" s="106" t="s">
        <v>796</v>
      </c>
      <c r="C278" s="106"/>
      <c r="D278" s="21" t="s">
        <v>797</v>
      </c>
      <c r="E278" s="21" t="s">
        <v>33</v>
      </c>
      <c r="F278" s="21" t="s">
        <v>25</v>
      </c>
      <c r="G278" s="21" t="s">
        <v>699</v>
      </c>
      <c r="H278" s="23" t="s">
        <v>724</v>
      </c>
      <c r="I278" s="27" t="s">
        <v>96</v>
      </c>
      <c r="J278" s="22" t="s">
        <v>724</v>
      </c>
      <c r="K278" s="23" t="s">
        <v>181</v>
      </c>
      <c r="L278" s="30" t="s">
        <v>197</v>
      </c>
      <c r="M278" s="24"/>
      <c r="N278" s="24"/>
      <c r="O278" s="24"/>
      <c r="P278" s="25"/>
      <c r="Q278" s="25"/>
      <c r="R278" s="56"/>
      <c r="S278" s="56"/>
    </row>
    <row r="279" spans="1:19">
      <c r="A279" s="21" t="n">
        <v>276</v>
      </c>
      <c r="B279" s="106" t="s">
        <v>798</v>
      </c>
      <c r="C279" s="106"/>
      <c r="D279" s="21" t="s">
        <v>799</v>
      </c>
      <c r="E279" s="21" t="s">
        <v>33</v>
      </c>
      <c r="F279" s="21" t="s">
        <v>25</v>
      </c>
      <c r="G279" s="21" t="s">
        <v>699</v>
      </c>
      <c r="H279" s="23" t="s">
        <v>724</v>
      </c>
      <c r="I279" s="27" t="s">
        <v>96</v>
      </c>
      <c r="J279" s="22" t="s">
        <v>724</v>
      </c>
      <c r="K279" s="28" t="s">
        <v>181</v>
      </c>
      <c r="L279" s="23" t="s">
        <v>667</v>
      </c>
      <c r="M279" s="24"/>
      <c r="N279" s="24"/>
      <c r="O279" s="24"/>
      <c r="P279" s="25"/>
      <c r="Q279" s="25"/>
      <c r="R279" s="56"/>
      <c r="S279" s="56"/>
    </row>
    <row r="280" spans="1:19">
      <c r="A280" s="21" t="n">
        <v>277</v>
      </c>
      <c r="B280" s="106" t="s">
        <v>800</v>
      </c>
      <c r="C280" s="106"/>
      <c r="D280" s="21" t="s">
        <v>801</v>
      </c>
      <c r="E280" s="21" t="s">
        <v>24</v>
      </c>
      <c r="F280" s="21" t="s">
        <v>25</v>
      </c>
      <c r="G280" s="21" t="s">
        <v>699</v>
      </c>
      <c r="H280" s="22" t="s">
        <v>781</v>
      </c>
      <c r="I280" s="22" t="s">
        <v>101</v>
      </c>
      <c r="J280" s="22" t="s">
        <v>781</v>
      </c>
      <c r="K280" s="23" t="s">
        <v>143</v>
      </c>
      <c r="L280" s="23" t="s">
        <v>103</v>
      </c>
      <c r="M280" s="24"/>
      <c r="N280" s="24"/>
      <c r="O280" s="24"/>
      <c r="P280" s="25"/>
      <c r="Q280" s="25"/>
      <c r="R280" s="56"/>
      <c r="S280" s="56"/>
    </row>
    <row r="281" spans="1:19">
      <c r="A281" s="21" t="n">
        <v>278</v>
      </c>
      <c r="B281" s="106" t="s">
        <v>802</v>
      </c>
      <c r="C281" s="106"/>
      <c r="D281" s="21" t="s">
        <v>803</v>
      </c>
      <c r="E281" s="21" t="s">
        <v>24</v>
      </c>
      <c r="F281" s="21" t="s">
        <v>25</v>
      </c>
      <c r="G281" s="21" t="s">
        <v>699</v>
      </c>
      <c r="H281" s="23" t="s">
        <v>724</v>
      </c>
      <c r="I281" s="27" t="s">
        <v>96</v>
      </c>
      <c r="J281" s="22" t="s">
        <v>724</v>
      </c>
      <c r="K281" s="28" t="s">
        <v>181</v>
      </c>
      <c r="L281" s="23" t="s">
        <v>97</v>
      </c>
      <c r="M281" s="24"/>
      <c r="N281" s="24"/>
      <c r="O281" s="24"/>
      <c r="P281" s="25"/>
      <c r="Q281" s="25"/>
      <c r="R281" s="56"/>
      <c r="S281" s="56"/>
    </row>
    <row r="282" spans="1:19">
      <c r="A282" s="21" t="n">
        <v>279</v>
      </c>
      <c r="B282" s="106" t="s">
        <v>804</v>
      </c>
      <c r="C282" s="106"/>
      <c r="D282" s="21" t="s">
        <v>805</v>
      </c>
      <c r="E282" s="21" t="s">
        <v>33</v>
      </c>
      <c r="F282" s="21" t="s">
        <v>25</v>
      </c>
      <c r="G282" s="21" t="s">
        <v>699</v>
      </c>
      <c r="H282" s="22" t="s">
        <v>672</v>
      </c>
      <c r="I282" s="22" t="s">
        <v>28</v>
      </c>
      <c r="J282" s="25" t="s">
        <v>673</v>
      </c>
      <c r="K282" s="23" t="s">
        <v>157</v>
      </c>
      <c r="L282" s="23" t="s">
        <v>245</v>
      </c>
      <c r="M282" s="24"/>
      <c r="N282" s="24"/>
      <c r="O282" s="24"/>
      <c r="P282" s="25"/>
      <c r="Q282" s="25"/>
      <c r="R282" s="56"/>
      <c r="S282" s="56"/>
    </row>
    <row r="283" spans="1:19">
      <c r="A283" s="21" t="n">
        <v>280</v>
      </c>
      <c r="B283" s="106" t="s">
        <v>806</v>
      </c>
      <c r="C283" s="106"/>
      <c r="D283" s="21" t="s">
        <v>807</v>
      </c>
      <c r="E283" s="21" t="s">
        <v>24</v>
      </c>
      <c r="F283" s="21" t="s">
        <v>25</v>
      </c>
      <c r="G283" s="21" t="s">
        <v>699</v>
      </c>
      <c r="H283" s="22" t="s">
        <v>536</v>
      </c>
      <c r="I283" s="22" t="s">
        <v>28</v>
      </c>
      <c r="J283" s="25" t="s">
        <v>673</v>
      </c>
      <c r="K283" s="23" t="s">
        <v>157</v>
      </c>
      <c r="L283" s="23" t="s">
        <v>245</v>
      </c>
      <c r="M283" s="24"/>
      <c r="N283" s="24"/>
      <c r="O283" s="24"/>
      <c r="P283" s="25"/>
      <c r="Q283" s="25"/>
      <c r="R283" s="56"/>
      <c r="S283" s="56"/>
    </row>
    <row r="284" spans="1:19">
      <c r="A284" s="21" t="n">
        <v>281</v>
      </c>
      <c r="B284" s="106" t="s">
        <v>808</v>
      </c>
      <c r="C284" s="106"/>
      <c r="D284" s="21" t="s">
        <v>809</v>
      </c>
      <c r="E284" s="21" t="s">
        <v>33</v>
      </c>
      <c r="F284" s="21" t="s">
        <v>25</v>
      </c>
      <c r="G284" s="21" t="s">
        <v>699</v>
      </c>
      <c r="H284" s="22" t="s">
        <v>536</v>
      </c>
      <c r="I284" s="22" t="s">
        <v>28</v>
      </c>
      <c r="J284" s="25" t="s">
        <v>673</v>
      </c>
      <c r="K284" s="23" t="s">
        <v>157</v>
      </c>
      <c r="L284" s="23" t="s">
        <v>245</v>
      </c>
      <c r="M284" s="24"/>
      <c r="N284" s="24"/>
      <c r="O284" s="24"/>
      <c r="P284" s="25"/>
      <c r="Q284" s="25"/>
      <c r="R284" s="56"/>
      <c r="S284" s="56"/>
    </row>
    <row r="285" spans="1:19">
      <c r="A285" s="21" t="n">
        <v>282</v>
      </c>
      <c r="B285" s="106" t="s">
        <v>810</v>
      </c>
      <c r="C285" s="106"/>
      <c r="D285" s="21" t="s">
        <v>811</v>
      </c>
      <c r="E285" s="21" t="s">
        <v>33</v>
      </c>
      <c r="F285" s="21" t="s">
        <v>25</v>
      </c>
      <c r="G285" s="21" t="s">
        <v>699</v>
      </c>
      <c r="H285" s="22" t="s">
        <v>672</v>
      </c>
      <c r="I285" s="22" t="s">
        <v>28</v>
      </c>
      <c r="J285" s="25" t="s">
        <v>673</v>
      </c>
      <c r="K285" s="23" t="s">
        <v>157</v>
      </c>
      <c r="L285" s="23" t="s">
        <v>812</v>
      </c>
      <c r="M285" s="24"/>
      <c r="N285" s="24"/>
      <c r="O285" s="24"/>
      <c r="P285" s="25"/>
      <c r="Q285" s="25"/>
      <c r="R285" s="56"/>
      <c r="S285" s="56"/>
    </row>
    <row r="286" spans="1:19">
      <c r="A286" s="21" t="n">
        <v>283</v>
      </c>
      <c r="B286" s="106" t="s">
        <v>813</v>
      </c>
      <c r="C286" s="106"/>
      <c r="D286" s="21" t="s">
        <v>814</v>
      </c>
      <c r="E286" s="21" t="s">
        <v>33</v>
      </c>
      <c r="F286" s="21" t="s">
        <v>25</v>
      </c>
      <c r="G286" s="21" t="s">
        <v>815</v>
      </c>
      <c r="H286" s="22" t="s">
        <v>536</v>
      </c>
      <c r="I286" s="22" t="s">
        <v>28</v>
      </c>
      <c r="J286" s="25" t="s">
        <v>673</v>
      </c>
      <c r="K286" s="23" t="s">
        <v>157</v>
      </c>
      <c r="L286" s="23" t="s">
        <v>245</v>
      </c>
      <c r="M286" s="24"/>
      <c r="N286" s="24"/>
      <c r="O286" s="24"/>
      <c r="P286" s="25"/>
      <c r="Q286" s="25"/>
      <c r="R286" s="56"/>
      <c r="S286" s="56"/>
    </row>
    <row r="287" spans="1:19">
      <c r="A287" s="21" t="n">
        <v>284</v>
      </c>
      <c r="B287" s="106" t="s">
        <v>816</v>
      </c>
      <c r="C287" s="106"/>
      <c r="D287" s="21" t="s">
        <v>817</v>
      </c>
      <c r="E287" s="21" t="s">
        <v>33</v>
      </c>
      <c r="F287" s="21" t="s">
        <v>25</v>
      </c>
      <c r="G287" s="21" t="s">
        <v>815</v>
      </c>
      <c r="H287" s="22" t="s">
        <v>818</v>
      </c>
      <c r="I287" s="22" t="s">
        <v>28</v>
      </c>
      <c r="J287" s="25" t="s">
        <v>673</v>
      </c>
      <c r="K287" s="23" t="s">
        <v>157</v>
      </c>
      <c r="L287" s="23" t="s">
        <v>523</v>
      </c>
      <c r="M287" s="24"/>
      <c r="N287" s="24"/>
      <c r="O287" s="24"/>
      <c r="P287" s="25"/>
      <c r="Q287" s="25"/>
      <c r="R287" s="56"/>
      <c r="S287" s="56"/>
    </row>
    <row r="288" spans="1:19">
      <c r="A288" s="21" t="n">
        <v>285</v>
      </c>
      <c r="B288" s="106" t="s">
        <v>819</v>
      </c>
      <c r="C288" s="106"/>
      <c r="D288" s="21" t="s">
        <v>820</v>
      </c>
      <c r="E288" s="21" t="s">
        <v>24</v>
      </c>
      <c r="F288" s="21" t="s">
        <v>25</v>
      </c>
      <c r="G288" s="21" t="s">
        <v>821</v>
      </c>
      <c r="H288" s="22" t="s">
        <v>672</v>
      </c>
      <c r="I288" s="22" t="s">
        <v>28</v>
      </c>
      <c r="J288" s="25" t="s">
        <v>822</v>
      </c>
      <c r="K288" s="23" t="s">
        <v>823</v>
      </c>
      <c r="L288" s="23" t="s">
        <v>245</v>
      </c>
      <c r="M288" s="24"/>
      <c r="N288" s="24"/>
      <c r="O288" s="24"/>
      <c r="P288" s="25"/>
      <c r="Q288" s="25"/>
      <c r="R288" s="56"/>
      <c r="S288" s="56"/>
    </row>
    <row r="289" spans="1:17" s="56" customFormat="1">
      <c r="A289" s="21" t="n">
        <v>286</v>
      </c>
      <c r="B289" s="106" t="s">
        <v>824</v>
      </c>
      <c r="C289" s="106"/>
      <c r="D289" s="21" t="s">
        <v>825</v>
      </c>
      <c r="E289" s="21" t="s">
        <v>33</v>
      </c>
      <c r="F289" s="21" t="s">
        <v>25</v>
      </c>
      <c r="G289" s="21" t="s">
        <v>826</v>
      </c>
      <c r="H289" s="22" t="s">
        <v>827</v>
      </c>
      <c r="I289" s="22" t="s">
        <v>28</v>
      </c>
      <c r="J289" s="25" t="s">
        <v>822</v>
      </c>
      <c r="K289" s="23" t="s">
        <v>828</v>
      </c>
      <c r="L289" s="23" t="s">
        <v>696</v>
      </c>
      <c r="M289" s="24"/>
      <c r="N289" s="24"/>
      <c r="O289" s="24"/>
      <c r="P289" s="25"/>
      <c r="Q289" s="25"/>
    </row>
    <row r="290" spans="1:17" s="56" customFormat="1">
      <c r="A290" s="21" t="n">
        <v>287</v>
      </c>
      <c r="B290" s="106" t="s">
        <v>829</v>
      </c>
      <c r="C290" s="106"/>
      <c r="D290" s="159" t="s">
        <v>830</v>
      </c>
      <c r="E290" s="21" t="s">
        <v>33</v>
      </c>
      <c r="F290" s="21" t="s">
        <v>25</v>
      </c>
      <c r="G290" s="21" t="s">
        <v>831</v>
      </c>
      <c r="H290" s="22" t="s">
        <v>832</v>
      </c>
      <c r="I290" s="27" t="s">
        <v>66</v>
      </c>
      <c r="J290" s="22" t="s">
        <v>832</v>
      </c>
      <c r="K290" s="23" t="s">
        <v>833</v>
      </c>
      <c r="L290" s="23" t="s">
        <v>834</v>
      </c>
      <c r="M290" s="24"/>
      <c r="N290" s="24"/>
      <c r="O290" s="24"/>
      <c r="P290" s="25"/>
      <c r="Q290" s="25"/>
    </row>
    <row r="291" spans="1:17" s="56" customFormat="1">
      <c r="A291" s="21" t="n">
        <v>288</v>
      </c>
      <c r="B291" s="106" t="s">
        <v>835</v>
      </c>
      <c r="C291" s="106"/>
      <c r="D291" s="21" t="s">
        <v>836</v>
      </c>
      <c r="E291" s="21" t="s">
        <v>24</v>
      </c>
      <c r="F291" s="21" t="s">
        <v>25</v>
      </c>
      <c r="G291" s="21" t="s">
        <v>831</v>
      </c>
      <c r="H291" s="23" t="s">
        <v>837</v>
      </c>
      <c r="I291" s="27" t="s">
        <v>96</v>
      </c>
      <c r="J291" s="23" t="s">
        <v>837</v>
      </c>
      <c r="K291" s="23" t="s">
        <v>161</v>
      </c>
      <c r="L291" s="23" t="s">
        <v>461</v>
      </c>
      <c r="M291" s="24"/>
      <c r="N291" s="24"/>
      <c r="O291" s="24"/>
      <c r="P291" s="25"/>
      <c r="Q291" s="25"/>
    </row>
    <row r="292" spans="1:17" s="56" customFormat="1">
      <c r="A292" s="21" t="n">
        <v>289</v>
      </c>
      <c r="B292" s="106" t="s">
        <v>838</v>
      </c>
      <c r="C292" s="106"/>
      <c r="D292" s="159" t="s">
        <v>839</v>
      </c>
      <c r="E292" s="21" t="s">
        <v>24</v>
      </c>
      <c r="F292" s="21" t="s">
        <v>25</v>
      </c>
      <c r="G292" s="21" t="s">
        <v>831</v>
      </c>
      <c r="H292" s="23" t="s">
        <v>840</v>
      </c>
      <c r="I292" s="27" t="s">
        <v>66</v>
      </c>
      <c r="J292" s="23" t="s">
        <v>840</v>
      </c>
      <c r="K292" s="23" t="s">
        <v>841</v>
      </c>
      <c r="L292" s="23" t="s">
        <v>842</v>
      </c>
      <c r="M292" s="24"/>
      <c r="N292" s="24"/>
      <c r="O292" s="24"/>
      <c r="P292" s="25"/>
      <c r="Q292" s="25"/>
    </row>
    <row r="293" spans="1:19" s="71" customFormat="1">
      <c r="A293" s="21" t="n">
        <v>290</v>
      </c>
      <c r="B293" s="106" t="s">
        <v>843</v>
      </c>
      <c r="C293" s="106"/>
      <c r="D293" s="159" t="s">
        <v>844</v>
      </c>
      <c r="E293" s="21" t="s">
        <v>33</v>
      </c>
      <c r="F293" s="21" t="s">
        <v>25</v>
      </c>
      <c r="G293" s="21" t="s">
        <v>831</v>
      </c>
      <c r="H293" s="23" t="s">
        <v>845</v>
      </c>
      <c r="I293" s="22" t="s">
        <v>132</v>
      </c>
      <c r="J293" s="23" t="s">
        <v>845</v>
      </c>
      <c r="K293" s="23" t="s">
        <v>444</v>
      </c>
      <c r="L293" s="23" t="s">
        <v>846</v>
      </c>
      <c r="M293" s="24"/>
      <c r="N293" s="24"/>
      <c r="O293" s="24"/>
      <c r="P293" s="25"/>
      <c r="Q293" s="25"/>
      <c r="R293" s="56"/>
      <c r="S293" s="56"/>
    </row>
    <row r="294" spans="1:19" s="71" customFormat="1">
      <c r="A294" s="21" t="n">
        <v>291</v>
      </c>
      <c r="B294" s="106" t="s">
        <v>847</v>
      </c>
      <c r="C294" s="106"/>
      <c r="D294" s="21" t="s">
        <v>848</v>
      </c>
      <c r="E294" s="21" t="s">
        <v>24</v>
      </c>
      <c r="F294" s="21" t="s">
        <v>25</v>
      </c>
      <c r="G294" s="21" t="s">
        <v>849</v>
      </c>
      <c r="H294" s="23" t="s">
        <v>850</v>
      </c>
      <c r="I294" s="27" t="s">
        <v>96</v>
      </c>
      <c r="J294" s="23" t="s">
        <v>850</v>
      </c>
      <c r="K294" s="23" t="s">
        <v>274</v>
      </c>
      <c r="L294" s="29" t="s">
        <v>851</v>
      </c>
      <c r="M294" s="24"/>
      <c r="N294" s="24"/>
      <c r="O294" s="24"/>
      <c r="P294" s="25"/>
      <c r="Q294" s="25"/>
      <c r="R294" s="56"/>
      <c r="S294" s="56"/>
    </row>
    <row r="295" spans="1:19" s="71" customFormat="1">
      <c r="A295" s="21" t="n">
        <v>292</v>
      </c>
      <c r="B295" s="106" t="s">
        <v>852</v>
      </c>
      <c r="C295" s="106"/>
      <c r="D295" s="21" t="s">
        <v>853</v>
      </c>
      <c r="E295" s="21" t="s">
        <v>33</v>
      </c>
      <c r="F295" s="21" t="s">
        <v>25</v>
      </c>
      <c r="G295" s="21" t="s">
        <v>854</v>
      </c>
      <c r="H295" s="23" t="s">
        <v>695</v>
      </c>
      <c r="I295" s="27" t="s">
        <v>96</v>
      </c>
      <c r="J295" s="22" t="s">
        <v>724</v>
      </c>
      <c r="K295" s="23" t="s">
        <v>181</v>
      </c>
      <c r="L295" s="23" t="s">
        <v>168</v>
      </c>
      <c r="M295" s="24"/>
      <c r="N295" s="24"/>
      <c r="O295" s="24"/>
      <c r="P295" s="25"/>
      <c r="Q295" s="25"/>
      <c r="R295" s="56"/>
      <c r="S295" s="56"/>
    </row>
    <row r="296" spans="1:19" s="71" customFormat="1">
      <c r="A296" s="21" t="n">
        <v>293</v>
      </c>
      <c r="B296" s="106" t="s">
        <v>855</v>
      </c>
      <c r="C296" s="106"/>
      <c r="D296" s="21" t="s">
        <v>856</v>
      </c>
      <c r="E296" s="21" t="s">
        <v>24</v>
      </c>
      <c r="F296" s="21" t="s">
        <v>25</v>
      </c>
      <c r="G296" s="21" t="s">
        <v>854</v>
      </c>
      <c r="H296" s="23" t="s">
        <v>695</v>
      </c>
      <c r="I296" s="27" t="s">
        <v>96</v>
      </c>
      <c r="J296" s="22" t="s">
        <v>724</v>
      </c>
      <c r="K296" s="23" t="s">
        <v>181</v>
      </c>
      <c r="L296" s="23" t="s">
        <v>225</v>
      </c>
      <c r="M296" s="24"/>
      <c r="N296" s="24"/>
      <c r="O296" s="24"/>
      <c r="P296" s="25"/>
      <c r="Q296" s="25"/>
      <c r="R296" s="56"/>
      <c r="S296" s="56"/>
    </row>
    <row r="297" spans="1:19" s="71" customFormat="1">
      <c r="A297" s="21" t="n">
        <v>294</v>
      </c>
      <c r="B297" s="106" t="s">
        <v>857</v>
      </c>
      <c r="C297" s="106"/>
      <c r="D297" s="21" t="s">
        <v>858</v>
      </c>
      <c r="E297" s="21" t="s">
        <v>33</v>
      </c>
      <c r="F297" s="21" t="s">
        <v>25</v>
      </c>
      <c r="G297" s="21" t="s">
        <v>854</v>
      </c>
      <c r="H297" s="23" t="s">
        <v>695</v>
      </c>
      <c r="I297" s="27" t="s">
        <v>96</v>
      </c>
      <c r="J297" s="22" t="s">
        <v>724</v>
      </c>
      <c r="K297" s="23" t="s">
        <v>181</v>
      </c>
      <c r="L297" s="23" t="s">
        <v>275</v>
      </c>
      <c r="M297" s="24"/>
      <c r="N297" s="24"/>
      <c r="O297" s="24"/>
      <c r="P297" s="25"/>
      <c r="Q297" s="25"/>
      <c r="R297" s="56"/>
      <c r="S297" s="56"/>
    </row>
    <row r="298" spans="1:19" s="71" customFormat="1">
      <c r="A298" s="21" t="n">
        <v>295</v>
      </c>
      <c r="B298" s="106" t="s">
        <v>859</v>
      </c>
      <c r="C298" s="106"/>
      <c r="D298" s="21" t="s">
        <v>860</v>
      </c>
      <c r="E298" s="21" t="s">
        <v>24</v>
      </c>
      <c r="F298" s="21" t="s">
        <v>25</v>
      </c>
      <c r="G298" s="21" t="s">
        <v>831</v>
      </c>
      <c r="H298" s="23" t="s">
        <v>861</v>
      </c>
      <c r="I298" s="27"/>
      <c r="J298" s="22"/>
      <c r="K298" s="23" t="s">
        <v>862</v>
      </c>
      <c r="L298" s="23" t="s">
        <v>83</v>
      </c>
      <c r="M298" s="24"/>
      <c r="N298" s="24"/>
      <c r="O298" s="24"/>
      <c r="P298" s="25"/>
      <c r="Q298" s="25"/>
      <c r="R298" s="56"/>
      <c r="S298" s="56"/>
    </row>
    <row r="299" spans="1:19">
      <c r="A299" s="21" t="n">
        <v>296</v>
      </c>
      <c r="B299" s="106" t="s">
        <v>863</v>
      </c>
      <c r="C299" s="106"/>
      <c r="D299" s="162" t="s">
        <v>864</v>
      </c>
      <c r="E299" s="21" t="s">
        <v>33</v>
      </c>
      <c r="F299" s="21" t="s">
        <v>25</v>
      </c>
      <c r="G299" s="21" t="s">
        <v>849</v>
      </c>
      <c r="H299" s="22" t="s">
        <v>865</v>
      </c>
      <c r="I299" s="27" t="s">
        <v>66</v>
      </c>
      <c r="J299" s="22" t="s">
        <v>866</v>
      </c>
      <c r="K299" s="23" t="s">
        <v>867</v>
      </c>
      <c r="L299" s="23" t="s">
        <v>325</v>
      </c>
      <c r="M299" s="24" t="e">
        <f aca="1">DATEDIF(D299,TODAY(),"Y")</f>
        <v>#NUM!</v>
      </c>
      <c r="N299" s="24" t="e">
        <f aca="1">DATEDIF(D299,TODAY(),"YM")</f>
        <v>#NUM!</v>
      </c>
      <c r="O299" s="24" t="e">
        <f aca="1">DATEDIF(D299,NOW(),"Y")&amp;" Tahun "&amp;DATEDIF(D299,NOW(),"YM")&amp;" Bulan "&amp;DATEDIF(D299,NOW(),"MD")&amp;" Hari "</f>
        <v>#NUM!</v>
      </c>
      <c r="P299" s="25"/>
      <c r="Q299" s="25"/>
      <c r="R299" s="51" t="n">
        <v>3750000</v>
      </c>
      <c r="S299" s="33" t="n">
        <v>3750000</v>
      </c>
    </row>
    <row r="300" spans="1:19">
      <c r="A300" s="21" t="n">
        <v>297</v>
      </c>
      <c r="B300" s="106" t="s">
        <v>868</v>
      </c>
      <c r="C300" s="106"/>
      <c r="D300" s="161" t="s">
        <v>869</v>
      </c>
      <c r="E300" s="21" t="s">
        <v>33</v>
      </c>
      <c r="F300" s="21" t="s">
        <v>25</v>
      </c>
      <c r="G300" s="21" t="s">
        <v>849</v>
      </c>
      <c r="H300" s="22" t="s">
        <v>870</v>
      </c>
      <c r="I300" s="27" t="s">
        <v>66</v>
      </c>
      <c r="J300" s="22" t="s">
        <v>871</v>
      </c>
      <c r="K300" s="23" t="s">
        <v>872</v>
      </c>
      <c r="L300" s="23" t="s">
        <v>168</v>
      </c>
      <c r="M300" s="24" t="e">
        <f aca="1">DATEDIF(D300,TODAY(),"Y")</f>
        <v>#NUM!</v>
      </c>
      <c r="N300" s="24" t="e">
        <f aca="1">DATEDIF(D300,TODAY(),"YM")</f>
        <v>#NUM!</v>
      </c>
      <c r="O300" s="24" t="e">
        <f aca="1">DATEDIF(D300,NOW(),"Y")&amp;" Tahun "&amp;DATEDIF(D300,NOW(),"YM")&amp;" Bulan "&amp;DATEDIF(D300,NOW(),"MD")&amp;" Hari "</f>
        <v>#NUM!</v>
      </c>
      <c r="P300" s="25"/>
      <c r="Q300" s="25"/>
      <c r="R300" s="51" t="n">
        <v>8200000</v>
      </c>
      <c r="S300" s="33" t="n">
        <v>8200000</v>
      </c>
    </row>
    <row r="301" spans="1:19" s="71" customFormat="1">
      <c r="A301" s="21" t="n">
        <v>298</v>
      </c>
      <c r="B301" s="106" t="s">
        <v>873</v>
      </c>
      <c r="C301" s="106"/>
      <c r="D301" s="159" t="s">
        <v>874</v>
      </c>
      <c r="E301" s="21" t="s">
        <v>24</v>
      </c>
      <c r="F301" s="21" t="s">
        <v>25</v>
      </c>
      <c r="G301" s="21" t="s">
        <v>875</v>
      </c>
      <c r="H301" s="23" t="s">
        <v>876</v>
      </c>
      <c r="I301" s="27"/>
      <c r="J301" s="22"/>
      <c r="K301" s="23" t="s">
        <v>877</v>
      </c>
      <c r="L301" s="23" t="s">
        <v>61</v>
      </c>
      <c r="M301" s="24"/>
      <c r="N301" s="24"/>
      <c r="O301" s="24"/>
      <c r="P301" s="25"/>
      <c r="Q301" s="25"/>
      <c r="R301" s="56"/>
      <c r="S301" s="56"/>
    </row>
    <row r="302" spans="1:19">
      <c r="A302" s="21" t="n">
        <v>299</v>
      </c>
      <c r="B302" s="109" t="s">
        <v>878</v>
      </c>
      <c r="C302" s="109"/>
      <c r="D302" s="161" t="s">
        <v>879</v>
      </c>
      <c r="E302" s="21" t="s">
        <v>33</v>
      </c>
      <c r="F302" s="21" t="s">
        <v>880</v>
      </c>
      <c r="G302" s="35" t="s">
        <v>881</v>
      </c>
      <c r="H302" s="23" t="s">
        <v>724</v>
      </c>
      <c r="I302" s="27" t="s">
        <v>96</v>
      </c>
      <c r="J302" s="22" t="s">
        <v>724</v>
      </c>
      <c r="K302" s="28" t="s">
        <v>181</v>
      </c>
      <c r="L302" s="23" t="s">
        <v>168</v>
      </c>
      <c r="M302" s="24"/>
      <c r="N302" s="24"/>
      <c r="O302" s="24" t="str">
        <f aca="1">DATEDIF(P302,NOW(),"Y")&amp;" Tahun "&amp;DATEDIF(P302,NOW(),"YM")&amp;" Bulan "&amp;DATEDIF(P302,NOW(),"MD")&amp;" Hari "</f>
        <v>3 Tahun 9 Bulan 6 Hari </v>
      </c>
      <c r="P302" s="36" t="n">
        <v>44562</v>
      </c>
      <c r="Q302" s="36" t="n">
        <v>46387</v>
      </c>
      <c r="R302" s="56"/>
      <c r="S302" s="56"/>
    </row>
    <row r="303" spans="1:19">
      <c r="A303" s="21" t="n">
        <v>300</v>
      </c>
      <c r="B303" s="110" t="s">
        <v>882</v>
      </c>
      <c r="C303" s="110"/>
      <c r="D303" s="161" t="s">
        <v>883</v>
      </c>
      <c r="E303" s="21" t="s">
        <v>24</v>
      </c>
      <c r="F303" s="21" t="s">
        <v>880</v>
      </c>
      <c r="G303" s="35" t="s">
        <v>881</v>
      </c>
      <c r="H303" s="23" t="s">
        <v>724</v>
      </c>
      <c r="I303" s="27" t="s">
        <v>96</v>
      </c>
      <c r="J303" s="22" t="s">
        <v>724</v>
      </c>
      <c r="K303" s="28" t="s">
        <v>181</v>
      </c>
      <c r="L303" s="29" t="s">
        <v>385</v>
      </c>
      <c r="M303" s="24"/>
      <c r="N303" s="24"/>
      <c r="O303" s="24" t="str">
        <f aca="1">DATEDIF(P303,NOW(),"Y")&amp;" Tahun "&amp;DATEDIF(P303,NOW(),"YM")&amp;" Bulan "&amp;DATEDIF(P303,NOW(),"MD")&amp;" Hari "</f>
        <v>3 Tahun 9 Bulan 6 Hari </v>
      </c>
      <c r="P303" s="36" t="n">
        <v>44562</v>
      </c>
      <c r="Q303" s="36" t="n">
        <v>46387</v>
      </c>
      <c r="R303" s="56"/>
      <c r="S303" s="56"/>
    </row>
    <row r="304" spans="1:19">
      <c r="A304" s="21" t="n">
        <v>301</v>
      </c>
      <c r="B304" s="109" t="s">
        <v>884</v>
      </c>
      <c r="C304" s="109"/>
      <c r="D304" s="161" t="s">
        <v>885</v>
      </c>
      <c r="E304" s="21" t="s">
        <v>33</v>
      </c>
      <c r="F304" s="21" t="s">
        <v>880</v>
      </c>
      <c r="G304" s="35" t="s">
        <v>881</v>
      </c>
      <c r="H304" s="23" t="s">
        <v>724</v>
      </c>
      <c r="I304" s="27" t="s">
        <v>96</v>
      </c>
      <c r="J304" s="22" t="s">
        <v>724</v>
      </c>
      <c r="K304" s="28" t="s">
        <v>181</v>
      </c>
      <c r="L304" s="23" t="s">
        <v>168</v>
      </c>
      <c r="M304" s="24"/>
      <c r="N304" s="24"/>
      <c r="O304" s="24" t="str">
        <f aca="1">DATEDIF(P304,NOW(),"Y")&amp;" Tahun "&amp;DATEDIF(P304,NOW(),"YM")&amp;" Bulan "&amp;DATEDIF(P304,NOW(),"MD")&amp;" Hari "</f>
        <v>3 Tahun 9 Bulan 6 Hari </v>
      </c>
      <c r="P304" s="36" t="n">
        <v>44562</v>
      </c>
      <c r="Q304" s="36" t="n">
        <v>46387</v>
      </c>
      <c r="R304" s="56"/>
      <c r="S304" s="56"/>
    </row>
    <row r="305" spans="1:19">
      <c r="A305" s="21" t="n">
        <v>302</v>
      </c>
      <c r="B305" s="109" t="s">
        <v>886</v>
      </c>
      <c r="C305" s="109"/>
      <c r="D305" s="161" t="s">
        <v>887</v>
      </c>
      <c r="E305" s="21" t="s">
        <v>24</v>
      </c>
      <c r="F305" s="21" t="s">
        <v>880</v>
      </c>
      <c r="G305" s="38" t="s">
        <v>888</v>
      </c>
      <c r="H305" s="23" t="s">
        <v>291</v>
      </c>
      <c r="I305" s="27" t="s">
        <v>96</v>
      </c>
      <c r="J305" s="23" t="s">
        <v>291</v>
      </c>
      <c r="K305" s="23" t="s">
        <v>161</v>
      </c>
      <c r="L305" s="23" t="s">
        <v>382</v>
      </c>
      <c r="M305" s="24"/>
      <c r="N305" s="24"/>
      <c r="O305" s="24" t="str">
        <f aca="1">DATEDIF(P305,NOW(),"Y")&amp;" Tahun "&amp;DATEDIF(P305,NOW(),"YM")&amp;" Bulan "&amp;DATEDIF(P305,NOW(),"MD")&amp;" Hari "</f>
        <v>3 Tahun 9 Bulan 6 Hari </v>
      </c>
      <c r="P305" s="36" t="n">
        <v>44562</v>
      </c>
      <c r="Q305" s="36" t="n">
        <v>46387</v>
      </c>
      <c r="R305" s="56"/>
      <c r="S305" s="56"/>
    </row>
    <row r="306" spans="1:19">
      <c r="A306" s="21" t="n">
        <v>303</v>
      </c>
      <c r="B306" s="109" t="s">
        <v>889</v>
      </c>
      <c r="C306" s="109"/>
      <c r="D306" s="161" t="s">
        <v>890</v>
      </c>
      <c r="E306" s="21" t="s">
        <v>24</v>
      </c>
      <c r="F306" s="21" t="s">
        <v>880</v>
      </c>
      <c r="G306" s="35" t="s">
        <v>881</v>
      </c>
      <c r="H306" s="23" t="s">
        <v>724</v>
      </c>
      <c r="I306" s="27" t="s">
        <v>96</v>
      </c>
      <c r="J306" s="22" t="s">
        <v>724</v>
      </c>
      <c r="K306" s="28" t="s">
        <v>181</v>
      </c>
      <c r="L306" s="23" t="s">
        <v>275</v>
      </c>
      <c r="M306" s="24"/>
      <c r="N306" s="24"/>
      <c r="O306" s="24" t="str">
        <f aca="1">DATEDIF(P306,NOW(),"Y")&amp;" Tahun "&amp;DATEDIF(P306,NOW(),"YM")&amp;" Bulan "&amp;DATEDIF(P306,NOW(),"MD")&amp;" Hari "</f>
        <v>3 Tahun 9 Bulan 6 Hari </v>
      </c>
      <c r="P306" s="36" t="n">
        <v>44562</v>
      </c>
      <c r="Q306" s="36" t="n">
        <v>46387</v>
      </c>
      <c r="R306" s="56"/>
      <c r="S306" s="56"/>
    </row>
    <row r="307" spans="1:19">
      <c r="A307" s="21" t="n">
        <v>304</v>
      </c>
      <c r="B307" s="109" t="s">
        <v>891</v>
      </c>
      <c r="C307" s="109"/>
      <c r="D307" s="161" t="s">
        <v>892</v>
      </c>
      <c r="E307" s="21" t="s">
        <v>24</v>
      </c>
      <c r="F307" s="21" t="s">
        <v>880</v>
      </c>
      <c r="G307" s="38" t="s">
        <v>888</v>
      </c>
      <c r="H307" s="23" t="s">
        <v>291</v>
      </c>
      <c r="I307" s="27" t="s">
        <v>96</v>
      </c>
      <c r="J307" s="23" t="s">
        <v>291</v>
      </c>
      <c r="K307" s="23" t="s">
        <v>161</v>
      </c>
      <c r="L307" s="23" t="s">
        <v>168</v>
      </c>
      <c r="M307" s="24"/>
      <c r="N307" s="24"/>
      <c r="O307" s="24" t="str">
        <f aca="1">DATEDIF(P307,NOW(),"Y")&amp;" Tahun "&amp;DATEDIF(P307,NOW(),"YM")&amp;" Bulan "&amp;DATEDIF(P307,NOW(),"MD")&amp;" Hari "</f>
        <v>3 Tahun 9 Bulan 6 Hari </v>
      </c>
      <c r="P307" s="36" t="n">
        <v>44562</v>
      </c>
      <c r="Q307" s="36" t="n">
        <v>46387</v>
      </c>
      <c r="R307" s="56"/>
      <c r="S307" s="56"/>
    </row>
    <row r="308" spans="1:19">
      <c r="A308" s="21" t="n">
        <v>305</v>
      </c>
      <c r="B308" s="111" t="s">
        <v>893</v>
      </c>
      <c r="C308" s="111"/>
      <c r="D308" s="161" t="s">
        <v>894</v>
      </c>
      <c r="E308" s="21" t="s">
        <v>33</v>
      </c>
      <c r="F308" s="21" t="s">
        <v>880</v>
      </c>
      <c r="G308" s="35" t="s">
        <v>881</v>
      </c>
      <c r="H308" s="23" t="s">
        <v>724</v>
      </c>
      <c r="I308" s="27" t="s">
        <v>96</v>
      </c>
      <c r="J308" s="22" t="s">
        <v>724</v>
      </c>
      <c r="K308" s="28" t="s">
        <v>181</v>
      </c>
      <c r="L308" s="23" t="s">
        <v>168</v>
      </c>
      <c r="M308" s="24"/>
      <c r="N308" s="24"/>
      <c r="O308" s="24" t="str">
        <f aca="1">DATEDIF(P308,NOW(),"Y")&amp;" Tahun "&amp;DATEDIF(P308,NOW(),"YM")&amp;" Bulan "&amp;DATEDIF(P308,NOW(),"MD")&amp;" Hari "</f>
        <v>3 Tahun 9 Bulan 6 Hari </v>
      </c>
      <c r="P308" s="36" t="n">
        <v>44562</v>
      </c>
      <c r="Q308" s="36" t="n">
        <v>46387</v>
      </c>
      <c r="R308" s="56"/>
      <c r="S308" s="56"/>
    </row>
    <row r="309" spans="1:19">
      <c r="A309" s="21" t="n">
        <v>306</v>
      </c>
      <c r="B309" s="110" t="s">
        <v>895</v>
      </c>
      <c r="C309" s="110"/>
      <c r="D309" s="161" t="s">
        <v>896</v>
      </c>
      <c r="E309" s="21" t="s">
        <v>33</v>
      </c>
      <c r="F309" s="21" t="s">
        <v>880</v>
      </c>
      <c r="G309" s="35" t="s">
        <v>881</v>
      </c>
      <c r="H309" s="23" t="s">
        <v>724</v>
      </c>
      <c r="I309" s="27" t="s">
        <v>96</v>
      </c>
      <c r="J309" s="22" t="s">
        <v>724</v>
      </c>
      <c r="K309" s="28" t="s">
        <v>181</v>
      </c>
      <c r="L309" s="23" t="s">
        <v>168</v>
      </c>
      <c r="M309" s="24"/>
      <c r="N309" s="24"/>
      <c r="O309" s="24" t="str">
        <f aca="1">DATEDIF(P309,NOW(),"Y")&amp;" Tahun "&amp;DATEDIF(P309,NOW(),"YM")&amp;" Bulan "&amp;DATEDIF(P309,NOW(),"MD")&amp;" Hari "</f>
        <v>3 Tahun 9 Bulan 6 Hari </v>
      </c>
      <c r="P309" s="36" t="n">
        <v>44562</v>
      </c>
      <c r="Q309" s="36" t="n">
        <v>46387</v>
      </c>
      <c r="R309" s="56"/>
      <c r="S309" s="56"/>
    </row>
    <row r="310" spans="1:19">
      <c r="A310" s="21" t="n">
        <v>307</v>
      </c>
      <c r="B310" s="106" t="s">
        <v>897</v>
      </c>
      <c r="C310" s="106"/>
      <c r="D310" s="161" t="s">
        <v>898</v>
      </c>
      <c r="E310" s="21" t="s">
        <v>33</v>
      </c>
      <c r="F310" s="21" t="s">
        <v>880</v>
      </c>
      <c r="G310" s="35" t="s">
        <v>881</v>
      </c>
      <c r="H310" s="23" t="s">
        <v>724</v>
      </c>
      <c r="I310" s="27" t="s">
        <v>96</v>
      </c>
      <c r="J310" s="22" t="s">
        <v>724</v>
      </c>
      <c r="K310" s="28" t="s">
        <v>181</v>
      </c>
      <c r="L310" s="23" t="s">
        <v>168</v>
      </c>
      <c r="M310" s="24"/>
      <c r="N310" s="24"/>
      <c r="O310" s="24" t="str">
        <f aca="1">DATEDIF(P310,NOW(),"Y")&amp;" Tahun "&amp;DATEDIF(P310,NOW(),"YM")&amp;" Bulan "&amp;DATEDIF(P310,NOW(),"MD")&amp;" Hari "</f>
        <v>3 Tahun 9 Bulan 6 Hari </v>
      </c>
      <c r="P310" s="36" t="n">
        <v>44562</v>
      </c>
      <c r="Q310" s="36" t="n">
        <v>46387</v>
      </c>
      <c r="R310" s="56"/>
      <c r="S310" s="56"/>
    </row>
    <row r="311" spans="1:19">
      <c r="A311" s="21" t="n">
        <v>308</v>
      </c>
      <c r="B311" s="112" t="s">
        <v>899</v>
      </c>
      <c r="C311" s="112"/>
      <c r="D311" s="163" t="s">
        <v>900</v>
      </c>
      <c r="E311" s="21" t="s">
        <v>33</v>
      </c>
      <c r="F311" s="21" t="s">
        <v>880</v>
      </c>
      <c r="G311" s="35" t="s">
        <v>881</v>
      </c>
      <c r="H311" s="28" t="s">
        <v>901</v>
      </c>
      <c r="I311" s="27" t="s">
        <v>96</v>
      </c>
      <c r="J311" s="22" t="s">
        <v>724</v>
      </c>
      <c r="K311" s="28" t="s">
        <v>181</v>
      </c>
      <c r="L311" s="30" t="s">
        <v>197</v>
      </c>
      <c r="M311" s="24"/>
      <c r="N311" s="24"/>
      <c r="O311" s="24" t="str">
        <f aca="1">DATEDIF(P311,NOW(),"Y")&amp;" Tahun "&amp;DATEDIF(P311,NOW(),"YM")&amp;" Bulan "&amp;DATEDIF(P311,NOW(),"MD")&amp;" Hari "</f>
        <v>2 Tahun 6 Bulan 6 Hari </v>
      </c>
      <c r="P311" s="41" t="n">
        <v>45017</v>
      </c>
      <c r="Q311" s="41" t="n">
        <v>46477</v>
      </c>
      <c r="R311" s="56"/>
      <c r="S311" s="56"/>
    </row>
    <row r="312" spans="1:19">
      <c r="A312" s="21" t="n">
        <v>309</v>
      </c>
      <c r="B312" s="112" t="s">
        <v>902</v>
      </c>
      <c r="C312" s="112"/>
      <c r="D312" s="163" t="s">
        <v>903</v>
      </c>
      <c r="E312" s="21" t="s">
        <v>33</v>
      </c>
      <c r="F312" s="21" t="s">
        <v>880</v>
      </c>
      <c r="G312" s="35" t="s">
        <v>881</v>
      </c>
      <c r="H312" s="23" t="s">
        <v>724</v>
      </c>
      <c r="I312" s="27" t="s">
        <v>96</v>
      </c>
      <c r="J312" s="22" t="s">
        <v>724</v>
      </c>
      <c r="K312" s="28" t="s">
        <v>181</v>
      </c>
      <c r="L312" s="23" t="s">
        <v>68</v>
      </c>
      <c r="M312" s="24"/>
      <c r="N312" s="24"/>
      <c r="O312" s="24" t="str">
        <f aca="1">DATEDIF(P312,NOW(),"Y")&amp;" Tahun "&amp;DATEDIF(P312,NOW(),"YM")&amp;" Bulan "&amp;DATEDIF(P312,NOW(),"MD")&amp;" Hari "</f>
        <v>2 Tahun 6 Bulan 6 Hari </v>
      </c>
      <c r="P312" s="41" t="n">
        <v>45017</v>
      </c>
      <c r="Q312" s="41" t="n">
        <v>46477</v>
      </c>
      <c r="R312" s="56"/>
      <c r="S312" s="56"/>
    </row>
    <row r="313" spans="1:19">
      <c r="A313" s="21" t="n">
        <v>310</v>
      </c>
      <c r="B313" s="112" t="s">
        <v>904</v>
      </c>
      <c r="C313" s="112"/>
      <c r="D313" s="163" t="s">
        <v>905</v>
      </c>
      <c r="E313" s="21" t="s">
        <v>33</v>
      </c>
      <c r="F313" s="21" t="s">
        <v>880</v>
      </c>
      <c r="G313" s="35" t="s">
        <v>881</v>
      </c>
      <c r="H313" s="23" t="s">
        <v>724</v>
      </c>
      <c r="I313" s="27" t="s">
        <v>96</v>
      </c>
      <c r="J313" s="22" t="s">
        <v>724</v>
      </c>
      <c r="K313" s="28" t="s">
        <v>181</v>
      </c>
      <c r="L313" s="23" t="s">
        <v>68</v>
      </c>
      <c r="M313" s="24"/>
      <c r="N313" s="24"/>
      <c r="O313" s="24" t="str">
        <f aca="1">DATEDIF(P313,NOW(),"Y")&amp;" Tahun "&amp;DATEDIF(P313,NOW(),"YM")&amp;" Bulan "&amp;DATEDIF(P313,NOW(),"MD")&amp;" Hari "</f>
        <v>2 Tahun 6 Bulan 6 Hari </v>
      </c>
      <c r="P313" s="41" t="n">
        <v>45017</v>
      </c>
      <c r="Q313" s="41" t="n">
        <v>46477</v>
      </c>
      <c r="R313" s="56"/>
      <c r="S313" s="56"/>
    </row>
    <row r="314" spans="1:19">
      <c r="A314" s="21" t="n">
        <v>311</v>
      </c>
      <c r="B314" s="112" t="s">
        <v>906</v>
      </c>
      <c r="C314" s="112"/>
      <c r="D314" s="163" t="s">
        <v>907</v>
      </c>
      <c r="E314" s="21" t="s">
        <v>33</v>
      </c>
      <c r="F314" s="21" t="s">
        <v>880</v>
      </c>
      <c r="G314" s="35" t="s">
        <v>881</v>
      </c>
      <c r="H314" s="23" t="s">
        <v>724</v>
      </c>
      <c r="I314" s="27" t="s">
        <v>96</v>
      </c>
      <c r="J314" s="22" t="s">
        <v>724</v>
      </c>
      <c r="K314" s="28" t="s">
        <v>181</v>
      </c>
      <c r="L314" s="23" t="s">
        <v>222</v>
      </c>
      <c r="M314" s="24"/>
      <c r="N314" s="24"/>
      <c r="O314" s="24" t="str">
        <f aca="1">DATEDIF(P314,NOW(),"Y")&amp;" Tahun "&amp;DATEDIF(P314,NOW(),"YM")&amp;" Bulan "&amp;DATEDIF(P314,NOW(),"MD")&amp;" Hari "</f>
        <v>2 Tahun 6 Bulan 6 Hari </v>
      </c>
      <c r="P314" s="41" t="n">
        <v>45017</v>
      </c>
      <c r="Q314" s="41" t="n">
        <v>46477</v>
      </c>
      <c r="R314" s="56"/>
      <c r="S314" s="56"/>
    </row>
    <row r="315" spans="1:19">
      <c r="A315" s="21" t="n">
        <v>312</v>
      </c>
      <c r="B315" s="112" t="s">
        <v>908</v>
      </c>
      <c r="C315" s="112"/>
      <c r="D315" s="163" t="s">
        <v>909</v>
      </c>
      <c r="E315" s="21" t="s">
        <v>33</v>
      </c>
      <c r="F315" s="21" t="s">
        <v>880</v>
      </c>
      <c r="G315" s="35" t="s">
        <v>881</v>
      </c>
      <c r="H315" s="23" t="s">
        <v>724</v>
      </c>
      <c r="I315" s="27" t="s">
        <v>96</v>
      </c>
      <c r="J315" s="22" t="s">
        <v>724</v>
      </c>
      <c r="K315" s="28" t="s">
        <v>181</v>
      </c>
      <c r="L315" s="23" t="s">
        <v>910</v>
      </c>
      <c r="M315" s="24"/>
      <c r="N315" s="24"/>
      <c r="O315" s="24" t="str">
        <f aca="1">DATEDIF(P315,NOW(),"Y")&amp;" Tahun "&amp;DATEDIF(P315,NOW(),"YM")&amp;" Bulan "&amp;DATEDIF(P315,NOW(),"MD")&amp;" Hari "</f>
        <v>2 Tahun 6 Bulan 6 Hari </v>
      </c>
      <c r="P315" s="41" t="n">
        <v>45017</v>
      </c>
      <c r="Q315" s="41" t="n">
        <v>46477</v>
      </c>
      <c r="R315" s="56"/>
      <c r="S315" s="56"/>
    </row>
    <row r="316" spans="1:19">
      <c r="A316" s="21" t="n">
        <v>313</v>
      </c>
      <c r="B316" s="112" t="s">
        <v>911</v>
      </c>
      <c r="C316" s="112"/>
      <c r="D316" s="163" t="s">
        <v>912</v>
      </c>
      <c r="E316" s="21" t="s">
        <v>33</v>
      </c>
      <c r="F316" s="21" t="s">
        <v>880</v>
      </c>
      <c r="G316" s="35" t="s">
        <v>881</v>
      </c>
      <c r="H316" s="40" t="s">
        <v>913</v>
      </c>
      <c r="I316" s="22" t="s">
        <v>242</v>
      </c>
      <c r="J316" s="40" t="s">
        <v>913</v>
      </c>
      <c r="K316" s="28" t="s">
        <v>914</v>
      </c>
      <c r="L316" s="23" t="s">
        <v>523</v>
      </c>
      <c r="M316" s="24"/>
      <c r="N316" s="24"/>
      <c r="O316" s="24" t="str">
        <f aca="1">DATEDIF(P316,NOW(),"Y")&amp;" Tahun "&amp;DATEDIF(P316,NOW(),"YM")&amp;" Bulan "&amp;DATEDIF(P316,NOW(),"MD")&amp;" Hari "</f>
        <v>2 Tahun 6 Bulan 6 Hari </v>
      </c>
      <c r="P316" s="41" t="n">
        <v>45017</v>
      </c>
      <c r="Q316" s="41" t="n">
        <v>46477</v>
      </c>
      <c r="R316" s="56"/>
      <c r="S316" s="56"/>
    </row>
    <row r="317" spans="1:19">
      <c r="A317" s="21" t="n">
        <v>314</v>
      </c>
      <c r="B317" s="112" t="s">
        <v>915</v>
      </c>
      <c r="C317" s="112"/>
      <c r="D317" s="163" t="s">
        <v>916</v>
      </c>
      <c r="E317" s="21" t="s">
        <v>33</v>
      </c>
      <c r="F317" s="21" t="s">
        <v>880</v>
      </c>
      <c r="G317" s="35" t="s">
        <v>881</v>
      </c>
      <c r="H317" s="40" t="s">
        <v>917</v>
      </c>
      <c r="I317" s="22" t="s">
        <v>101</v>
      </c>
      <c r="J317" s="40" t="s">
        <v>917</v>
      </c>
      <c r="K317" s="28" t="s">
        <v>143</v>
      </c>
      <c r="L317" s="23" t="s">
        <v>103</v>
      </c>
      <c r="M317" s="24"/>
      <c r="N317" s="24"/>
      <c r="O317" s="24" t="str">
        <f aca="1">DATEDIF(P317,NOW(),"Y")&amp;" Tahun "&amp;DATEDIF(P317,NOW(),"YM")&amp;" Bulan "&amp;DATEDIF(P317,NOW(),"MD")&amp;" Hari "</f>
        <v>2 Tahun 6 Bulan 6 Hari </v>
      </c>
      <c r="P317" s="41" t="n">
        <v>45017</v>
      </c>
      <c r="Q317" s="41" t="n">
        <v>46477</v>
      </c>
      <c r="R317" s="56"/>
      <c r="S317" s="56"/>
    </row>
    <row r="318" spans="1:19">
      <c r="A318" s="21" t="n">
        <v>315</v>
      </c>
      <c r="B318" s="112" t="s">
        <v>918</v>
      </c>
      <c r="C318" s="112"/>
      <c r="D318" s="163" t="s">
        <v>919</v>
      </c>
      <c r="E318" s="21" t="s">
        <v>33</v>
      </c>
      <c r="F318" s="21" t="s">
        <v>880</v>
      </c>
      <c r="G318" s="35" t="s">
        <v>888</v>
      </c>
      <c r="H318" s="40" t="s">
        <v>920</v>
      </c>
      <c r="I318" s="27" t="s">
        <v>66</v>
      </c>
      <c r="J318" s="40" t="s">
        <v>920</v>
      </c>
      <c r="K318" s="28" t="s">
        <v>921</v>
      </c>
      <c r="L318" s="23" t="s">
        <v>606</v>
      </c>
      <c r="M318" s="24"/>
      <c r="N318" s="24"/>
      <c r="O318" s="24" t="str">
        <f aca="1">DATEDIF(P318,NOW(),"Y")&amp;" Tahun "&amp;DATEDIF(P318,NOW(),"YM")&amp;" Bulan "&amp;DATEDIF(P318,NOW(),"MD")&amp;" Hari "</f>
        <v>2 Tahun 6 Bulan 6 Hari </v>
      </c>
      <c r="P318" s="41" t="n">
        <v>45017</v>
      </c>
      <c r="Q318" s="41" t="n">
        <v>46477</v>
      </c>
      <c r="R318" s="56"/>
      <c r="S318" s="56"/>
    </row>
    <row r="319" spans="1:19">
      <c r="A319" s="21" t="n">
        <v>316</v>
      </c>
      <c r="B319" s="112" t="s">
        <v>922</v>
      </c>
      <c r="C319" s="112"/>
      <c r="D319" s="163" t="s">
        <v>923</v>
      </c>
      <c r="E319" s="21" t="s">
        <v>24</v>
      </c>
      <c r="F319" s="21" t="s">
        <v>880</v>
      </c>
      <c r="G319" s="35" t="s">
        <v>881</v>
      </c>
      <c r="H319" s="23" t="s">
        <v>724</v>
      </c>
      <c r="I319" s="27" t="s">
        <v>96</v>
      </c>
      <c r="J319" s="22" t="s">
        <v>724</v>
      </c>
      <c r="K319" s="28" t="s">
        <v>181</v>
      </c>
      <c r="L319" s="23" t="s">
        <v>168</v>
      </c>
      <c r="M319" s="24"/>
      <c r="N319" s="24"/>
      <c r="O319" s="24" t="str">
        <f aca="1">DATEDIF(P319,NOW(),"Y")&amp;" Tahun "&amp;DATEDIF(P319,NOW(),"YM")&amp;" Bulan "&amp;DATEDIF(P319,NOW(),"MD")&amp;" Hari "</f>
        <v>2 Tahun 6 Bulan 6 Hari </v>
      </c>
      <c r="P319" s="41" t="n">
        <v>45017</v>
      </c>
      <c r="Q319" s="41" t="n">
        <v>46477</v>
      </c>
      <c r="R319" s="56"/>
      <c r="S319" s="56"/>
    </row>
    <row r="320" spans="1:19">
      <c r="A320" s="21" t="n">
        <v>317</v>
      </c>
      <c r="B320" s="112" t="s">
        <v>924</v>
      </c>
      <c r="C320" s="112"/>
      <c r="D320" s="163" t="s">
        <v>925</v>
      </c>
      <c r="E320" s="21" t="s">
        <v>33</v>
      </c>
      <c r="F320" s="21" t="s">
        <v>880</v>
      </c>
      <c r="G320" s="35" t="s">
        <v>926</v>
      </c>
      <c r="H320" s="23" t="s">
        <v>724</v>
      </c>
      <c r="I320" s="27" t="s">
        <v>96</v>
      </c>
      <c r="J320" s="22" t="s">
        <v>724</v>
      </c>
      <c r="K320" s="28" t="s">
        <v>181</v>
      </c>
      <c r="L320" s="23" t="s">
        <v>168</v>
      </c>
      <c r="M320" s="24"/>
      <c r="N320" s="24"/>
      <c r="O320" s="24" t="str">
        <f aca="1">DATEDIF(P320,NOW(),"Y")&amp;" Tahun "&amp;DATEDIF(P320,NOW(),"YM")&amp;" Bulan "&amp;DATEDIF(P320,NOW(),"MD")&amp;" Hari "</f>
        <v>2 Tahun 6 Bulan 6 Hari </v>
      </c>
      <c r="P320" s="41" t="n">
        <v>45017</v>
      </c>
      <c r="Q320" s="41" t="n">
        <v>46477</v>
      </c>
      <c r="R320" s="56"/>
      <c r="S320" s="56"/>
    </row>
    <row r="321" spans="1:19">
      <c r="A321" s="21" t="n">
        <v>318</v>
      </c>
      <c r="B321" s="112" t="s">
        <v>927</v>
      </c>
      <c r="C321" s="112"/>
      <c r="D321" s="163" t="s">
        <v>928</v>
      </c>
      <c r="E321" s="21" t="s">
        <v>24</v>
      </c>
      <c r="F321" s="21" t="s">
        <v>880</v>
      </c>
      <c r="G321" s="35" t="s">
        <v>881</v>
      </c>
      <c r="H321" s="22" t="s">
        <v>663</v>
      </c>
      <c r="I321" s="27" t="s">
        <v>201</v>
      </c>
      <c r="J321" s="22" t="s">
        <v>663</v>
      </c>
      <c r="K321" s="28" t="s">
        <v>209</v>
      </c>
      <c r="L321" s="23" t="s">
        <v>158</v>
      </c>
      <c r="M321" s="24"/>
      <c r="N321" s="24"/>
      <c r="O321" s="24" t="str">
        <f aca="1">DATEDIF(P321,NOW(),"Y")&amp;" Tahun "&amp;DATEDIF(P321,NOW(),"YM")&amp;" Bulan "&amp;DATEDIF(P321,NOW(),"MD")&amp;" Hari "</f>
        <v>2 Tahun 6 Bulan 6 Hari </v>
      </c>
      <c r="P321" s="41" t="n">
        <v>45017</v>
      </c>
      <c r="Q321" s="41" t="n">
        <v>46477</v>
      </c>
      <c r="R321" s="56"/>
      <c r="S321" s="56"/>
    </row>
    <row r="322" spans="1:19">
      <c r="A322" s="21" t="n">
        <v>319</v>
      </c>
      <c r="B322" s="112" t="s">
        <v>929</v>
      </c>
      <c r="C322" s="112"/>
      <c r="D322" s="163" t="s">
        <v>930</v>
      </c>
      <c r="E322" s="21" t="s">
        <v>24</v>
      </c>
      <c r="F322" s="21" t="s">
        <v>880</v>
      </c>
      <c r="G322" s="35" t="s">
        <v>881</v>
      </c>
      <c r="H322" s="23" t="s">
        <v>724</v>
      </c>
      <c r="I322" s="27" t="s">
        <v>96</v>
      </c>
      <c r="J322" s="22" t="s">
        <v>724</v>
      </c>
      <c r="K322" s="28" t="s">
        <v>181</v>
      </c>
      <c r="L322" s="23" t="s">
        <v>158</v>
      </c>
      <c r="M322" s="24"/>
      <c r="N322" s="24"/>
      <c r="O322" s="24" t="str">
        <f aca="1">DATEDIF(P322,NOW(),"Y")&amp;" Tahun "&amp;DATEDIF(P322,NOW(),"YM")&amp;" Bulan "&amp;DATEDIF(P322,NOW(),"MD")&amp;" Hari "</f>
        <v>2 Tahun 6 Bulan 6 Hari </v>
      </c>
      <c r="P322" s="41" t="n">
        <v>45017</v>
      </c>
      <c r="Q322" s="41" t="n">
        <v>46477</v>
      </c>
      <c r="R322" s="56"/>
      <c r="S322" s="56"/>
    </row>
    <row r="323" spans="1:19">
      <c r="A323" s="21" t="n">
        <v>320</v>
      </c>
      <c r="B323" s="112" t="s">
        <v>931</v>
      </c>
      <c r="C323" s="112"/>
      <c r="D323" s="163" t="s">
        <v>932</v>
      </c>
      <c r="E323" s="21" t="s">
        <v>24</v>
      </c>
      <c r="F323" s="21" t="s">
        <v>880</v>
      </c>
      <c r="G323" s="35" t="s">
        <v>926</v>
      </c>
      <c r="H323" s="22" t="s">
        <v>631</v>
      </c>
      <c r="I323" s="27" t="s">
        <v>201</v>
      </c>
      <c r="J323" s="22" t="s">
        <v>631</v>
      </c>
      <c r="K323" s="28" t="s">
        <v>202</v>
      </c>
      <c r="L323" s="23" t="s">
        <v>461</v>
      </c>
      <c r="M323" s="24"/>
      <c r="N323" s="24"/>
      <c r="O323" s="24" t="str">
        <f aca="1">DATEDIF(P323,NOW(),"Y")&amp;" Tahun "&amp;DATEDIF(P323,NOW(),"YM")&amp;" Bulan "&amp;DATEDIF(P323,NOW(),"MD")&amp;" Hari "</f>
        <v>2 Tahun 6 Bulan 6 Hari </v>
      </c>
      <c r="P323" s="41" t="n">
        <v>45017</v>
      </c>
      <c r="Q323" s="41" t="n">
        <v>46477</v>
      </c>
      <c r="R323" s="56"/>
      <c r="S323" s="56"/>
    </row>
    <row r="324" spans="1:19">
      <c r="A324" s="21" t="n">
        <v>321</v>
      </c>
      <c r="B324" s="112" t="s">
        <v>933</v>
      </c>
      <c r="C324" s="112"/>
      <c r="D324" s="163" t="s">
        <v>934</v>
      </c>
      <c r="E324" s="21" t="s">
        <v>24</v>
      </c>
      <c r="F324" s="21" t="s">
        <v>880</v>
      </c>
      <c r="G324" s="35" t="s">
        <v>881</v>
      </c>
      <c r="H324" s="23" t="s">
        <v>724</v>
      </c>
      <c r="I324" s="27" t="s">
        <v>96</v>
      </c>
      <c r="J324" s="22" t="s">
        <v>724</v>
      </c>
      <c r="K324" s="28" t="s">
        <v>181</v>
      </c>
      <c r="L324" s="23" t="s">
        <v>461</v>
      </c>
      <c r="M324" s="24"/>
      <c r="N324" s="24"/>
      <c r="O324" s="24" t="str">
        <f aca="1">DATEDIF(P324,NOW(),"Y")&amp;" Tahun "&amp;DATEDIF(P324,NOW(),"YM")&amp;" Bulan "&amp;DATEDIF(P324,NOW(),"MD")&amp;" Hari "</f>
        <v>2 Tahun 6 Bulan 6 Hari </v>
      </c>
      <c r="P324" s="41" t="n">
        <v>45017</v>
      </c>
      <c r="Q324" s="41" t="n">
        <v>46477</v>
      </c>
      <c r="R324" s="56"/>
      <c r="S324" s="56"/>
    </row>
    <row r="325" spans="1:19">
      <c r="A325" s="21" t="n">
        <v>322</v>
      </c>
      <c r="B325" s="112" t="s">
        <v>935</v>
      </c>
      <c r="C325" s="112"/>
      <c r="D325" s="163" t="s">
        <v>936</v>
      </c>
      <c r="E325" s="21" t="s">
        <v>24</v>
      </c>
      <c r="F325" s="21" t="s">
        <v>880</v>
      </c>
      <c r="G325" s="35" t="s">
        <v>881</v>
      </c>
      <c r="H325" s="23" t="s">
        <v>724</v>
      </c>
      <c r="I325" s="27" t="s">
        <v>96</v>
      </c>
      <c r="J325" s="22" t="s">
        <v>724</v>
      </c>
      <c r="K325" s="28" t="s">
        <v>181</v>
      </c>
      <c r="L325" s="23" t="s">
        <v>382</v>
      </c>
      <c r="M325" s="24"/>
      <c r="N325" s="24"/>
      <c r="O325" s="24" t="str">
        <f aca="1">DATEDIF(P325,NOW(),"Y")&amp;" Tahun "&amp;DATEDIF(P325,NOW(),"YM")&amp;" Bulan "&amp;DATEDIF(P325,NOW(),"MD")&amp;" Hari "</f>
        <v>2 Tahun 6 Bulan 6 Hari </v>
      </c>
      <c r="P325" s="41" t="n">
        <v>45017</v>
      </c>
      <c r="Q325" s="41" t="n">
        <v>46477</v>
      </c>
      <c r="R325" s="56"/>
      <c r="S325" s="56"/>
    </row>
    <row r="326" spans="1:19">
      <c r="A326" s="21" t="n">
        <v>323</v>
      </c>
      <c r="B326" s="112" t="s">
        <v>937</v>
      </c>
      <c r="C326" s="112"/>
      <c r="D326" s="163" t="s">
        <v>938</v>
      </c>
      <c r="E326" s="21" t="s">
        <v>24</v>
      </c>
      <c r="F326" s="21" t="s">
        <v>880</v>
      </c>
      <c r="G326" s="35" t="s">
        <v>881</v>
      </c>
      <c r="H326" s="40" t="s">
        <v>917</v>
      </c>
      <c r="I326" s="22" t="s">
        <v>101</v>
      </c>
      <c r="J326" s="40" t="s">
        <v>917</v>
      </c>
      <c r="K326" s="28" t="s">
        <v>143</v>
      </c>
      <c r="L326" s="23" t="s">
        <v>103</v>
      </c>
      <c r="M326" s="24"/>
      <c r="N326" s="24"/>
      <c r="O326" s="24" t="str">
        <f aca="1">DATEDIF(P326,NOW(),"Y")&amp;" Tahun "&amp;DATEDIF(P326,NOW(),"YM")&amp;" Bulan "&amp;DATEDIF(P326,NOW(),"MD")&amp;" Hari "</f>
        <v>2 Tahun 6 Bulan 6 Hari </v>
      </c>
      <c r="P326" s="41" t="n">
        <v>45017</v>
      </c>
      <c r="Q326" s="41" t="n">
        <v>46477</v>
      </c>
      <c r="R326" s="56"/>
      <c r="S326" s="56"/>
    </row>
    <row r="327" spans="1:19">
      <c r="A327" s="21" t="n">
        <v>324</v>
      </c>
      <c r="B327" s="112" t="s">
        <v>939</v>
      </c>
      <c r="C327" s="112"/>
      <c r="D327" s="163" t="s">
        <v>940</v>
      </c>
      <c r="E327" s="21" t="s">
        <v>24</v>
      </c>
      <c r="F327" s="21" t="s">
        <v>880</v>
      </c>
      <c r="G327" s="35" t="s">
        <v>888</v>
      </c>
      <c r="H327" s="23" t="s">
        <v>724</v>
      </c>
      <c r="I327" s="27" t="s">
        <v>96</v>
      </c>
      <c r="J327" s="22" t="s">
        <v>724</v>
      </c>
      <c r="K327" s="28" t="s">
        <v>181</v>
      </c>
      <c r="L327" s="23" t="s">
        <v>225</v>
      </c>
      <c r="M327" s="24"/>
      <c r="N327" s="24"/>
      <c r="O327" s="24" t="str">
        <f aca="1">DATEDIF(P327,NOW(),"Y")&amp;" Tahun "&amp;DATEDIF(P327,NOW(),"YM")&amp;" Bulan "&amp;DATEDIF(P327,NOW(),"MD")&amp;" Hari "</f>
        <v>2 Tahun 6 Bulan 6 Hari </v>
      </c>
      <c r="P327" s="41" t="n">
        <v>45017</v>
      </c>
      <c r="Q327" s="41" t="n">
        <v>46477</v>
      </c>
      <c r="R327" s="56"/>
      <c r="S327" s="56"/>
    </row>
    <row r="328" spans="1:19">
      <c r="A328" s="21" t="n">
        <v>325</v>
      </c>
      <c r="B328" s="112" t="s">
        <v>941</v>
      </c>
      <c r="C328" s="112"/>
      <c r="D328" s="163" t="s">
        <v>942</v>
      </c>
      <c r="E328" s="21" t="s">
        <v>24</v>
      </c>
      <c r="F328" s="21" t="s">
        <v>880</v>
      </c>
      <c r="G328" s="35" t="s">
        <v>881</v>
      </c>
      <c r="H328" s="40" t="s">
        <v>943</v>
      </c>
      <c r="I328" s="22" t="s">
        <v>132</v>
      </c>
      <c r="J328" s="40" t="s">
        <v>943</v>
      </c>
      <c r="K328" s="28" t="s">
        <v>172</v>
      </c>
      <c r="L328" s="23" t="s">
        <v>173</v>
      </c>
      <c r="M328" s="24"/>
      <c r="N328" s="24"/>
      <c r="O328" s="24" t="str">
        <f aca="1">DATEDIF(P328,NOW(),"Y")&amp;" Tahun "&amp;DATEDIF(P328,NOW(),"YM")&amp;" Bulan "&amp;DATEDIF(P328,NOW(),"MD")&amp;" Hari "</f>
        <v>2 Tahun 6 Bulan 6 Hari </v>
      </c>
      <c r="P328" s="41" t="n">
        <v>45017</v>
      </c>
      <c r="Q328" s="41" t="n">
        <v>46477</v>
      </c>
      <c r="R328" s="56"/>
      <c r="S328" s="56"/>
    </row>
    <row r="329" spans="1:19">
      <c r="A329" s="21" t="n">
        <v>326</v>
      </c>
      <c r="B329" s="112" t="s">
        <v>944</v>
      </c>
      <c r="C329" s="112"/>
      <c r="D329" s="163" t="s">
        <v>945</v>
      </c>
      <c r="E329" s="21" t="s">
        <v>24</v>
      </c>
      <c r="F329" s="21" t="s">
        <v>880</v>
      </c>
      <c r="G329" s="35" t="s">
        <v>881</v>
      </c>
      <c r="H329" s="22" t="s">
        <v>663</v>
      </c>
      <c r="I329" s="27" t="s">
        <v>201</v>
      </c>
      <c r="J329" s="22" t="s">
        <v>663</v>
      </c>
      <c r="K329" s="28" t="s">
        <v>209</v>
      </c>
      <c r="L329" s="23" t="s">
        <v>73</v>
      </c>
      <c r="M329" s="24"/>
      <c r="N329" s="24"/>
      <c r="O329" s="24" t="str">
        <f aca="1">DATEDIF(P329,NOW(),"Y")&amp;" Tahun "&amp;DATEDIF(P329,NOW(),"YM")&amp;" Bulan "&amp;DATEDIF(P329,NOW(),"MD")&amp;" Hari "</f>
        <v>2 Tahun 6 Bulan 6 Hari </v>
      </c>
      <c r="P329" s="41" t="n">
        <v>45017</v>
      </c>
      <c r="Q329" s="41" t="n">
        <v>46477</v>
      </c>
      <c r="R329" s="56"/>
      <c r="S329" s="56"/>
    </row>
    <row r="330" spans="1:19">
      <c r="A330" s="21" t="n">
        <v>327</v>
      </c>
      <c r="B330" s="112" t="s">
        <v>946</v>
      </c>
      <c r="C330" s="112"/>
      <c r="D330" s="163" t="s">
        <v>947</v>
      </c>
      <c r="E330" s="21" t="s">
        <v>24</v>
      </c>
      <c r="F330" s="21" t="s">
        <v>880</v>
      </c>
      <c r="G330" s="35" t="s">
        <v>881</v>
      </c>
      <c r="H330" s="23" t="s">
        <v>724</v>
      </c>
      <c r="I330" s="27" t="s">
        <v>96</v>
      </c>
      <c r="J330" s="22" t="s">
        <v>724</v>
      </c>
      <c r="K330" s="28" t="s">
        <v>181</v>
      </c>
      <c r="L330" s="23" t="s">
        <v>275</v>
      </c>
      <c r="M330" s="24"/>
      <c r="N330" s="24"/>
      <c r="O330" s="24" t="str">
        <f aca="1">DATEDIF(P330,NOW(),"Y")&amp;" Tahun "&amp;DATEDIF(P330,NOW(),"YM")&amp;" Bulan "&amp;DATEDIF(P330,NOW(),"MD")&amp;" Hari "</f>
        <v>2 Tahun 6 Bulan 6 Hari </v>
      </c>
      <c r="P330" s="41" t="n">
        <v>45017</v>
      </c>
      <c r="Q330" s="41" t="n">
        <v>46477</v>
      </c>
      <c r="R330" s="56"/>
      <c r="S330" s="56"/>
    </row>
    <row r="331" spans="1:19">
      <c r="A331" s="21" t="n">
        <v>328</v>
      </c>
      <c r="B331" s="112" t="s">
        <v>948</v>
      </c>
      <c r="C331" s="112"/>
      <c r="D331" s="163" t="s">
        <v>949</v>
      </c>
      <c r="E331" s="21" t="s">
        <v>24</v>
      </c>
      <c r="F331" s="21" t="s">
        <v>880</v>
      </c>
      <c r="G331" s="35" t="s">
        <v>881</v>
      </c>
      <c r="H331" s="22" t="s">
        <v>663</v>
      </c>
      <c r="I331" s="27" t="s">
        <v>201</v>
      </c>
      <c r="J331" s="22" t="s">
        <v>663</v>
      </c>
      <c r="K331" s="28" t="s">
        <v>209</v>
      </c>
      <c r="L331" s="23" t="s">
        <v>622</v>
      </c>
      <c r="M331" s="24"/>
      <c r="N331" s="24"/>
      <c r="O331" s="24" t="str">
        <f aca="1">DATEDIF(P331,NOW(),"Y")&amp;" Tahun "&amp;DATEDIF(P331,NOW(),"YM")&amp;" Bulan "&amp;DATEDIF(P331,NOW(),"MD")&amp;" Hari "</f>
        <v>2 Tahun 6 Bulan 6 Hari </v>
      </c>
      <c r="P331" s="41" t="n">
        <v>45017</v>
      </c>
      <c r="Q331" s="41" t="n">
        <v>46477</v>
      </c>
      <c r="R331" s="56"/>
      <c r="S331" s="56"/>
    </row>
    <row r="332" spans="1:19">
      <c r="A332" s="21" t="n">
        <v>329</v>
      </c>
      <c r="B332" s="112" t="s">
        <v>950</v>
      </c>
      <c r="C332" s="112"/>
      <c r="D332" s="163" t="s">
        <v>951</v>
      </c>
      <c r="E332" s="21" t="s">
        <v>24</v>
      </c>
      <c r="F332" s="21" t="s">
        <v>880</v>
      </c>
      <c r="G332" s="35" t="s">
        <v>926</v>
      </c>
      <c r="H332" s="40" t="s">
        <v>952</v>
      </c>
      <c r="I332" s="22" t="s">
        <v>132</v>
      </c>
      <c r="J332" s="40" t="s">
        <v>952</v>
      </c>
      <c r="K332" s="28" t="s">
        <v>172</v>
      </c>
      <c r="L332" s="23" t="s">
        <v>173</v>
      </c>
      <c r="M332" s="24"/>
      <c r="N332" s="24"/>
      <c r="O332" s="24" t="str">
        <f aca="1">DATEDIF(P332,NOW(),"Y")&amp;" Tahun "&amp;DATEDIF(P332,NOW(),"YM")&amp;" Bulan "&amp;DATEDIF(P332,NOW(),"MD")&amp;" Hari "</f>
        <v>2 Tahun 6 Bulan 6 Hari </v>
      </c>
      <c r="P332" s="41" t="n">
        <v>45017</v>
      </c>
      <c r="Q332" s="41" t="n">
        <v>46477</v>
      </c>
      <c r="R332" s="56"/>
      <c r="S332" s="56"/>
    </row>
    <row r="333" spans="1:19">
      <c r="A333" s="21" t="n">
        <v>330</v>
      </c>
      <c r="B333" s="112" t="s">
        <v>953</v>
      </c>
      <c r="C333" s="112"/>
      <c r="D333" s="163" t="s">
        <v>954</v>
      </c>
      <c r="E333" s="21" t="s">
        <v>24</v>
      </c>
      <c r="F333" s="21" t="s">
        <v>880</v>
      </c>
      <c r="G333" s="35" t="s">
        <v>881</v>
      </c>
      <c r="H333" s="22" t="s">
        <v>663</v>
      </c>
      <c r="I333" s="27" t="s">
        <v>201</v>
      </c>
      <c r="J333" s="22" t="s">
        <v>663</v>
      </c>
      <c r="K333" s="28" t="s">
        <v>209</v>
      </c>
      <c r="L333" s="23" t="s">
        <v>210</v>
      </c>
      <c r="M333" s="24"/>
      <c r="N333" s="24"/>
      <c r="O333" s="24" t="str">
        <f aca="1">DATEDIF(P333,NOW(),"Y")&amp;" Tahun "&amp;DATEDIF(P333,NOW(),"YM")&amp;" Bulan "&amp;DATEDIF(P333,NOW(),"MD")&amp;" Hari "</f>
        <v>2 Tahun 6 Bulan 6 Hari </v>
      </c>
      <c r="P333" s="41" t="n">
        <v>45017</v>
      </c>
      <c r="Q333" s="41" t="n">
        <v>46477</v>
      </c>
      <c r="R333" s="56"/>
      <c r="S333" s="56"/>
    </row>
    <row r="334" spans="1:19">
      <c r="A334" s="21" t="n">
        <v>331</v>
      </c>
      <c r="B334" s="112" t="s">
        <v>955</v>
      </c>
      <c r="C334" s="112"/>
      <c r="D334" s="163" t="s">
        <v>956</v>
      </c>
      <c r="E334" s="21" t="s">
        <v>24</v>
      </c>
      <c r="F334" s="21" t="s">
        <v>880</v>
      </c>
      <c r="G334" s="35" t="s">
        <v>881</v>
      </c>
      <c r="H334" s="22" t="s">
        <v>663</v>
      </c>
      <c r="I334" s="27" t="s">
        <v>201</v>
      </c>
      <c r="J334" s="22" t="s">
        <v>663</v>
      </c>
      <c r="K334" s="28" t="s">
        <v>209</v>
      </c>
      <c r="L334" s="23" t="s">
        <v>210</v>
      </c>
      <c r="M334" s="24"/>
      <c r="N334" s="24"/>
      <c r="O334" s="24" t="str">
        <f aca="1">DATEDIF(P334,NOW(),"Y")&amp;" Tahun "&amp;DATEDIF(P334,NOW(),"YM")&amp;" Bulan "&amp;DATEDIF(P334,NOW(),"MD")&amp;" Hari "</f>
        <v>2 Tahun 6 Bulan 6 Hari </v>
      </c>
      <c r="P334" s="41" t="n">
        <v>45017</v>
      </c>
      <c r="Q334" s="41" t="n">
        <v>46477</v>
      </c>
      <c r="R334" s="56"/>
      <c r="S334" s="56"/>
    </row>
    <row r="335" spans="1:19">
      <c r="A335" s="21" t="n">
        <v>332</v>
      </c>
      <c r="B335" s="112" t="s">
        <v>957</v>
      </c>
      <c r="C335" s="112"/>
      <c r="D335" s="163" t="s">
        <v>958</v>
      </c>
      <c r="E335" s="21" t="s">
        <v>24</v>
      </c>
      <c r="F335" s="21" t="s">
        <v>880</v>
      </c>
      <c r="G335" s="35" t="s">
        <v>881</v>
      </c>
      <c r="H335" s="23" t="s">
        <v>724</v>
      </c>
      <c r="I335" s="27" t="s">
        <v>96</v>
      </c>
      <c r="J335" s="22" t="s">
        <v>724</v>
      </c>
      <c r="K335" s="28" t="s">
        <v>181</v>
      </c>
      <c r="L335" s="23" t="s">
        <v>162</v>
      </c>
      <c r="M335" s="24"/>
      <c r="N335" s="24"/>
      <c r="O335" s="24" t="str">
        <f aca="1">DATEDIF(P335,NOW(),"Y")&amp;" Tahun "&amp;DATEDIF(P335,NOW(),"YM")&amp;" Bulan "&amp;DATEDIF(P335,NOW(),"MD")&amp;" Hari "</f>
        <v>2 Tahun 6 Bulan 6 Hari </v>
      </c>
      <c r="P335" s="41" t="n">
        <v>45017</v>
      </c>
      <c r="Q335" s="41" t="n">
        <v>46477</v>
      </c>
      <c r="R335" s="56"/>
      <c r="S335" s="56"/>
    </row>
    <row r="336" spans="1:19">
      <c r="A336" s="21" t="n">
        <v>333</v>
      </c>
      <c r="B336" s="112" t="s">
        <v>959</v>
      </c>
      <c r="C336" s="112"/>
      <c r="D336" s="163" t="s">
        <v>960</v>
      </c>
      <c r="E336" s="21" t="s">
        <v>33</v>
      </c>
      <c r="F336" s="21" t="s">
        <v>880</v>
      </c>
      <c r="G336" s="35" t="s">
        <v>888</v>
      </c>
      <c r="H336" s="23" t="s">
        <v>291</v>
      </c>
      <c r="I336" s="27" t="s">
        <v>96</v>
      </c>
      <c r="J336" s="23" t="s">
        <v>291</v>
      </c>
      <c r="K336" s="23" t="s">
        <v>161</v>
      </c>
      <c r="L336" s="23" t="s">
        <v>331</v>
      </c>
      <c r="M336" s="24"/>
      <c r="N336" s="24"/>
      <c r="O336" s="24" t="str">
        <f aca="1">DATEDIF(P336,NOW(),"Y")&amp;" Tahun "&amp;DATEDIF(P336,NOW(),"YM")&amp;" Bulan "&amp;DATEDIF(P336,NOW(),"MD")&amp;" Hari "</f>
        <v>2 Tahun 6 Bulan 6 Hari </v>
      </c>
      <c r="P336" s="41" t="n">
        <v>45017</v>
      </c>
      <c r="Q336" s="41" t="n">
        <v>46477</v>
      </c>
      <c r="R336" s="56"/>
      <c r="S336" s="56"/>
    </row>
    <row r="337" spans="1:19">
      <c r="A337" s="21" t="n">
        <v>334</v>
      </c>
      <c r="B337" s="112" t="s">
        <v>961</v>
      </c>
      <c r="C337" s="112"/>
      <c r="D337" s="163" t="s">
        <v>962</v>
      </c>
      <c r="E337" s="21" t="s">
        <v>24</v>
      </c>
      <c r="F337" s="21" t="s">
        <v>880</v>
      </c>
      <c r="G337" s="35" t="s">
        <v>888</v>
      </c>
      <c r="H337" s="23" t="s">
        <v>724</v>
      </c>
      <c r="I337" s="27" t="s">
        <v>96</v>
      </c>
      <c r="J337" s="22" t="s">
        <v>724</v>
      </c>
      <c r="K337" s="28" t="s">
        <v>181</v>
      </c>
      <c r="L337" s="23" t="s">
        <v>97</v>
      </c>
      <c r="M337" s="24"/>
      <c r="N337" s="24"/>
      <c r="O337" s="24" t="str">
        <f aca="1">DATEDIF(P337,NOW(),"Y")&amp;" Tahun "&amp;DATEDIF(P337,NOW(),"YM")&amp;" Bulan "&amp;DATEDIF(P337,NOW(),"MD")&amp;" Hari "</f>
        <v>2 Tahun 6 Bulan 6 Hari </v>
      </c>
      <c r="P337" s="41" t="n">
        <v>45017</v>
      </c>
      <c r="Q337" s="41" t="n">
        <v>46477</v>
      </c>
      <c r="R337" s="56"/>
      <c r="S337" s="56"/>
    </row>
    <row r="338" spans="1:19">
      <c r="A338" s="21" t="n">
        <v>335</v>
      </c>
      <c r="B338" s="112" t="s">
        <v>963</v>
      </c>
      <c r="C338" s="112"/>
      <c r="D338" s="163" t="s">
        <v>964</v>
      </c>
      <c r="E338" s="21" t="s">
        <v>24</v>
      </c>
      <c r="F338" s="21" t="s">
        <v>880</v>
      </c>
      <c r="G338" s="35" t="s">
        <v>881</v>
      </c>
      <c r="H338" s="23" t="s">
        <v>724</v>
      </c>
      <c r="I338" s="27" t="s">
        <v>96</v>
      </c>
      <c r="J338" s="22" t="s">
        <v>724</v>
      </c>
      <c r="K338" s="28" t="s">
        <v>181</v>
      </c>
      <c r="L338" s="23" t="s">
        <v>162</v>
      </c>
      <c r="M338" s="24"/>
      <c r="N338" s="24"/>
      <c r="O338" s="24" t="str">
        <f aca="1">DATEDIF(P338,NOW(),"Y")&amp;" Tahun "&amp;DATEDIF(P338,NOW(),"YM")&amp;" Bulan "&amp;DATEDIF(P338,NOW(),"MD")&amp;" Hari "</f>
        <v>2 Tahun 6 Bulan 6 Hari </v>
      </c>
      <c r="P338" s="41" t="n">
        <v>45017</v>
      </c>
      <c r="Q338" s="41" t="n">
        <v>46477</v>
      </c>
      <c r="R338" s="56"/>
      <c r="S338" s="56"/>
    </row>
    <row r="339" spans="1:19">
      <c r="A339" s="21" t="n">
        <v>336</v>
      </c>
      <c r="B339" s="112" t="s">
        <v>965</v>
      </c>
      <c r="C339" s="112"/>
      <c r="D339" s="163" t="s">
        <v>966</v>
      </c>
      <c r="E339" s="21" t="s">
        <v>24</v>
      </c>
      <c r="F339" s="21" t="s">
        <v>880</v>
      </c>
      <c r="G339" s="35" t="s">
        <v>888</v>
      </c>
      <c r="H339" s="23" t="s">
        <v>724</v>
      </c>
      <c r="I339" s="27" t="s">
        <v>96</v>
      </c>
      <c r="J339" s="22" t="s">
        <v>724</v>
      </c>
      <c r="K339" s="28" t="s">
        <v>181</v>
      </c>
      <c r="L339" s="23" t="s">
        <v>382</v>
      </c>
      <c r="M339" s="24"/>
      <c r="N339" s="24"/>
      <c r="O339" s="24" t="str">
        <f aca="1">DATEDIF(P339,NOW(),"Y")&amp;" Tahun "&amp;DATEDIF(P339,NOW(),"YM")&amp;" Bulan "&amp;DATEDIF(P339,NOW(),"MD")&amp;" Hari "</f>
        <v>2 Tahun 6 Bulan 6 Hari </v>
      </c>
      <c r="P339" s="41" t="n">
        <v>45017</v>
      </c>
      <c r="Q339" s="41" t="n">
        <v>46477</v>
      </c>
      <c r="R339" s="56"/>
      <c r="S339" s="56"/>
    </row>
    <row r="340" spans="1:19">
      <c r="A340" s="21" t="n">
        <v>337</v>
      </c>
      <c r="B340" s="112" t="s">
        <v>967</v>
      </c>
      <c r="C340" s="112"/>
      <c r="D340" s="163" t="s">
        <v>968</v>
      </c>
      <c r="E340" s="21" t="s">
        <v>33</v>
      </c>
      <c r="F340" s="21" t="s">
        <v>880</v>
      </c>
      <c r="G340" s="35" t="s">
        <v>888</v>
      </c>
      <c r="H340" s="23" t="s">
        <v>291</v>
      </c>
      <c r="I340" s="27" t="s">
        <v>96</v>
      </c>
      <c r="J340" s="23" t="s">
        <v>291</v>
      </c>
      <c r="K340" s="23" t="s">
        <v>161</v>
      </c>
      <c r="L340" s="23" t="s">
        <v>331</v>
      </c>
      <c r="M340" s="24"/>
      <c r="N340" s="24"/>
      <c r="O340" s="24" t="str">
        <f aca="1">DATEDIF(P340,NOW(),"Y")&amp;" Tahun "&amp;DATEDIF(P340,NOW(),"YM")&amp;" Bulan "&amp;DATEDIF(P340,NOW(),"MD")&amp;" Hari "</f>
        <v>2 Tahun 6 Bulan 6 Hari </v>
      </c>
      <c r="P340" s="41" t="n">
        <v>45017</v>
      </c>
      <c r="Q340" s="41" t="n">
        <v>46477</v>
      </c>
      <c r="R340" s="56"/>
      <c r="S340" s="56"/>
    </row>
    <row r="341" spans="1:19">
      <c r="A341" s="21" t="n">
        <v>338</v>
      </c>
      <c r="B341" s="112" t="s">
        <v>969</v>
      </c>
      <c r="C341" s="112"/>
      <c r="D341" s="163" t="s">
        <v>970</v>
      </c>
      <c r="E341" s="21" t="s">
        <v>24</v>
      </c>
      <c r="F341" s="21" t="s">
        <v>880</v>
      </c>
      <c r="G341" s="35" t="s">
        <v>888</v>
      </c>
      <c r="H341" s="23" t="s">
        <v>564</v>
      </c>
      <c r="I341" s="22" t="s">
        <v>101</v>
      </c>
      <c r="J341" s="23" t="s">
        <v>564</v>
      </c>
      <c r="K341" s="28" t="s">
        <v>102</v>
      </c>
      <c r="L341" s="23" t="s">
        <v>103</v>
      </c>
      <c r="M341" s="24"/>
      <c r="N341" s="24"/>
      <c r="O341" s="24" t="str">
        <f aca="1">DATEDIF(P341,NOW(),"Y")&amp;" Tahun "&amp;DATEDIF(P341,NOW(),"YM")&amp;" Bulan "&amp;DATEDIF(P341,NOW(),"MD")&amp;" Hari "</f>
        <v>2 Tahun 6 Bulan 6 Hari </v>
      </c>
      <c r="P341" s="41" t="n">
        <v>45017</v>
      </c>
      <c r="Q341" s="41" t="n">
        <v>46477</v>
      </c>
      <c r="R341" s="56"/>
      <c r="S341" s="56"/>
    </row>
    <row r="342" spans="1:19">
      <c r="A342" s="21" t="n">
        <v>339</v>
      </c>
      <c r="B342" s="112" t="s">
        <v>971</v>
      </c>
      <c r="C342" s="112"/>
      <c r="D342" s="163" t="s">
        <v>972</v>
      </c>
      <c r="E342" s="21" t="s">
        <v>24</v>
      </c>
      <c r="F342" s="21" t="s">
        <v>880</v>
      </c>
      <c r="G342" s="35" t="s">
        <v>881</v>
      </c>
      <c r="H342" s="22" t="s">
        <v>973</v>
      </c>
      <c r="I342" s="22" t="s">
        <v>594</v>
      </c>
      <c r="J342" s="22" t="s">
        <v>973</v>
      </c>
      <c r="K342" s="28" t="s">
        <v>595</v>
      </c>
      <c r="L342" s="23" t="s">
        <v>87</v>
      </c>
      <c r="M342" s="24"/>
      <c r="N342" s="24"/>
      <c r="O342" s="24" t="str">
        <f aca="1">DATEDIF(P342,NOW(),"Y")&amp;" Tahun "&amp;DATEDIF(P342,NOW(),"YM")&amp;" Bulan "&amp;DATEDIF(P342,NOW(),"MD")&amp;" Hari "</f>
        <v>2 Tahun 6 Bulan 6 Hari </v>
      </c>
      <c r="P342" s="41" t="n">
        <v>45017</v>
      </c>
      <c r="Q342" s="41" t="n">
        <v>46477</v>
      </c>
      <c r="R342" s="56"/>
      <c r="S342" s="56"/>
    </row>
    <row r="343" spans="1:19">
      <c r="A343" s="21" t="n">
        <v>340</v>
      </c>
      <c r="B343" s="112" t="s">
        <v>974</v>
      </c>
      <c r="C343" s="112"/>
      <c r="D343" s="163" t="s">
        <v>975</v>
      </c>
      <c r="E343" s="21" t="s">
        <v>24</v>
      </c>
      <c r="F343" s="21" t="s">
        <v>880</v>
      </c>
      <c r="G343" s="35" t="s">
        <v>888</v>
      </c>
      <c r="H343" s="23" t="s">
        <v>724</v>
      </c>
      <c r="I343" s="27" t="s">
        <v>96</v>
      </c>
      <c r="J343" s="22" t="s">
        <v>724</v>
      </c>
      <c r="K343" s="28" t="s">
        <v>181</v>
      </c>
      <c r="L343" s="29" t="s">
        <v>222</v>
      </c>
      <c r="M343" s="24"/>
      <c r="N343" s="24"/>
      <c r="O343" s="24" t="str">
        <f aca="1">DATEDIF(P343,NOW(),"Y")&amp;" Tahun "&amp;DATEDIF(P343,NOW(),"YM")&amp;" Bulan "&amp;DATEDIF(P343,NOW(),"MD")&amp;" Hari "</f>
        <v>2 Tahun 6 Bulan 6 Hari </v>
      </c>
      <c r="P343" s="41" t="n">
        <v>45017</v>
      </c>
      <c r="Q343" s="41" t="n">
        <v>46477</v>
      </c>
      <c r="R343" s="56"/>
      <c r="S343" s="56"/>
    </row>
    <row r="344" spans="1:19">
      <c r="A344" s="21" t="n">
        <v>341</v>
      </c>
      <c r="B344" s="112" t="s">
        <v>976</v>
      </c>
      <c r="C344" s="112"/>
      <c r="D344" s="163" t="s">
        <v>977</v>
      </c>
      <c r="E344" s="21" t="s">
        <v>24</v>
      </c>
      <c r="F344" s="21" t="s">
        <v>880</v>
      </c>
      <c r="G344" s="35" t="s">
        <v>881</v>
      </c>
      <c r="H344" s="23" t="s">
        <v>724</v>
      </c>
      <c r="I344" s="27" t="s">
        <v>96</v>
      </c>
      <c r="J344" s="22" t="s">
        <v>724</v>
      </c>
      <c r="K344" s="28" t="s">
        <v>181</v>
      </c>
      <c r="L344" s="23" t="s">
        <v>910</v>
      </c>
      <c r="M344" s="24"/>
      <c r="N344" s="24"/>
      <c r="O344" s="24" t="str">
        <f aca="1">DATEDIF(P344,NOW(),"Y")&amp;" Tahun "&amp;DATEDIF(P344,NOW(),"YM")&amp;" Bulan "&amp;DATEDIF(P344,NOW(),"MD")&amp;" Hari "</f>
        <v>2 Tahun 6 Bulan 6 Hari </v>
      </c>
      <c r="P344" s="41" t="n">
        <v>45017</v>
      </c>
      <c r="Q344" s="41" t="n">
        <v>46477</v>
      </c>
      <c r="R344" s="56"/>
      <c r="S344" s="56"/>
    </row>
    <row r="345" spans="1:19">
      <c r="A345" s="21" t="n">
        <v>342</v>
      </c>
      <c r="B345" s="112" t="s">
        <v>978</v>
      </c>
      <c r="C345" s="112"/>
      <c r="D345" s="163" t="s">
        <v>979</v>
      </c>
      <c r="E345" s="21" t="s">
        <v>24</v>
      </c>
      <c r="F345" s="21" t="s">
        <v>880</v>
      </c>
      <c r="G345" s="35" t="s">
        <v>881</v>
      </c>
      <c r="H345" s="22" t="s">
        <v>663</v>
      </c>
      <c r="I345" s="27" t="s">
        <v>201</v>
      </c>
      <c r="J345" s="22" t="s">
        <v>663</v>
      </c>
      <c r="K345" s="28" t="s">
        <v>209</v>
      </c>
      <c r="L345" s="23" t="s">
        <v>210</v>
      </c>
      <c r="M345" s="24"/>
      <c r="N345" s="24"/>
      <c r="O345" s="24" t="str">
        <f aca="1">DATEDIF(P345,NOW(),"Y")&amp;" Tahun "&amp;DATEDIF(P345,NOW(),"YM")&amp;" Bulan "&amp;DATEDIF(P345,NOW(),"MD")&amp;" Hari "</f>
        <v>2 Tahun 6 Bulan 6 Hari </v>
      </c>
      <c r="P345" s="41" t="n">
        <v>45017</v>
      </c>
      <c r="Q345" s="41" t="n">
        <v>46477</v>
      </c>
      <c r="R345" s="56"/>
      <c r="S345" s="56"/>
    </row>
    <row r="346" spans="1:19">
      <c r="A346" s="21" t="n">
        <v>343</v>
      </c>
      <c r="B346" s="112" t="s">
        <v>980</v>
      </c>
      <c r="C346" s="112"/>
      <c r="D346" s="163" t="s">
        <v>981</v>
      </c>
      <c r="E346" s="21" t="s">
        <v>24</v>
      </c>
      <c r="F346" s="21" t="s">
        <v>880</v>
      </c>
      <c r="G346" s="21" t="s">
        <v>888</v>
      </c>
      <c r="H346" s="40" t="s">
        <v>982</v>
      </c>
      <c r="I346" s="27" t="s">
        <v>66</v>
      </c>
      <c r="J346" s="40" t="s">
        <v>982</v>
      </c>
      <c r="K346" s="28" t="s">
        <v>983</v>
      </c>
      <c r="L346" s="25" t="s">
        <v>134</v>
      </c>
      <c r="M346" s="24"/>
      <c r="N346" s="24"/>
      <c r="O346" s="24" t="str">
        <f aca="1">DATEDIF(P346,NOW(),"Y")&amp;" Tahun "&amp;DATEDIF(P346,NOW(),"YM")&amp;" Bulan "&amp;DATEDIF(P346,NOW(),"MD")&amp;" Hari "</f>
        <v>2 Tahun 6 Bulan 6 Hari </v>
      </c>
      <c r="P346" s="41" t="n">
        <v>45017</v>
      </c>
      <c r="Q346" s="41" t="n">
        <v>46477</v>
      </c>
      <c r="R346" s="56"/>
      <c r="S346" s="56"/>
    </row>
    <row r="347" spans="1:19">
      <c r="A347" s="21" t="n">
        <v>344</v>
      </c>
      <c r="B347" s="112" t="s">
        <v>984</v>
      </c>
      <c r="C347" s="112"/>
      <c r="D347" s="163" t="s">
        <v>985</v>
      </c>
      <c r="E347" s="21" t="s">
        <v>24</v>
      </c>
      <c r="F347" s="21" t="s">
        <v>880</v>
      </c>
      <c r="G347" s="35" t="s">
        <v>881</v>
      </c>
      <c r="H347" s="23" t="s">
        <v>724</v>
      </c>
      <c r="I347" s="27" t="s">
        <v>96</v>
      </c>
      <c r="J347" s="22" t="s">
        <v>724</v>
      </c>
      <c r="K347" s="28" t="s">
        <v>181</v>
      </c>
      <c r="L347" s="23" t="s">
        <v>97</v>
      </c>
      <c r="M347" s="24"/>
      <c r="N347" s="24"/>
      <c r="O347" s="24" t="str">
        <f aca="1">DATEDIF(P347,NOW(),"Y")&amp;" Tahun "&amp;DATEDIF(P347,NOW(),"YM")&amp;" Bulan "&amp;DATEDIF(P347,NOW(),"MD")&amp;" Hari "</f>
        <v>2 Tahun 6 Bulan 6 Hari </v>
      </c>
      <c r="P347" s="41" t="n">
        <v>45017</v>
      </c>
      <c r="Q347" s="41" t="n">
        <v>46477</v>
      </c>
      <c r="R347" s="56"/>
      <c r="S347" s="56"/>
    </row>
    <row r="348" spans="1:19">
      <c r="A348" s="21" t="n">
        <v>345</v>
      </c>
      <c r="B348" s="112" t="s">
        <v>986</v>
      </c>
      <c r="C348" s="112"/>
      <c r="D348" s="163" t="s">
        <v>987</v>
      </c>
      <c r="E348" s="21" t="s">
        <v>24</v>
      </c>
      <c r="F348" s="21" t="s">
        <v>880</v>
      </c>
      <c r="G348" s="21" t="s">
        <v>888</v>
      </c>
      <c r="H348" s="40" t="s">
        <v>988</v>
      </c>
      <c r="I348" s="27" t="s">
        <v>66</v>
      </c>
      <c r="J348" s="40" t="s">
        <v>988</v>
      </c>
      <c r="K348" s="28" t="s">
        <v>989</v>
      </c>
      <c r="L348" s="23" t="s">
        <v>271</v>
      </c>
      <c r="M348" s="24"/>
      <c r="N348" s="24"/>
      <c r="O348" s="24" t="str">
        <f aca="1">DATEDIF(P348,NOW(),"Y")&amp;" Tahun "&amp;DATEDIF(P348,NOW(),"YM")&amp;" Bulan "&amp;DATEDIF(P348,NOW(),"MD")&amp;" Hari "</f>
        <v>2 Tahun 6 Bulan 6 Hari </v>
      </c>
      <c r="P348" s="41" t="n">
        <v>45017</v>
      </c>
      <c r="Q348" s="41" t="n">
        <v>46477</v>
      </c>
      <c r="R348" s="56"/>
      <c r="S348" s="56"/>
    </row>
    <row r="349" spans="1:19">
      <c r="A349" s="21" t="n">
        <v>346</v>
      </c>
      <c r="B349" s="112" t="s">
        <v>990</v>
      </c>
      <c r="C349" s="112"/>
      <c r="D349" s="163" t="s">
        <v>991</v>
      </c>
      <c r="E349" s="21" t="s">
        <v>24</v>
      </c>
      <c r="F349" s="21" t="s">
        <v>880</v>
      </c>
      <c r="G349" s="21" t="s">
        <v>926</v>
      </c>
      <c r="H349" s="40" t="s">
        <v>992</v>
      </c>
      <c r="I349" s="22" t="s">
        <v>254</v>
      </c>
      <c r="J349" s="22"/>
      <c r="K349" s="28" t="s">
        <v>423</v>
      </c>
      <c r="L349" s="23" t="s">
        <v>993</v>
      </c>
      <c r="M349" s="24"/>
      <c r="N349" s="24"/>
      <c r="O349" s="24" t="str">
        <f aca="1">DATEDIF(P349,NOW(),"Y")&amp;" Tahun "&amp;DATEDIF(P349,NOW(),"YM")&amp;" Bulan "&amp;DATEDIF(P349,NOW(),"MD")&amp;" Hari "</f>
        <v>2 Tahun 6 Bulan 6 Hari </v>
      </c>
      <c r="P349" s="41" t="n">
        <v>45017</v>
      </c>
      <c r="Q349" s="41" t="n">
        <v>46477</v>
      </c>
      <c r="R349" s="56"/>
      <c r="S349" s="56"/>
    </row>
    <row r="350" spans="1:19">
      <c r="A350" s="21" t="n">
        <v>347</v>
      </c>
      <c r="B350" s="112" t="s">
        <v>994</v>
      </c>
      <c r="C350" s="112"/>
      <c r="D350" s="163" t="s">
        <v>995</v>
      </c>
      <c r="E350" s="21" t="s">
        <v>24</v>
      </c>
      <c r="F350" s="21" t="s">
        <v>880</v>
      </c>
      <c r="G350" s="35" t="s">
        <v>881</v>
      </c>
      <c r="H350" s="22" t="s">
        <v>663</v>
      </c>
      <c r="I350" s="27" t="s">
        <v>201</v>
      </c>
      <c r="J350" s="22" t="s">
        <v>663</v>
      </c>
      <c r="K350" s="28" t="s">
        <v>209</v>
      </c>
      <c r="L350" s="23" t="s">
        <v>461</v>
      </c>
      <c r="M350" s="24"/>
      <c r="N350" s="24"/>
      <c r="O350" s="24" t="str">
        <f aca="1">DATEDIF(P350,NOW(),"Y")&amp;" Tahun "&amp;DATEDIF(P350,NOW(),"YM")&amp;" Bulan "&amp;DATEDIF(P350,NOW(),"MD")&amp;" Hari "</f>
        <v>2 Tahun 6 Bulan 6 Hari </v>
      </c>
      <c r="P350" s="41" t="n">
        <v>45017</v>
      </c>
      <c r="Q350" s="41" t="n">
        <v>46477</v>
      </c>
      <c r="R350" s="56"/>
      <c r="S350" s="56"/>
    </row>
    <row r="351" spans="1:19">
      <c r="A351" s="21" t="n">
        <v>348</v>
      </c>
      <c r="B351" s="112" t="s">
        <v>996</v>
      </c>
      <c r="C351" s="112"/>
      <c r="D351" s="163" t="s">
        <v>997</v>
      </c>
      <c r="E351" s="21" t="s">
        <v>24</v>
      </c>
      <c r="F351" s="21" t="s">
        <v>880</v>
      </c>
      <c r="G351" s="35" t="s">
        <v>881</v>
      </c>
      <c r="H351" s="23" t="s">
        <v>724</v>
      </c>
      <c r="I351" s="27" t="s">
        <v>96</v>
      </c>
      <c r="J351" s="22" t="s">
        <v>724</v>
      </c>
      <c r="K351" s="28" t="s">
        <v>181</v>
      </c>
      <c r="L351" s="29" t="s">
        <v>385</v>
      </c>
      <c r="M351" s="24"/>
      <c r="N351" s="24"/>
      <c r="O351" s="24" t="str">
        <f aca="1">DATEDIF(P351,NOW(),"Y")&amp;" Tahun "&amp;DATEDIF(P351,NOW(),"YM")&amp;" Bulan "&amp;DATEDIF(P351,NOW(),"MD")&amp;" Hari "</f>
        <v>2 Tahun 6 Bulan 6 Hari </v>
      </c>
      <c r="P351" s="41" t="n">
        <v>45017</v>
      </c>
      <c r="Q351" s="41" t="n">
        <v>46477</v>
      </c>
      <c r="R351" s="56"/>
      <c r="S351" s="56"/>
    </row>
    <row r="352" spans="1:19">
      <c r="A352" s="21" t="n">
        <v>349</v>
      </c>
      <c r="B352" s="112" t="s">
        <v>998</v>
      </c>
      <c r="C352" s="112"/>
      <c r="D352" s="163" t="s">
        <v>999</v>
      </c>
      <c r="E352" s="21" t="s">
        <v>24</v>
      </c>
      <c r="F352" s="21" t="s">
        <v>880</v>
      </c>
      <c r="G352" s="35" t="s">
        <v>881</v>
      </c>
      <c r="H352" s="22" t="s">
        <v>663</v>
      </c>
      <c r="I352" s="27" t="s">
        <v>201</v>
      </c>
      <c r="J352" s="22" t="s">
        <v>663</v>
      </c>
      <c r="K352" s="28" t="s">
        <v>209</v>
      </c>
      <c r="L352" s="23" t="s">
        <v>632</v>
      </c>
      <c r="M352" s="24"/>
      <c r="N352" s="24"/>
      <c r="O352" s="24" t="str">
        <f aca="1">DATEDIF(P352,NOW(),"Y")&amp;" Tahun "&amp;DATEDIF(P352,NOW(),"YM")&amp;" Bulan "&amp;DATEDIF(P352,NOW(),"MD")&amp;" Hari "</f>
        <v>2 Tahun 6 Bulan 6 Hari </v>
      </c>
      <c r="P352" s="41" t="n">
        <v>45017</v>
      </c>
      <c r="Q352" s="41" t="n">
        <v>46477</v>
      </c>
      <c r="R352" s="56"/>
      <c r="S352" s="56"/>
    </row>
    <row r="353" spans="1:19">
      <c r="A353" s="21" t="n">
        <v>350</v>
      </c>
      <c r="B353" s="112" t="s">
        <v>1000</v>
      </c>
      <c r="C353" s="112"/>
      <c r="D353" s="163" t="s">
        <v>1001</v>
      </c>
      <c r="E353" s="21" t="s">
        <v>24</v>
      </c>
      <c r="F353" s="21" t="s">
        <v>880</v>
      </c>
      <c r="G353" s="35" t="s">
        <v>881</v>
      </c>
      <c r="H353" s="23" t="s">
        <v>724</v>
      </c>
      <c r="I353" s="27" t="s">
        <v>96</v>
      </c>
      <c r="J353" s="22" t="s">
        <v>724</v>
      </c>
      <c r="K353" s="28" t="s">
        <v>181</v>
      </c>
      <c r="L353" s="23" t="s">
        <v>97</v>
      </c>
      <c r="M353" s="24"/>
      <c r="N353" s="24"/>
      <c r="O353" s="24" t="str">
        <f aca="1">DATEDIF(P353,NOW(),"Y")&amp;" Tahun "&amp;DATEDIF(P353,NOW(),"YM")&amp;" Bulan "&amp;DATEDIF(P353,NOW(),"MD")&amp;" Hari "</f>
        <v>2 Tahun 6 Bulan 6 Hari </v>
      </c>
      <c r="P353" s="41" t="n">
        <v>45017</v>
      </c>
      <c r="Q353" s="41" t="n">
        <v>46477</v>
      </c>
      <c r="R353" s="56"/>
      <c r="S353" s="56"/>
    </row>
    <row r="354" spans="1:19">
      <c r="A354" s="21" t="n">
        <v>351</v>
      </c>
      <c r="B354" s="112" t="s">
        <v>1002</v>
      </c>
      <c r="C354" s="112"/>
      <c r="D354" s="163" t="s">
        <v>1003</v>
      </c>
      <c r="E354" s="21" t="s">
        <v>24</v>
      </c>
      <c r="F354" s="21" t="s">
        <v>880</v>
      </c>
      <c r="G354" s="35" t="s">
        <v>881</v>
      </c>
      <c r="H354" s="40" t="s">
        <v>1004</v>
      </c>
      <c r="I354" s="22" t="s">
        <v>132</v>
      </c>
      <c r="J354" s="40" t="s">
        <v>1004</v>
      </c>
      <c r="K354" s="28" t="s">
        <v>444</v>
      </c>
      <c r="L354" s="23" t="s">
        <v>606</v>
      </c>
      <c r="M354" s="24"/>
      <c r="N354" s="24"/>
      <c r="O354" s="24" t="str">
        <f aca="1">DATEDIF(P354,NOW(),"Y")&amp;" Tahun "&amp;DATEDIF(P354,NOW(),"YM")&amp;" Bulan "&amp;DATEDIF(P354,NOW(),"MD")&amp;" Hari "</f>
        <v>2 Tahun 6 Bulan 6 Hari </v>
      </c>
      <c r="P354" s="41" t="n">
        <v>45017</v>
      </c>
      <c r="Q354" s="41" t="n">
        <v>46477</v>
      </c>
      <c r="R354" s="56"/>
      <c r="S354" s="56"/>
    </row>
    <row r="355" spans="1:19">
      <c r="A355" s="21" t="n">
        <v>352</v>
      </c>
      <c r="B355" s="112" t="s">
        <v>1005</v>
      </c>
      <c r="C355" s="112"/>
      <c r="D355" s="163" t="s">
        <v>1006</v>
      </c>
      <c r="E355" s="21" t="s">
        <v>33</v>
      </c>
      <c r="F355" s="21" t="s">
        <v>880</v>
      </c>
      <c r="G355" s="21" t="s">
        <v>888</v>
      </c>
      <c r="H355" s="23" t="s">
        <v>564</v>
      </c>
      <c r="I355" s="22" t="s">
        <v>101</v>
      </c>
      <c r="J355" s="23" t="s">
        <v>564</v>
      </c>
      <c r="K355" s="28" t="s">
        <v>102</v>
      </c>
      <c r="L355" s="23" t="s">
        <v>103</v>
      </c>
      <c r="M355" s="24"/>
      <c r="N355" s="24"/>
      <c r="O355" s="24" t="str">
        <f aca="1">DATEDIF(P355,NOW(),"Y")&amp;" Tahun "&amp;DATEDIF(P355,NOW(),"YM")&amp;" Bulan "&amp;DATEDIF(P355,NOW(),"MD")&amp;" Hari "</f>
        <v>2 Tahun 6 Bulan 6 Hari </v>
      </c>
      <c r="P355" s="41" t="n">
        <v>45017</v>
      </c>
      <c r="Q355" s="41" t="n">
        <v>46477</v>
      </c>
      <c r="R355" s="56"/>
      <c r="S355" s="56"/>
    </row>
    <row r="356" spans="1:19">
      <c r="A356" s="21" t="n">
        <v>353</v>
      </c>
      <c r="B356" s="112" t="s">
        <v>1007</v>
      </c>
      <c r="C356" s="112"/>
      <c r="D356" s="163" t="s">
        <v>1008</v>
      </c>
      <c r="E356" s="21" t="s">
        <v>33</v>
      </c>
      <c r="F356" s="21" t="s">
        <v>880</v>
      </c>
      <c r="G356" s="35" t="s">
        <v>881</v>
      </c>
      <c r="H356" s="23" t="s">
        <v>724</v>
      </c>
      <c r="I356" s="27" t="s">
        <v>96</v>
      </c>
      <c r="J356" s="22" t="s">
        <v>724</v>
      </c>
      <c r="K356" s="28" t="s">
        <v>181</v>
      </c>
      <c r="L356" s="23" t="s">
        <v>168</v>
      </c>
      <c r="M356" s="24"/>
      <c r="N356" s="24"/>
      <c r="O356" s="24" t="str">
        <f aca="1">DATEDIF(P356,NOW(),"Y")&amp;" Tahun "&amp;DATEDIF(P356,NOW(),"YM")&amp;" Bulan "&amp;DATEDIF(P356,NOW(),"MD")&amp;" Hari "</f>
        <v>2 Tahun 6 Bulan 6 Hari </v>
      </c>
      <c r="P356" s="41" t="n">
        <v>45017</v>
      </c>
      <c r="Q356" s="41" t="n">
        <v>46477</v>
      </c>
      <c r="R356" s="56"/>
      <c r="S356" s="56"/>
    </row>
    <row r="357" spans="1:19">
      <c r="A357" s="21" t="n">
        <v>354</v>
      </c>
      <c r="B357" s="112" t="s">
        <v>1009</v>
      </c>
      <c r="C357" s="112"/>
      <c r="D357" s="163" t="s">
        <v>1010</v>
      </c>
      <c r="E357" s="21" t="s">
        <v>24</v>
      </c>
      <c r="F357" s="21" t="s">
        <v>880</v>
      </c>
      <c r="G357" s="35" t="s">
        <v>881</v>
      </c>
      <c r="H357" s="23" t="s">
        <v>724</v>
      </c>
      <c r="I357" s="27" t="s">
        <v>96</v>
      </c>
      <c r="J357" s="22" t="s">
        <v>724</v>
      </c>
      <c r="K357" s="28" t="s">
        <v>181</v>
      </c>
      <c r="L357" s="23" t="s">
        <v>275</v>
      </c>
      <c r="M357" s="24"/>
      <c r="N357" s="24"/>
      <c r="O357" s="24" t="str">
        <f aca="1">DATEDIF(P357,NOW(),"Y")&amp;" Tahun "&amp;DATEDIF(P357,NOW(),"YM")&amp;" Bulan "&amp;DATEDIF(P357,NOW(),"MD")&amp;" Hari "</f>
        <v>2 Tahun 6 Bulan 6 Hari </v>
      </c>
      <c r="P357" s="41" t="n">
        <v>45017</v>
      </c>
      <c r="Q357" s="41" t="n">
        <v>46477</v>
      </c>
      <c r="R357" s="56"/>
      <c r="S357" s="56"/>
    </row>
    <row r="358" spans="1:19">
      <c r="A358" s="21" t="n">
        <v>355</v>
      </c>
      <c r="B358" s="112" t="s">
        <v>1011</v>
      </c>
      <c r="C358" s="112"/>
      <c r="D358" s="163" t="s">
        <v>1012</v>
      </c>
      <c r="E358" s="21" t="s">
        <v>24</v>
      </c>
      <c r="F358" s="21" t="s">
        <v>880</v>
      </c>
      <c r="G358" s="35" t="s">
        <v>881</v>
      </c>
      <c r="H358" s="22" t="s">
        <v>663</v>
      </c>
      <c r="I358" s="27" t="s">
        <v>201</v>
      </c>
      <c r="J358" s="22" t="s">
        <v>663</v>
      </c>
      <c r="K358" s="28" t="s">
        <v>209</v>
      </c>
      <c r="L358" s="23" t="s">
        <v>210</v>
      </c>
      <c r="M358" s="24"/>
      <c r="N358" s="24"/>
      <c r="O358" s="24" t="str">
        <f aca="1">DATEDIF(P358,NOW(),"Y")&amp;" Tahun "&amp;DATEDIF(P358,NOW(),"YM")&amp;" Bulan "&amp;DATEDIF(P358,NOW(),"MD")&amp;" Hari "</f>
        <v>2 Tahun 6 Bulan 6 Hari </v>
      </c>
      <c r="P358" s="41" t="n">
        <v>45017</v>
      </c>
      <c r="Q358" s="41" t="n">
        <v>46477</v>
      </c>
      <c r="R358" s="56"/>
      <c r="S358" s="56"/>
    </row>
    <row r="359" spans="1:19">
      <c r="A359" s="21" t="n">
        <v>356</v>
      </c>
      <c r="B359" s="112" t="s">
        <v>1013</v>
      </c>
      <c r="C359" s="112"/>
      <c r="D359" s="163" t="s">
        <v>1014</v>
      </c>
      <c r="E359" s="21" t="s">
        <v>24</v>
      </c>
      <c r="F359" s="21" t="s">
        <v>880</v>
      </c>
      <c r="G359" s="35" t="s">
        <v>881</v>
      </c>
      <c r="H359" s="22" t="s">
        <v>663</v>
      </c>
      <c r="I359" s="27" t="s">
        <v>201</v>
      </c>
      <c r="J359" s="22" t="s">
        <v>663</v>
      </c>
      <c r="K359" s="28" t="s">
        <v>209</v>
      </c>
      <c r="L359" s="23" t="s">
        <v>622</v>
      </c>
      <c r="M359" s="24"/>
      <c r="N359" s="24"/>
      <c r="O359" s="24" t="str">
        <f aca="1">DATEDIF(P359,NOW(),"Y")&amp;" Tahun "&amp;DATEDIF(P359,NOW(),"YM")&amp;" Bulan "&amp;DATEDIF(P359,NOW(),"MD")&amp;" Hari "</f>
        <v>2 Tahun 6 Bulan 6 Hari </v>
      </c>
      <c r="P359" s="41" t="n">
        <v>45017</v>
      </c>
      <c r="Q359" s="41" t="n">
        <v>46477</v>
      </c>
      <c r="R359" s="56"/>
      <c r="S359" s="56"/>
    </row>
    <row r="360" spans="1:19">
      <c r="A360" s="21" t="n">
        <v>357</v>
      </c>
      <c r="B360" s="112" t="s">
        <v>1015</v>
      </c>
      <c r="C360" s="112"/>
      <c r="D360" s="163" t="s">
        <v>1016</v>
      </c>
      <c r="E360" s="21" t="s">
        <v>24</v>
      </c>
      <c r="F360" s="21" t="s">
        <v>880</v>
      </c>
      <c r="G360" s="35" t="s">
        <v>881</v>
      </c>
      <c r="H360" s="23" t="s">
        <v>724</v>
      </c>
      <c r="I360" s="27" t="s">
        <v>96</v>
      </c>
      <c r="J360" s="22" t="s">
        <v>724</v>
      </c>
      <c r="K360" s="28" t="s">
        <v>181</v>
      </c>
      <c r="L360" s="23" t="s">
        <v>382</v>
      </c>
      <c r="M360" s="24"/>
      <c r="N360" s="24"/>
      <c r="O360" s="24" t="str">
        <f aca="1">DATEDIF(P360,NOW(),"Y")&amp;" Tahun "&amp;DATEDIF(P360,NOW(),"YM")&amp;" Bulan "&amp;DATEDIF(P360,NOW(),"MD")&amp;" Hari "</f>
        <v>2 Tahun 6 Bulan 6 Hari </v>
      </c>
      <c r="P360" s="41" t="n">
        <v>45017</v>
      </c>
      <c r="Q360" s="41" t="n">
        <v>46477</v>
      </c>
      <c r="R360" s="56"/>
      <c r="S360" s="56"/>
    </row>
    <row r="361" spans="1:19">
      <c r="A361" s="21" t="n">
        <v>358</v>
      </c>
      <c r="B361" s="112" t="s">
        <v>1017</v>
      </c>
      <c r="C361" s="112"/>
      <c r="D361" s="163" t="s">
        <v>1018</v>
      </c>
      <c r="E361" s="21" t="s">
        <v>24</v>
      </c>
      <c r="F361" s="21" t="s">
        <v>880</v>
      </c>
      <c r="G361" s="35" t="s">
        <v>881</v>
      </c>
      <c r="H361" s="23" t="s">
        <v>724</v>
      </c>
      <c r="I361" s="27" t="s">
        <v>96</v>
      </c>
      <c r="J361" s="22" t="s">
        <v>724</v>
      </c>
      <c r="K361" s="28" t="s">
        <v>181</v>
      </c>
      <c r="L361" s="29" t="s">
        <v>385</v>
      </c>
      <c r="M361" s="24"/>
      <c r="N361" s="24"/>
      <c r="O361" s="24" t="str">
        <f aca="1">DATEDIF(P361,NOW(),"Y")&amp;" Tahun "&amp;DATEDIF(P361,NOW(),"YM")&amp;" Bulan "&amp;DATEDIF(P361,NOW(),"MD")&amp;" Hari "</f>
        <v>2 Tahun 6 Bulan 6 Hari </v>
      </c>
      <c r="P361" s="41" t="n">
        <v>45017</v>
      </c>
      <c r="Q361" s="41" t="n">
        <v>46477</v>
      </c>
      <c r="R361" s="56"/>
      <c r="S361" s="56"/>
    </row>
    <row r="362" spans="1:19">
      <c r="A362" s="21" t="n">
        <v>359</v>
      </c>
      <c r="B362" s="112" t="s">
        <v>1019</v>
      </c>
      <c r="C362" s="112"/>
      <c r="D362" s="163" t="s">
        <v>1020</v>
      </c>
      <c r="E362" s="21" t="s">
        <v>24</v>
      </c>
      <c r="F362" s="21" t="s">
        <v>880</v>
      </c>
      <c r="G362" s="35" t="s">
        <v>881</v>
      </c>
      <c r="H362" s="22" t="s">
        <v>663</v>
      </c>
      <c r="I362" s="27" t="s">
        <v>201</v>
      </c>
      <c r="J362" s="22" t="s">
        <v>663</v>
      </c>
      <c r="K362" s="28" t="s">
        <v>209</v>
      </c>
      <c r="L362" s="23" t="s">
        <v>737</v>
      </c>
      <c r="M362" s="24"/>
      <c r="N362" s="24"/>
      <c r="O362" s="24" t="str">
        <f aca="1">DATEDIF(P362,NOW(),"Y")&amp;" Tahun "&amp;DATEDIF(P362,NOW(),"YM")&amp;" Bulan "&amp;DATEDIF(P362,NOW(),"MD")&amp;" Hari "</f>
        <v>2 Tahun 6 Bulan 6 Hari </v>
      </c>
      <c r="P362" s="41" t="n">
        <v>45017</v>
      </c>
      <c r="Q362" s="41" t="n">
        <v>46477</v>
      </c>
      <c r="R362" s="56"/>
      <c r="S362" s="56"/>
    </row>
    <row r="363" spans="1:19">
      <c r="A363" s="21" t="n">
        <v>360</v>
      </c>
      <c r="B363" s="112" t="s">
        <v>1021</v>
      </c>
      <c r="C363" s="112"/>
      <c r="D363" s="163" t="s">
        <v>1022</v>
      </c>
      <c r="E363" s="21" t="s">
        <v>24</v>
      </c>
      <c r="F363" s="21" t="s">
        <v>880</v>
      </c>
      <c r="G363" s="35" t="s">
        <v>881</v>
      </c>
      <c r="H363" s="40" t="s">
        <v>1004</v>
      </c>
      <c r="I363" s="22" t="s">
        <v>132</v>
      </c>
      <c r="J363" s="40" t="s">
        <v>1004</v>
      </c>
      <c r="K363" s="28" t="s">
        <v>444</v>
      </c>
      <c r="L363" s="23" t="s">
        <v>173</v>
      </c>
      <c r="M363" s="24"/>
      <c r="N363" s="24"/>
      <c r="O363" s="24" t="str">
        <f aca="1">DATEDIF(P363,NOW(),"Y")&amp;" Tahun "&amp;DATEDIF(P363,NOW(),"YM")&amp;" Bulan "&amp;DATEDIF(P363,NOW(),"MD")&amp;" Hari "</f>
        <v>2 Tahun 6 Bulan 6 Hari </v>
      </c>
      <c r="P363" s="41" t="n">
        <v>45017</v>
      </c>
      <c r="Q363" s="41" t="n">
        <v>46477</v>
      </c>
      <c r="R363" s="56"/>
      <c r="S363" s="56"/>
    </row>
    <row r="364" spans="1:19">
      <c r="A364" s="21" t="n">
        <v>361</v>
      </c>
      <c r="B364" s="112" t="s">
        <v>1023</v>
      </c>
      <c r="C364" s="112"/>
      <c r="D364" s="163" t="s">
        <v>1024</v>
      </c>
      <c r="E364" s="21" t="s">
        <v>24</v>
      </c>
      <c r="F364" s="21" t="s">
        <v>880</v>
      </c>
      <c r="G364" s="35" t="s">
        <v>881</v>
      </c>
      <c r="H364" s="23" t="s">
        <v>724</v>
      </c>
      <c r="I364" s="27" t="s">
        <v>96</v>
      </c>
      <c r="J364" s="22" t="s">
        <v>724</v>
      </c>
      <c r="K364" s="28" t="s">
        <v>181</v>
      </c>
      <c r="L364" s="23" t="s">
        <v>278</v>
      </c>
      <c r="M364" s="24"/>
      <c r="N364" s="24"/>
      <c r="O364" s="24" t="str">
        <f aca="1">DATEDIF(P364,NOW(),"Y")&amp;" Tahun "&amp;DATEDIF(P364,NOW(),"YM")&amp;" Bulan "&amp;DATEDIF(P364,NOW(),"MD")&amp;" Hari "</f>
        <v>2 Tahun 6 Bulan 6 Hari </v>
      </c>
      <c r="P364" s="41" t="n">
        <v>45017</v>
      </c>
      <c r="Q364" s="41" t="n">
        <v>46477</v>
      </c>
      <c r="R364" s="56"/>
      <c r="S364" s="56"/>
    </row>
    <row r="365" spans="1:19">
      <c r="A365" s="21" t="n">
        <v>362</v>
      </c>
      <c r="B365" s="112" t="s">
        <v>1025</v>
      </c>
      <c r="C365" s="112"/>
      <c r="D365" s="163" t="s">
        <v>1026</v>
      </c>
      <c r="E365" s="21" t="s">
        <v>24</v>
      </c>
      <c r="F365" s="21" t="s">
        <v>880</v>
      </c>
      <c r="G365" s="21" t="s">
        <v>926</v>
      </c>
      <c r="H365" s="22" t="s">
        <v>1027</v>
      </c>
      <c r="I365" s="22" t="s">
        <v>254</v>
      </c>
      <c r="J365" s="22" t="s">
        <v>1027</v>
      </c>
      <c r="K365" s="28" t="s">
        <v>423</v>
      </c>
      <c r="L365" s="23" t="s">
        <v>112</v>
      </c>
      <c r="M365" s="24"/>
      <c r="N365" s="24"/>
      <c r="O365" s="24" t="str">
        <f aca="1">DATEDIF(P365,NOW(),"Y")&amp;" Tahun "&amp;DATEDIF(P365,NOW(),"YM")&amp;" Bulan "&amp;DATEDIF(P365,NOW(),"MD")&amp;" Hari "</f>
        <v>2 Tahun 6 Bulan 6 Hari </v>
      </c>
      <c r="P365" s="41" t="n">
        <v>45017</v>
      </c>
      <c r="Q365" s="41" t="n">
        <v>46477</v>
      </c>
      <c r="R365" s="56"/>
      <c r="S365" s="56"/>
    </row>
    <row r="366" spans="1:19">
      <c r="A366" s="21" t="n">
        <v>363</v>
      </c>
      <c r="B366" s="112" t="s">
        <v>1028</v>
      </c>
      <c r="C366" s="112"/>
      <c r="D366" s="163" t="s">
        <v>1029</v>
      </c>
      <c r="E366" s="21" t="s">
        <v>24</v>
      </c>
      <c r="F366" s="21" t="s">
        <v>880</v>
      </c>
      <c r="G366" s="35" t="s">
        <v>881</v>
      </c>
      <c r="H366" s="22" t="s">
        <v>663</v>
      </c>
      <c r="I366" s="27" t="s">
        <v>201</v>
      </c>
      <c r="J366" s="22" t="s">
        <v>663</v>
      </c>
      <c r="K366" s="28" t="s">
        <v>209</v>
      </c>
      <c r="L366" s="23" t="s">
        <v>210</v>
      </c>
      <c r="M366" s="24"/>
      <c r="N366" s="24"/>
      <c r="O366" s="24" t="str">
        <f aca="1">DATEDIF(P366,NOW(),"Y")&amp;" Tahun "&amp;DATEDIF(P366,NOW(),"YM")&amp;" Bulan "&amp;DATEDIF(P366,NOW(),"MD")&amp;" Hari "</f>
        <v>2 Tahun 6 Bulan 6 Hari </v>
      </c>
      <c r="P366" s="41" t="n">
        <v>45017</v>
      </c>
      <c r="Q366" s="41" t="n">
        <v>46477</v>
      </c>
      <c r="R366" s="56"/>
      <c r="S366" s="56"/>
    </row>
    <row r="367" spans="1:19">
      <c r="A367" s="21" t="n">
        <v>364</v>
      </c>
      <c r="B367" s="112" t="s">
        <v>1030</v>
      </c>
      <c r="C367" s="112"/>
      <c r="D367" s="163" t="s">
        <v>1031</v>
      </c>
      <c r="E367" s="21" t="s">
        <v>33</v>
      </c>
      <c r="F367" s="21" t="s">
        <v>880</v>
      </c>
      <c r="G367" s="35" t="s">
        <v>881</v>
      </c>
      <c r="H367" s="23" t="s">
        <v>724</v>
      </c>
      <c r="I367" s="27" t="s">
        <v>96</v>
      </c>
      <c r="J367" s="22" t="s">
        <v>724</v>
      </c>
      <c r="K367" s="28" t="s">
        <v>181</v>
      </c>
      <c r="L367" s="23" t="s">
        <v>158</v>
      </c>
      <c r="M367" s="24"/>
      <c r="N367" s="24"/>
      <c r="O367" s="24" t="str">
        <f aca="1">DATEDIF(P367,NOW(),"Y")&amp;" Tahun "&amp;DATEDIF(P367,NOW(),"YM")&amp;" Bulan "&amp;DATEDIF(P367,NOW(),"MD")&amp;" Hari "</f>
        <v>2 Tahun 6 Bulan 6 Hari </v>
      </c>
      <c r="P367" s="41" t="n">
        <v>45017</v>
      </c>
      <c r="Q367" s="41" t="n">
        <v>46477</v>
      </c>
      <c r="R367" s="56"/>
      <c r="S367" s="56"/>
    </row>
    <row r="368" spans="1:19">
      <c r="A368" s="21" t="n">
        <v>365</v>
      </c>
      <c r="B368" s="112" t="s">
        <v>1032</v>
      </c>
      <c r="C368" s="112"/>
      <c r="D368" s="163" t="s">
        <v>1033</v>
      </c>
      <c r="E368" s="21" t="s">
        <v>24</v>
      </c>
      <c r="F368" s="21" t="s">
        <v>880</v>
      </c>
      <c r="G368" s="35" t="s">
        <v>881</v>
      </c>
      <c r="H368" s="22" t="s">
        <v>663</v>
      </c>
      <c r="I368" s="27" t="s">
        <v>201</v>
      </c>
      <c r="J368" s="22" t="s">
        <v>663</v>
      </c>
      <c r="K368" s="28" t="s">
        <v>209</v>
      </c>
      <c r="L368" s="23" t="s">
        <v>210</v>
      </c>
      <c r="M368" s="24"/>
      <c r="N368" s="24"/>
      <c r="O368" s="24" t="str">
        <f aca="1">DATEDIF(P368,NOW(),"Y")&amp;" Tahun "&amp;DATEDIF(P368,NOW(),"YM")&amp;" Bulan "&amp;DATEDIF(P368,NOW(),"MD")&amp;" Hari "</f>
        <v>2 Tahun 6 Bulan 6 Hari </v>
      </c>
      <c r="P368" s="41" t="n">
        <v>45017</v>
      </c>
      <c r="Q368" s="41" t="n">
        <v>46477</v>
      </c>
      <c r="R368" s="56"/>
      <c r="S368" s="56"/>
    </row>
    <row r="369" spans="1:19">
      <c r="A369" s="21" t="n">
        <v>366</v>
      </c>
      <c r="B369" s="112" t="s">
        <v>1034</v>
      </c>
      <c r="C369" s="112"/>
      <c r="D369" s="163" t="s">
        <v>1035</v>
      </c>
      <c r="E369" s="21" t="s">
        <v>24</v>
      </c>
      <c r="F369" s="21" t="s">
        <v>880</v>
      </c>
      <c r="G369" s="35" t="s">
        <v>881</v>
      </c>
      <c r="H369" s="22" t="s">
        <v>663</v>
      </c>
      <c r="I369" s="27" t="s">
        <v>201</v>
      </c>
      <c r="J369" s="22" t="s">
        <v>663</v>
      </c>
      <c r="K369" s="28" t="s">
        <v>209</v>
      </c>
      <c r="L369" s="23" t="s">
        <v>210</v>
      </c>
      <c r="M369" s="24"/>
      <c r="N369" s="24"/>
      <c r="O369" s="24" t="str">
        <f aca="1">DATEDIF(P369,NOW(),"Y")&amp;" Tahun "&amp;DATEDIF(P369,NOW(),"YM")&amp;" Bulan "&amp;DATEDIF(P369,NOW(),"MD")&amp;" Hari "</f>
        <v>2 Tahun 6 Bulan 6 Hari </v>
      </c>
      <c r="P369" s="41" t="n">
        <v>45017</v>
      </c>
      <c r="Q369" s="41" t="n">
        <v>46477</v>
      </c>
      <c r="R369" s="56"/>
      <c r="S369" s="56"/>
    </row>
    <row r="370" spans="1:19">
      <c r="A370" s="21" t="n">
        <v>367</v>
      </c>
      <c r="B370" s="112" t="s">
        <v>1036</v>
      </c>
      <c r="C370" s="112"/>
      <c r="D370" s="163" t="s">
        <v>1037</v>
      </c>
      <c r="E370" s="21" t="s">
        <v>33</v>
      </c>
      <c r="F370" s="21" t="s">
        <v>880</v>
      </c>
      <c r="G370" s="35" t="s">
        <v>881</v>
      </c>
      <c r="H370" s="23" t="s">
        <v>724</v>
      </c>
      <c r="I370" s="27" t="s">
        <v>96</v>
      </c>
      <c r="J370" s="22" t="s">
        <v>724</v>
      </c>
      <c r="K370" s="28" t="s">
        <v>181</v>
      </c>
      <c r="L370" s="23" t="s">
        <v>359</v>
      </c>
      <c r="M370" s="24"/>
      <c r="N370" s="24"/>
      <c r="O370" s="24" t="str">
        <f aca="1">DATEDIF(P370,NOW(),"Y")&amp;" Tahun "&amp;DATEDIF(P370,NOW(),"YM")&amp;" Bulan "&amp;DATEDIF(P370,NOW(),"MD")&amp;" Hari "</f>
        <v>2 Tahun 6 Bulan 6 Hari </v>
      </c>
      <c r="P370" s="41" t="n">
        <v>45017</v>
      </c>
      <c r="Q370" s="41" t="n">
        <v>46477</v>
      </c>
      <c r="R370" s="56"/>
      <c r="S370" s="56"/>
    </row>
    <row r="371" spans="1:19">
      <c r="A371" s="21" t="n">
        <v>368</v>
      </c>
      <c r="B371" s="112" t="s">
        <v>1038</v>
      </c>
      <c r="C371" s="112"/>
      <c r="D371" s="163" t="s">
        <v>1039</v>
      </c>
      <c r="E371" s="21" t="s">
        <v>24</v>
      </c>
      <c r="F371" s="21" t="s">
        <v>880</v>
      </c>
      <c r="G371" s="35" t="s">
        <v>881</v>
      </c>
      <c r="H371" s="22" t="s">
        <v>663</v>
      </c>
      <c r="I371" s="27" t="s">
        <v>201</v>
      </c>
      <c r="J371" s="22" t="s">
        <v>663</v>
      </c>
      <c r="K371" s="28" t="s">
        <v>209</v>
      </c>
      <c r="L371" s="23" t="s">
        <v>210</v>
      </c>
      <c r="M371" s="24"/>
      <c r="N371" s="24"/>
      <c r="O371" s="24" t="str">
        <f aca="1">DATEDIF(P371,NOW(),"Y")&amp;" Tahun "&amp;DATEDIF(P371,NOW(),"YM")&amp;" Bulan "&amp;DATEDIF(P371,NOW(),"MD")&amp;" Hari "</f>
        <v>2 Tahun 6 Bulan 6 Hari </v>
      </c>
      <c r="P371" s="41" t="n">
        <v>45017</v>
      </c>
      <c r="Q371" s="41" t="n">
        <v>46477</v>
      </c>
      <c r="R371" s="56"/>
      <c r="S371" s="56"/>
    </row>
    <row r="372" spans="1:19">
      <c r="A372" s="21" t="n">
        <v>369</v>
      </c>
      <c r="B372" s="112" t="s">
        <v>1040</v>
      </c>
      <c r="C372" s="112"/>
      <c r="D372" s="163" t="s">
        <v>1041</v>
      </c>
      <c r="E372" s="21" t="s">
        <v>24</v>
      </c>
      <c r="F372" s="21" t="s">
        <v>880</v>
      </c>
      <c r="G372" s="21" t="s">
        <v>888</v>
      </c>
      <c r="H372" s="23" t="s">
        <v>291</v>
      </c>
      <c r="I372" s="27" t="s">
        <v>96</v>
      </c>
      <c r="J372" s="23" t="s">
        <v>291</v>
      </c>
      <c r="K372" s="23" t="s">
        <v>161</v>
      </c>
      <c r="L372" s="23" t="s">
        <v>379</v>
      </c>
      <c r="M372" s="24"/>
      <c r="N372" s="24"/>
      <c r="O372" s="24" t="str">
        <f aca="1">DATEDIF(P372,NOW(),"Y")&amp;" Tahun "&amp;DATEDIF(P372,NOW(),"YM")&amp;" Bulan "&amp;DATEDIF(P372,NOW(),"MD")&amp;" Hari "</f>
        <v>2 Tahun 6 Bulan 6 Hari </v>
      </c>
      <c r="P372" s="41" t="n">
        <v>45017</v>
      </c>
      <c r="Q372" s="41" t="n">
        <v>46477</v>
      </c>
      <c r="R372" s="56"/>
      <c r="S372" s="56"/>
    </row>
    <row r="373" spans="1:19">
      <c r="A373" s="21" t="n">
        <v>370</v>
      </c>
      <c r="B373" s="112" t="s">
        <v>1042</v>
      </c>
      <c r="C373" s="112"/>
      <c r="D373" s="163" t="s">
        <v>1043</v>
      </c>
      <c r="E373" s="21" t="s">
        <v>33</v>
      </c>
      <c r="F373" s="21" t="s">
        <v>880</v>
      </c>
      <c r="G373" s="35" t="s">
        <v>881</v>
      </c>
      <c r="H373" s="23" t="s">
        <v>724</v>
      </c>
      <c r="I373" s="27" t="s">
        <v>96</v>
      </c>
      <c r="J373" s="22" t="s">
        <v>724</v>
      </c>
      <c r="K373" s="28" t="s">
        <v>181</v>
      </c>
      <c r="L373" s="29" t="s">
        <v>222</v>
      </c>
      <c r="M373" s="24"/>
      <c r="N373" s="24"/>
      <c r="O373" s="24" t="str">
        <f aca="1">DATEDIF(P373,NOW(),"Y")&amp;" Tahun "&amp;DATEDIF(P373,NOW(),"YM")&amp;" Bulan "&amp;DATEDIF(P373,NOW(),"MD")&amp;" Hari "</f>
        <v>2 Tahun 6 Bulan 6 Hari </v>
      </c>
      <c r="P373" s="41" t="n">
        <v>45017</v>
      </c>
      <c r="Q373" s="41" t="n">
        <v>46477</v>
      </c>
      <c r="R373" s="56"/>
      <c r="S373" s="56"/>
    </row>
    <row r="374" spans="1:19">
      <c r="A374" s="21" t="n">
        <v>371</v>
      </c>
      <c r="B374" s="112" t="s">
        <v>1044</v>
      </c>
      <c r="C374" s="112"/>
      <c r="D374" s="163" t="s">
        <v>1045</v>
      </c>
      <c r="E374" s="21" t="s">
        <v>24</v>
      </c>
      <c r="F374" s="21" t="s">
        <v>880</v>
      </c>
      <c r="G374" s="35" t="s">
        <v>881</v>
      </c>
      <c r="H374" s="22" t="s">
        <v>663</v>
      </c>
      <c r="I374" s="27" t="s">
        <v>201</v>
      </c>
      <c r="J374" s="22" t="s">
        <v>663</v>
      </c>
      <c r="K374" s="28" t="s">
        <v>209</v>
      </c>
      <c r="L374" s="23" t="s">
        <v>461</v>
      </c>
      <c r="M374" s="24"/>
      <c r="N374" s="24"/>
      <c r="O374" s="24" t="str">
        <f aca="1">DATEDIF(P374,NOW(),"Y")&amp;" Tahun "&amp;DATEDIF(P374,NOW(),"YM")&amp;" Bulan "&amp;DATEDIF(P374,NOW(),"MD")&amp;" Hari "</f>
        <v>2 Tahun 6 Bulan 6 Hari </v>
      </c>
      <c r="P374" s="41" t="n">
        <v>45017</v>
      </c>
      <c r="Q374" s="41" t="n">
        <v>46477</v>
      </c>
      <c r="R374" s="56"/>
      <c r="S374" s="56"/>
    </row>
    <row r="375" spans="1:19">
      <c r="A375" s="21" t="n">
        <v>372</v>
      </c>
      <c r="B375" s="112" t="s">
        <v>1046</v>
      </c>
      <c r="C375" s="112"/>
      <c r="D375" s="163" t="s">
        <v>1047</v>
      </c>
      <c r="E375" s="21" t="s">
        <v>24</v>
      </c>
      <c r="F375" s="21" t="s">
        <v>880</v>
      </c>
      <c r="G375" s="35" t="s">
        <v>881</v>
      </c>
      <c r="H375" s="23" t="s">
        <v>724</v>
      </c>
      <c r="I375" s="27" t="s">
        <v>96</v>
      </c>
      <c r="J375" s="22" t="s">
        <v>724</v>
      </c>
      <c r="K375" s="28" t="s">
        <v>181</v>
      </c>
      <c r="L375" s="23" t="s">
        <v>461</v>
      </c>
      <c r="M375" s="24"/>
      <c r="N375" s="24"/>
      <c r="O375" s="24" t="str">
        <f aca="1">DATEDIF(P375,NOW(),"Y")&amp;" Tahun "&amp;DATEDIF(P375,NOW(),"YM")&amp;" Bulan "&amp;DATEDIF(P375,NOW(),"MD")&amp;" Hari "</f>
        <v>2 Tahun 6 Bulan 6 Hari </v>
      </c>
      <c r="P375" s="41" t="n">
        <v>45017</v>
      </c>
      <c r="Q375" s="41" t="n">
        <v>46477</v>
      </c>
      <c r="R375" s="56"/>
      <c r="S375" s="56"/>
    </row>
    <row r="376" spans="1:19">
      <c r="A376" s="21" t="n">
        <v>373</v>
      </c>
      <c r="B376" s="112" t="s">
        <v>1048</v>
      </c>
      <c r="C376" s="112"/>
      <c r="D376" s="163" t="s">
        <v>1049</v>
      </c>
      <c r="E376" s="21" t="s">
        <v>24</v>
      </c>
      <c r="F376" s="21" t="s">
        <v>880</v>
      </c>
      <c r="G376" s="35" t="s">
        <v>881</v>
      </c>
      <c r="H376" s="23" t="s">
        <v>724</v>
      </c>
      <c r="I376" s="27" t="s">
        <v>96</v>
      </c>
      <c r="J376" s="22" t="s">
        <v>724</v>
      </c>
      <c r="K376" s="28" t="s">
        <v>181</v>
      </c>
      <c r="L376" s="23" t="s">
        <v>396</v>
      </c>
      <c r="M376" s="24"/>
      <c r="N376" s="24"/>
      <c r="O376" s="24" t="str">
        <f aca="1">DATEDIF(P376,NOW(),"Y")&amp;" Tahun "&amp;DATEDIF(P376,NOW(),"YM")&amp;" Bulan "&amp;DATEDIF(P376,NOW(),"MD")&amp;" Hari "</f>
        <v>2 Tahun 6 Bulan 6 Hari </v>
      </c>
      <c r="P376" s="41" t="n">
        <v>45017</v>
      </c>
      <c r="Q376" s="41" t="n">
        <v>46477</v>
      </c>
      <c r="R376" s="56"/>
      <c r="S376" s="56"/>
    </row>
    <row r="377" spans="1:19">
      <c r="A377" s="21" t="n">
        <v>374</v>
      </c>
      <c r="B377" s="112" t="s">
        <v>1050</v>
      </c>
      <c r="C377" s="112"/>
      <c r="D377" s="163" t="s">
        <v>1051</v>
      </c>
      <c r="E377" s="21" t="s">
        <v>24</v>
      </c>
      <c r="F377" s="21" t="s">
        <v>880</v>
      </c>
      <c r="G377" s="35" t="s">
        <v>881</v>
      </c>
      <c r="H377" s="23" t="s">
        <v>724</v>
      </c>
      <c r="I377" s="27" t="s">
        <v>96</v>
      </c>
      <c r="J377" s="22" t="s">
        <v>724</v>
      </c>
      <c r="K377" s="28" t="s">
        <v>181</v>
      </c>
      <c r="L377" s="23" t="s">
        <v>331</v>
      </c>
      <c r="M377" s="24"/>
      <c r="N377" s="24"/>
      <c r="O377" s="24" t="str">
        <f aca="1">DATEDIF(P377,NOW(),"Y")&amp;" Tahun "&amp;DATEDIF(P377,NOW(),"YM")&amp;" Bulan "&amp;DATEDIF(P377,NOW(),"MD")&amp;" Hari "</f>
        <v>2 Tahun 6 Bulan 6 Hari </v>
      </c>
      <c r="P377" s="41" t="n">
        <v>45017</v>
      </c>
      <c r="Q377" s="41" t="n">
        <v>46477</v>
      </c>
      <c r="R377" s="56"/>
      <c r="S377" s="56"/>
    </row>
    <row r="378" spans="1:19">
      <c r="A378" s="21" t="n">
        <v>375</v>
      </c>
      <c r="B378" s="112" t="s">
        <v>1052</v>
      </c>
      <c r="C378" s="112"/>
      <c r="D378" s="163" t="s">
        <v>1053</v>
      </c>
      <c r="E378" s="21" t="s">
        <v>33</v>
      </c>
      <c r="F378" s="21" t="s">
        <v>880</v>
      </c>
      <c r="G378" s="35" t="s">
        <v>881</v>
      </c>
      <c r="H378" s="23" t="s">
        <v>724</v>
      </c>
      <c r="I378" s="27" t="s">
        <v>96</v>
      </c>
      <c r="J378" s="22" t="s">
        <v>724</v>
      </c>
      <c r="K378" s="28" t="s">
        <v>181</v>
      </c>
      <c r="L378" s="23" t="s">
        <v>168</v>
      </c>
      <c r="M378" s="24"/>
      <c r="N378" s="24"/>
      <c r="O378" s="24" t="str">
        <f aca="1">DATEDIF(P378,NOW(),"Y")&amp;" Tahun "&amp;DATEDIF(P378,NOW(),"YM")&amp;" Bulan "&amp;DATEDIF(P378,NOW(),"MD")&amp;" Hari "</f>
        <v>2 Tahun 6 Bulan 6 Hari </v>
      </c>
      <c r="P378" s="41" t="n">
        <v>45017</v>
      </c>
      <c r="Q378" s="41" t="n">
        <v>46477</v>
      </c>
      <c r="R378" s="56"/>
      <c r="S378" s="56"/>
    </row>
    <row r="379" spans="1:19">
      <c r="A379" s="21" t="n">
        <v>376</v>
      </c>
      <c r="B379" s="112" t="s">
        <v>1054</v>
      </c>
      <c r="C379" s="112"/>
      <c r="D379" s="163" t="s">
        <v>1055</v>
      </c>
      <c r="E379" s="21" t="s">
        <v>24</v>
      </c>
      <c r="F379" s="21" t="s">
        <v>880</v>
      </c>
      <c r="G379" s="21" t="s">
        <v>926</v>
      </c>
      <c r="H379" s="22" t="s">
        <v>631</v>
      </c>
      <c r="I379" s="27" t="s">
        <v>201</v>
      </c>
      <c r="J379" s="22" t="s">
        <v>631</v>
      </c>
      <c r="K379" s="28" t="s">
        <v>202</v>
      </c>
      <c r="L379" s="23" t="s">
        <v>737</v>
      </c>
      <c r="M379" s="24"/>
      <c r="N379" s="24"/>
      <c r="O379" s="24" t="str">
        <f aca="1">DATEDIF(P379,NOW(),"Y")&amp;" Tahun "&amp;DATEDIF(P379,NOW(),"YM")&amp;" Bulan "&amp;DATEDIF(P379,NOW(),"MD")&amp;" Hari "</f>
        <v>2 Tahun 6 Bulan 6 Hari </v>
      </c>
      <c r="P379" s="41" t="n">
        <v>45017</v>
      </c>
      <c r="Q379" s="41" t="n">
        <v>46477</v>
      </c>
      <c r="R379" s="56"/>
      <c r="S379" s="56"/>
    </row>
    <row r="380" spans="1:19">
      <c r="A380" s="21" t="n">
        <v>377</v>
      </c>
      <c r="B380" s="112" t="s">
        <v>1056</v>
      </c>
      <c r="C380" s="112"/>
      <c r="D380" s="163" t="s">
        <v>1057</v>
      </c>
      <c r="E380" s="21" t="s">
        <v>24</v>
      </c>
      <c r="F380" s="21" t="s">
        <v>880</v>
      </c>
      <c r="G380" s="35" t="s">
        <v>881</v>
      </c>
      <c r="H380" s="23" t="s">
        <v>724</v>
      </c>
      <c r="I380" s="27" t="s">
        <v>96</v>
      </c>
      <c r="J380" s="22" t="s">
        <v>724</v>
      </c>
      <c r="K380" s="28" t="s">
        <v>181</v>
      </c>
      <c r="L380" s="29" t="s">
        <v>385</v>
      </c>
      <c r="M380" s="24"/>
      <c r="N380" s="24"/>
      <c r="O380" s="24" t="str">
        <f aca="1">DATEDIF(P380,NOW(),"Y")&amp;" Tahun "&amp;DATEDIF(P380,NOW(),"YM")&amp;" Bulan "&amp;DATEDIF(P380,NOW(),"MD")&amp;" Hari "</f>
        <v>2 Tahun 6 Bulan 6 Hari </v>
      </c>
      <c r="P380" s="41" t="n">
        <v>45017</v>
      </c>
      <c r="Q380" s="41" t="n">
        <v>46477</v>
      </c>
      <c r="R380" s="56"/>
      <c r="S380" s="56"/>
    </row>
    <row r="381" spans="1:19">
      <c r="A381" s="21" t="n">
        <v>378</v>
      </c>
      <c r="B381" s="112" t="s">
        <v>1058</v>
      </c>
      <c r="C381" s="112"/>
      <c r="D381" s="163" t="s">
        <v>1059</v>
      </c>
      <c r="E381" s="21" t="s">
        <v>33</v>
      </c>
      <c r="F381" s="21" t="s">
        <v>880</v>
      </c>
      <c r="G381" s="21" t="s">
        <v>888</v>
      </c>
      <c r="H381" s="23" t="s">
        <v>291</v>
      </c>
      <c r="I381" s="27" t="s">
        <v>96</v>
      </c>
      <c r="J381" s="23" t="s">
        <v>291</v>
      </c>
      <c r="K381" s="23" t="s">
        <v>161</v>
      </c>
      <c r="L381" s="23" t="s">
        <v>331</v>
      </c>
      <c r="M381" s="24"/>
      <c r="N381" s="24"/>
      <c r="O381" s="24" t="str">
        <f aca="1">DATEDIF(P381,NOW(),"Y")&amp;" Tahun "&amp;DATEDIF(P381,NOW(),"YM")&amp;" Bulan "&amp;DATEDIF(P381,NOW(),"MD")&amp;" Hari "</f>
        <v>2 Tahun 6 Bulan 6 Hari </v>
      </c>
      <c r="P381" s="41" t="n">
        <v>45017</v>
      </c>
      <c r="Q381" s="41" t="n">
        <v>46477</v>
      </c>
      <c r="R381" s="56"/>
      <c r="S381" s="56"/>
    </row>
    <row r="382" spans="1:19">
      <c r="A382" s="21" t="n">
        <v>379</v>
      </c>
      <c r="B382" s="112" t="s">
        <v>1060</v>
      </c>
      <c r="C382" s="112"/>
      <c r="D382" s="163" t="s">
        <v>1061</v>
      </c>
      <c r="E382" s="21" t="s">
        <v>33</v>
      </c>
      <c r="F382" s="21" t="s">
        <v>880</v>
      </c>
      <c r="G382" s="21" t="s">
        <v>888</v>
      </c>
      <c r="H382" s="23" t="s">
        <v>291</v>
      </c>
      <c r="I382" s="27" t="s">
        <v>96</v>
      </c>
      <c r="J382" s="23" t="s">
        <v>291</v>
      </c>
      <c r="K382" s="23" t="s">
        <v>161</v>
      </c>
      <c r="L382" s="23" t="s">
        <v>331</v>
      </c>
      <c r="M382" s="24"/>
      <c r="N382" s="24"/>
      <c r="O382" s="24" t="str">
        <f aca="1">DATEDIF(P382,NOW(),"Y")&amp;" Tahun "&amp;DATEDIF(P382,NOW(),"YM")&amp;" Bulan "&amp;DATEDIF(P382,NOW(),"MD")&amp;" Hari "</f>
        <v>2 Tahun 6 Bulan 6 Hari </v>
      </c>
      <c r="P382" s="41" t="n">
        <v>45017</v>
      </c>
      <c r="Q382" s="41" t="n">
        <v>46477</v>
      </c>
      <c r="R382" s="56"/>
      <c r="S382" s="56"/>
    </row>
    <row r="383" spans="1:19">
      <c r="A383" s="21" t="n">
        <v>380</v>
      </c>
      <c r="B383" s="112" t="s">
        <v>1062</v>
      </c>
      <c r="C383" s="112"/>
      <c r="D383" s="163" t="s">
        <v>1063</v>
      </c>
      <c r="E383" s="21" t="s">
        <v>24</v>
      </c>
      <c r="F383" s="21" t="s">
        <v>880</v>
      </c>
      <c r="G383" s="35" t="s">
        <v>881</v>
      </c>
      <c r="H383" s="23" t="s">
        <v>724</v>
      </c>
      <c r="I383" s="27" t="s">
        <v>96</v>
      </c>
      <c r="J383" s="22" t="s">
        <v>724</v>
      </c>
      <c r="K383" s="28" t="s">
        <v>181</v>
      </c>
      <c r="L383" s="23" t="s">
        <v>158</v>
      </c>
      <c r="M383" s="24"/>
      <c r="N383" s="24"/>
      <c r="O383" s="24" t="str">
        <f aca="1">DATEDIF(P383,NOW(),"Y")&amp;" Tahun "&amp;DATEDIF(P383,NOW(),"YM")&amp;" Bulan "&amp;DATEDIF(P383,NOW(),"MD")&amp;" Hari "</f>
        <v>2 Tahun 6 Bulan 6 Hari </v>
      </c>
      <c r="P383" s="41" t="n">
        <v>45017</v>
      </c>
      <c r="Q383" s="41" t="n">
        <v>46477</v>
      </c>
      <c r="R383" s="56"/>
      <c r="S383" s="56"/>
    </row>
    <row r="384" spans="1:19">
      <c r="A384" s="21" t="n">
        <v>381</v>
      </c>
      <c r="B384" s="112" t="s">
        <v>1064</v>
      </c>
      <c r="C384" s="112"/>
      <c r="D384" s="163" t="s">
        <v>1065</v>
      </c>
      <c r="E384" s="21" t="s">
        <v>33</v>
      </c>
      <c r="F384" s="21" t="s">
        <v>880</v>
      </c>
      <c r="G384" s="21" t="s">
        <v>888</v>
      </c>
      <c r="H384" s="23" t="s">
        <v>291</v>
      </c>
      <c r="I384" s="27" t="s">
        <v>96</v>
      </c>
      <c r="J384" s="23" t="s">
        <v>291</v>
      </c>
      <c r="K384" s="23" t="s">
        <v>161</v>
      </c>
      <c r="L384" s="23" t="s">
        <v>331</v>
      </c>
      <c r="M384" s="24"/>
      <c r="N384" s="24"/>
      <c r="O384" s="24" t="str">
        <f aca="1">DATEDIF(P384,NOW(),"Y")&amp;" Tahun "&amp;DATEDIF(P384,NOW(),"YM")&amp;" Bulan "&amp;DATEDIF(P384,NOW(),"MD")&amp;" Hari "</f>
        <v>2 Tahun 6 Bulan 6 Hari </v>
      </c>
      <c r="P384" s="41" t="n">
        <v>45017</v>
      </c>
      <c r="Q384" s="41" t="n">
        <v>46477</v>
      </c>
      <c r="R384" s="56"/>
      <c r="S384" s="56"/>
    </row>
    <row r="385" spans="1:19">
      <c r="A385" s="21" t="n">
        <v>382</v>
      </c>
      <c r="B385" s="112" t="s">
        <v>1066</v>
      </c>
      <c r="C385" s="112"/>
      <c r="D385" s="163" t="s">
        <v>1067</v>
      </c>
      <c r="E385" s="21" t="s">
        <v>24</v>
      </c>
      <c r="F385" s="21" t="s">
        <v>880</v>
      </c>
      <c r="G385" s="21" t="s">
        <v>888</v>
      </c>
      <c r="H385" s="23" t="s">
        <v>291</v>
      </c>
      <c r="I385" s="27" t="s">
        <v>96</v>
      </c>
      <c r="J385" s="23" t="s">
        <v>291</v>
      </c>
      <c r="K385" s="23" t="s">
        <v>161</v>
      </c>
      <c r="L385" s="23" t="s">
        <v>97</v>
      </c>
      <c r="M385" s="24"/>
      <c r="N385" s="24"/>
      <c r="O385" s="24" t="str">
        <f aca="1">DATEDIF(P385,NOW(),"Y")&amp;" Tahun "&amp;DATEDIF(P385,NOW(),"YM")&amp;" Bulan "&amp;DATEDIF(P385,NOW(),"MD")&amp;" Hari "</f>
        <v>2 Tahun 6 Bulan 6 Hari </v>
      </c>
      <c r="P385" s="41" t="n">
        <v>45017</v>
      </c>
      <c r="Q385" s="36" t="n">
        <v>46477</v>
      </c>
      <c r="R385" s="56"/>
      <c r="S385" s="56"/>
    </row>
    <row r="386" spans="1:19">
      <c r="A386" s="21" t="n">
        <v>383</v>
      </c>
      <c r="B386" s="112" t="s">
        <v>1068</v>
      </c>
      <c r="C386" s="112"/>
      <c r="D386" s="163" t="s">
        <v>1069</v>
      </c>
      <c r="E386" s="21" t="s">
        <v>24</v>
      </c>
      <c r="F386" s="21" t="s">
        <v>880</v>
      </c>
      <c r="G386" s="35" t="s">
        <v>881</v>
      </c>
      <c r="H386" s="22" t="s">
        <v>663</v>
      </c>
      <c r="I386" s="27" t="s">
        <v>201</v>
      </c>
      <c r="J386" s="22" t="s">
        <v>663</v>
      </c>
      <c r="K386" s="28" t="s">
        <v>209</v>
      </c>
      <c r="L386" s="23" t="s">
        <v>210</v>
      </c>
      <c r="M386" s="24"/>
      <c r="N386" s="24"/>
      <c r="O386" s="24" t="str">
        <f aca="1">DATEDIF(P386,NOW(),"Y")&amp;" Tahun "&amp;DATEDIF(P386,NOW(),"YM")&amp;" Bulan "&amp;DATEDIF(P386,NOW(),"MD")&amp;" Hari "</f>
        <v>2 Tahun 6 Bulan 6 Hari </v>
      </c>
      <c r="P386" s="41" t="n">
        <v>45017</v>
      </c>
      <c r="Q386" s="36" t="n">
        <v>46477</v>
      </c>
      <c r="R386" s="56"/>
      <c r="S386" s="56"/>
    </row>
    <row r="387" spans="1:19">
      <c r="A387" s="21" t="n">
        <v>384</v>
      </c>
      <c r="B387" s="112" t="s">
        <v>1070</v>
      </c>
      <c r="C387" s="112"/>
      <c r="D387" s="163" t="s">
        <v>1071</v>
      </c>
      <c r="E387" s="21" t="s">
        <v>24</v>
      </c>
      <c r="F387" s="21" t="s">
        <v>880</v>
      </c>
      <c r="G387" s="35" t="s">
        <v>881</v>
      </c>
      <c r="H387" s="23" t="s">
        <v>724</v>
      </c>
      <c r="I387" s="27" t="s">
        <v>96</v>
      </c>
      <c r="J387" s="22" t="s">
        <v>724</v>
      </c>
      <c r="K387" s="28" t="s">
        <v>181</v>
      </c>
      <c r="L387" s="30" t="s">
        <v>197</v>
      </c>
      <c r="M387" s="24"/>
      <c r="N387" s="24"/>
      <c r="O387" s="24" t="str">
        <f aca="1">DATEDIF(P387,NOW(),"Y")&amp;" Tahun "&amp;DATEDIF(P387,NOW(),"YM")&amp;" Bulan "&amp;DATEDIF(P387,NOW(),"MD")&amp;" Hari "</f>
        <v>2 Tahun 6 Bulan 6 Hari </v>
      </c>
      <c r="P387" s="41" t="n">
        <v>45017</v>
      </c>
      <c r="Q387" s="36" t="n">
        <v>46477</v>
      </c>
      <c r="R387" s="56"/>
      <c r="S387" s="56"/>
    </row>
    <row r="388" spans="1:19">
      <c r="A388" s="21" t="n">
        <v>385</v>
      </c>
      <c r="B388" s="112" t="s">
        <v>1072</v>
      </c>
      <c r="C388" s="112"/>
      <c r="D388" s="163" t="s">
        <v>1073</v>
      </c>
      <c r="E388" s="21" t="s">
        <v>33</v>
      </c>
      <c r="F388" s="21" t="s">
        <v>880</v>
      </c>
      <c r="G388" s="21" t="s">
        <v>888</v>
      </c>
      <c r="H388" s="23" t="s">
        <v>291</v>
      </c>
      <c r="I388" s="27" t="s">
        <v>96</v>
      </c>
      <c r="J388" s="23" t="s">
        <v>291</v>
      </c>
      <c r="K388" s="23" t="s">
        <v>161</v>
      </c>
      <c r="L388" s="30" t="s">
        <v>197</v>
      </c>
      <c r="M388" s="24"/>
      <c r="N388" s="24"/>
      <c r="O388" s="24" t="str">
        <f aca="1">DATEDIF(P388,NOW(),"Y")&amp;" Tahun "&amp;DATEDIF(P388,NOW(),"YM")&amp;" Bulan "&amp;DATEDIF(P388,NOW(),"MD")&amp;" Hari "</f>
        <v>2 Tahun 6 Bulan 6 Hari </v>
      </c>
      <c r="P388" s="41" t="n">
        <v>45017</v>
      </c>
      <c r="Q388" s="36" t="n">
        <v>46477</v>
      </c>
      <c r="R388" s="56"/>
      <c r="S388" s="56"/>
    </row>
    <row r="389" spans="1:19">
      <c r="A389" s="21" t="n">
        <v>386</v>
      </c>
      <c r="B389" s="112" t="s">
        <v>1074</v>
      </c>
      <c r="C389" s="112"/>
      <c r="D389" s="163" t="s">
        <v>1075</v>
      </c>
      <c r="E389" s="21" t="s">
        <v>33</v>
      </c>
      <c r="F389" s="21" t="s">
        <v>880</v>
      </c>
      <c r="G389" s="35" t="s">
        <v>881</v>
      </c>
      <c r="H389" s="23" t="s">
        <v>724</v>
      </c>
      <c r="I389" s="27" t="s">
        <v>96</v>
      </c>
      <c r="J389" s="22" t="s">
        <v>724</v>
      </c>
      <c r="K389" s="28" t="s">
        <v>181</v>
      </c>
      <c r="L389" s="23" t="s">
        <v>68</v>
      </c>
      <c r="M389" s="24"/>
      <c r="N389" s="24"/>
      <c r="O389" s="24" t="str">
        <f aca="1">DATEDIF(P389,NOW(),"Y")&amp;" Tahun "&amp;DATEDIF(P389,NOW(),"YM")&amp;" Bulan "&amp;DATEDIF(P389,NOW(),"MD")&amp;" Hari "</f>
        <v>2 Tahun 6 Bulan 6 Hari </v>
      </c>
      <c r="P389" s="41" t="n">
        <v>45017</v>
      </c>
      <c r="Q389" s="36" t="n">
        <v>46477</v>
      </c>
      <c r="R389" s="56"/>
      <c r="S389" s="56"/>
    </row>
    <row r="390" spans="1:20">
      <c r="A390" s="21" t="n">
        <v>387</v>
      </c>
      <c r="B390" s="109" t="s">
        <v>1076</v>
      </c>
      <c r="C390" s="109"/>
      <c r="D390" s="38"/>
      <c r="E390" s="21" t="s">
        <v>33</v>
      </c>
      <c r="F390" s="21" t="s">
        <v>880</v>
      </c>
      <c r="G390" s="21" t="s">
        <v>888</v>
      </c>
      <c r="H390" s="23" t="s">
        <v>850</v>
      </c>
      <c r="I390" s="27" t="s">
        <v>96</v>
      </c>
      <c r="J390" s="23" t="s">
        <v>850</v>
      </c>
      <c r="K390" s="28" t="s">
        <v>274</v>
      </c>
      <c r="L390" s="23" t="s">
        <v>168</v>
      </c>
      <c r="M390" s="24"/>
      <c r="N390" s="24"/>
      <c r="O390" s="24" t="str">
        <f aca="1">DATEDIF(D390,NOW(),"Y")&amp;" Tahun "&amp;DATEDIF(D390,NOW(),"YM")&amp;" Bulan "&amp;DATEDIF(D390,NOW(),"MD")&amp;" Hari "</f>
        <v>125 Tahun 9 Bulan 7 Hari </v>
      </c>
      <c r="P390" s="41">
        <f>D390</f>
        <v>0</v>
      </c>
      <c r="Q390" s="36" t="n">
        <v>45258</v>
      </c>
      <c r="R390" s="51" t="n">
        <v>2475000</v>
      </c>
      <c r="S390" s="51">
        <f>R390</f>
        <v>2475000</v>
      </c>
      <c r="T390" s="72">
        <f>S390-R390</f>
        <v>0</v>
      </c>
    </row>
    <row r="391" spans="1:20">
      <c r="A391" s="21" t="n">
        <v>388</v>
      </c>
      <c r="B391" s="109" t="s">
        <v>1077</v>
      </c>
      <c r="C391" s="109"/>
      <c r="D391" s="38"/>
      <c r="E391" s="21" t="s">
        <v>24</v>
      </c>
      <c r="F391" s="21" t="s">
        <v>880</v>
      </c>
      <c r="G391" s="21" t="s">
        <v>881</v>
      </c>
      <c r="H391" s="40" t="s">
        <v>917</v>
      </c>
      <c r="I391" s="22" t="s">
        <v>101</v>
      </c>
      <c r="J391" s="40" t="s">
        <v>917</v>
      </c>
      <c r="K391" s="23" t="s">
        <v>143</v>
      </c>
      <c r="L391" s="23" t="s">
        <v>103</v>
      </c>
      <c r="M391" s="24"/>
      <c r="N391" s="24"/>
      <c r="O391" s="24" t="str">
        <f aca="1">DATEDIF(D391,NOW(),"Y")&amp;" Tahun "&amp;DATEDIF(D391,NOW(),"YM")&amp;" Bulan "&amp;DATEDIF(D391,NOW(),"MD")&amp;" Hari "</f>
        <v>125 Tahun 9 Bulan 7 Hari </v>
      </c>
      <c r="P391" s="41">
        <f>D391</f>
        <v>0</v>
      </c>
      <c r="Q391" s="36" t="n">
        <v>45258</v>
      </c>
      <c r="R391" s="51" t="n">
        <v>2325000</v>
      </c>
      <c r="S391" s="51">
        <f>R391</f>
        <v>2325000</v>
      </c>
      <c r="T391" s="72">
        <f>S391-R391</f>
        <v>0</v>
      </c>
    </row>
    <row r="392" spans="1:20">
      <c r="A392" s="21" t="n">
        <v>389</v>
      </c>
      <c r="B392" s="109" t="s">
        <v>1078</v>
      </c>
      <c r="C392" s="109"/>
      <c r="D392" s="38"/>
      <c r="E392" s="21" t="s">
        <v>24</v>
      </c>
      <c r="F392" s="21" t="s">
        <v>880</v>
      </c>
      <c r="G392" s="21" t="s">
        <v>881</v>
      </c>
      <c r="H392" s="40" t="s">
        <v>917</v>
      </c>
      <c r="I392" s="22" t="s">
        <v>101</v>
      </c>
      <c r="J392" s="40" t="s">
        <v>917</v>
      </c>
      <c r="K392" s="23" t="s">
        <v>143</v>
      </c>
      <c r="L392" s="23" t="s">
        <v>103</v>
      </c>
      <c r="M392" s="24"/>
      <c r="N392" s="24"/>
      <c r="O392" s="24" t="str">
        <f aca="1">DATEDIF(D392,NOW(),"Y")&amp;" Tahun "&amp;DATEDIF(D392,NOW(),"YM")&amp;" Bulan "&amp;DATEDIF(D392,NOW(),"MD")&amp;" Hari "</f>
        <v>125 Tahun 9 Bulan 7 Hari </v>
      </c>
      <c r="P392" s="41">
        <f>D392</f>
        <v>0</v>
      </c>
      <c r="Q392" s="36" t="n">
        <v>45258</v>
      </c>
      <c r="R392" s="51" t="n">
        <v>2325000</v>
      </c>
      <c r="S392" s="51">
        <f>R392</f>
        <v>2325000</v>
      </c>
      <c r="T392" s="72">
        <f>S392-R392</f>
        <v>0</v>
      </c>
    </row>
    <row r="393" spans="1:20">
      <c r="A393" s="21" t="n">
        <v>390</v>
      </c>
      <c r="B393" s="111" t="s">
        <v>1079</v>
      </c>
      <c r="C393" s="111"/>
      <c r="D393" s="38" t="s">
        <v>1080</v>
      </c>
      <c r="E393" s="21" t="s">
        <v>24</v>
      </c>
      <c r="F393" s="21" t="s">
        <v>880</v>
      </c>
      <c r="G393" s="21" t="s">
        <v>881</v>
      </c>
      <c r="H393" s="22" t="s">
        <v>663</v>
      </c>
      <c r="I393" s="27" t="s">
        <v>201</v>
      </c>
      <c r="J393" s="22" t="s">
        <v>663</v>
      </c>
      <c r="K393" s="28" t="s">
        <v>209</v>
      </c>
      <c r="L393" s="23" t="s">
        <v>162</v>
      </c>
      <c r="M393" s="24"/>
      <c r="N393" s="24"/>
      <c r="O393" s="24" t="e">
        <f aca="1">DATEDIF(D393,NOW(),"Y")&amp;" Tahun "&amp;DATEDIF(D393,NOW(),"YM")&amp;" Bulan "&amp;DATEDIF(D393,NOW(),"MD")&amp;" Hari "</f>
        <v>#VALUE!</v>
      </c>
      <c r="P393" s="41" t="str">
        <f>D393</f>
        <v>'199101172024212024</v>
      </c>
      <c r="Q393" s="36" t="n">
        <v>45258</v>
      </c>
      <c r="R393" s="51" t="n">
        <v>2425000</v>
      </c>
      <c r="S393" s="51">
        <f>R393</f>
        <v>2425000</v>
      </c>
      <c r="T393" s="72">
        <f>S393-R393</f>
        <v>0</v>
      </c>
    </row>
    <row r="394" spans="1:20">
      <c r="A394" s="21" t="n">
        <v>391</v>
      </c>
      <c r="B394" s="110" t="s">
        <v>1081</v>
      </c>
      <c r="C394" s="110"/>
      <c r="D394" s="38" t="s">
        <v>1082</v>
      </c>
      <c r="E394" s="21" t="s">
        <v>24</v>
      </c>
      <c r="F394" s="21" t="s">
        <v>880</v>
      </c>
      <c r="G394" s="21" t="s">
        <v>881</v>
      </c>
      <c r="H394" s="23" t="s">
        <v>724</v>
      </c>
      <c r="I394" s="27" t="s">
        <v>96</v>
      </c>
      <c r="J394" s="22" t="s">
        <v>724</v>
      </c>
      <c r="K394" s="28" t="s">
        <v>181</v>
      </c>
      <c r="L394" s="23" t="s">
        <v>235</v>
      </c>
      <c r="M394" s="24"/>
      <c r="N394" s="24"/>
      <c r="O394" s="24" t="e">
        <f aca="1">DATEDIF(D394,NOW(),"Y")&amp;" Tahun "&amp;DATEDIF(D394,NOW(),"YM")&amp;" Bulan "&amp;DATEDIF(D394,NOW(),"MD")&amp;" Hari "</f>
        <v>#VALUE!</v>
      </c>
      <c r="P394" s="41" t="str">
        <f>D394</f>
        <v>'199012172024212018</v>
      </c>
      <c r="Q394" s="36" t="n">
        <v>45258</v>
      </c>
      <c r="R394" s="51" t="n">
        <v>2425000</v>
      </c>
      <c r="S394" s="51">
        <f>R394</f>
        <v>2425000</v>
      </c>
      <c r="T394" s="72">
        <f>S394-R394</f>
        <v>0</v>
      </c>
    </row>
    <row r="395" spans="1:20">
      <c r="A395" s="21" t="n">
        <v>392</v>
      </c>
      <c r="B395" s="111" t="s">
        <v>1083</v>
      </c>
      <c r="C395" s="111"/>
      <c r="D395" s="38" t="s">
        <v>1084</v>
      </c>
      <c r="E395" s="21" t="s">
        <v>24</v>
      </c>
      <c r="F395" s="21" t="s">
        <v>880</v>
      </c>
      <c r="G395" s="21" t="s">
        <v>881</v>
      </c>
      <c r="H395" s="22" t="s">
        <v>663</v>
      </c>
      <c r="I395" s="27" t="s">
        <v>201</v>
      </c>
      <c r="J395" s="22" t="s">
        <v>663</v>
      </c>
      <c r="K395" s="28" t="s">
        <v>209</v>
      </c>
      <c r="L395" s="23" t="s">
        <v>622</v>
      </c>
      <c r="M395" s="24"/>
      <c r="N395" s="24"/>
      <c r="O395" s="24" t="e">
        <f aca="1">DATEDIF(D395,NOW(),"Y")&amp;" Tahun "&amp;DATEDIF(D395,NOW(),"YM")&amp;" Bulan "&amp;DATEDIF(D395,NOW(),"MD")&amp;" Hari "</f>
        <v>#VALUE!</v>
      </c>
      <c r="P395" s="41" t="str">
        <f>D395</f>
        <v>'199005172024212016</v>
      </c>
      <c r="Q395" s="36" t="n">
        <v>45258</v>
      </c>
      <c r="R395" s="51" t="n">
        <v>2425000</v>
      </c>
      <c r="S395" s="51">
        <f>R395</f>
        <v>2425000</v>
      </c>
      <c r="T395" s="72">
        <f>S395-R395</f>
        <v>0</v>
      </c>
    </row>
    <row r="396" spans="1:20">
      <c r="A396" s="21" t="n">
        <v>393</v>
      </c>
      <c r="B396" s="110" t="s">
        <v>1085</v>
      </c>
      <c r="C396" s="110"/>
      <c r="D396" s="38"/>
      <c r="E396" s="21" t="s">
        <v>24</v>
      </c>
      <c r="F396" s="21" t="s">
        <v>880</v>
      </c>
      <c r="G396" s="21" t="s">
        <v>926</v>
      </c>
      <c r="H396" s="23" t="s">
        <v>1086</v>
      </c>
      <c r="I396" s="22" t="s">
        <v>242</v>
      </c>
      <c r="J396" s="23" t="s">
        <v>1086</v>
      </c>
      <c r="K396" s="23" t="s">
        <v>1087</v>
      </c>
      <c r="L396" s="23" t="s">
        <v>523</v>
      </c>
      <c r="M396" s="24"/>
      <c r="N396" s="24"/>
      <c r="O396" s="24" t="str">
        <f aca="1">DATEDIF(D396,NOW(),"Y")&amp;" Tahun "&amp;DATEDIF(D396,NOW(),"YM")&amp;" Bulan "&amp;DATEDIF(D396,NOW(),"MD")&amp;" Hari "</f>
        <v>125 Tahun 9 Bulan 7 Hari </v>
      </c>
      <c r="P396" s="41">
        <f>D396</f>
        <v>0</v>
      </c>
      <c r="Q396" s="36" t="n">
        <v>45258</v>
      </c>
      <c r="R396" s="51" t="n">
        <v>2450000</v>
      </c>
      <c r="S396" s="51">
        <f>R396</f>
        <v>2450000</v>
      </c>
      <c r="T396" s="72">
        <f>S396-R396</f>
        <v>0</v>
      </c>
    </row>
    <row r="397" spans="1:20">
      <c r="A397" s="21" t="n">
        <v>394</v>
      </c>
      <c r="B397" s="106" t="s">
        <v>1088</v>
      </c>
      <c r="C397" s="106"/>
      <c r="D397" s="38" t="s">
        <v>1089</v>
      </c>
      <c r="E397" s="21" t="s">
        <v>24</v>
      </c>
      <c r="F397" s="21" t="s">
        <v>880</v>
      </c>
      <c r="G397" s="21" t="s">
        <v>881</v>
      </c>
      <c r="H397" s="22" t="s">
        <v>663</v>
      </c>
      <c r="I397" s="27" t="s">
        <v>201</v>
      </c>
      <c r="J397" s="22" t="s">
        <v>663</v>
      </c>
      <c r="K397" s="28" t="s">
        <v>209</v>
      </c>
      <c r="L397" s="29" t="s">
        <v>461</v>
      </c>
      <c r="M397" s="24"/>
      <c r="N397" s="24"/>
      <c r="O397" s="24" t="e">
        <f aca="1">DATEDIF(D397,NOW(),"Y")&amp;" Tahun "&amp;DATEDIF(D397,NOW(),"YM")&amp;" Bulan "&amp;DATEDIF(D397,NOW(),"MD")&amp;" Hari "</f>
        <v>#VALUE!</v>
      </c>
      <c r="P397" s="41" t="str">
        <f>D397</f>
        <v>'199008152024212019</v>
      </c>
      <c r="Q397" s="36" t="n">
        <v>45258</v>
      </c>
      <c r="R397" s="51" t="n">
        <v>2425000</v>
      </c>
      <c r="S397" s="51">
        <f>R397</f>
        <v>2425000</v>
      </c>
      <c r="T397" s="72">
        <f>S397-R397</f>
        <v>0</v>
      </c>
    </row>
    <row r="398" spans="1:20">
      <c r="A398" s="21" t="n">
        <v>395</v>
      </c>
      <c r="B398" s="106" t="s">
        <v>1090</v>
      </c>
      <c r="C398" s="106"/>
      <c r="D398" s="38"/>
      <c r="E398" s="21" t="s">
        <v>24</v>
      </c>
      <c r="F398" s="21" t="s">
        <v>880</v>
      </c>
      <c r="G398" s="21" t="s">
        <v>926</v>
      </c>
      <c r="H398" s="23" t="s">
        <v>1086</v>
      </c>
      <c r="I398" s="22" t="s">
        <v>242</v>
      </c>
      <c r="J398" s="23" t="s">
        <v>1086</v>
      </c>
      <c r="K398" s="23" t="s">
        <v>1087</v>
      </c>
      <c r="L398" s="23" t="s">
        <v>523</v>
      </c>
      <c r="M398" s="24"/>
      <c r="N398" s="24"/>
      <c r="O398" s="24" t="str">
        <f aca="1">DATEDIF(D398,NOW(),"Y")&amp;" Tahun "&amp;DATEDIF(D398,NOW(),"YM")&amp;" Bulan "&amp;DATEDIF(D398,NOW(),"MD")&amp;" Hari "</f>
        <v>125 Tahun 9 Bulan 7 Hari </v>
      </c>
      <c r="P398" s="41">
        <f>D398</f>
        <v>0</v>
      </c>
      <c r="Q398" s="36" t="n">
        <v>45258</v>
      </c>
      <c r="R398" s="51" t="n">
        <v>2400000</v>
      </c>
      <c r="S398" s="51" t="n">
        <v>2450000</v>
      </c>
      <c r="T398" s="72">
        <f>S398-R398</f>
        <v>50000</v>
      </c>
    </row>
    <row r="399" spans="1:20">
      <c r="A399" s="21" t="n">
        <v>396</v>
      </c>
      <c r="B399" s="111" t="s">
        <v>1091</v>
      </c>
      <c r="C399" s="111"/>
      <c r="D399" s="38" t="s">
        <v>1092</v>
      </c>
      <c r="E399" s="21" t="s">
        <v>24</v>
      </c>
      <c r="F399" s="21" t="s">
        <v>880</v>
      </c>
      <c r="G399" s="21" t="s">
        <v>881</v>
      </c>
      <c r="H399" s="23" t="s">
        <v>724</v>
      </c>
      <c r="I399" s="27" t="s">
        <v>96</v>
      </c>
      <c r="J399" s="22" t="s">
        <v>724</v>
      </c>
      <c r="K399" s="28" t="s">
        <v>181</v>
      </c>
      <c r="L399" s="23" t="s">
        <v>382</v>
      </c>
      <c r="M399" s="24"/>
      <c r="N399" s="24"/>
      <c r="O399" s="24" t="e">
        <f aca="1">DATEDIF(D399,NOW(),"Y")&amp;" Tahun "&amp;DATEDIF(D399,NOW(),"YM")&amp;" Bulan "&amp;DATEDIF(D399,NOW(),"MD")&amp;" Hari "</f>
        <v>#VALUE!</v>
      </c>
      <c r="P399" s="41" t="str">
        <f>D399</f>
        <v>'199010102024212049</v>
      </c>
      <c r="Q399" s="36" t="n">
        <v>45258</v>
      </c>
      <c r="R399" s="51" t="n">
        <v>2375000</v>
      </c>
      <c r="S399" s="51" t="n">
        <v>2425000</v>
      </c>
      <c r="T399" s="72">
        <f>S399-R399</f>
        <v>50000</v>
      </c>
    </row>
    <row r="400" spans="1:20">
      <c r="A400" s="21" t="n">
        <v>397</v>
      </c>
      <c r="B400" s="111" t="s">
        <v>1093</v>
      </c>
      <c r="C400" s="111"/>
      <c r="D400" s="38"/>
      <c r="E400" s="21" t="s">
        <v>24</v>
      </c>
      <c r="F400" s="21" t="s">
        <v>880</v>
      </c>
      <c r="G400" s="21" t="s">
        <v>888</v>
      </c>
      <c r="H400" s="23" t="s">
        <v>291</v>
      </c>
      <c r="I400" s="27" t="s">
        <v>96</v>
      </c>
      <c r="J400" s="23" t="s">
        <v>291</v>
      </c>
      <c r="K400" s="23" t="s">
        <v>161</v>
      </c>
      <c r="L400" s="23" t="s">
        <v>68</v>
      </c>
      <c r="M400" s="24"/>
      <c r="N400" s="24"/>
      <c r="O400" s="24" t="str">
        <f aca="1">DATEDIF(D400,NOW(),"Y")&amp;" Tahun "&amp;DATEDIF(D400,NOW(),"YM")&amp;" Bulan "&amp;DATEDIF(D400,NOW(),"MD")&amp;" Hari "</f>
        <v>125 Tahun 9 Bulan 7 Hari </v>
      </c>
      <c r="P400" s="41">
        <f>D400</f>
        <v>0</v>
      </c>
      <c r="Q400" s="36" t="n">
        <v>45258</v>
      </c>
      <c r="R400" s="51" t="n">
        <v>2400000</v>
      </c>
      <c r="S400" s="51" t="n">
        <v>2450000</v>
      </c>
      <c r="T400" s="72">
        <f>S400-R400</f>
        <v>50000</v>
      </c>
    </row>
    <row r="401" spans="1:20">
      <c r="A401" s="21" t="n">
        <v>398</v>
      </c>
      <c r="B401" s="111" t="s">
        <v>1094</v>
      </c>
      <c r="C401" s="111"/>
      <c r="D401" s="161" t="s">
        <v>1095</v>
      </c>
      <c r="E401" s="21" t="s">
        <v>24</v>
      </c>
      <c r="F401" s="21" t="s">
        <v>880</v>
      </c>
      <c r="G401" s="21" t="s">
        <v>881</v>
      </c>
      <c r="H401" s="23" t="s">
        <v>724</v>
      </c>
      <c r="I401" s="27" t="s">
        <v>96</v>
      </c>
      <c r="J401" s="22" t="s">
        <v>724</v>
      </c>
      <c r="K401" s="28" t="s">
        <v>181</v>
      </c>
      <c r="L401" s="23" t="s">
        <v>331</v>
      </c>
      <c r="M401" s="24"/>
      <c r="N401" s="24"/>
      <c r="O401" s="24" t="e">
        <f aca="1">DATEDIF(D401,NOW(),"Y")&amp;" Tahun "&amp;DATEDIF(D401,NOW(),"YM")&amp;" Bulan "&amp;DATEDIF(D401,NOW(),"MD")&amp;" Hari "</f>
        <v>#NUM!</v>
      </c>
      <c r="P401" s="41" t="str">
        <f>D401</f>
        <v>199306122024212038</v>
      </c>
      <c r="Q401" s="36" t="n">
        <v>45258</v>
      </c>
      <c r="R401" s="51" t="n">
        <v>2375000</v>
      </c>
      <c r="S401" s="51" t="n">
        <v>2425000</v>
      </c>
      <c r="T401" s="72">
        <f>S401-R401</f>
        <v>50000</v>
      </c>
    </row>
    <row r="402" spans="1:20">
      <c r="A402" s="21" t="n">
        <v>399</v>
      </c>
      <c r="B402" s="111" t="s">
        <v>1096</v>
      </c>
      <c r="C402" s="111"/>
      <c r="D402" s="38" t="s">
        <v>1097</v>
      </c>
      <c r="E402" s="21" t="s">
        <v>24</v>
      </c>
      <c r="F402" s="21" t="s">
        <v>880</v>
      </c>
      <c r="G402" s="21" t="s">
        <v>881</v>
      </c>
      <c r="H402" s="22" t="s">
        <v>663</v>
      </c>
      <c r="I402" s="27" t="s">
        <v>201</v>
      </c>
      <c r="J402" s="22" t="s">
        <v>663</v>
      </c>
      <c r="K402" s="28" t="s">
        <v>209</v>
      </c>
      <c r="L402" s="23" t="s">
        <v>622</v>
      </c>
      <c r="M402" s="24"/>
      <c r="N402" s="24"/>
      <c r="O402" s="24" t="e">
        <f aca="1">DATEDIF(D402,NOW(),"Y")&amp;" Tahun "&amp;DATEDIF(D402,NOW(),"YM")&amp;" Bulan "&amp;DATEDIF(D402,NOW(),"MD")&amp;" Hari "</f>
        <v>#VALUE!</v>
      </c>
      <c r="P402" s="41" t="str">
        <f>D402</f>
        <v>'199203032024212033</v>
      </c>
      <c r="Q402" s="36" t="n">
        <v>45258</v>
      </c>
      <c r="R402" s="51" t="n">
        <v>2375000</v>
      </c>
      <c r="S402" s="51" t="n">
        <v>2425000</v>
      </c>
      <c r="T402" s="72">
        <f>S402-R402</f>
        <v>50000</v>
      </c>
    </row>
    <row r="403" spans="1:20">
      <c r="A403" s="21" t="n">
        <v>400</v>
      </c>
      <c r="B403" s="106" t="s">
        <v>1098</v>
      </c>
      <c r="C403" s="106"/>
      <c r="D403" s="38" t="s">
        <v>1099</v>
      </c>
      <c r="E403" s="21" t="s">
        <v>24</v>
      </c>
      <c r="F403" s="21" t="s">
        <v>880</v>
      </c>
      <c r="G403" s="21" t="s">
        <v>881</v>
      </c>
      <c r="H403" s="22" t="s">
        <v>663</v>
      </c>
      <c r="I403" s="27" t="s">
        <v>201</v>
      </c>
      <c r="J403" s="22" t="s">
        <v>663</v>
      </c>
      <c r="K403" s="28" t="s">
        <v>209</v>
      </c>
      <c r="L403" s="23" t="s">
        <v>162</v>
      </c>
      <c r="M403" s="24"/>
      <c r="N403" s="24"/>
      <c r="O403" s="24" t="e">
        <f aca="1">DATEDIF(D403,NOW(),"Y")&amp;" Tahun "&amp;DATEDIF(D403,NOW(),"YM")&amp;" Bulan "&amp;DATEDIF(D403,NOW(),"MD")&amp;" Hari "</f>
        <v>#VALUE!</v>
      </c>
      <c r="P403" s="41" t="str">
        <f>D403</f>
        <v>'199206222024212029</v>
      </c>
      <c r="Q403" s="36" t="n">
        <v>45258</v>
      </c>
      <c r="R403" s="51" t="n">
        <v>2375000</v>
      </c>
      <c r="S403" s="51" t="n">
        <v>2425000</v>
      </c>
      <c r="T403" s="72">
        <f>S403-R403</f>
        <v>50000</v>
      </c>
    </row>
    <row r="404" spans="1:20">
      <c r="A404" s="21" t="n">
        <v>401</v>
      </c>
      <c r="B404" s="106" t="s">
        <v>1100</v>
      </c>
      <c r="C404" s="106"/>
      <c r="D404" s="38" t="s">
        <v>1101</v>
      </c>
      <c r="E404" s="21" t="s">
        <v>24</v>
      </c>
      <c r="F404" s="21" t="s">
        <v>880</v>
      </c>
      <c r="G404" s="21" t="s">
        <v>881</v>
      </c>
      <c r="H404" s="22" t="s">
        <v>663</v>
      </c>
      <c r="I404" s="27" t="s">
        <v>201</v>
      </c>
      <c r="J404" s="22" t="s">
        <v>663</v>
      </c>
      <c r="K404" s="28" t="s">
        <v>209</v>
      </c>
      <c r="L404" s="23" t="s">
        <v>622</v>
      </c>
      <c r="M404" s="24"/>
      <c r="N404" s="24"/>
      <c r="O404" s="24" t="e">
        <f aca="1">DATEDIF(D404,NOW(),"Y")&amp;" Tahun "&amp;DATEDIF(D404,NOW(),"YM")&amp;" Bulan "&amp;DATEDIF(D404,NOW(),"MD")&amp;" Hari "</f>
        <v>#VALUE!</v>
      </c>
      <c r="P404" s="41" t="str">
        <f>D404</f>
        <v>'199107062024212033</v>
      </c>
      <c r="Q404" s="36" t="n">
        <v>45258</v>
      </c>
      <c r="R404" s="51" t="n">
        <v>2375000</v>
      </c>
      <c r="S404" s="51" t="n">
        <v>2425000</v>
      </c>
      <c r="T404" s="72">
        <f>S404-R404</f>
        <v>50000</v>
      </c>
    </row>
    <row r="405" spans="1:20">
      <c r="A405" s="21" t="n">
        <v>402</v>
      </c>
      <c r="B405" s="106" t="s">
        <v>1102</v>
      </c>
      <c r="C405" s="106"/>
      <c r="D405" s="38" t="s">
        <v>1103</v>
      </c>
      <c r="E405" s="21" t="s">
        <v>24</v>
      </c>
      <c r="F405" s="21" t="s">
        <v>880</v>
      </c>
      <c r="G405" s="21" t="s">
        <v>881</v>
      </c>
      <c r="H405" s="22" t="s">
        <v>663</v>
      </c>
      <c r="I405" s="27" t="s">
        <v>201</v>
      </c>
      <c r="J405" s="22" t="s">
        <v>663</v>
      </c>
      <c r="K405" s="28" t="s">
        <v>209</v>
      </c>
      <c r="L405" s="23" t="s">
        <v>210</v>
      </c>
      <c r="M405" s="24"/>
      <c r="N405" s="24"/>
      <c r="O405" s="24" t="e">
        <f aca="1">DATEDIF(D405,NOW(),"Y")&amp;" Tahun "&amp;DATEDIF(D405,NOW(),"YM")&amp;" Bulan "&amp;DATEDIF(D405,NOW(),"MD")&amp;" Hari "</f>
        <v>#VALUE!</v>
      </c>
      <c r="P405" s="41" t="str">
        <f>D405</f>
        <v>'199212212024212030</v>
      </c>
      <c r="Q405" s="36" t="n">
        <v>45258</v>
      </c>
      <c r="R405" s="51" t="n">
        <v>2375000</v>
      </c>
      <c r="S405" s="51" t="n">
        <v>2425000</v>
      </c>
      <c r="T405" s="72">
        <f>S405-R405</f>
        <v>50000</v>
      </c>
    </row>
    <row r="406" spans="1:20">
      <c r="A406" s="21" t="n">
        <v>403</v>
      </c>
      <c r="B406" s="106" t="s">
        <v>1104</v>
      </c>
      <c r="C406" s="106"/>
      <c r="D406" s="38" t="s">
        <v>1105</v>
      </c>
      <c r="E406" s="21" t="s">
        <v>24</v>
      </c>
      <c r="F406" s="21" t="s">
        <v>880</v>
      </c>
      <c r="G406" s="21" t="s">
        <v>881</v>
      </c>
      <c r="H406" s="22" t="s">
        <v>663</v>
      </c>
      <c r="I406" s="27" t="s">
        <v>201</v>
      </c>
      <c r="J406" s="22" t="s">
        <v>663</v>
      </c>
      <c r="K406" s="28" t="s">
        <v>209</v>
      </c>
      <c r="L406" s="23" t="s">
        <v>158</v>
      </c>
      <c r="M406" s="24"/>
      <c r="N406" s="24"/>
      <c r="O406" s="24" t="e">
        <f aca="1">DATEDIF(D406,NOW(),"Y")&amp;" Tahun "&amp;DATEDIF(D406,NOW(),"YM")&amp;" Bulan "&amp;DATEDIF(D406,NOW(),"MD")&amp;" Hari "</f>
        <v>#VALUE!</v>
      </c>
      <c r="P406" s="41" t="str">
        <f>D406</f>
        <v>'199011052024212025</v>
      </c>
      <c r="Q406" s="36" t="n">
        <v>45258</v>
      </c>
      <c r="R406" s="51" t="n">
        <v>2375000</v>
      </c>
      <c r="S406" s="51" t="n">
        <v>2425000</v>
      </c>
      <c r="T406" s="72">
        <f>S406-R406</f>
        <v>50000</v>
      </c>
    </row>
    <row r="407" spans="1:20">
      <c r="A407" s="21" t="n">
        <v>404</v>
      </c>
      <c r="B407" s="106" t="s">
        <v>1106</v>
      </c>
      <c r="C407" s="106"/>
      <c r="D407" s="38" t="s">
        <v>1107</v>
      </c>
      <c r="E407" s="21" t="s">
        <v>24</v>
      </c>
      <c r="F407" s="21" t="s">
        <v>880</v>
      </c>
      <c r="G407" s="21" t="s">
        <v>881</v>
      </c>
      <c r="H407" s="23" t="s">
        <v>724</v>
      </c>
      <c r="I407" s="27" t="s">
        <v>96</v>
      </c>
      <c r="J407" s="22" t="s">
        <v>724</v>
      </c>
      <c r="K407" s="28" t="s">
        <v>181</v>
      </c>
      <c r="L407" s="23" t="s">
        <v>68</v>
      </c>
      <c r="M407" s="24"/>
      <c r="N407" s="24"/>
      <c r="O407" s="24" t="e">
        <f aca="1">DATEDIF(D407,NOW(),"Y")&amp;" Tahun "&amp;DATEDIF(D407,NOW(),"YM")&amp;" Bulan "&amp;DATEDIF(D407,NOW(),"MD")&amp;" Hari "</f>
        <v>#VALUE!</v>
      </c>
      <c r="P407" s="41" t="str">
        <f>D407</f>
        <v>'198810312024212016</v>
      </c>
      <c r="Q407" s="36" t="n">
        <v>45258</v>
      </c>
      <c r="R407" s="51" t="n">
        <v>2375000</v>
      </c>
      <c r="S407" s="51" t="n">
        <v>2425000</v>
      </c>
      <c r="T407" s="72">
        <f>S407-R407</f>
        <v>50000</v>
      </c>
    </row>
    <row r="408" spans="1:20">
      <c r="A408" s="21" t="n">
        <v>405</v>
      </c>
      <c r="B408" s="106" t="s">
        <v>1108</v>
      </c>
      <c r="C408" s="106"/>
      <c r="D408" s="38"/>
      <c r="E408" s="21" t="s">
        <v>24</v>
      </c>
      <c r="F408" s="21" t="s">
        <v>880</v>
      </c>
      <c r="G408" s="21" t="s">
        <v>926</v>
      </c>
      <c r="H408" s="23" t="s">
        <v>1086</v>
      </c>
      <c r="I408" s="22" t="s">
        <v>242</v>
      </c>
      <c r="J408" s="23" t="s">
        <v>1086</v>
      </c>
      <c r="K408" s="23" t="s">
        <v>1087</v>
      </c>
      <c r="L408" s="23" t="s">
        <v>458</v>
      </c>
      <c r="M408" s="24"/>
      <c r="N408" s="24"/>
      <c r="O408" s="24" t="str">
        <f aca="1">DATEDIF(D408,NOW(),"Y")&amp;" Tahun "&amp;DATEDIF(D408,NOW(),"YM")&amp;" Bulan "&amp;DATEDIF(D408,NOW(),"MD")&amp;" Hari "</f>
        <v>125 Tahun 9 Bulan 7 Hari </v>
      </c>
      <c r="P408" s="41">
        <f>D408</f>
        <v>0</v>
      </c>
      <c r="Q408" s="36" t="n">
        <v>45258</v>
      </c>
      <c r="R408" s="51" t="n">
        <v>2350000</v>
      </c>
      <c r="S408" s="51">
        <f>R408</f>
        <v>2350000</v>
      </c>
      <c r="T408" s="72">
        <f>S408-R408</f>
        <v>0</v>
      </c>
    </row>
    <row r="409" spans="1:19">
      <c r="A409" s="21" t="n">
        <v>406</v>
      </c>
      <c r="B409" s="106" t="s">
        <v>1109</v>
      </c>
      <c r="C409" s="106"/>
      <c r="D409" s="38" t="s">
        <v>1110</v>
      </c>
      <c r="E409" s="21" t="s">
        <v>24</v>
      </c>
      <c r="F409" s="21" t="s">
        <v>880</v>
      </c>
      <c r="G409" s="21" t="s">
        <v>881</v>
      </c>
      <c r="H409" s="23" t="s">
        <v>724</v>
      </c>
      <c r="I409" s="27" t="s">
        <v>96</v>
      </c>
      <c r="J409" s="22" t="s">
        <v>724</v>
      </c>
      <c r="K409" s="28" t="s">
        <v>181</v>
      </c>
      <c r="L409" s="23" t="s">
        <v>382</v>
      </c>
      <c r="M409" s="24"/>
      <c r="N409" s="24"/>
      <c r="O409" s="24" t="e">
        <f aca="1">DATEDIF(D409,NOW(),"Y")&amp;" Tahun "&amp;DATEDIF(D409,NOW(),"YM")&amp;" Bulan "&amp;DATEDIF(D409,NOW(),"MD")&amp;" Hari "</f>
        <v>#VALUE!</v>
      </c>
      <c r="P409" s="41" t="str">
        <f>D409</f>
        <v>'199006062024212026</v>
      </c>
      <c r="Q409" s="36" t="n">
        <v>45258</v>
      </c>
      <c r="R409" s="51" t="n">
        <v>1200000</v>
      </c>
      <c r="S409" s="51"/>
    </row>
    <row r="410" spans="1:19">
      <c r="A410" s="21" t="n">
        <v>407</v>
      </c>
      <c r="B410" s="106" t="s">
        <v>1111</v>
      </c>
      <c r="C410" s="106"/>
      <c r="D410" s="38" t="s">
        <v>1112</v>
      </c>
      <c r="E410" s="21" t="s">
        <v>24</v>
      </c>
      <c r="F410" s="21" t="s">
        <v>880</v>
      </c>
      <c r="G410" s="21" t="s">
        <v>881</v>
      </c>
      <c r="H410" s="23" t="s">
        <v>724</v>
      </c>
      <c r="I410" s="27" t="s">
        <v>96</v>
      </c>
      <c r="J410" s="22" t="s">
        <v>724</v>
      </c>
      <c r="K410" s="28" t="s">
        <v>181</v>
      </c>
      <c r="L410" s="23" t="s">
        <v>235</v>
      </c>
      <c r="M410" s="24"/>
      <c r="N410" s="24"/>
      <c r="O410" s="24" t="e">
        <f aca="1">DATEDIF(D410,NOW(),"Y")&amp;" Tahun "&amp;DATEDIF(D410,NOW(),"YM")&amp;" Bulan "&amp;DATEDIF(D410,NOW(),"MD")&amp;" Hari "</f>
        <v>#VALUE!</v>
      </c>
      <c r="P410" s="41" t="str">
        <f>D410</f>
        <v>'199303202024212046</v>
      </c>
      <c r="Q410" s="36" t="n">
        <v>45258</v>
      </c>
      <c r="R410" s="51" t="n">
        <v>1200000</v>
      </c>
      <c r="S410" s="51"/>
    </row>
    <row r="411" spans="1:19">
      <c r="A411" s="21" t="n">
        <v>408</v>
      </c>
      <c r="B411" s="106" t="s">
        <v>1113</v>
      </c>
      <c r="C411" s="106"/>
      <c r="D411" s="38" t="s">
        <v>1114</v>
      </c>
      <c r="E411" s="21" t="s">
        <v>24</v>
      </c>
      <c r="F411" s="21" t="s">
        <v>880</v>
      </c>
      <c r="G411" s="21" t="s">
        <v>881</v>
      </c>
      <c r="H411" s="23" t="s">
        <v>724</v>
      </c>
      <c r="I411" s="27" t="s">
        <v>96</v>
      </c>
      <c r="J411" s="22" t="s">
        <v>724</v>
      </c>
      <c r="K411" s="28" t="s">
        <v>181</v>
      </c>
      <c r="L411" s="23" t="s">
        <v>737</v>
      </c>
      <c r="M411" s="24"/>
      <c r="N411" s="24"/>
      <c r="O411" s="24" t="e">
        <f aca="1">DATEDIF(D411,NOW(),"Y")&amp;" Tahun "&amp;DATEDIF(D411,NOW(),"YM")&amp;" Bulan "&amp;DATEDIF(D411,NOW(),"MD")&amp;" Hari "</f>
        <v>#VALUE!</v>
      </c>
      <c r="P411" s="41" t="str">
        <f>D411</f>
        <v>'199109122024212035</v>
      </c>
      <c r="Q411" s="36" t="n">
        <v>45258</v>
      </c>
      <c r="R411" s="51" t="n">
        <v>1200000</v>
      </c>
      <c r="S411" s="51"/>
    </row>
    <row r="412" spans="1:19">
      <c r="A412" s="21" t="n">
        <v>409</v>
      </c>
      <c r="B412" s="106" t="s">
        <v>1115</v>
      </c>
      <c r="C412" s="106"/>
      <c r="D412" s="42"/>
      <c r="E412" s="21" t="s">
        <v>24</v>
      </c>
      <c r="F412" s="21" t="s">
        <v>880</v>
      </c>
      <c r="G412" s="21" t="s">
        <v>888</v>
      </c>
      <c r="H412" s="23" t="s">
        <v>291</v>
      </c>
      <c r="I412" s="27" t="s">
        <v>96</v>
      </c>
      <c r="J412" s="23" t="s">
        <v>291</v>
      </c>
      <c r="K412" s="23" t="s">
        <v>161</v>
      </c>
      <c r="L412" s="23" t="s">
        <v>737</v>
      </c>
      <c r="M412" s="24"/>
      <c r="N412" s="24"/>
      <c r="O412" s="24" t="str">
        <f aca="1">DATEDIF(D412,NOW(),"Y")&amp;" Tahun "&amp;DATEDIF(D412,NOW(),"YM")&amp;" Bulan "&amp;DATEDIF(D412,NOW(),"MD")&amp;" Hari "</f>
        <v>125 Tahun 9 Bulan 7 Hari </v>
      </c>
      <c r="P412" s="41">
        <f>D412</f>
        <v>0</v>
      </c>
      <c r="Q412" s="36" t="n">
        <v>45258</v>
      </c>
      <c r="R412" s="51" t="n">
        <v>1350000</v>
      </c>
      <c r="S412" s="51"/>
    </row>
    <row r="413" spans="1:19">
      <c r="A413" s="21" t="n">
        <v>410</v>
      </c>
      <c r="B413" s="106" t="s">
        <v>1116</v>
      </c>
      <c r="C413" s="106"/>
      <c r="D413" s="38"/>
      <c r="E413" s="21" t="s">
        <v>24</v>
      </c>
      <c r="F413" s="21" t="s">
        <v>880</v>
      </c>
      <c r="G413" s="21" t="s">
        <v>888</v>
      </c>
      <c r="H413" s="23" t="s">
        <v>291</v>
      </c>
      <c r="I413" s="27" t="s">
        <v>96</v>
      </c>
      <c r="J413" s="23" t="s">
        <v>291</v>
      </c>
      <c r="K413" s="23" t="s">
        <v>161</v>
      </c>
      <c r="L413" s="23" t="s">
        <v>225</v>
      </c>
      <c r="M413" s="24"/>
      <c r="N413" s="24"/>
      <c r="O413" s="24" t="str">
        <f aca="1">DATEDIF(D413,NOW(),"Y")&amp;" Tahun "&amp;DATEDIF(D413,NOW(),"YM")&amp;" Bulan "&amp;DATEDIF(D413,NOW(),"MD")&amp;" Hari "</f>
        <v>125 Tahun 9 Bulan 7 Hari </v>
      </c>
      <c r="P413" s="41">
        <f>D413</f>
        <v>0</v>
      </c>
      <c r="Q413" s="36" t="n">
        <v>45258</v>
      </c>
      <c r="R413" s="51" t="n">
        <v>1350000</v>
      </c>
      <c r="S413" s="51"/>
    </row>
    <row r="414" spans="1:19">
      <c r="A414" s="21" t="n">
        <v>411</v>
      </c>
      <c r="B414" s="106" t="s">
        <v>1117</v>
      </c>
      <c r="C414" s="106"/>
      <c r="D414" s="38"/>
      <c r="E414" s="21" t="s">
        <v>33</v>
      </c>
      <c r="F414" s="21" t="s">
        <v>880</v>
      </c>
      <c r="G414" s="21" t="s">
        <v>888</v>
      </c>
      <c r="H414" s="23" t="s">
        <v>291</v>
      </c>
      <c r="I414" s="27" t="s">
        <v>96</v>
      </c>
      <c r="J414" s="23" t="s">
        <v>291</v>
      </c>
      <c r="K414" s="23" t="s">
        <v>161</v>
      </c>
      <c r="L414" s="23" t="s">
        <v>331</v>
      </c>
      <c r="M414" s="24"/>
      <c r="N414" s="24"/>
      <c r="O414" s="24" t="str">
        <f aca="1">DATEDIF(D414,NOW(),"Y")&amp;" Tahun "&amp;DATEDIF(D414,NOW(),"YM")&amp;" Bulan "&amp;DATEDIF(D414,NOW(),"MD")&amp;" Hari "</f>
        <v>125 Tahun 9 Bulan 7 Hari </v>
      </c>
      <c r="P414" s="41">
        <f>D414</f>
        <v>0</v>
      </c>
      <c r="Q414" s="36" t="n">
        <v>45258</v>
      </c>
      <c r="R414" s="51" t="n">
        <v>1350000</v>
      </c>
      <c r="S414" s="51"/>
    </row>
    <row r="415" spans="1:19">
      <c r="A415" s="21" t="n">
        <v>412</v>
      </c>
      <c r="B415" s="106" t="s">
        <v>1118</v>
      </c>
      <c r="C415" s="106"/>
      <c r="D415" s="38" t="s">
        <v>1119</v>
      </c>
      <c r="E415" s="21" t="s">
        <v>33</v>
      </c>
      <c r="F415" s="21" t="s">
        <v>880</v>
      </c>
      <c r="G415" s="21" t="s">
        <v>881</v>
      </c>
      <c r="H415" s="23" t="s">
        <v>724</v>
      </c>
      <c r="I415" s="27" t="s">
        <v>96</v>
      </c>
      <c r="J415" s="22" t="s">
        <v>724</v>
      </c>
      <c r="K415" s="28" t="s">
        <v>181</v>
      </c>
      <c r="L415" s="23" t="s">
        <v>168</v>
      </c>
      <c r="M415" s="24"/>
      <c r="N415" s="24"/>
      <c r="O415" s="24" t="e">
        <f aca="1">DATEDIF(D415,NOW(),"Y")&amp;" Tahun "&amp;DATEDIF(D415,NOW(),"YM")&amp;" Bulan "&amp;DATEDIF(D415,NOW(),"MD")&amp;" Hari "</f>
        <v>#VALUE!</v>
      </c>
      <c r="P415" s="41" t="str">
        <f>D415</f>
        <v>'199508252024211006</v>
      </c>
      <c r="Q415" s="36" t="n">
        <v>45258</v>
      </c>
      <c r="R415" s="51" t="n">
        <v>1200000</v>
      </c>
      <c r="S415" s="51"/>
    </row>
    <row r="416" spans="1:19">
      <c r="A416" s="21" t="n">
        <v>413</v>
      </c>
      <c r="B416" s="106" t="s">
        <v>1120</v>
      </c>
      <c r="C416" s="106"/>
      <c r="D416" s="38" t="s">
        <v>1121</v>
      </c>
      <c r="E416" s="21" t="s">
        <v>24</v>
      </c>
      <c r="F416" s="21" t="s">
        <v>880</v>
      </c>
      <c r="G416" s="21" t="s">
        <v>881</v>
      </c>
      <c r="H416" s="23" t="s">
        <v>724</v>
      </c>
      <c r="I416" s="27" t="s">
        <v>96</v>
      </c>
      <c r="J416" s="22" t="s">
        <v>724</v>
      </c>
      <c r="K416" s="28" t="s">
        <v>181</v>
      </c>
      <c r="L416" s="29" t="s">
        <v>97</v>
      </c>
      <c r="M416" s="24"/>
      <c r="N416" s="24"/>
      <c r="O416" s="24" t="e">
        <f aca="1">DATEDIF(D416,NOW(),"Y")&amp;" Tahun "&amp;DATEDIF(D416,NOW(),"YM")&amp;" Bulan "&amp;DATEDIF(D416,NOW(),"MD")&amp;" Hari "</f>
        <v>#VALUE!</v>
      </c>
      <c r="P416" s="41" t="str">
        <f>D416</f>
        <v>'199706052024212025</v>
      </c>
      <c r="Q416" s="36" t="n">
        <v>45258</v>
      </c>
      <c r="R416" s="51" t="n">
        <v>1200000</v>
      </c>
      <c r="S416" s="51"/>
    </row>
    <row r="417" spans="1:20">
      <c r="A417" s="21" t="n">
        <v>414</v>
      </c>
      <c r="B417" s="107" t="s">
        <v>1122</v>
      </c>
      <c r="C417" s="107"/>
      <c r="D417" s="38" t="s">
        <v>1123</v>
      </c>
      <c r="E417" s="21" t="s">
        <v>33</v>
      </c>
      <c r="F417" s="21" t="s">
        <v>880</v>
      </c>
      <c r="G417" s="21" t="s">
        <v>888</v>
      </c>
      <c r="H417" s="22" t="s">
        <v>464</v>
      </c>
      <c r="I417" s="27" t="s">
        <v>66</v>
      </c>
      <c r="J417" s="22" t="s">
        <v>464</v>
      </c>
      <c r="K417" s="23" t="s">
        <v>67</v>
      </c>
      <c r="L417" s="23" t="s">
        <v>68</v>
      </c>
      <c r="M417" s="24"/>
      <c r="N417" s="24"/>
      <c r="O417" s="24" t="e">
        <f aca="1">DATEDIF(D417,NOW(),"Y")&amp;" Tahun "&amp;DATEDIF(D417,NOW(),"YM")&amp;" Bulan "&amp;DATEDIF(D417,NOW(),"MD")&amp;" Hari "</f>
        <v>#VALUE!</v>
      </c>
      <c r="P417" s="41" t="str">
        <f>D417</f>
        <v>'199511022024211009</v>
      </c>
      <c r="Q417" s="36" t="n">
        <v>45258</v>
      </c>
      <c r="R417" s="51" t="n">
        <v>3500000</v>
      </c>
      <c r="S417" s="51" t="n">
        <v>3750000</v>
      </c>
      <c r="T417" s="72">
        <f>S417-R417</f>
        <v>250000</v>
      </c>
    </row>
    <row r="418" spans="1:20">
      <c r="A418" s="21" t="n">
        <v>415</v>
      </c>
      <c r="B418" s="113" t="s">
        <v>1124</v>
      </c>
      <c r="C418" s="113"/>
      <c r="D418" s="38"/>
      <c r="E418" s="21" t="s">
        <v>24</v>
      </c>
      <c r="F418" s="21" t="s">
        <v>880</v>
      </c>
      <c r="G418" s="21" t="s">
        <v>888</v>
      </c>
      <c r="H418" s="23" t="s">
        <v>291</v>
      </c>
      <c r="I418" s="27" t="s">
        <v>96</v>
      </c>
      <c r="J418" s="23" t="s">
        <v>291</v>
      </c>
      <c r="K418" s="23" t="s">
        <v>161</v>
      </c>
      <c r="L418" s="23" t="s">
        <v>278</v>
      </c>
      <c r="M418" s="24"/>
      <c r="N418" s="24"/>
      <c r="O418" s="24" t="str">
        <f aca="1">DATEDIF(D418,NOW(),"Y")&amp;" Tahun "&amp;DATEDIF(D418,NOW(),"YM")&amp;" Bulan "&amp;DATEDIF(D418,NOW(),"MD")&amp;" Hari "</f>
        <v>125 Tahun 9 Bulan 7 Hari </v>
      </c>
      <c r="P418" s="41">
        <f>D418</f>
        <v>0</v>
      </c>
      <c r="Q418" s="36" t="n">
        <v>45258</v>
      </c>
      <c r="R418" s="51" t="n">
        <v>1350000</v>
      </c>
      <c r="S418" s="51" t="n">
        <v>1350000</v>
      </c>
      <c r="T418" s="72">
        <f>S418-R418</f>
        <v>0</v>
      </c>
    </row>
    <row r="419" spans="1:20">
      <c r="A419" s="21" t="n">
        <v>416</v>
      </c>
      <c r="B419" s="107" t="s">
        <v>1125</v>
      </c>
      <c r="C419" s="107"/>
      <c r="D419" s="161" t="s">
        <v>1126</v>
      </c>
      <c r="E419" s="21" t="s">
        <v>24</v>
      </c>
      <c r="F419" s="21" t="s">
        <v>880</v>
      </c>
      <c r="G419" s="159" t="s">
        <v>1127</v>
      </c>
      <c r="H419" s="22" t="s">
        <v>631</v>
      </c>
      <c r="I419" s="27" t="s">
        <v>201</v>
      </c>
      <c r="J419" s="22" t="s">
        <v>631</v>
      </c>
      <c r="K419" s="23" t="s">
        <v>1128</v>
      </c>
      <c r="L419" s="23" t="s">
        <v>162</v>
      </c>
      <c r="M419" s="24"/>
      <c r="N419" s="24"/>
      <c r="O419" s="24" t="e">
        <f aca="1">DATEDIF(D419,NOW(),"Y")&amp;" Tahun "&amp;DATEDIF(D419,NOW(),"YM")&amp;" Bulan "&amp;DATEDIF(D419,NOW(),"MD")&amp;" Hari "</f>
        <v>#NUM!</v>
      </c>
      <c r="P419" s="41" t="str">
        <f>D419</f>
        <v>199210072024212029</v>
      </c>
      <c r="Q419" s="36" t="n">
        <v>45258</v>
      </c>
      <c r="R419" s="51" t="n">
        <v>1350000</v>
      </c>
      <c r="S419" s="51" t="n">
        <v>1350000</v>
      </c>
      <c r="T419" s="72">
        <f>S419-R419</f>
        <v>0</v>
      </c>
    </row>
    <row r="420" spans="1:20">
      <c r="A420" s="21" t="n">
        <v>417</v>
      </c>
      <c r="B420" s="107" t="s">
        <v>1129</v>
      </c>
      <c r="C420" s="107"/>
      <c r="D420" s="38" t="s">
        <v>1130</v>
      </c>
      <c r="E420" s="21" t="s">
        <v>24</v>
      </c>
      <c r="F420" s="21" t="s">
        <v>880</v>
      </c>
      <c r="G420" s="21" t="s">
        <v>881</v>
      </c>
      <c r="H420" s="22" t="s">
        <v>663</v>
      </c>
      <c r="I420" s="27" t="s">
        <v>201</v>
      </c>
      <c r="J420" s="22" t="s">
        <v>663</v>
      </c>
      <c r="K420" s="28" t="s">
        <v>209</v>
      </c>
      <c r="L420" s="23" t="s">
        <v>158</v>
      </c>
      <c r="M420" s="24"/>
      <c r="N420" s="24"/>
      <c r="O420" s="24" t="e">
        <f aca="1">DATEDIF(D420,NOW(),"Y")&amp;" Tahun "&amp;DATEDIF(D420,NOW(),"YM")&amp;" Bulan "&amp;DATEDIF(D420,NOW(),"MD")&amp;" Hari "</f>
        <v>#VALUE!</v>
      </c>
      <c r="P420" s="41" t="str">
        <f>D420</f>
        <v>'199101202024212024</v>
      </c>
      <c r="Q420" s="36" t="n">
        <v>45258</v>
      </c>
      <c r="R420" s="51" t="n">
        <v>1200000</v>
      </c>
      <c r="S420" s="51" t="n">
        <v>1200000</v>
      </c>
      <c r="T420" s="72">
        <f>S420-R420</f>
        <v>0</v>
      </c>
    </row>
    <row r="421" spans="1:20">
      <c r="A421" s="21" t="n">
        <v>418</v>
      </c>
      <c r="B421" s="113" t="s">
        <v>1131</v>
      </c>
      <c r="C421" s="113"/>
      <c r="D421" s="38" t="s">
        <v>1132</v>
      </c>
      <c r="E421" s="21" t="s">
        <v>24</v>
      </c>
      <c r="F421" s="21" t="s">
        <v>880</v>
      </c>
      <c r="G421" s="21" t="s">
        <v>881</v>
      </c>
      <c r="H421" s="22" t="s">
        <v>663</v>
      </c>
      <c r="I421" s="27" t="s">
        <v>201</v>
      </c>
      <c r="J421" s="22" t="s">
        <v>663</v>
      </c>
      <c r="K421" s="28" t="s">
        <v>209</v>
      </c>
      <c r="L421" s="23" t="s">
        <v>461</v>
      </c>
      <c r="M421" s="24"/>
      <c r="N421" s="24"/>
      <c r="O421" s="24" t="e">
        <f aca="1">DATEDIF(D421,NOW(),"Y")&amp;" Tahun "&amp;DATEDIF(D421,NOW(),"YM")&amp;" Bulan "&amp;DATEDIF(D421,NOW(),"MD")&amp;" Hari "</f>
        <v>#VALUE!</v>
      </c>
      <c r="P421" s="41" t="str">
        <f>D421</f>
        <v>'199512212024212032</v>
      </c>
      <c r="Q421" s="36" t="n">
        <v>45258</v>
      </c>
      <c r="R421" s="51" t="n">
        <v>1200000</v>
      </c>
      <c r="S421" s="51" t="n">
        <v>1200000</v>
      </c>
      <c r="T421" s="72">
        <f>S421-R421</f>
        <v>0</v>
      </c>
    </row>
    <row r="422" spans="1:20">
      <c r="A422" s="21" t="n">
        <v>419</v>
      </c>
      <c r="B422" s="113" t="s">
        <v>1133</v>
      </c>
      <c r="C422" s="113"/>
      <c r="D422" s="38" t="s">
        <v>1134</v>
      </c>
      <c r="E422" s="21" t="s">
        <v>24</v>
      </c>
      <c r="F422" s="21" t="s">
        <v>880</v>
      </c>
      <c r="G422" s="21" t="s">
        <v>881</v>
      </c>
      <c r="H422" s="23" t="s">
        <v>724</v>
      </c>
      <c r="I422" s="27" t="s">
        <v>96</v>
      </c>
      <c r="J422" s="22" t="s">
        <v>724</v>
      </c>
      <c r="K422" s="28" t="s">
        <v>181</v>
      </c>
      <c r="L422" s="23" t="s">
        <v>97</v>
      </c>
      <c r="M422" s="24"/>
      <c r="N422" s="24"/>
      <c r="O422" s="24" t="e">
        <f aca="1">DATEDIF(D422,NOW(),"Y")&amp;" Tahun "&amp;DATEDIF(D422,NOW(),"YM")&amp;" Bulan "&amp;DATEDIF(D422,NOW(),"MD")&amp;" Hari "</f>
        <v>#VALUE!</v>
      </c>
      <c r="P422" s="41" t="str">
        <f>D422</f>
        <v>'199709212024212015</v>
      </c>
      <c r="Q422" s="36" t="n">
        <v>45258</v>
      </c>
      <c r="R422" s="51" t="n">
        <v>1200000</v>
      </c>
      <c r="S422" s="51" t="n">
        <v>1200000</v>
      </c>
      <c r="T422" s="72">
        <f>S422-R422</f>
        <v>0</v>
      </c>
    </row>
    <row r="423" spans="1:20">
      <c r="A423" s="21" t="n">
        <v>420</v>
      </c>
      <c r="B423" s="113" t="s">
        <v>1135</v>
      </c>
      <c r="C423" s="113"/>
      <c r="D423" s="38" t="s">
        <v>1136</v>
      </c>
      <c r="E423" s="21" t="s">
        <v>33</v>
      </c>
      <c r="F423" s="21" t="s">
        <v>880</v>
      </c>
      <c r="G423" s="21" t="s">
        <v>881</v>
      </c>
      <c r="H423" s="23" t="s">
        <v>724</v>
      </c>
      <c r="I423" s="27" t="s">
        <v>96</v>
      </c>
      <c r="J423" s="22" t="s">
        <v>724</v>
      </c>
      <c r="K423" s="28" t="s">
        <v>181</v>
      </c>
      <c r="L423" s="23" t="s">
        <v>382</v>
      </c>
      <c r="M423" s="24"/>
      <c r="N423" s="24"/>
      <c r="O423" s="24" t="e">
        <f aca="1">DATEDIF(D423,NOW(),"Y")&amp;" Tahun "&amp;DATEDIF(D423,NOW(),"YM")&amp;" Bulan "&amp;DATEDIF(D423,NOW(),"MD")&amp;" Hari "</f>
        <v>#VALUE!</v>
      </c>
      <c r="P423" s="41" t="str">
        <f>D423</f>
        <v>'199804022024211003</v>
      </c>
      <c r="Q423" s="36" t="n">
        <v>45258</v>
      </c>
      <c r="R423" s="51" t="n">
        <v>1200000</v>
      </c>
      <c r="S423" s="51" t="n">
        <v>1200000</v>
      </c>
      <c r="T423" s="72">
        <f>S423-R423</f>
        <v>0</v>
      </c>
    </row>
    <row r="424" spans="1:20">
      <c r="A424" s="21" t="n">
        <v>421</v>
      </c>
      <c r="B424" s="107" t="s">
        <v>1137</v>
      </c>
      <c r="C424" s="107"/>
      <c r="D424" s="38" t="s">
        <v>1138</v>
      </c>
      <c r="E424" s="21" t="s">
        <v>24</v>
      </c>
      <c r="F424" s="21" t="s">
        <v>880</v>
      </c>
      <c r="G424" s="21" t="s">
        <v>881</v>
      </c>
      <c r="H424" s="23" t="s">
        <v>724</v>
      </c>
      <c r="I424" s="27" t="s">
        <v>96</v>
      </c>
      <c r="J424" s="22" t="s">
        <v>724</v>
      </c>
      <c r="K424" s="28" t="s">
        <v>181</v>
      </c>
      <c r="L424" s="23" t="s">
        <v>97</v>
      </c>
      <c r="M424" s="24"/>
      <c r="N424" s="24"/>
      <c r="O424" s="24" t="e">
        <f aca="1">DATEDIF(D424,NOW(),"Y")&amp;" Tahun "&amp;DATEDIF(D424,NOW(),"YM")&amp;" Bulan "&amp;DATEDIF(D424,NOW(),"MD")&amp;" Hari "</f>
        <v>#VALUE!</v>
      </c>
      <c r="P424" s="41" t="str">
        <f>D424</f>
        <v>'199706102024212019</v>
      </c>
      <c r="Q424" s="36" t="n">
        <v>45258</v>
      </c>
      <c r="R424" s="51" t="n">
        <v>1200000</v>
      </c>
      <c r="S424" s="51" t="n">
        <v>1200000</v>
      </c>
      <c r="T424" s="72">
        <f>S424-R424</f>
        <v>0</v>
      </c>
    </row>
    <row r="425" spans="1:20">
      <c r="A425" s="21" t="n">
        <v>422</v>
      </c>
      <c r="B425" s="106" t="s">
        <v>1139</v>
      </c>
      <c r="C425" s="106"/>
      <c r="D425" s="161" t="s">
        <v>1140</v>
      </c>
      <c r="E425" s="21" t="s">
        <v>24</v>
      </c>
      <c r="F425" s="21" t="s">
        <v>880</v>
      </c>
      <c r="G425" s="21" t="s">
        <v>881</v>
      </c>
      <c r="H425" s="23" t="s">
        <v>724</v>
      </c>
      <c r="I425" s="27" t="s">
        <v>96</v>
      </c>
      <c r="J425" s="22" t="s">
        <v>724</v>
      </c>
      <c r="K425" s="28" t="s">
        <v>181</v>
      </c>
      <c r="L425" s="23" t="s">
        <v>396</v>
      </c>
      <c r="M425" s="24"/>
      <c r="N425" s="24"/>
      <c r="O425" s="24" t="e">
        <f aca="1">DATEDIF(D425,NOW(),"Y")&amp;" Tahun "&amp;DATEDIF(D425,NOW(),"YM")&amp;" Bulan "&amp;DATEDIF(D425,NOW(),"MD")&amp;" Hari "</f>
        <v>#NUM!</v>
      </c>
      <c r="P425" s="41" t="str">
        <f>D425</f>
        <v>199806282024212017</v>
      </c>
      <c r="Q425" s="36" t="n">
        <v>45258</v>
      </c>
      <c r="R425" s="51" t="n">
        <v>1200000</v>
      </c>
      <c r="S425" s="51" t="n">
        <v>1200000</v>
      </c>
      <c r="T425" s="72">
        <f>S425-R425</f>
        <v>0</v>
      </c>
    </row>
    <row r="426" spans="1:20">
      <c r="A426" s="21" t="n">
        <v>423</v>
      </c>
      <c r="B426" s="106" t="s">
        <v>1141</v>
      </c>
      <c r="C426" s="106"/>
      <c r="D426" s="161" t="s">
        <v>1142</v>
      </c>
      <c r="E426" s="21" t="s">
        <v>24</v>
      </c>
      <c r="F426" s="21" t="s">
        <v>880</v>
      </c>
      <c r="G426" s="159" t="s">
        <v>1127</v>
      </c>
      <c r="H426" s="22" t="s">
        <v>631</v>
      </c>
      <c r="I426" s="27" t="s">
        <v>201</v>
      </c>
      <c r="J426" s="22" t="s">
        <v>631</v>
      </c>
      <c r="K426" s="23" t="s">
        <v>588</v>
      </c>
      <c r="L426" s="23" t="s">
        <v>210</v>
      </c>
      <c r="M426" s="24"/>
      <c r="N426" s="24"/>
      <c r="O426" s="24" t="e">
        <f aca="1">DATEDIF(D426,NOW(),"Y")&amp;" Tahun "&amp;DATEDIF(D426,NOW(),"YM")&amp;" Bulan "&amp;DATEDIF(D426,NOW(),"MD")&amp;" Hari "</f>
        <v>#NUM!</v>
      </c>
      <c r="P426" s="41" t="str">
        <f>D426</f>
        <v>199711232024212023</v>
      </c>
      <c r="Q426" s="36" t="n">
        <v>45258</v>
      </c>
      <c r="R426" s="51" t="n">
        <v>1350000</v>
      </c>
      <c r="S426" s="51" t="n">
        <v>1350000</v>
      </c>
      <c r="T426" s="72">
        <f>S426-R426</f>
        <v>0</v>
      </c>
    </row>
    <row r="427" spans="1:20">
      <c r="A427" s="21" t="n">
        <v>424</v>
      </c>
      <c r="B427" s="106" t="s">
        <v>1143</v>
      </c>
      <c r="C427" s="106"/>
      <c r="D427" s="38" t="s">
        <v>1144</v>
      </c>
      <c r="E427" s="21" t="s">
        <v>24</v>
      </c>
      <c r="F427" s="21" t="s">
        <v>880</v>
      </c>
      <c r="G427" s="21" t="s">
        <v>881</v>
      </c>
      <c r="H427" s="23" t="s">
        <v>724</v>
      </c>
      <c r="I427" s="27" t="s">
        <v>96</v>
      </c>
      <c r="J427" s="22" t="s">
        <v>724</v>
      </c>
      <c r="K427" s="28" t="s">
        <v>181</v>
      </c>
      <c r="L427" s="23" t="s">
        <v>275</v>
      </c>
      <c r="M427" s="24"/>
      <c r="N427" s="24"/>
      <c r="O427" s="24" t="e">
        <f aca="1">DATEDIF(D427,NOW(),"Y")&amp;" Tahun "&amp;DATEDIF(D427,NOW(),"YM")&amp;" Bulan "&amp;DATEDIF(D427,NOW(),"MD")&amp;" Hari "</f>
        <v>#VALUE!</v>
      </c>
      <c r="P427" s="41" t="str">
        <f>D427</f>
        <v>'199509292024212035</v>
      </c>
      <c r="Q427" s="36" t="n">
        <v>45258</v>
      </c>
      <c r="R427" s="51" t="n">
        <v>1200000</v>
      </c>
      <c r="S427" s="51" t="n">
        <v>1200000</v>
      </c>
      <c r="T427" s="72">
        <f>S427-R427</f>
        <v>0</v>
      </c>
    </row>
    <row r="428" spans="1:19">
      <c r="A428" s="21" t="n">
        <v>425</v>
      </c>
      <c r="B428" s="106" t="s">
        <v>1145</v>
      </c>
      <c r="C428" s="106"/>
      <c r="D428" s="38"/>
      <c r="E428" s="21" t="s">
        <v>24</v>
      </c>
      <c r="F428" s="21" t="s">
        <v>880</v>
      </c>
      <c r="G428" s="21" t="s">
        <v>1146</v>
      </c>
      <c r="H428" s="22" t="s">
        <v>1147</v>
      </c>
      <c r="I428" s="27" t="s">
        <v>66</v>
      </c>
      <c r="J428" s="22" t="s">
        <v>1147</v>
      </c>
      <c r="K428" s="23" t="s">
        <v>1148</v>
      </c>
      <c r="L428" s="23" t="s">
        <v>150</v>
      </c>
      <c r="M428" s="24"/>
      <c r="N428" s="24"/>
      <c r="O428" s="24" t="str">
        <f aca="1">DATEDIF(D428,NOW(),"Y")&amp;" Tahun "&amp;DATEDIF(D428,NOW(),"YM")&amp;" Bulan "&amp;DATEDIF(D428,NOW(),"MD")&amp;" Hari "</f>
        <v>125 Tahun 9 Bulan 7 Hari </v>
      </c>
      <c r="P428" s="25"/>
      <c r="Q428" s="25"/>
      <c r="R428" s="51" t="n">
        <v>8350000</v>
      </c>
      <c r="S428" s="51"/>
    </row>
    <row r="429" spans="1:19">
      <c r="A429" s="21" t="n">
        <v>426</v>
      </c>
      <c r="B429" s="114" t="s">
        <v>1149</v>
      </c>
      <c r="C429" s="114"/>
      <c r="D429" s="36" t="s">
        <v>1150</v>
      </c>
      <c r="E429" s="21" t="s">
        <v>33</v>
      </c>
      <c r="F429" s="21" t="s">
        <v>880</v>
      </c>
      <c r="G429" s="21" t="s">
        <v>881</v>
      </c>
      <c r="H429" s="23" t="s">
        <v>724</v>
      </c>
      <c r="I429" s="27" t="s">
        <v>96</v>
      </c>
      <c r="J429" s="22" t="s">
        <v>724</v>
      </c>
      <c r="K429" s="28" t="s">
        <v>181</v>
      </c>
      <c r="L429" s="23" t="s">
        <v>68</v>
      </c>
      <c r="M429" s="24"/>
      <c r="N429" s="24"/>
      <c r="O429" s="24" t="e">
        <f aca="1">DATEDIF(D429,NOW(),"Y")&amp;" Tahun "&amp;DATEDIF(D429,NOW(),"YM")&amp;" Bulan "&amp;DATEDIF(D429,NOW(),"MD")&amp;" Hari "</f>
        <v>#VALUE!</v>
      </c>
      <c r="P429" s="36" t="n">
        <v>45200</v>
      </c>
      <c r="Q429" s="36" t="n">
        <v>45291</v>
      </c>
      <c r="R429" s="51" t="n">
        <v>1200000</v>
      </c>
      <c r="S429" s="51"/>
    </row>
    <row r="430" spans="1:19">
      <c r="A430" s="21" t="n">
        <v>427</v>
      </c>
      <c r="B430" s="106" t="s">
        <v>1151</v>
      </c>
      <c r="C430" s="106"/>
      <c r="D430" s="35"/>
      <c r="E430" s="21" t="s">
        <v>24</v>
      </c>
      <c r="F430" s="21" t="s">
        <v>880</v>
      </c>
      <c r="G430" s="35"/>
      <c r="H430" s="44" t="s">
        <v>1152</v>
      </c>
      <c r="I430" s="22" t="s">
        <v>28</v>
      </c>
      <c r="J430" s="44" t="s">
        <v>1152</v>
      </c>
      <c r="K430" s="28" t="s">
        <v>1153</v>
      </c>
      <c r="L430" s="23" t="s">
        <v>61</v>
      </c>
      <c r="M430" s="24"/>
      <c r="N430" s="24"/>
      <c r="O430" s="24"/>
      <c r="P430" s="41"/>
      <c r="Q430" s="36"/>
      <c r="R430" s="56"/>
      <c r="S430" s="56"/>
    </row>
    <row r="431" spans="1:19">
      <c r="A431" s="21" t="n">
        <v>428</v>
      </c>
      <c r="B431" s="106" t="s">
        <v>1154</v>
      </c>
      <c r="C431" s="106"/>
      <c r="D431" s="35"/>
      <c r="E431" s="21" t="s">
        <v>33</v>
      </c>
      <c r="F431" s="21" t="s">
        <v>880</v>
      </c>
      <c r="G431" s="35"/>
      <c r="H431" s="44" t="s">
        <v>1155</v>
      </c>
      <c r="I431" s="22" t="s">
        <v>28</v>
      </c>
      <c r="J431" s="44" t="s">
        <v>1155</v>
      </c>
      <c r="K431" s="28" t="s">
        <v>244</v>
      </c>
      <c r="L431" s="23" t="s">
        <v>520</v>
      </c>
      <c r="M431" s="24"/>
      <c r="N431" s="24"/>
      <c r="O431" s="24"/>
      <c r="P431" s="41"/>
      <c r="Q431" s="36"/>
      <c r="R431" s="56"/>
      <c r="S431" s="56"/>
    </row>
    <row r="432" spans="1:19">
      <c r="A432" s="21" t="n">
        <v>429</v>
      </c>
      <c r="B432" s="106" t="s">
        <v>1156</v>
      </c>
      <c r="C432" s="106"/>
      <c r="D432" s="163" t="s">
        <v>1157</v>
      </c>
      <c r="E432" s="21" t="s">
        <v>24</v>
      </c>
      <c r="F432" s="21" t="s">
        <v>880</v>
      </c>
      <c r="G432" s="21" t="s">
        <v>881</v>
      </c>
      <c r="H432" s="22" t="s">
        <v>663</v>
      </c>
      <c r="I432" s="27" t="s">
        <v>201</v>
      </c>
      <c r="J432" s="22" t="s">
        <v>663</v>
      </c>
      <c r="K432" s="28" t="s">
        <v>209</v>
      </c>
      <c r="L432" s="23" t="s">
        <v>158</v>
      </c>
      <c r="M432" s="24"/>
      <c r="N432" s="24"/>
      <c r="O432" s="24"/>
      <c r="P432" s="41"/>
      <c r="Q432" s="36"/>
      <c r="R432" s="56"/>
      <c r="S432" s="56"/>
    </row>
    <row r="433" spans="1:19">
      <c r="A433" s="21" t="n">
        <v>430</v>
      </c>
      <c r="B433" s="106" t="s">
        <v>1158</v>
      </c>
      <c r="C433" s="106"/>
      <c r="D433" s="163" t="s">
        <v>1159</v>
      </c>
      <c r="E433" s="21" t="s">
        <v>24</v>
      </c>
      <c r="F433" s="21" t="s">
        <v>880</v>
      </c>
      <c r="G433" s="21" t="s">
        <v>881</v>
      </c>
      <c r="H433" s="22" t="s">
        <v>663</v>
      </c>
      <c r="I433" s="27" t="s">
        <v>201</v>
      </c>
      <c r="J433" s="22" t="s">
        <v>663</v>
      </c>
      <c r="K433" s="28" t="s">
        <v>209</v>
      </c>
      <c r="L433" s="23" t="s">
        <v>396</v>
      </c>
      <c r="M433" s="24"/>
      <c r="N433" s="24"/>
      <c r="O433" s="24"/>
      <c r="P433" s="41"/>
      <c r="Q433" s="36"/>
      <c r="R433" s="56"/>
      <c r="S433" s="56"/>
    </row>
    <row r="434" spans="1:19">
      <c r="A434" s="21" t="n">
        <v>431</v>
      </c>
      <c r="B434" s="106" t="s">
        <v>1160</v>
      </c>
      <c r="C434" s="106"/>
      <c r="D434" s="163" t="s">
        <v>1161</v>
      </c>
      <c r="E434" s="21" t="s">
        <v>24</v>
      </c>
      <c r="F434" s="21" t="s">
        <v>880</v>
      </c>
      <c r="G434" s="21" t="s">
        <v>881</v>
      </c>
      <c r="H434" s="22" t="s">
        <v>663</v>
      </c>
      <c r="I434" s="27" t="s">
        <v>201</v>
      </c>
      <c r="J434" s="22" t="s">
        <v>663</v>
      </c>
      <c r="K434" s="28" t="s">
        <v>209</v>
      </c>
      <c r="L434" s="23" t="s">
        <v>158</v>
      </c>
      <c r="M434" s="24"/>
      <c r="N434" s="24"/>
      <c r="O434" s="24"/>
      <c r="P434" s="41"/>
      <c r="Q434" s="36"/>
      <c r="R434" s="56"/>
      <c r="S434" s="56"/>
    </row>
    <row r="435" spans="1:19">
      <c r="A435" s="21" t="n">
        <v>432</v>
      </c>
      <c r="B435" s="106" t="s">
        <v>1162</v>
      </c>
      <c r="C435" s="106"/>
      <c r="D435" s="35"/>
      <c r="E435" s="21" t="s">
        <v>24</v>
      </c>
      <c r="F435" s="21" t="s">
        <v>880</v>
      </c>
      <c r="G435" s="35" t="s">
        <v>888</v>
      </c>
      <c r="H435" s="23" t="s">
        <v>291</v>
      </c>
      <c r="I435" s="27" t="s">
        <v>96</v>
      </c>
      <c r="J435" s="23" t="s">
        <v>291</v>
      </c>
      <c r="K435" s="23" t="s">
        <v>161</v>
      </c>
      <c r="L435" s="23" t="s">
        <v>97</v>
      </c>
      <c r="M435" s="24"/>
      <c r="N435" s="24"/>
      <c r="O435" s="24"/>
      <c r="P435" s="41"/>
      <c r="Q435" s="36"/>
      <c r="R435" s="56"/>
      <c r="S435" s="56"/>
    </row>
    <row r="436" spans="1:19">
      <c r="A436" s="21" t="n">
        <v>433</v>
      </c>
      <c r="B436" s="106" t="s">
        <v>1163</v>
      </c>
      <c r="C436" s="106"/>
      <c r="D436" s="35"/>
      <c r="E436" s="21" t="s">
        <v>24</v>
      </c>
      <c r="F436" s="21" t="s">
        <v>880</v>
      </c>
      <c r="G436" s="35" t="s">
        <v>888</v>
      </c>
      <c r="H436" s="23" t="s">
        <v>291</v>
      </c>
      <c r="I436" s="27" t="s">
        <v>96</v>
      </c>
      <c r="J436" s="23" t="s">
        <v>291</v>
      </c>
      <c r="K436" s="23" t="s">
        <v>161</v>
      </c>
      <c r="L436" s="23" t="s">
        <v>1164</v>
      </c>
      <c r="M436" s="24"/>
      <c r="N436" s="24"/>
      <c r="O436" s="24"/>
      <c r="P436" s="41"/>
      <c r="Q436" s="36"/>
      <c r="R436" s="56"/>
      <c r="S436" s="56"/>
    </row>
    <row r="437" spans="1:19">
      <c r="A437" s="21" t="n">
        <v>434</v>
      </c>
      <c r="B437" s="106" t="s">
        <v>1165</v>
      </c>
      <c r="C437" s="106"/>
      <c r="D437" s="163" t="s">
        <v>1166</v>
      </c>
      <c r="E437" s="21" t="s">
        <v>24</v>
      </c>
      <c r="F437" s="21" t="s">
        <v>880</v>
      </c>
      <c r="G437" s="35" t="s">
        <v>881</v>
      </c>
      <c r="H437" s="23" t="s">
        <v>724</v>
      </c>
      <c r="I437" s="27" t="s">
        <v>96</v>
      </c>
      <c r="J437" s="22" t="s">
        <v>724</v>
      </c>
      <c r="K437" s="28" t="s">
        <v>181</v>
      </c>
      <c r="L437" s="23" t="s">
        <v>278</v>
      </c>
      <c r="M437" s="24"/>
      <c r="N437" s="24"/>
      <c r="O437" s="24"/>
      <c r="P437" s="41"/>
      <c r="Q437" s="36"/>
      <c r="R437" s="56"/>
      <c r="S437" s="56"/>
    </row>
    <row r="438" spans="1:19">
      <c r="A438" s="21" t="n">
        <v>435</v>
      </c>
      <c r="B438" s="106" t="s">
        <v>1167</v>
      </c>
      <c r="C438" s="106"/>
      <c r="D438" s="163" t="s">
        <v>1168</v>
      </c>
      <c r="E438" s="21" t="s">
        <v>24</v>
      </c>
      <c r="F438" s="21" t="s">
        <v>880</v>
      </c>
      <c r="G438" s="35" t="s">
        <v>881</v>
      </c>
      <c r="H438" s="23" t="s">
        <v>724</v>
      </c>
      <c r="I438" s="27" t="s">
        <v>96</v>
      </c>
      <c r="J438" s="22" t="s">
        <v>724</v>
      </c>
      <c r="K438" s="28" t="s">
        <v>181</v>
      </c>
      <c r="L438" s="23" t="s">
        <v>97</v>
      </c>
      <c r="M438" s="24"/>
      <c r="N438" s="24"/>
      <c r="O438" s="24"/>
      <c r="P438" s="41"/>
      <c r="Q438" s="36"/>
      <c r="R438" s="56"/>
      <c r="S438" s="56"/>
    </row>
    <row r="439" spans="1:19">
      <c r="A439" s="21" t="n">
        <v>436</v>
      </c>
      <c r="B439" s="106" t="s">
        <v>1169</v>
      </c>
      <c r="C439" s="106"/>
      <c r="D439" s="163" t="s">
        <v>1170</v>
      </c>
      <c r="E439" s="21" t="s">
        <v>24</v>
      </c>
      <c r="F439" s="21" t="s">
        <v>880</v>
      </c>
      <c r="G439" s="21" t="s">
        <v>881</v>
      </c>
      <c r="H439" s="22" t="s">
        <v>663</v>
      </c>
      <c r="I439" s="27" t="s">
        <v>201</v>
      </c>
      <c r="J439" s="22" t="s">
        <v>663</v>
      </c>
      <c r="K439" s="28" t="s">
        <v>209</v>
      </c>
      <c r="L439" s="23" t="s">
        <v>210</v>
      </c>
      <c r="M439" s="24"/>
      <c r="N439" s="24"/>
      <c r="O439" s="24"/>
      <c r="P439" s="41"/>
      <c r="Q439" s="36"/>
      <c r="R439" s="56"/>
      <c r="S439" s="56"/>
    </row>
    <row r="440" spans="1:19" s="71" customFormat="1">
      <c r="A440" s="21" t="n">
        <v>437</v>
      </c>
      <c r="B440" s="106" t="s">
        <v>1171</v>
      </c>
      <c r="C440" s="106"/>
      <c r="D440" s="159" t="s">
        <v>1172</v>
      </c>
      <c r="E440" s="21" t="s">
        <v>33</v>
      </c>
      <c r="F440" s="21" t="s">
        <v>880</v>
      </c>
      <c r="G440" s="35" t="s">
        <v>881</v>
      </c>
      <c r="H440" s="23" t="s">
        <v>1173</v>
      </c>
      <c r="I440" s="27"/>
      <c r="J440" s="22"/>
      <c r="K440" s="23" t="s">
        <v>444</v>
      </c>
      <c r="L440" s="23" t="s">
        <v>1174</v>
      </c>
      <c r="M440" s="24"/>
      <c r="N440" s="24"/>
      <c r="O440" s="24"/>
      <c r="P440" s="25"/>
      <c r="Q440" s="25"/>
      <c r="R440" s="56"/>
      <c r="S440" s="56"/>
    </row>
    <row r="441" spans="1:20" s="71" customFormat="1">
      <c r="A441" s="21" t="n">
        <v>438</v>
      </c>
      <c r="B441" s="109" t="s">
        <v>1175</v>
      </c>
      <c r="C441" s="164" t="s">
        <v>1176</v>
      </c>
      <c r="D441" s="38" t="n">
        <v>38930</v>
      </c>
      <c r="E441" s="21" t="s">
        <v>33</v>
      </c>
      <c r="F441" s="21" t="s">
        <v>1177</v>
      </c>
      <c r="G441" s="159" t="s">
        <v>1127</v>
      </c>
      <c r="H441" s="22" t="s">
        <v>536</v>
      </c>
      <c r="I441" s="22" t="s">
        <v>28</v>
      </c>
      <c r="J441" s="25" t="s">
        <v>822</v>
      </c>
      <c r="K441" s="23" t="s">
        <v>823</v>
      </c>
      <c r="L441" s="23" t="s">
        <v>245</v>
      </c>
      <c r="M441" s="24">
        <f aca="1">DATEDIF(D441,TODAY(),"Y")</f>
        <v>19</v>
      </c>
      <c r="N441" s="24">
        <f aca="1">DATEDIF(D441,TODAY(),"YM")</f>
        <v>2</v>
      </c>
      <c r="O441" s="24" t="str">
        <f aca="1">DATEDIF(D441,NOW(),"Y")&amp;" Tahun "&amp;DATEDIF(D441,NOW(),"YM")&amp;" Bulan "&amp;DATEDIF(D441,NOW(),"MD")&amp;" Hari "</f>
        <v>19 Tahun 2 Bulan 6 Hari </v>
      </c>
      <c r="P441" s="41">
        <f>D441</f>
        <v>38930</v>
      </c>
      <c r="Q441" s="36" t="n">
        <v>45258</v>
      </c>
      <c r="R441" s="51" t="n">
        <v>2300000</v>
      </c>
      <c r="S441" s="51">
        <f>R441</f>
        <v>2300000</v>
      </c>
      <c r="T441" s="73">
        <f>S441-R441</f>
        <v>0</v>
      </c>
    </row>
    <row r="442" spans="1:20">
      <c r="A442" s="21" t="n">
        <v>439</v>
      </c>
      <c r="B442" s="109" t="s">
        <v>1178</v>
      </c>
      <c r="C442" s="164" t="s">
        <v>1179</v>
      </c>
      <c r="D442" s="42" t="n">
        <v>39083</v>
      </c>
      <c r="E442" s="21" t="s">
        <v>24</v>
      </c>
      <c r="F442" s="21" t="s">
        <v>1177</v>
      </c>
      <c r="G442" s="159" t="s">
        <v>1127</v>
      </c>
      <c r="H442" s="22" t="s">
        <v>818</v>
      </c>
      <c r="I442" s="22" t="s">
        <v>28</v>
      </c>
      <c r="J442" s="22" t="s">
        <v>673</v>
      </c>
      <c r="K442" s="23" t="s">
        <v>1180</v>
      </c>
      <c r="L442" s="23" t="s">
        <v>1181</v>
      </c>
      <c r="M442" s="24">
        <f aca="1">DATEDIF(D442,TODAY(),"Y")</f>
        <v>18</v>
      </c>
      <c r="N442" s="24">
        <f aca="1">DATEDIF(D442,TODAY(),"YM")</f>
        <v>9</v>
      </c>
      <c r="O442" s="24" t="str">
        <f aca="1">DATEDIF(D442,NOW(),"Y")&amp;" Tahun "&amp;DATEDIF(D442,NOW(),"YM")&amp;" Bulan "&amp;DATEDIF(D442,NOW(),"MD")&amp;" Hari "</f>
        <v>18 Tahun 9 Bulan 6 Hari </v>
      </c>
      <c r="P442" s="41">
        <f>D442</f>
        <v>39083</v>
      </c>
      <c r="Q442" s="36" t="n">
        <v>45258</v>
      </c>
      <c r="R442" s="51" t="n">
        <v>2425000</v>
      </c>
      <c r="S442" s="51" t="n">
        <v>2425000</v>
      </c>
      <c r="T442" s="72">
        <f>S442-R442</f>
        <v>0</v>
      </c>
    </row>
    <row r="443" spans="1:20">
      <c r="A443" s="21" t="n">
        <v>440</v>
      </c>
      <c r="B443" s="109" t="s">
        <v>1182</v>
      </c>
      <c r="C443" s="164" t="s">
        <v>1183</v>
      </c>
      <c r="D443" s="38" t="n">
        <v>39264</v>
      </c>
      <c r="E443" s="21" t="s">
        <v>24</v>
      </c>
      <c r="F443" s="21" t="s">
        <v>1177</v>
      </c>
      <c r="G443" s="159" t="s">
        <v>1127</v>
      </c>
      <c r="H443" s="23" t="s">
        <v>1184</v>
      </c>
      <c r="I443" s="27" t="s">
        <v>96</v>
      </c>
      <c r="J443" s="23" t="s">
        <v>1185</v>
      </c>
      <c r="K443" s="28" t="s">
        <v>181</v>
      </c>
      <c r="L443" s="23" t="s">
        <v>188</v>
      </c>
      <c r="M443" s="24">
        <f aca="1">DATEDIF(D443,TODAY(),"Y")</f>
        <v>18</v>
      </c>
      <c r="N443" s="24">
        <f aca="1">DATEDIF(D443,TODAY(),"YM")</f>
        <v>3</v>
      </c>
      <c r="O443" s="24" t="str">
        <f aca="1">DATEDIF(D443,NOW(),"Y")&amp;" Tahun "&amp;DATEDIF(D443,NOW(),"YM")&amp;" Bulan "&amp;DATEDIF(D443,NOW(),"MD")&amp;" Hari "</f>
        <v>18 Tahun 3 Bulan 6 Hari </v>
      </c>
      <c r="P443" s="41">
        <f>D443</f>
        <v>39264</v>
      </c>
      <c r="Q443" s="36" t="n">
        <v>45258</v>
      </c>
      <c r="R443" s="51" t="n">
        <v>2475000</v>
      </c>
      <c r="S443" s="51" t="n">
        <v>2525000</v>
      </c>
      <c r="T443" s="72">
        <f>S443-R443</f>
        <v>50000</v>
      </c>
    </row>
    <row r="444" spans="1:20">
      <c r="A444" s="21" t="n">
        <v>441</v>
      </c>
      <c r="B444" s="109" t="s">
        <v>1186</v>
      </c>
      <c r="C444" s="164" t="s">
        <v>1187</v>
      </c>
      <c r="D444" s="38" t="n">
        <v>39326</v>
      </c>
      <c r="E444" s="21" t="s">
        <v>33</v>
      </c>
      <c r="F444" s="21" t="s">
        <v>1177</v>
      </c>
      <c r="G444" s="159" t="s">
        <v>1127</v>
      </c>
      <c r="H444" s="22" t="s">
        <v>818</v>
      </c>
      <c r="I444" s="22" t="s">
        <v>28</v>
      </c>
      <c r="J444" s="22" t="s">
        <v>673</v>
      </c>
      <c r="K444" s="23" t="s">
        <v>1180</v>
      </c>
      <c r="L444" s="23" t="s">
        <v>222</v>
      </c>
      <c r="M444" s="24">
        <f aca="1">DATEDIF(D444,TODAY(),"Y")</f>
        <v>18</v>
      </c>
      <c r="N444" s="24">
        <f aca="1">DATEDIF(D444,TODAY(),"YM")</f>
        <v>1</v>
      </c>
      <c r="O444" s="24" t="str">
        <f aca="1">DATEDIF(D444,NOW(),"Y")&amp;" Tahun "&amp;DATEDIF(D444,NOW(),"YM")&amp;" Bulan "&amp;DATEDIF(D444,NOW(),"MD")&amp;" Hari "</f>
        <v>18 Tahun 1 Bulan 6 Hari </v>
      </c>
      <c r="P444" s="41">
        <f>D444</f>
        <v>39326</v>
      </c>
      <c r="Q444" s="36" t="n">
        <v>45258</v>
      </c>
      <c r="R444" s="51" t="n">
        <v>2425000</v>
      </c>
      <c r="S444" s="51">
        <f>R444</f>
        <v>2425000</v>
      </c>
      <c r="T444" s="72">
        <f>S444-R444</f>
        <v>0</v>
      </c>
    </row>
    <row r="445" spans="1:20">
      <c r="A445" s="21" t="n">
        <v>442</v>
      </c>
      <c r="B445" s="109" t="s">
        <v>1188</v>
      </c>
      <c r="C445" s="164" t="s">
        <v>1189</v>
      </c>
      <c r="D445" s="38" t="n">
        <v>39448</v>
      </c>
      <c r="E445" s="21" t="s">
        <v>33</v>
      </c>
      <c r="F445" s="21" t="s">
        <v>1177</v>
      </c>
      <c r="G445" s="159" t="s">
        <v>1127</v>
      </c>
      <c r="H445" s="22" t="s">
        <v>818</v>
      </c>
      <c r="I445" s="22" t="s">
        <v>28</v>
      </c>
      <c r="J445" s="22" t="s">
        <v>673</v>
      </c>
      <c r="K445" s="23" t="s">
        <v>1180</v>
      </c>
      <c r="L445" s="23" t="s">
        <v>1190</v>
      </c>
      <c r="M445" s="24">
        <f aca="1">DATEDIF(D445,TODAY(),"Y")</f>
        <v>17</v>
      </c>
      <c r="N445" s="24">
        <f aca="1">DATEDIF(D445,TODAY(),"YM")</f>
        <v>9</v>
      </c>
      <c r="O445" s="24" t="str">
        <f aca="1">DATEDIF(D445,NOW(),"Y")&amp;" Tahun "&amp;DATEDIF(D445,NOW(),"YM")&amp;" Bulan "&amp;DATEDIF(D445,NOW(),"MD")&amp;" Hari "</f>
        <v>17 Tahun 9 Bulan 6 Hari </v>
      </c>
      <c r="P445" s="41">
        <f>D445</f>
        <v>39448</v>
      </c>
      <c r="Q445" s="36" t="n">
        <v>45258</v>
      </c>
      <c r="R445" s="51" t="n">
        <v>2375000</v>
      </c>
      <c r="S445" s="51" t="n">
        <v>2425000</v>
      </c>
      <c r="T445" s="72">
        <f>S445-R445</f>
        <v>50000</v>
      </c>
    </row>
    <row r="446" spans="1:20">
      <c r="A446" s="21" t="n">
        <v>443</v>
      </c>
      <c r="B446" s="109" t="s">
        <v>1191</v>
      </c>
      <c r="C446" s="164" t="s">
        <v>1192</v>
      </c>
      <c r="D446" s="38" t="n">
        <v>39448</v>
      </c>
      <c r="E446" s="21" t="s">
        <v>33</v>
      </c>
      <c r="F446" s="21" t="s">
        <v>1177</v>
      </c>
      <c r="G446" s="159" t="s">
        <v>1127</v>
      </c>
      <c r="H446" s="22" t="s">
        <v>1193</v>
      </c>
      <c r="I446" s="22" t="s">
        <v>28</v>
      </c>
      <c r="J446" s="22" t="s">
        <v>673</v>
      </c>
      <c r="K446" s="23" t="s">
        <v>1194</v>
      </c>
      <c r="L446" s="23" t="s">
        <v>1195</v>
      </c>
      <c r="M446" s="24">
        <f aca="1">DATEDIF(D446,TODAY(),"Y")</f>
        <v>17</v>
      </c>
      <c r="N446" s="24">
        <f aca="1">DATEDIF(D446,TODAY(),"YM")</f>
        <v>9</v>
      </c>
      <c r="O446" s="24" t="str">
        <f aca="1">DATEDIF(D446,NOW(),"Y")&amp;" Tahun "&amp;DATEDIF(D446,NOW(),"YM")&amp;" Bulan "&amp;DATEDIF(D446,NOW(),"MD")&amp;" Hari "</f>
        <v>17 Tahun 9 Bulan 6 Hari </v>
      </c>
      <c r="P446" s="41">
        <f>D446</f>
        <v>39448</v>
      </c>
      <c r="Q446" s="36" t="n">
        <v>45258</v>
      </c>
      <c r="R446" s="51" t="n">
        <v>2375000</v>
      </c>
      <c r="S446" s="51" t="n">
        <v>2425000</v>
      </c>
      <c r="T446" s="72">
        <f>S446-R446</f>
        <v>50000</v>
      </c>
    </row>
    <row r="447" spans="1:20">
      <c r="A447" s="21" t="n">
        <v>444</v>
      </c>
      <c r="B447" s="109" t="s">
        <v>1196</v>
      </c>
      <c r="C447" s="164" t="s">
        <v>1197</v>
      </c>
      <c r="D447" s="38" t="n">
        <v>39539</v>
      </c>
      <c r="E447" s="21" t="s">
        <v>24</v>
      </c>
      <c r="F447" s="21" t="s">
        <v>1177</v>
      </c>
      <c r="G447" s="159" t="s">
        <v>1127</v>
      </c>
      <c r="H447" s="23" t="s">
        <v>1184</v>
      </c>
      <c r="I447" s="27" t="s">
        <v>96</v>
      </c>
      <c r="J447" s="23" t="s">
        <v>1185</v>
      </c>
      <c r="K447" s="28" t="s">
        <v>181</v>
      </c>
      <c r="L447" s="23" t="s">
        <v>68</v>
      </c>
      <c r="M447" s="24">
        <f aca="1">DATEDIF(D447,TODAY(),"Y")</f>
        <v>17</v>
      </c>
      <c r="N447" s="24">
        <f aca="1">DATEDIF(D447,TODAY(),"YM")</f>
        <v>6</v>
      </c>
      <c r="O447" s="24" t="str">
        <f aca="1">DATEDIF(D447,NOW(),"Y")&amp;" Tahun "&amp;DATEDIF(D447,NOW(),"YM")&amp;" Bulan "&amp;DATEDIF(D447,NOW(),"MD")&amp;" Hari "</f>
        <v>17 Tahun 6 Bulan 6 Hari </v>
      </c>
      <c r="P447" s="41">
        <f>D447</f>
        <v>39539</v>
      </c>
      <c r="Q447" s="36" t="n">
        <v>45258</v>
      </c>
      <c r="R447" s="51" t="n">
        <v>2475000</v>
      </c>
      <c r="S447" s="51">
        <f>R447</f>
        <v>2475000</v>
      </c>
      <c r="T447" s="72">
        <f>S447-R447</f>
        <v>0</v>
      </c>
    </row>
    <row r="448" spans="1:20">
      <c r="A448" s="21" t="n">
        <v>445</v>
      </c>
      <c r="B448" s="109" t="s">
        <v>1198</v>
      </c>
      <c r="C448" s="164" t="s">
        <v>1199</v>
      </c>
      <c r="D448" s="38" t="n">
        <v>40179</v>
      </c>
      <c r="E448" s="21" t="s">
        <v>24</v>
      </c>
      <c r="F448" s="21" t="s">
        <v>1177</v>
      </c>
      <c r="G448" s="159" t="s">
        <v>1127</v>
      </c>
      <c r="H448" s="23" t="s">
        <v>499</v>
      </c>
      <c r="I448" s="22" t="s">
        <v>28</v>
      </c>
      <c r="J448" s="25" t="s">
        <v>822</v>
      </c>
      <c r="K448" s="23" t="s">
        <v>828</v>
      </c>
      <c r="L448" s="23" t="s">
        <v>92</v>
      </c>
      <c r="M448" s="24">
        <f aca="1">DATEDIF(D448,TODAY(),"Y")</f>
        <v>15</v>
      </c>
      <c r="N448" s="24">
        <f aca="1">DATEDIF(D448,TODAY(),"YM")</f>
        <v>9</v>
      </c>
      <c r="O448" s="24" t="str">
        <f aca="1">DATEDIF(D448,NOW(),"Y")&amp;" Tahun "&amp;DATEDIF(D448,NOW(),"YM")&amp;" Bulan "&amp;DATEDIF(D448,NOW(),"MD")&amp;" Hari "</f>
        <v>15 Tahun 9 Bulan 6 Hari </v>
      </c>
      <c r="P448" s="41">
        <f>D448</f>
        <v>40179</v>
      </c>
      <c r="Q448" s="36" t="n">
        <v>45258</v>
      </c>
      <c r="R448" s="51" t="n">
        <v>2250000</v>
      </c>
      <c r="S448" s="51">
        <f>R448</f>
        <v>2250000</v>
      </c>
      <c r="T448" s="72">
        <f>S448-R448</f>
        <v>0</v>
      </c>
    </row>
    <row r="449" spans="1:20">
      <c r="A449" s="21" t="n">
        <v>446</v>
      </c>
      <c r="B449" s="109" t="s">
        <v>1200</v>
      </c>
      <c r="C449" s="164" t="s">
        <v>1201</v>
      </c>
      <c r="D449" s="38" t="n">
        <v>40179</v>
      </c>
      <c r="E449" s="21" t="s">
        <v>24</v>
      </c>
      <c r="F449" s="21" t="s">
        <v>1177</v>
      </c>
      <c r="G449" s="159" t="s">
        <v>1127</v>
      </c>
      <c r="H449" s="23" t="s">
        <v>499</v>
      </c>
      <c r="I449" s="22" t="s">
        <v>28</v>
      </c>
      <c r="J449" s="22" t="s">
        <v>673</v>
      </c>
      <c r="K449" s="23" t="s">
        <v>1180</v>
      </c>
      <c r="L449" s="23" t="s">
        <v>92</v>
      </c>
      <c r="M449" s="24">
        <f aca="1">DATEDIF(D449,TODAY(),"Y")</f>
        <v>15</v>
      </c>
      <c r="N449" s="24">
        <f aca="1">DATEDIF(D449,TODAY(),"YM")</f>
        <v>9</v>
      </c>
      <c r="O449" s="24" t="str">
        <f aca="1">DATEDIF(D449,NOW(),"Y")&amp;" Tahun "&amp;DATEDIF(D449,NOW(),"YM")&amp;" Bulan "&amp;DATEDIF(D449,NOW(),"MD")&amp;" Hari "</f>
        <v>15 Tahun 9 Bulan 6 Hari </v>
      </c>
      <c r="P449" s="41">
        <f>D449</f>
        <v>40179</v>
      </c>
      <c r="Q449" s="36" t="n">
        <v>45258</v>
      </c>
      <c r="R449" s="51" t="n">
        <v>2375000</v>
      </c>
      <c r="S449" s="51">
        <f>R449</f>
        <v>2375000</v>
      </c>
      <c r="T449" s="72">
        <f>S449-R449</f>
        <v>0</v>
      </c>
    </row>
    <row r="450" spans="1:20">
      <c r="A450" s="21" t="n">
        <v>447</v>
      </c>
      <c r="B450" s="109" t="s">
        <v>1202</v>
      </c>
      <c r="C450" s="164" t="s">
        <v>1203</v>
      </c>
      <c r="D450" s="38" t="n">
        <v>40179</v>
      </c>
      <c r="E450" s="21" t="s">
        <v>24</v>
      </c>
      <c r="F450" s="21" t="s">
        <v>1177</v>
      </c>
      <c r="G450" s="159" t="s">
        <v>1127</v>
      </c>
      <c r="H450" s="23" t="s">
        <v>499</v>
      </c>
      <c r="I450" s="22" t="s">
        <v>28</v>
      </c>
      <c r="J450" s="25" t="s">
        <v>822</v>
      </c>
      <c r="K450" s="23" t="s">
        <v>823</v>
      </c>
      <c r="L450" s="23" t="s">
        <v>92</v>
      </c>
      <c r="M450" s="24">
        <f aca="1">DATEDIF(D450,TODAY(),"Y")</f>
        <v>15</v>
      </c>
      <c r="N450" s="24">
        <f aca="1">DATEDIF(D450,TODAY(),"YM")</f>
        <v>9</v>
      </c>
      <c r="O450" s="24" t="str">
        <f aca="1">DATEDIF(D450,NOW(),"Y")&amp;" Tahun "&amp;DATEDIF(D450,NOW(),"YM")&amp;" Bulan "&amp;DATEDIF(D450,NOW(),"MD")&amp;" Hari "</f>
        <v>15 Tahun 9 Bulan 6 Hari </v>
      </c>
      <c r="P450" s="41">
        <f>D450</f>
        <v>40179</v>
      </c>
      <c r="Q450" s="36" t="n">
        <v>45258</v>
      </c>
      <c r="R450" s="51" t="n">
        <v>2250000</v>
      </c>
      <c r="S450" s="51">
        <f>R450</f>
        <v>2250000</v>
      </c>
      <c r="T450" s="72">
        <f>S450-R450</f>
        <v>0</v>
      </c>
    </row>
    <row r="451" spans="1:20">
      <c r="A451" s="21" t="n">
        <v>448</v>
      </c>
      <c r="B451" s="109" t="s">
        <v>1204</v>
      </c>
      <c r="C451" s="164" t="s">
        <v>1205</v>
      </c>
      <c r="D451" s="38" t="n">
        <v>40179</v>
      </c>
      <c r="E451" s="21" t="s">
        <v>24</v>
      </c>
      <c r="F451" s="21" t="s">
        <v>1177</v>
      </c>
      <c r="G451" s="159" t="s">
        <v>1127</v>
      </c>
      <c r="H451" s="22" t="s">
        <v>818</v>
      </c>
      <c r="I451" s="22" t="s">
        <v>28</v>
      </c>
      <c r="J451" s="22" t="s">
        <v>673</v>
      </c>
      <c r="K451" s="23" t="s">
        <v>1194</v>
      </c>
      <c r="L451" s="23" t="s">
        <v>458</v>
      </c>
      <c r="M451" s="24">
        <f aca="1">DATEDIF(D451,TODAY(),"Y")</f>
        <v>15</v>
      </c>
      <c r="N451" s="24">
        <f aca="1">DATEDIF(D451,TODAY(),"YM")</f>
        <v>9</v>
      </c>
      <c r="O451" s="24" t="str">
        <f aca="1">DATEDIF(D451,NOW(),"Y")&amp;" Tahun "&amp;DATEDIF(D451,NOW(),"YM")&amp;" Bulan "&amp;DATEDIF(D451,NOW(),"MD")&amp;" Hari "</f>
        <v>15 Tahun 9 Bulan 6 Hari </v>
      </c>
      <c r="P451" s="41">
        <f>D451</f>
        <v>40179</v>
      </c>
      <c r="Q451" s="36" t="n">
        <v>45258</v>
      </c>
      <c r="R451" s="51" t="n">
        <v>2375000</v>
      </c>
      <c r="S451" s="51">
        <f>R451</f>
        <v>2375000</v>
      </c>
      <c r="T451" s="72">
        <f>S451-R451</f>
        <v>0</v>
      </c>
    </row>
    <row r="452" spans="1:20">
      <c r="A452" s="21" t="n">
        <v>449</v>
      </c>
      <c r="B452" s="109" t="s">
        <v>1206</v>
      </c>
      <c r="C452" s="164" t="s">
        <v>1207</v>
      </c>
      <c r="D452" s="38" t="n">
        <v>40179</v>
      </c>
      <c r="E452" s="21" t="s">
        <v>24</v>
      </c>
      <c r="F452" s="21" t="s">
        <v>1177</v>
      </c>
      <c r="G452" s="159" t="s">
        <v>1127</v>
      </c>
      <c r="H452" s="22" t="s">
        <v>818</v>
      </c>
      <c r="I452" s="22" t="s">
        <v>28</v>
      </c>
      <c r="J452" s="22" t="s">
        <v>673</v>
      </c>
      <c r="K452" s="23" t="s">
        <v>1194</v>
      </c>
      <c r="L452" s="23" t="s">
        <v>496</v>
      </c>
      <c r="M452" s="24">
        <f aca="1">DATEDIF(D452,TODAY(),"Y")</f>
        <v>15</v>
      </c>
      <c r="N452" s="24">
        <f aca="1">DATEDIF(D452,TODAY(),"YM")</f>
        <v>9</v>
      </c>
      <c r="O452" s="24" t="str">
        <f aca="1">DATEDIF(D452,NOW(),"Y")&amp;" Tahun "&amp;DATEDIF(D452,NOW(),"YM")&amp;" Bulan "&amp;DATEDIF(D452,NOW(),"MD")&amp;" Hari "</f>
        <v>15 Tahun 9 Bulan 6 Hari </v>
      </c>
      <c r="P452" s="41">
        <f>D452</f>
        <v>40179</v>
      </c>
      <c r="Q452" s="36" t="n">
        <v>45258</v>
      </c>
      <c r="R452" s="51" t="n">
        <v>2375000</v>
      </c>
      <c r="S452" s="51">
        <f>R452</f>
        <v>2375000</v>
      </c>
      <c r="T452" s="72">
        <f>S452-R452</f>
        <v>0</v>
      </c>
    </row>
    <row r="453" spans="1:20">
      <c r="A453" s="21" t="n">
        <v>450</v>
      </c>
      <c r="B453" s="115" t="s">
        <v>1208</v>
      </c>
      <c r="C453" s="165" t="s">
        <v>1209</v>
      </c>
      <c r="D453" s="38" t="n">
        <v>40179</v>
      </c>
      <c r="E453" s="21" t="s">
        <v>33</v>
      </c>
      <c r="F453" s="21" t="s">
        <v>1177</v>
      </c>
      <c r="G453" s="159" t="s">
        <v>1127</v>
      </c>
      <c r="H453" s="22" t="s">
        <v>818</v>
      </c>
      <c r="I453" s="22" t="s">
        <v>28</v>
      </c>
      <c r="J453" s="25" t="s">
        <v>262</v>
      </c>
      <c r="K453" s="23" t="s">
        <v>1210</v>
      </c>
      <c r="L453" s="23" t="s">
        <v>520</v>
      </c>
      <c r="M453" s="24">
        <f aca="1">DATEDIF(D453,TODAY(),"Y")</f>
        <v>15</v>
      </c>
      <c r="N453" s="24">
        <f aca="1">DATEDIF(D453,TODAY(),"YM")</f>
        <v>9</v>
      </c>
      <c r="O453" s="24" t="str">
        <f aca="1">DATEDIF(D453,NOW(),"Y")&amp;" Tahun "&amp;DATEDIF(D453,NOW(),"YM")&amp;" Bulan "&amp;DATEDIF(D453,NOW(),"MD")&amp;" Hari "</f>
        <v>15 Tahun 9 Bulan 6 Hari </v>
      </c>
      <c r="P453" s="41">
        <f>D453</f>
        <v>40179</v>
      </c>
      <c r="Q453" s="36" t="n">
        <v>45258</v>
      </c>
      <c r="R453" s="51" t="n">
        <v>2500000</v>
      </c>
      <c r="S453" s="51">
        <f>R453</f>
        <v>2500000</v>
      </c>
      <c r="T453" s="72">
        <f>S453-R453</f>
        <v>0</v>
      </c>
    </row>
    <row r="454" spans="1:20">
      <c r="A454" s="21" t="n">
        <v>451</v>
      </c>
      <c r="B454" s="109" t="s">
        <v>1211</v>
      </c>
      <c r="C454" s="164" t="s">
        <v>1212</v>
      </c>
      <c r="D454" s="38" t="n">
        <v>40179</v>
      </c>
      <c r="E454" s="21" t="s">
        <v>24</v>
      </c>
      <c r="F454" s="21" t="s">
        <v>1177</v>
      </c>
      <c r="G454" s="159" t="s">
        <v>1127</v>
      </c>
      <c r="H454" s="22" t="s">
        <v>818</v>
      </c>
      <c r="I454" s="22" t="s">
        <v>28</v>
      </c>
      <c r="J454" s="22" t="s">
        <v>673</v>
      </c>
      <c r="K454" s="23" t="s">
        <v>1194</v>
      </c>
      <c r="L454" s="23" t="s">
        <v>103</v>
      </c>
      <c r="M454" s="24">
        <f aca="1">DATEDIF(D454,TODAY(),"Y")</f>
        <v>15</v>
      </c>
      <c r="N454" s="24">
        <f aca="1">DATEDIF(D454,TODAY(),"YM")</f>
        <v>9</v>
      </c>
      <c r="O454" s="24" t="str">
        <f aca="1">DATEDIF(D454,NOW(),"Y")&amp;" Tahun "&amp;DATEDIF(D454,NOW(),"YM")&amp;" Bulan "&amp;DATEDIF(D454,NOW(),"MD")&amp;" Hari "</f>
        <v>15 Tahun 9 Bulan 6 Hari </v>
      </c>
      <c r="P454" s="41">
        <f>D454</f>
        <v>40179</v>
      </c>
      <c r="Q454" s="36" t="n">
        <v>45258</v>
      </c>
      <c r="R454" s="51" t="n">
        <v>2375000</v>
      </c>
      <c r="S454" s="51">
        <f>R454</f>
        <v>2375000</v>
      </c>
      <c r="T454" s="72">
        <f>S454-R454</f>
        <v>0</v>
      </c>
    </row>
    <row r="455" spans="1:20">
      <c r="A455" s="21" t="n">
        <v>452</v>
      </c>
      <c r="B455" s="109" t="s">
        <v>1213</v>
      </c>
      <c r="C455" s="164" t="s">
        <v>1214</v>
      </c>
      <c r="D455" s="38" t="n">
        <v>39448</v>
      </c>
      <c r="E455" s="21" t="s">
        <v>33</v>
      </c>
      <c r="F455" s="21" t="s">
        <v>1177</v>
      </c>
      <c r="G455" s="159" t="s">
        <v>1127</v>
      </c>
      <c r="H455" s="22" t="s">
        <v>1193</v>
      </c>
      <c r="I455" s="22" t="s">
        <v>28</v>
      </c>
      <c r="J455" s="22" t="s">
        <v>822</v>
      </c>
      <c r="K455" s="23" t="s">
        <v>1215</v>
      </c>
      <c r="L455" s="23" t="s">
        <v>68</v>
      </c>
      <c r="M455" s="24">
        <f aca="1">DATEDIF(D455,TODAY(),"Y")</f>
        <v>17</v>
      </c>
      <c r="N455" s="24">
        <f aca="1">DATEDIF(D455,TODAY(),"YM")</f>
        <v>9</v>
      </c>
      <c r="O455" s="24" t="str">
        <f aca="1">DATEDIF(D455,NOW(),"Y")&amp;" Tahun "&amp;DATEDIF(D455,NOW(),"YM")&amp;" Bulan "&amp;DATEDIF(D455,NOW(),"MD")&amp;" Hari "</f>
        <v>17 Tahun 9 Bulan 6 Hari </v>
      </c>
      <c r="P455" s="41">
        <f>D455</f>
        <v>39448</v>
      </c>
      <c r="Q455" s="36" t="n">
        <v>45258</v>
      </c>
      <c r="R455" s="51" t="n">
        <v>2250000</v>
      </c>
      <c r="S455" s="51" t="n">
        <v>2300000</v>
      </c>
      <c r="T455" s="72">
        <f>S455-R455</f>
        <v>50000</v>
      </c>
    </row>
    <row r="456" spans="1:20">
      <c r="A456" s="21" t="n">
        <v>453</v>
      </c>
      <c r="B456" s="109" t="s">
        <v>1216</v>
      </c>
      <c r="C456" s="164" t="s">
        <v>1217</v>
      </c>
      <c r="D456" s="38" t="n">
        <v>40544</v>
      </c>
      <c r="E456" s="21" t="s">
        <v>33</v>
      </c>
      <c r="F456" s="21" t="s">
        <v>1177</v>
      </c>
      <c r="G456" s="159" t="s">
        <v>1127</v>
      </c>
      <c r="H456" s="22" t="s">
        <v>818</v>
      </c>
      <c r="I456" s="22" t="s">
        <v>28</v>
      </c>
      <c r="J456" s="22" t="s">
        <v>673</v>
      </c>
      <c r="K456" s="23" t="s">
        <v>1218</v>
      </c>
      <c r="L456" s="23" t="s">
        <v>531</v>
      </c>
      <c r="M456" s="24">
        <f aca="1">DATEDIF(D456,TODAY(),"Y")</f>
        <v>14</v>
      </c>
      <c r="N456" s="24">
        <f aca="1">DATEDIF(D456,TODAY(),"YM")</f>
        <v>9</v>
      </c>
      <c r="O456" s="24" t="str">
        <f aca="1">DATEDIF(D456,NOW(),"Y")&amp;" Tahun "&amp;DATEDIF(D456,NOW(),"YM")&amp;" Bulan "&amp;DATEDIF(D456,NOW(),"MD")&amp;" Hari "</f>
        <v>14 Tahun 9 Bulan 6 Hari </v>
      </c>
      <c r="P456" s="41">
        <f>D456</f>
        <v>40544</v>
      </c>
      <c r="Q456" s="36" t="n">
        <v>45258</v>
      </c>
      <c r="R456" s="51" t="n">
        <v>2375000</v>
      </c>
      <c r="S456" s="51" t="n">
        <v>2425000</v>
      </c>
      <c r="T456" s="72">
        <f>S456-R456</f>
        <v>50000</v>
      </c>
    </row>
    <row r="457" spans="1:20">
      <c r="A457" s="21" t="n">
        <v>454</v>
      </c>
      <c r="B457" s="109" t="s">
        <v>1219</v>
      </c>
      <c r="C457" s="164" t="s">
        <v>1220</v>
      </c>
      <c r="D457" s="38" t="n">
        <v>40544</v>
      </c>
      <c r="E457" s="21" t="s">
        <v>33</v>
      </c>
      <c r="F457" s="21" t="s">
        <v>1177</v>
      </c>
      <c r="G457" s="159" t="s">
        <v>1127</v>
      </c>
      <c r="H457" s="22" t="s">
        <v>818</v>
      </c>
      <c r="I457" s="22" t="s">
        <v>28</v>
      </c>
      <c r="J457" s="22" t="s">
        <v>673</v>
      </c>
      <c r="K457" s="23" t="s">
        <v>1194</v>
      </c>
      <c r="L457" s="23" t="s">
        <v>173</v>
      </c>
      <c r="M457" s="24">
        <f aca="1">DATEDIF(D457,TODAY(),"Y")</f>
        <v>14</v>
      </c>
      <c r="N457" s="24">
        <f aca="1">DATEDIF(D457,TODAY(),"YM")</f>
        <v>9</v>
      </c>
      <c r="O457" s="24" t="str">
        <f aca="1">DATEDIF(D457,NOW(),"Y")&amp;" Tahun "&amp;DATEDIF(D457,NOW(),"YM")&amp;" Bulan "&amp;DATEDIF(D457,NOW(),"MD")&amp;" Hari "</f>
        <v>14 Tahun 9 Bulan 6 Hari </v>
      </c>
      <c r="P457" s="41">
        <f>D457</f>
        <v>40544</v>
      </c>
      <c r="Q457" s="36" t="n">
        <v>45258</v>
      </c>
      <c r="R457" s="51" t="n">
        <v>2375000</v>
      </c>
      <c r="S457" s="51" t="n">
        <v>2425000</v>
      </c>
      <c r="T457" s="72">
        <f>S457-R457</f>
        <v>50000</v>
      </c>
    </row>
    <row r="458" spans="1:20">
      <c r="A458" s="21" t="n">
        <v>455</v>
      </c>
      <c r="B458" s="109" t="s">
        <v>1221</v>
      </c>
      <c r="C458" s="164" t="s">
        <v>1222</v>
      </c>
      <c r="D458" s="38" t="n">
        <v>40544</v>
      </c>
      <c r="E458" s="21" t="s">
        <v>33</v>
      </c>
      <c r="F458" s="21" t="s">
        <v>1177</v>
      </c>
      <c r="G458" s="159" t="s">
        <v>1127</v>
      </c>
      <c r="H458" s="22" t="s">
        <v>818</v>
      </c>
      <c r="I458" s="22" t="s">
        <v>28</v>
      </c>
      <c r="J458" s="22" t="s">
        <v>673</v>
      </c>
      <c r="K458" s="23" t="s">
        <v>1180</v>
      </c>
      <c r="L458" s="23" t="s">
        <v>480</v>
      </c>
      <c r="M458" s="24">
        <f aca="1">DATEDIF(D458,TODAY(),"Y")</f>
        <v>14</v>
      </c>
      <c r="N458" s="24">
        <f aca="1">DATEDIF(D458,TODAY(),"YM")</f>
        <v>9</v>
      </c>
      <c r="O458" s="24" t="str">
        <f aca="1">DATEDIF(D458,NOW(),"Y")&amp;" Tahun "&amp;DATEDIF(D458,NOW(),"YM")&amp;" Bulan "&amp;DATEDIF(D458,NOW(),"MD")&amp;" Hari "</f>
        <v>14 Tahun 9 Bulan 6 Hari </v>
      </c>
      <c r="P458" s="41">
        <f>D458</f>
        <v>40544</v>
      </c>
      <c r="Q458" s="36" t="n">
        <v>45258</v>
      </c>
      <c r="R458" s="51" t="n">
        <v>2375000</v>
      </c>
      <c r="S458" s="51" t="n">
        <v>2425000</v>
      </c>
      <c r="T458" s="72">
        <f>S458-R458</f>
        <v>50000</v>
      </c>
    </row>
    <row r="459" spans="1:20">
      <c r="A459" s="21" t="n">
        <v>456</v>
      </c>
      <c r="B459" s="109" t="s">
        <v>1223</v>
      </c>
      <c r="C459" s="164" t="s">
        <v>1224</v>
      </c>
      <c r="D459" s="38" t="n">
        <v>40544</v>
      </c>
      <c r="E459" s="21" t="s">
        <v>33</v>
      </c>
      <c r="F459" s="21" t="s">
        <v>1177</v>
      </c>
      <c r="G459" s="159" t="s">
        <v>1127</v>
      </c>
      <c r="H459" s="22" t="s">
        <v>818</v>
      </c>
      <c r="I459" s="22" t="s">
        <v>28</v>
      </c>
      <c r="J459" s="22" t="s">
        <v>673</v>
      </c>
      <c r="K459" s="23" t="s">
        <v>1180</v>
      </c>
      <c r="L459" s="23" t="s">
        <v>87</v>
      </c>
      <c r="M459" s="24">
        <f aca="1">DATEDIF(D459,TODAY(),"Y")</f>
        <v>14</v>
      </c>
      <c r="N459" s="24">
        <f aca="1">DATEDIF(D459,TODAY(),"YM")</f>
        <v>9</v>
      </c>
      <c r="O459" s="24" t="str">
        <f aca="1">DATEDIF(D459,NOW(),"Y")&amp;" Tahun "&amp;DATEDIF(D459,NOW(),"YM")&amp;" Bulan "&amp;DATEDIF(D459,NOW(),"MD")&amp;" Hari "</f>
        <v>14 Tahun 9 Bulan 6 Hari </v>
      </c>
      <c r="P459" s="41">
        <f>D459</f>
        <v>40544</v>
      </c>
      <c r="Q459" s="36" t="n">
        <v>45258</v>
      </c>
      <c r="R459" s="51" t="n">
        <v>2375000</v>
      </c>
      <c r="S459" s="51" t="n">
        <v>2425000</v>
      </c>
      <c r="T459" s="72">
        <f>S459-R459</f>
        <v>50000</v>
      </c>
    </row>
    <row r="460" spans="1:20">
      <c r="A460" s="21" t="n">
        <v>457</v>
      </c>
      <c r="B460" s="109" t="s">
        <v>1225</v>
      </c>
      <c r="C460" s="164" t="s">
        <v>1226</v>
      </c>
      <c r="D460" s="38" t="n">
        <v>39448</v>
      </c>
      <c r="E460" s="21" t="s">
        <v>33</v>
      </c>
      <c r="F460" s="21" t="s">
        <v>1177</v>
      </c>
      <c r="G460" s="159" t="s">
        <v>1127</v>
      </c>
      <c r="H460" s="22" t="s">
        <v>1227</v>
      </c>
      <c r="I460" s="22" t="s">
        <v>28</v>
      </c>
      <c r="J460" s="22" t="s">
        <v>822</v>
      </c>
      <c r="K460" s="23" t="s">
        <v>1228</v>
      </c>
      <c r="L460" s="23" t="s">
        <v>606</v>
      </c>
      <c r="M460" s="24">
        <f aca="1">DATEDIF(D460,TODAY(),"Y")</f>
        <v>17</v>
      </c>
      <c r="N460" s="24">
        <f aca="1">DATEDIF(D460,TODAY(),"YM")</f>
        <v>9</v>
      </c>
      <c r="O460" s="24" t="str">
        <f aca="1">DATEDIF(D460,NOW(),"Y")&amp;" Tahun "&amp;DATEDIF(D460,NOW(),"YM")&amp;" Bulan "&amp;DATEDIF(D460,NOW(),"MD")&amp;" Hari "</f>
        <v>17 Tahun 9 Bulan 6 Hari </v>
      </c>
      <c r="P460" s="41">
        <f>D460</f>
        <v>39448</v>
      </c>
      <c r="Q460" s="36" t="n">
        <v>45258</v>
      </c>
      <c r="R460" s="51" t="n">
        <v>2250000</v>
      </c>
      <c r="S460" s="51" t="n">
        <v>2300000</v>
      </c>
      <c r="T460" s="72">
        <f>S460-R460</f>
        <v>50000</v>
      </c>
    </row>
    <row r="461" spans="1:20">
      <c r="A461" s="21" t="n">
        <v>458</v>
      </c>
      <c r="B461" s="109" t="s">
        <v>1229</v>
      </c>
      <c r="C461" s="164" t="s">
        <v>1230</v>
      </c>
      <c r="D461" s="38" t="n">
        <v>40544</v>
      </c>
      <c r="E461" s="21" t="s">
        <v>24</v>
      </c>
      <c r="F461" s="21" t="s">
        <v>1177</v>
      </c>
      <c r="G461" s="159" t="s">
        <v>1127</v>
      </c>
      <c r="H461" s="22" t="s">
        <v>818</v>
      </c>
      <c r="I461" s="22" t="s">
        <v>28</v>
      </c>
      <c r="J461" s="22" t="s">
        <v>673</v>
      </c>
      <c r="K461" s="23" t="s">
        <v>1231</v>
      </c>
      <c r="L461" s="23" t="s">
        <v>531</v>
      </c>
      <c r="M461" s="24">
        <f aca="1">DATEDIF(D461,TODAY(),"Y")</f>
        <v>14</v>
      </c>
      <c r="N461" s="24">
        <f aca="1">DATEDIF(D461,TODAY(),"YM")</f>
        <v>9</v>
      </c>
      <c r="O461" s="24" t="str">
        <f aca="1">DATEDIF(D461,NOW(),"Y")&amp;" Tahun "&amp;DATEDIF(D461,NOW(),"YM")&amp;" Bulan "&amp;DATEDIF(D461,NOW(),"MD")&amp;" Hari "</f>
        <v>14 Tahun 9 Bulan 6 Hari </v>
      </c>
      <c r="P461" s="41">
        <f>D461</f>
        <v>40544</v>
      </c>
      <c r="Q461" s="36" t="n">
        <v>45258</v>
      </c>
      <c r="R461" s="51" t="n">
        <v>2375000</v>
      </c>
      <c r="S461" s="51" t="n">
        <v>2425000</v>
      </c>
      <c r="T461" s="72">
        <f>S461-R461</f>
        <v>50000</v>
      </c>
    </row>
    <row r="462" spans="1:20">
      <c r="A462" s="21" t="n">
        <v>459</v>
      </c>
      <c r="B462" s="109" t="s">
        <v>1232</v>
      </c>
      <c r="C462" s="164" t="s">
        <v>1233</v>
      </c>
      <c r="D462" s="38" t="n">
        <v>40544</v>
      </c>
      <c r="E462" s="21" t="s">
        <v>33</v>
      </c>
      <c r="F462" s="21" t="s">
        <v>1177</v>
      </c>
      <c r="G462" s="159" t="s">
        <v>1127</v>
      </c>
      <c r="H462" s="22" t="s">
        <v>818</v>
      </c>
      <c r="I462" s="22" t="s">
        <v>28</v>
      </c>
      <c r="J462" s="25" t="s">
        <v>262</v>
      </c>
      <c r="K462" s="23" t="s">
        <v>1234</v>
      </c>
      <c r="L462" s="23" t="s">
        <v>549</v>
      </c>
      <c r="M462" s="24">
        <f aca="1">DATEDIF(D462,TODAY(),"Y")</f>
        <v>14</v>
      </c>
      <c r="N462" s="24">
        <f aca="1">DATEDIF(D462,TODAY(),"YM")</f>
        <v>9</v>
      </c>
      <c r="O462" s="24" t="str">
        <f aca="1">DATEDIF(D462,NOW(),"Y")&amp;" Tahun "&amp;DATEDIF(D462,NOW(),"YM")&amp;" Bulan "&amp;DATEDIF(D462,NOW(),"MD")&amp;" Hari "</f>
        <v>14 Tahun 9 Bulan 6 Hari </v>
      </c>
      <c r="P462" s="41">
        <f>D462</f>
        <v>40544</v>
      </c>
      <c r="Q462" s="36" t="n">
        <v>45258</v>
      </c>
      <c r="R462" s="51" t="n">
        <v>2500000</v>
      </c>
      <c r="S462" s="51">
        <f>R462</f>
        <v>2500000</v>
      </c>
      <c r="T462" s="72">
        <f>S462-R462</f>
        <v>0</v>
      </c>
    </row>
    <row r="463" spans="1:20">
      <c r="A463" s="21" t="n">
        <v>460</v>
      </c>
      <c r="B463" s="109" t="s">
        <v>1235</v>
      </c>
      <c r="C463" s="164" t="s">
        <v>1236</v>
      </c>
      <c r="D463" s="38" t="n">
        <v>40544</v>
      </c>
      <c r="E463" s="21" t="s">
        <v>33</v>
      </c>
      <c r="F463" s="21" t="s">
        <v>1177</v>
      </c>
      <c r="G463" s="159" t="s">
        <v>1127</v>
      </c>
      <c r="H463" s="22" t="s">
        <v>1237</v>
      </c>
      <c r="I463" s="22" t="s">
        <v>28</v>
      </c>
      <c r="J463" s="22" t="s">
        <v>822</v>
      </c>
      <c r="K463" s="23" t="s">
        <v>1228</v>
      </c>
      <c r="L463" s="23" t="s">
        <v>523</v>
      </c>
      <c r="M463" s="24">
        <f aca="1">DATEDIF(D463,TODAY(),"Y")</f>
        <v>14</v>
      </c>
      <c r="N463" s="24">
        <f aca="1">DATEDIF(D463,TODAY(),"YM")</f>
        <v>9</v>
      </c>
      <c r="O463" s="24" t="str">
        <f aca="1">DATEDIF(D463,NOW(),"Y")&amp;" Tahun "&amp;DATEDIF(D463,NOW(),"YM")&amp;" Bulan "&amp;DATEDIF(D463,NOW(),"MD")&amp;" Hari "</f>
        <v>14 Tahun 9 Bulan 6 Hari </v>
      </c>
      <c r="P463" s="41">
        <f>D463</f>
        <v>40544</v>
      </c>
      <c r="Q463" s="36" t="n">
        <v>45258</v>
      </c>
      <c r="R463" s="51" t="n">
        <v>2250000</v>
      </c>
      <c r="S463" s="51">
        <f>R463</f>
        <v>2250000</v>
      </c>
      <c r="T463" s="72">
        <f>S463-R463</f>
        <v>0</v>
      </c>
    </row>
    <row r="464" spans="1:20">
      <c r="A464" s="21" t="n">
        <v>461</v>
      </c>
      <c r="B464" s="109" t="s">
        <v>1238</v>
      </c>
      <c r="C464" s="164" t="s">
        <v>1239</v>
      </c>
      <c r="D464" s="38" t="n">
        <v>40544</v>
      </c>
      <c r="E464" s="21" t="s">
        <v>33</v>
      </c>
      <c r="F464" s="21" t="s">
        <v>1177</v>
      </c>
      <c r="G464" s="159" t="s">
        <v>1127</v>
      </c>
      <c r="H464" s="22" t="s">
        <v>818</v>
      </c>
      <c r="I464" s="22" t="s">
        <v>28</v>
      </c>
      <c r="J464" s="22" t="s">
        <v>673</v>
      </c>
      <c r="K464" s="23" t="s">
        <v>1240</v>
      </c>
      <c r="L464" s="23" t="s">
        <v>1190</v>
      </c>
      <c r="M464" s="24">
        <f aca="1">DATEDIF(D464,TODAY(),"Y")</f>
        <v>14</v>
      </c>
      <c r="N464" s="24">
        <f aca="1">DATEDIF(D464,TODAY(),"YM")</f>
        <v>9</v>
      </c>
      <c r="O464" s="24" t="str">
        <f aca="1">DATEDIF(D464,NOW(),"Y")&amp;" Tahun "&amp;DATEDIF(D464,NOW(),"YM")&amp;" Bulan "&amp;DATEDIF(D464,NOW(),"MD")&amp;" Hari "</f>
        <v>14 Tahun 9 Bulan 6 Hari </v>
      </c>
      <c r="P464" s="41">
        <f>D464</f>
        <v>40544</v>
      </c>
      <c r="Q464" s="36" t="n">
        <v>45258</v>
      </c>
      <c r="R464" s="51" t="n">
        <v>2375000</v>
      </c>
      <c r="S464" s="51">
        <f>R464</f>
        <v>2375000</v>
      </c>
      <c r="T464" s="72">
        <f>S464-R464</f>
        <v>0</v>
      </c>
    </row>
    <row r="465" spans="1:20">
      <c r="A465" s="21" t="n">
        <v>462</v>
      </c>
      <c r="B465" s="109" t="s">
        <v>1241</v>
      </c>
      <c r="C465" s="164" t="s">
        <v>1242</v>
      </c>
      <c r="D465" s="38" t="n">
        <v>40544</v>
      </c>
      <c r="E465" s="21" t="s">
        <v>33</v>
      </c>
      <c r="F465" s="21" t="s">
        <v>1177</v>
      </c>
      <c r="G465" s="159" t="s">
        <v>1127</v>
      </c>
      <c r="H465" s="23" t="s">
        <v>1243</v>
      </c>
      <c r="I465" s="22" t="s">
        <v>28</v>
      </c>
      <c r="J465" s="22" t="s">
        <v>673</v>
      </c>
      <c r="K465" s="23" t="s">
        <v>1218</v>
      </c>
      <c r="L465" s="23" t="s">
        <v>1244</v>
      </c>
      <c r="M465" s="24">
        <f aca="1">DATEDIF(D465,TODAY(),"Y")</f>
        <v>14</v>
      </c>
      <c r="N465" s="24">
        <f aca="1">DATEDIF(D465,TODAY(),"YM")</f>
        <v>9</v>
      </c>
      <c r="O465" s="24" t="str">
        <f aca="1">DATEDIF(D465,NOW(),"Y")&amp;" Tahun "&amp;DATEDIF(D465,NOW(),"YM")&amp;" Bulan "&amp;DATEDIF(D465,NOW(),"MD")&amp;" Hari "</f>
        <v>14 Tahun 9 Bulan 6 Hari </v>
      </c>
      <c r="P465" s="41">
        <f>D465</f>
        <v>40544</v>
      </c>
      <c r="Q465" s="36" t="n">
        <v>45258</v>
      </c>
      <c r="R465" s="51" t="n">
        <v>2375000</v>
      </c>
      <c r="S465" s="51">
        <f>R465</f>
        <v>2375000</v>
      </c>
      <c r="T465" s="72">
        <f>S465-R465</f>
        <v>0</v>
      </c>
    </row>
    <row r="466" spans="1:20">
      <c r="A466" s="21" t="n">
        <v>463</v>
      </c>
      <c r="B466" s="109" t="s">
        <v>1245</v>
      </c>
      <c r="C466" s="164" t="s">
        <v>1246</v>
      </c>
      <c r="D466" s="38" t="n">
        <v>40544</v>
      </c>
      <c r="E466" s="21" t="s">
        <v>24</v>
      </c>
      <c r="F466" s="21" t="s">
        <v>1177</v>
      </c>
      <c r="G466" s="159" t="s">
        <v>1127</v>
      </c>
      <c r="H466" s="22" t="s">
        <v>818</v>
      </c>
      <c r="I466" s="22" t="s">
        <v>28</v>
      </c>
      <c r="J466" s="22" t="s">
        <v>673</v>
      </c>
      <c r="K466" s="23" t="s">
        <v>1231</v>
      </c>
      <c r="L466" s="23" t="s">
        <v>480</v>
      </c>
      <c r="M466" s="24">
        <f aca="1">DATEDIF(D466,TODAY(),"Y")</f>
        <v>14</v>
      </c>
      <c r="N466" s="24">
        <f aca="1">DATEDIF(D466,TODAY(),"YM")</f>
        <v>9</v>
      </c>
      <c r="O466" s="24" t="str">
        <f aca="1">DATEDIF(D466,NOW(),"Y")&amp;" Tahun "&amp;DATEDIF(D466,NOW(),"YM")&amp;" Bulan "&amp;DATEDIF(D466,NOW(),"MD")&amp;" Hari "</f>
        <v>14 Tahun 9 Bulan 6 Hari </v>
      </c>
      <c r="P466" s="41">
        <f>D466</f>
        <v>40544</v>
      </c>
      <c r="Q466" s="36" t="n">
        <v>45258</v>
      </c>
      <c r="R466" s="51" t="n">
        <v>2375000</v>
      </c>
      <c r="S466" s="51">
        <f>R466</f>
        <v>2375000</v>
      </c>
      <c r="T466" s="72">
        <f>S466-R466</f>
        <v>0</v>
      </c>
    </row>
    <row r="467" spans="1:20">
      <c r="A467" s="21" t="n">
        <v>464</v>
      </c>
      <c r="B467" s="109" t="s">
        <v>1247</v>
      </c>
      <c r="C467" s="164" t="s">
        <v>1248</v>
      </c>
      <c r="D467" s="38" t="n">
        <v>40544</v>
      </c>
      <c r="E467" s="21" t="s">
        <v>33</v>
      </c>
      <c r="F467" s="21" t="s">
        <v>1177</v>
      </c>
      <c r="G467" s="159" t="s">
        <v>1127</v>
      </c>
      <c r="H467" s="22" t="s">
        <v>818</v>
      </c>
      <c r="I467" s="22" t="s">
        <v>28</v>
      </c>
      <c r="J467" s="22" t="s">
        <v>673</v>
      </c>
      <c r="K467" s="23" t="s">
        <v>1231</v>
      </c>
      <c r="L467" s="23" t="s">
        <v>458</v>
      </c>
      <c r="M467" s="24">
        <f aca="1">DATEDIF(D467,TODAY(),"Y")</f>
        <v>14</v>
      </c>
      <c r="N467" s="24">
        <f aca="1">DATEDIF(D467,TODAY(),"YM")</f>
        <v>9</v>
      </c>
      <c r="O467" s="24" t="str">
        <f aca="1">DATEDIF(D467,NOW(),"Y")&amp;" Tahun "&amp;DATEDIF(D467,NOW(),"YM")&amp;" Bulan "&amp;DATEDIF(D467,NOW(),"MD")&amp;" Hari "</f>
        <v>14 Tahun 9 Bulan 6 Hari </v>
      </c>
      <c r="P467" s="41">
        <f>D467</f>
        <v>40544</v>
      </c>
      <c r="Q467" s="36" t="n">
        <v>45258</v>
      </c>
      <c r="R467" s="51" t="n">
        <v>2375000</v>
      </c>
      <c r="S467" s="51">
        <f>R467</f>
        <v>2375000</v>
      </c>
      <c r="T467" s="72">
        <f>S467-R467</f>
        <v>0</v>
      </c>
    </row>
    <row r="468" spans="1:20">
      <c r="A468" s="21" t="n">
        <v>465</v>
      </c>
      <c r="B468" s="109" t="s">
        <v>1249</v>
      </c>
      <c r="C468" s="164" t="s">
        <v>1250</v>
      </c>
      <c r="D468" s="38" t="n">
        <v>40544</v>
      </c>
      <c r="E468" s="21" t="s">
        <v>33</v>
      </c>
      <c r="F468" s="21" t="s">
        <v>1177</v>
      </c>
      <c r="G468" s="159" t="s">
        <v>1127</v>
      </c>
      <c r="H468" s="22" t="s">
        <v>536</v>
      </c>
      <c r="I468" s="22" t="s">
        <v>28</v>
      </c>
      <c r="J468" s="22" t="s">
        <v>673</v>
      </c>
      <c r="K468" s="23" t="s">
        <v>1231</v>
      </c>
      <c r="L468" s="23" t="s">
        <v>245</v>
      </c>
      <c r="M468" s="24">
        <f aca="1">DATEDIF(D468,TODAY(),"Y")</f>
        <v>14</v>
      </c>
      <c r="N468" s="24">
        <f aca="1">DATEDIF(D468,TODAY(),"YM")</f>
        <v>9</v>
      </c>
      <c r="O468" s="24" t="str">
        <f aca="1">DATEDIF(D468,NOW(),"Y")&amp;" Tahun "&amp;DATEDIF(D468,NOW(),"YM")&amp;" Bulan "&amp;DATEDIF(D468,NOW(),"MD")&amp;" Hari "</f>
        <v>14 Tahun 9 Bulan 6 Hari </v>
      </c>
      <c r="P468" s="41">
        <f>D468</f>
        <v>40544</v>
      </c>
      <c r="Q468" s="36" t="n">
        <v>45258</v>
      </c>
      <c r="R468" s="51" t="n">
        <v>2375000</v>
      </c>
      <c r="S468" s="51">
        <f>R468</f>
        <v>2375000</v>
      </c>
      <c r="T468" s="72">
        <f>S468-R468</f>
        <v>0</v>
      </c>
    </row>
    <row r="469" spans="1:20">
      <c r="A469" s="21" t="n">
        <v>466</v>
      </c>
      <c r="B469" s="109" t="s">
        <v>1251</v>
      </c>
      <c r="C469" s="164" t="s">
        <v>1252</v>
      </c>
      <c r="D469" s="38" t="n">
        <v>40544</v>
      </c>
      <c r="E469" s="21" t="s">
        <v>24</v>
      </c>
      <c r="F469" s="21" t="s">
        <v>1177</v>
      </c>
      <c r="G469" s="159" t="s">
        <v>1127</v>
      </c>
      <c r="H469" s="22" t="s">
        <v>818</v>
      </c>
      <c r="I469" s="22" t="s">
        <v>28</v>
      </c>
      <c r="J469" s="22" t="s">
        <v>673</v>
      </c>
      <c r="K469" s="23" t="s">
        <v>1180</v>
      </c>
      <c r="L469" s="23" t="s">
        <v>103</v>
      </c>
      <c r="M469" s="24">
        <f aca="1">DATEDIF(D469,TODAY(),"Y")</f>
        <v>14</v>
      </c>
      <c r="N469" s="24">
        <f aca="1">DATEDIF(D469,TODAY(),"YM")</f>
        <v>9</v>
      </c>
      <c r="O469" s="24" t="str">
        <f aca="1">DATEDIF(D469,NOW(),"Y")&amp;" Tahun "&amp;DATEDIF(D469,NOW(),"YM")&amp;" Bulan "&amp;DATEDIF(D469,NOW(),"MD")&amp;" Hari "</f>
        <v>14 Tahun 9 Bulan 6 Hari </v>
      </c>
      <c r="P469" s="41">
        <f>D469</f>
        <v>40544</v>
      </c>
      <c r="Q469" s="36" t="n">
        <v>45258</v>
      </c>
      <c r="R469" s="51" t="n">
        <v>2375000</v>
      </c>
      <c r="S469" s="51">
        <f>R469</f>
        <v>2375000</v>
      </c>
      <c r="T469" s="72">
        <f>S469-R469</f>
        <v>0</v>
      </c>
    </row>
    <row r="470" spans="1:20">
      <c r="A470" s="21" t="n">
        <v>467</v>
      </c>
      <c r="B470" s="109" t="s">
        <v>1253</v>
      </c>
      <c r="C470" s="164" t="s">
        <v>1254</v>
      </c>
      <c r="D470" s="38" t="n">
        <v>40544</v>
      </c>
      <c r="E470" s="21" t="s">
        <v>24</v>
      </c>
      <c r="F470" s="21" t="s">
        <v>1177</v>
      </c>
      <c r="G470" s="159" t="s">
        <v>1127</v>
      </c>
      <c r="H470" s="22" t="s">
        <v>818</v>
      </c>
      <c r="I470" s="22" t="s">
        <v>28</v>
      </c>
      <c r="J470" s="22" t="s">
        <v>673</v>
      </c>
      <c r="K470" s="23" t="s">
        <v>1194</v>
      </c>
      <c r="L470" s="23" t="s">
        <v>173</v>
      </c>
      <c r="M470" s="24">
        <f aca="1">DATEDIF(D470,TODAY(),"Y")</f>
        <v>14</v>
      </c>
      <c r="N470" s="24">
        <f aca="1">DATEDIF(D470,TODAY(),"YM")</f>
        <v>9</v>
      </c>
      <c r="O470" s="24" t="str">
        <f aca="1">DATEDIF(D470,NOW(),"Y")&amp;" Tahun "&amp;DATEDIF(D470,NOW(),"YM")&amp;" Bulan "&amp;DATEDIF(D470,NOW(),"MD")&amp;" Hari "</f>
        <v>14 Tahun 9 Bulan 6 Hari </v>
      </c>
      <c r="P470" s="41">
        <f>D470</f>
        <v>40544</v>
      </c>
      <c r="Q470" s="36" t="n">
        <v>45258</v>
      </c>
      <c r="R470" s="51" t="n">
        <v>2375000</v>
      </c>
      <c r="S470" s="51">
        <f>R470</f>
        <v>2375000</v>
      </c>
      <c r="T470" s="72">
        <f>S470-R470</f>
        <v>0</v>
      </c>
    </row>
    <row r="471" spans="1:20">
      <c r="A471" s="21" t="n">
        <v>468</v>
      </c>
      <c r="B471" s="109" t="s">
        <v>1255</v>
      </c>
      <c r="C471" s="164" t="s">
        <v>1256</v>
      </c>
      <c r="D471" s="38" t="n">
        <v>40544</v>
      </c>
      <c r="E471" s="21" t="s">
        <v>33</v>
      </c>
      <c r="F471" s="21" t="s">
        <v>1177</v>
      </c>
      <c r="G471" s="159" t="s">
        <v>1127</v>
      </c>
      <c r="H471" s="22" t="s">
        <v>818</v>
      </c>
      <c r="I471" s="22" t="s">
        <v>28</v>
      </c>
      <c r="J471" s="25" t="s">
        <v>262</v>
      </c>
      <c r="K471" s="23" t="s">
        <v>1257</v>
      </c>
      <c r="L471" s="23" t="s">
        <v>162</v>
      </c>
      <c r="M471" s="24">
        <f aca="1">DATEDIF(D471,TODAY(),"Y")</f>
        <v>14</v>
      </c>
      <c r="N471" s="24">
        <f aca="1">DATEDIF(D471,TODAY(),"YM")</f>
        <v>9</v>
      </c>
      <c r="O471" s="24" t="str">
        <f aca="1">DATEDIF(D471,NOW(),"Y")&amp;" Tahun "&amp;DATEDIF(D471,NOW(),"YM")&amp;" Bulan "&amp;DATEDIF(D471,NOW(),"MD")&amp;" Hari "</f>
        <v>14 Tahun 9 Bulan 6 Hari </v>
      </c>
      <c r="P471" s="41">
        <f>D471</f>
        <v>40544</v>
      </c>
      <c r="Q471" s="36" t="n">
        <v>45258</v>
      </c>
      <c r="R471" s="51" t="n">
        <v>2500000</v>
      </c>
      <c r="S471" s="51">
        <f>R471</f>
        <v>2500000</v>
      </c>
      <c r="T471" s="72">
        <f>S471-R471</f>
        <v>0</v>
      </c>
    </row>
    <row r="472" spans="1:20">
      <c r="A472" s="21" t="n">
        <v>469</v>
      </c>
      <c r="B472" s="109" t="s">
        <v>1258</v>
      </c>
      <c r="C472" s="164" t="s">
        <v>1259</v>
      </c>
      <c r="D472" s="38" t="n">
        <v>40909</v>
      </c>
      <c r="E472" s="21" t="s">
        <v>33</v>
      </c>
      <c r="F472" s="21" t="s">
        <v>1177</v>
      </c>
      <c r="G472" s="159" t="s">
        <v>1127</v>
      </c>
      <c r="H472" s="22" t="s">
        <v>818</v>
      </c>
      <c r="I472" s="22" t="s">
        <v>28</v>
      </c>
      <c r="J472" s="22" t="s">
        <v>673</v>
      </c>
      <c r="K472" s="23" t="s">
        <v>1231</v>
      </c>
      <c r="L472" s="23" t="s">
        <v>1190</v>
      </c>
      <c r="M472" s="24">
        <f aca="1">DATEDIF(D472,TODAY(),"Y")</f>
        <v>13</v>
      </c>
      <c r="N472" s="24">
        <f aca="1">DATEDIF(D472,TODAY(),"YM")</f>
        <v>9</v>
      </c>
      <c r="O472" s="24" t="str">
        <f aca="1">DATEDIF(D472,NOW(),"Y")&amp;" Tahun "&amp;DATEDIF(D472,NOW(),"YM")&amp;" Bulan "&amp;DATEDIF(D472,NOW(),"MD")&amp;" Hari "</f>
        <v>13 Tahun 9 Bulan 6 Hari </v>
      </c>
      <c r="P472" s="41">
        <f>D472</f>
        <v>40909</v>
      </c>
      <c r="Q472" s="36" t="n">
        <v>45258</v>
      </c>
      <c r="R472" s="51" t="n">
        <v>2325000</v>
      </c>
      <c r="S472" s="51" t="n">
        <v>2375000</v>
      </c>
      <c r="T472" s="72">
        <f>S472-R472</f>
        <v>50000</v>
      </c>
    </row>
    <row r="473" spans="1:20">
      <c r="A473" s="21" t="n">
        <v>470</v>
      </c>
      <c r="B473" s="109" t="s">
        <v>1260</v>
      </c>
      <c r="C473" s="164" t="s">
        <v>1261</v>
      </c>
      <c r="D473" s="38" t="n">
        <v>40544</v>
      </c>
      <c r="E473" s="21" t="s">
        <v>33</v>
      </c>
      <c r="F473" s="21" t="s">
        <v>1177</v>
      </c>
      <c r="G473" s="159" t="s">
        <v>1127</v>
      </c>
      <c r="H473" s="22" t="s">
        <v>818</v>
      </c>
      <c r="I473" s="22" t="s">
        <v>28</v>
      </c>
      <c r="J473" s="22" t="s">
        <v>673</v>
      </c>
      <c r="K473" s="23" t="s">
        <v>1262</v>
      </c>
      <c r="L473" s="23" t="s">
        <v>520</v>
      </c>
      <c r="M473" s="24">
        <f aca="1">DATEDIF(D473,TODAY(),"Y")</f>
        <v>14</v>
      </c>
      <c r="N473" s="24">
        <f aca="1">DATEDIF(D473,TODAY(),"YM")</f>
        <v>9</v>
      </c>
      <c r="O473" s="24" t="str">
        <f aca="1">DATEDIF(D473,NOW(),"Y")&amp;" Tahun "&amp;DATEDIF(D473,NOW(),"YM")&amp;" Bulan "&amp;DATEDIF(D473,NOW(),"MD")&amp;" Hari "</f>
        <v>14 Tahun 9 Bulan 6 Hari </v>
      </c>
      <c r="P473" s="41">
        <f>D473</f>
        <v>40544</v>
      </c>
      <c r="Q473" s="36" t="n">
        <v>45258</v>
      </c>
      <c r="R473" s="51" t="n">
        <v>2375000</v>
      </c>
      <c r="S473" s="51">
        <f>R473</f>
        <v>2375000</v>
      </c>
      <c r="T473" s="72">
        <f>S473-R473</f>
        <v>0</v>
      </c>
    </row>
    <row r="474" spans="1:20">
      <c r="A474" s="21" t="n">
        <v>471</v>
      </c>
      <c r="B474" s="109" t="s">
        <v>1263</v>
      </c>
      <c r="C474" s="164" t="s">
        <v>1264</v>
      </c>
      <c r="D474" s="38" t="n">
        <v>40544</v>
      </c>
      <c r="E474" s="21" t="s">
        <v>33</v>
      </c>
      <c r="F474" s="21" t="s">
        <v>1177</v>
      </c>
      <c r="G474" s="159" t="s">
        <v>1127</v>
      </c>
      <c r="H474" s="23" t="s">
        <v>1265</v>
      </c>
      <c r="I474" s="22" t="s">
        <v>28</v>
      </c>
      <c r="J474" s="22" t="s">
        <v>822</v>
      </c>
      <c r="K474" s="23" t="s">
        <v>1228</v>
      </c>
      <c r="L474" s="23" t="s">
        <v>103</v>
      </c>
      <c r="M474" s="24">
        <f aca="1">DATEDIF(D474,TODAY(),"Y")</f>
        <v>14</v>
      </c>
      <c r="N474" s="24">
        <f aca="1">DATEDIF(D474,TODAY(),"YM")</f>
        <v>9</v>
      </c>
      <c r="O474" s="24" t="str">
        <f aca="1">DATEDIF(D474,NOW(),"Y")&amp;" Tahun "&amp;DATEDIF(D474,NOW(),"YM")&amp;" Bulan "&amp;DATEDIF(D474,NOW(),"MD")&amp;" Hari "</f>
        <v>14 Tahun 9 Bulan 6 Hari </v>
      </c>
      <c r="P474" s="41">
        <f>D474</f>
        <v>40544</v>
      </c>
      <c r="Q474" s="36" t="n">
        <v>45258</v>
      </c>
      <c r="R474" s="51" t="n">
        <v>2250000</v>
      </c>
      <c r="S474" s="51">
        <f>R474</f>
        <v>2250000</v>
      </c>
      <c r="T474" s="72">
        <f>S474-R474</f>
        <v>0</v>
      </c>
    </row>
    <row r="475" spans="1:20">
      <c r="A475" s="21" t="n">
        <v>472</v>
      </c>
      <c r="B475" s="109" t="s">
        <v>1266</v>
      </c>
      <c r="C475" s="164" t="s">
        <v>1267</v>
      </c>
      <c r="D475" s="38" t="n">
        <v>40544</v>
      </c>
      <c r="E475" s="21" t="s">
        <v>33</v>
      </c>
      <c r="F475" s="21" t="s">
        <v>1177</v>
      </c>
      <c r="G475" s="159" t="s">
        <v>1127</v>
      </c>
      <c r="H475" s="22" t="s">
        <v>1268</v>
      </c>
      <c r="I475" s="22" t="s">
        <v>28</v>
      </c>
      <c r="J475" s="22" t="s">
        <v>822</v>
      </c>
      <c r="K475" s="23" t="s">
        <v>1269</v>
      </c>
      <c r="L475" s="23" t="s">
        <v>92</v>
      </c>
      <c r="M475" s="24">
        <f aca="1">DATEDIF(D475,TODAY(),"Y")</f>
        <v>14</v>
      </c>
      <c r="N475" s="24">
        <f aca="1">DATEDIF(D475,TODAY(),"YM")</f>
        <v>9</v>
      </c>
      <c r="O475" s="24" t="str">
        <f aca="1">DATEDIF(D475,NOW(),"Y")&amp;" Tahun "&amp;DATEDIF(D475,NOW(),"YM")&amp;" Bulan "&amp;DATEDIF(D475,NOW(),"MD")&amp;" Hari "</f>
        <v>14 Tahun 9 Bulan 6 Hari </v>
      </c>
      <c r="P475" s="41">
        <f>D475</f>
        <v>40544</v>
      </c>
      <c r="Q475" s="36" t="n">
        <v>45258</v>
      </c>
      <c r="R475" s="51" t="n">
        <v>2375000</v>
      </c>
      <c r="S475" s="51">
        <f>R475</f>
        <v>2375000</v>
      </c>
      <c r="T475" s="72">
        <f>S475-R475</f>
        <v>0</v>
      </c>
    </row>
    <row r="476" spans="1:20">
      <c r="A476" s="21" t="n">
        <v>473</v>
      </c>
      <c r="B476" s="109" t="s">
        <v>1270</v>
      </c>
      <c r="C476" s="164" t="s">
        <v>1271</v>
      </c>
      <c r="D476" s="38" t="n">
        <v>40544</v>
      </c>
      <c r="E476" s="21" t="s">
        <v>33</v>
      </c>
      <c r="F476" s="21" t="s">
        <v>1177</v>
      </c>
      <c r="G476" s="159" t="s">
        <v>1127</v>
      </c>
      <c r="H476" s="23" t="s">
        <v>1265</v>
      </c>
      <c r="I476" s="22" t="s">
        <v>28</v>
      </c>
      <c r="J476" s="22" t="s">
        <v>822</v>
      </c>
      <c r="K476" s="23" t="s">
        <v>1272</v>
      </c>
      <c r="L476" s="23" t="s">
        <v>103</v>
      </c>
      <c r="M476" s="24">
        <f aca="1">DATEDIF(D476,TODAY(),"Y")</f>
        <v>14</v>
      </c>
      <c r="N476" s="24">
        <f aca="1">DATEDIF(D476,TODAY(),"YM")</f>
        <v>9</v>
      </c>
      <c r="O476" s="24" t="str">
        <f aca="1">DATEDIF(D476,NOW(),"Y")&amp;" Tahun "&amp;DATEDIF(D476,NOW(),"YM")&amp;" Bulan "&amp;DATEDIF(D476,NOW(),"MD")&amp;" Hari "</f>
        <v>14 Tahun 9 Bulan 6 Hari </v>
      </c>
      <c r="P476" s="41">
        <f>D476</f>
        <v>40544</v>
      </c>
      <c r="Q476" s="36" t="n">
        <v>45258</v>
      </c>
      <c r="R476" s="51" t="n">
        <v>2250000</v>
      </c>
      <c r="S476" s="51">
        <f>R476</f>
        <v>2250000</v>
      </c>
      <c r="T476" s="72">
        <f>S476-R476</f>
        <v>0</v>
      </c>
    </row>
    <row r="477" spans="1:20">
      <c r="A477" s="21" t="n">
        <v>474</v>
      </c>
      <c r="B477" s="109" t="s">
        <v>1273</v>
      </c>
      <c r="C477" s="164" t="s">
        <v>1274</v>
      </c>
      <c r="D477" s="38" t="n">
        <v>40544</v>
      </c>
      <c r="E477" s="21" t="s">
        <v>33</v>
      </c>
      <c r="F477" s="21" t="s">
        <v>1177</v>
      </c>
      <c r="G477" s="159" t="s">
        <v>1127</v>
      </c>
      <c r="H477" s="22" t="s">
        <v>818</v>
      </c>
      <c r="I477" s="22" t="s">
        <v>28</v>
      </c>
      <c r="J477" s="22" t="s">
        <v>673</v>
      </c>
      <c r="K477" s="23" t="s">
        <v>1180</v>
      </c>
      <c r="L477" s="23" t="s">
        <v>268</v>
      </c>
      <c r="M477" s="24">
        <f aca="1">DATEDIF(D477,TODAY(),"Y")</f>
        <v>14</v>
      </c>
      <c r="N477" s="24">
        <f aca="1">DATEDIF(D477,TODAY(),"YM")</f>
        <v>9</v>
      </c>
      <c r="O477" s="24" t="str">
        <f aca="1">DATEDIF(D477,NOW(),"Y")&amp;" Tahun "&amp;DATEDIF(D477,NOW(),"YM")&amp;" Bulan "&amp;DATEDIF(D477,NOW(),"MD")&amp;" Hari "</f>
        <v>14 Tahun 9 Bulan 6 Hari </v>
      </c>
      <c r="P477" s="41">
        <f>D477</f>
        <v>40544</v>
      </c>
      <c r="Q477" s="36" t="n">
        <v>45258</v>
      </c>
      <c r="R477" s="51" t="n">
        <v>2375000</v>
      </c>
      <c r="S477" s="51">
        <f>R477</f>
        <v>2375000</v>
      </c>
      <c r="T477" s="72">
        <f>S477-R477</f>
        <v>0</v>
      </c>
    </row>
    <row r="478" spans="1:20">
      <c r="A478" s="21" t="n">
        <v>475</v>
      </c>
      <c r="B478" s="109" t="s">
        <v>1275</v>
      </c>
      <c r="C478" s="164" t="s">
        <v>1276</v>
      </c>
      <c r="D478" s="38" t="n">
        <v>40544</v>
      </c>
      <c r="E478" s="21" t="s">
        <v>24</v>
      </c>
      <c r="F478" s="21" t="s">
        <v>1177</v>
      </c>
      <c r="G478" s="159" t="s">
        <v>1127</v>
      </c>
      <c r="H478" s="22" t="s">
        <v>818</v>
      </c>
      <c r="I478" s="22" t="s">
        <v>28</v>
      </c>
      <c r="J478" s="22" t="s">
        <v>673</v>
      </c>
      <c r="K478" s="23" t="s">
        <v>1194</v>
      </c>
      <c r="L478" s="23" t="s">
        <v>103</v>
      </c>
      <c r="M478" s="24">
        <f aca="1">DATEDIF(D478,TODAY(),"Y")</f>
        <v>14</v>
      </c>
      <c r="N478" s="24">
        <f aca="1">DATEDIF(D478,TODAY(),"YM")</f>
        <v>9</v>
      </c>
      <c r="O478" s="24" t="str">
        <f aca="1">DATEDIF(D478,NOW(),"Y")&amp;" Tahun "&amp;DATEDIF(D478,NOW(),"YM")&amp;" Bulan "&amp;DATEDIF(D478,NOW(),"MD")&amp;" Hari "</f>
        <v>14 Tahun 9 Bulan 6 Hari </v>
      </c>
      <c r="P478" s="41">
        <f>D478</f>
        <v>40544</v>
      </c>
      <c r="Q478" s="36" t="n">
        <v>45258</v>
      </c>
      <c r="R478" s="51" t="n">
        <v>2375000</v>
      </c>
      <c r="S478" s="51">
        <f>R478</f>
        <v>2375000</v>
      </c>
      <c r="T478" s="72">
        <f>S478-R478</f>
        <v>0</v>
      </c>
    </row>
    <row r="479" spans="1:20">
      <c r="A479" s="21" t="n">
        <v>476</v>
      </c>
      <c r="B479" s="110" t="s">
        <v>1277</v>
      </c>
      <c r="C479" s="166" t="s">
        <v>1278</v>
      </c>
      <c r="D479" s="38" t="n">
        <v>41275</v>
      </c>
      <c r="E479" s="21" t="s">
        <v>33</v>
      </c>
      <c r="F479" s="21" t="s">
        <v>1177</v>
      </c>
      <c r="G479" s="159" t="s">
        <v>1127</v>
      </c>
      <c r="H479" s="46" t="s">
        <v>1279</v>
      </c>
      <c r="I479" s="27" t="s">
        <v>96</v>
      </c>
      <c r="J479" s="23" t="s">
        <v>1185</v>
      </c>
      <c r="K479" s="23" t="s">
        <v>161</v>
      </c>
      <c r="L479" s="23" t="s">
        <v>68</v>
      </c>
      <c r="M479" s="24">
        <f aca="1">DATEDIF(D479,TODAY(),"Y")</f>
        <v>12</v>
      </c>
      <c r="N479" s="24">
        <f aca="1">DATEDIF(D479,TODAY(),"YM")</f>
        <v>9</v>
      </c>
      <c r="O479" s="24" t="str">
        <f aca="1">DATEDIF(D479,NOW(),"Y")&amp;" Tahun "&amp;DATEDIF(D479,NOW(),"YM")&amp;" Bulan "&amp;DATEDIF(D479,NOW(),"MD")&amp;" Hari "</f>
        <v>12 Tahun 9 Bulan 6 Hari </v>
      </c>
      <c r="P479" s="41">
        <f>D479</f>
        <v>41275</v>
      </c>
      <c r="Q479" s="36" t="n">
        <v>45258</v>
      </c>
      <c r="R479" s="51" t="n">
        <v>2450000</v>
      </c>
      <c r="S479" s="51">
        <f>R479</f>
        <v>2450000</v>
      </c>
      <c r="T479" s="72">
        <f>S479-R479</f>
        <v>0</v>
      </c>
    </row>
    <row r="480" spans="1:20">
      <c r="A480" s="21" t="n">
        <v>477</v>
      </c>
      <c r="B480" s="109" t="s">
        <v>1280</v>
      </c>
      <c r="C480" s="164" t="s">
        <v>1281</v>
      </c>
      <c r="D480" s="38" t="n">
        <v>40179</v>
      </c>
      <c r="E480" s="21" t="s">
        <v>24</v>
      </c>
      <c r="F480" s="21" t="s">
        <v>1177</v>
      </c>
      <c r="G480" s="159" t="s">
        <v>1127</v>
      </c>
      <c r="H480" s="22" t="s">
        <v>818</v>
      </c>
      <c r="I480" s="22" t="s">
        <v>28</v>
      </c>
      <c r="J480" s="22" t="s">
        <v>673</v>
      </c>
      <c r="K480" s="23" t="s">
        <v>1194</v>
      </c>
      <c r="L480" s="23" t="s">
        <v>1282</v>
      </c>
      <c r="M480" s="24">
        <f aca="1">DATEDIF(D480,TODAY(),"Y")</f>
        <v>15</v>
      </c>
      <c r="N480" s="24">
        <f aca="1">DATEDIF(D480,TODAY(),"YM")</f>
        <v>9</v>
      </c>
      <c r="O480" s="24" t="str">
        <f aca="1">DATEDIF(D480,NOW(),"Y")&amp;" Tahun "&amp;DATEDIF(D480,NOW(),"YM")&amp;" Bulan "&amp;DATEDIF(D480,NOW(),"MD")&amp;" Hari "</f>
        <v>15 Tahun 9 Bulan 6 Hari </v>
      </c>
      <c r="P480" s="41">
        <f>D480</f>
        <v>40179</v>
      </c>
      <c r="Q480" s="36" t="n">
        <v>45258</v>
      </c>
      <c r="R480" s="51" t="n">
        <v>2375000</v>
      </c>
      <c r="S480" s="51">
        <f>R480</f>
        <v>2375000</v>
      </c>
      <c r="T480" s="72">
        <f>S480-R480</f>
        <v>0</v>
      </c>
    </row>
    <row r="481" spans="1:20">
      <c r="A481" s="21" t="n">
        <v>478</v>
      </c>
      <c r="B481" s="116" t="s">
        <v>1283</v>
      </c>
      <c r="C481" s="167" t="s">
        <v>1284</v>
      </c>
      <c r="D481" s="38" t="n">
        <v>41275</v>
      </c>
      <c r="E481" s="21" t="s">
        <v>33</v>
      </c>
      <c r="F481" s="21" t="s">
        <v>1177</v>
      </c>
      <c r="G481" s="159" t="s">
        <v>1127</v>
      </c>
      <c r="H481" s="22" t="s">
        <v>818</v>
      </c>
      <c r="I481" s="22" t="s">
        <v>28</v>
      </c>
      <c r="J481" s="22" t="s">
        <v>673</v>
      </c>
      <c r="K481" s="23" t="s">
        <v>1194</v>
      </c>
      <c r="L481" s="23" t="s">
        <v>480</v>
      </c>
      <c r="M481" s="24">
        <f aca="1">DATEDIF(D481,TODAY(),"Y")</f>
        <v>12</v>
      </c>
      <c r="N481" s="24">
        <f aca="1">DATEDIF(D481,TODAY(),"YM")</f>
        <v>9</v>
      </c>
      <c r="O481" s="24" t="str">
        <f aca="1">DATEDIF(D481,NOW(),"Y")&amp;" Tahun "&amp;DATEDIF(D481,NOW(),"YM")&amp;" Bulan "&amp;DATEDIF(D481,NOW(),"MD")&amp;" Hari "</f>
        <v>12 Tahun 9 Bulan 6 Hari </v>
      </c>
      <c r="P481" s="41">
        <f>D481</f>
        <v>41275</v>
      </c>
      <c r="Q481" s="36" t="n">
        <v>45258</v>
      </c>
      <c r="R481" s="51" t="n">
        <v>2325000</v>
      </c>
      <c r="S481" s="51">
        <f>R481</f>
        <v>2325000</v>
      </c>
      <c r="T481" s="72">
        <f>S481-R481</f>
        <v>0</v>
      </c>
    </row>
    <row r="482" spans="1:20">
      <c r="A482" s="21" t="n">
        <v>479</v>
      </c>
      <c r="B482" s="116" t="s">
        <v>1285</v>
      </c>
      <c r="C482" s="167" t="s">
        <v>1286</v>
      </c>
      <c r="D482" s="38" t="n">
        <v>41275</v>
      </c>
      <c r="E482" s="21" t="s">
        <v>33</v>
      </c>
      <c r="F482" s="21" t="s">
        <v>1177</v>
      </c>
      <c r="G482" s="159" t="s">
        <v>1127</v>
      </c>
      <c r="H482" s="23" t="s">
        <v>1243</v>
      </c>
      <c r="I482" s="22" t="s">
        <v>28</v>
      </c>
      <c r="J482" s="22" t="s">
        <v>822</v>
      </c>
      <c r="K482" s="23" t="s">
        <v>1215</v>
      </c>
      <c r="L482" s="23" t="s">
        <v>1287</v>
      </c>
      <c r="M482" s="24">
        <f aca="1">DATEDIF(D482,TODAY(),"Y")</f>
        <v>12</v>
      </c>
      <c r="N482" s="24">
        <f aca="1">DATEDIF(D482,TODAY(),"YM")</f>
        <v>9</v>
      </c>
      <c r="O482" s="24" t="str">
        <f aca="1">DATEDIF(D482,NOW(),"Y")&amp;" Tahun "&amp;DATEDIF(D482,NOW(),"YM")&amp;" Bulan "&amp;DATEDIF(D482,NOW(),"MD")&amp;" Hari "</f>
        <v>12 Tahun 9 Bulan 6 Hari </v>
      </c>
      <c r="P482" s="41">
        <f>D482</f>
        <v>41275</v>
      </c>
      <c r="Q482" s="36" t="n">
        <v>45258</v>
      </c>
      <c r="R482" s="51" t="n">
        <v>2200000</v>
      </c>
      <c r="S482" s="51">
        <f>R482</f>
        <v>2200000</v>
      </c>
      <c r="T482" s="72">
        <f>S482-R482</f>
        <v>0</v>
      </c>
    </row>
    <row r="483" spans="1:20">
      <c r="A483" s="21" t="n">
        <v>480</v>
      </c>
      <c r="B483" s="116" t="s">
        <v>1288</v>
      </c>
      <c r="C483" s="167" t="s">
        <v>1289</v>
      </c>
      <c r="D483" s="38" t="n">
        <v>41275</v>
      </c>
      <c r="E483" s="21" t="s">
        <v>24</v>
      </c>
      <c r="F483" s="21" t="s">
        <v>1177</v>
      </c>
      <c r="G483" s="159" t="s">
        <v>1127</v>
      </c>
      <c r="H483" s="22" t="s">
        <v>818</v>
      </c>
      <c r="I483" s="22" t="s">
        <v>28</v>
      </c>
      <c r="J483" s="25" t="s">
        <v>262</v>
      </c>
      <c r="K483" s="23" t="s">
        <v>1210</v>
      </c>
      <c r="L483" s="23" t="s">
        <v>480</v>
      </c>
      <c r="M483" s="24">
        <f aca="1">DATEDIF(D483,TODAY(),"Y")</f>
        <v>12</v>
      </c>
      <c r="N483" s="24">
        <f aca="1">DATEDIF(D483,TODAY(),"YM")</f>
        <v>9</v>
      </c>
      <c r="O483" s="24" t="str">
        <f aca="1">DATEDIF(D483,NOW(),"Y")&amp;" Tahun "&amp;DATEDIF(D483,NOW(),"YM")&amp;" Bulan "&amp;DATEDIF(D483,NOW(),"MD")&amp;" Hari "</f>
        <v>12 Tahun 9 Bulan 6 Hari </v>
      </c>
      <c r="P483" s="41">
        <f>D483</f>
        <v>41275</v>
      </c>
      <c r="Q483" s="36" t="n">
        <v>45258</v>
      </c>
      <c r="R483" s="51" t="n">
        <v>2450000</v>
      </c>
      <c r="S483" s="51">
        <f>R483</f>
        <v>2450000</v>
      </c>
      <c r="T483" s="72">
        <f>S483-R483</f>
        <v>0</v>
      </c>
    </row>
    <row r="484" spans="1:20">
      <c r="A484" s="21" t="n">
        <v>481</v>
      </c>
      <c r="B484" s="116" t="s">
        <v>1290</v>
      </c>
      <c r="C484" s="167" t="s">
        <v>1291</v>
      </c>
      <c r="D484" s="38" t="n">
        <v>41275</v>
      </c>
      <c r="E484" s="21" t="s">
        <v>33</v>
      </c>
      <c r="F484" s="21" t="s">
        <v>1177</v>
      </c>
      <c r="G484" s="159" t="s">
        <v>1127</v>
      </c>
      <c r="H484" s="22" t="s">
        <v>818</v>
      </c>
      <c r="I484" s="22" t="s">
        <v>28</v>
      </c>
      <c r="J484" s="25" t="s">
        <v>262</v>
      </c>
      <c r="K484" s="23" t="s">
        <v>1292</v>
      </c>
      <c r="L484" s="23" t="s">
        <v>458</v>
      </c>
      <c r="M484" s="24">
        <f aca="1">DATEDIF(D484,TODAY(),"Y")</f>
        <v>12</v>
      </c>
      <c r="N484" s="24">
        <f aca="1">DATEDIF(D484,TODAY(),"YM")</f>
        <v>9</v>
      </c>
      <c r="O484" s="24" t="str">
        <f aca="1">DATEDIF(D484,NOW(),"Y")&amp;" Tahun "&amp;DATEDIF(D484,NOW(),"YM")&amp;" Bulan "&amp;DATEDIF(D484,NOW(),"MD")&amp;" Hari "</f>
        <v>12 Tahun 9 Bulan 6 Hari </v>
      </c>
      <c r="P484" s="41">
        <f>D484</f>
        <v>41275</v>
      </c>
      <c r="Q484" s="36" t="n">
        <v>45258</v>
      </c>
      <c r="R484" s="51" t="n">
        <v>2450000</v>
      </c>
      <c r="S484" s="51">
        <f>R484</f>
        <v>2450000</v>
      </c>
      <c r="T484" s="72">
        <f>S484-R484</f>
        <v>0</v>
      </c>
    </row>
    <row r="485" spans="1:20">
      <c r="A485" s="21" t="n">
        <v>482</v>
      </c>
      <c r="B485" s="116" t="s">
        <v>1293</v>
      </c>
      <c r="C485" s="167" t="s">
        <v>1294</v>
      </c>
      <c r="D485" s="38" t="n">
        <v>41275</v>
      </c>
      <c r="E485" s="21" t="s">
        <v>24</v>
      </c>
      <c r="F485" s="21" t="s">
        <v>1177</v>
      </c>
      <c r="G485" s="159" t="s">
        <v>1127</v>
      </c>
      <c r="H485" s="22" t="s">
        <v>818</v>
      </c>
      <c r="I485" s="22" t="s">
        <v>28</v>
      </c>
      <c r="J485" s="22" t="s">
        <v>347</v>
      </c>
      <c r="K485" s="23" t="s">
        <v>1295</v>
      </c>
      <c r="L485" s="23" t="s">
        <v>325</v>
      </c>
      <c r="M485" s="24">
        <f aca="1">DATEDIF(D485,TODAY(),"Y")</f>
        <v>12</v>
      </c>
      <c r="N485" s="24">
        <f aca="1">DATEDIF(D485,TODAY(),"YM")</f>
        <v>9</v>
      </c>
      <c r="O485" s="24" t="str">
        <f aca="1">DATEDIF(D485,NOW(),"Y")&amp;" Tahun "&amp;DATEDIF(D485,NOW(),"YM")&amp;" Bulan "&amp;DATEDIF(D485,NOW(),"MD")&amp;" Hari "</f>
        <v>12 Tahun 9 Bulan 6 Hari </v>
      </c>
      <c r="P485" s="41">
        <f>D485</f>
        <v>41275</v>
      </c>
      <c r="Q485" s="36" t="n">
        <v>45258</v>
      </c>
      <c r="R485" s="51" t="n">
        <v>2425000</v>
      </c>
      <c r="S485" s="51">
        <f>R485</f>
        <v>2425000</v>
      </c>
      <c r="T485" s="72">
        <f>S485-R485</f>
        <v>0</v>
      </c>
    </row>
    <row r="486" spans="1:20">
      <c r="A486" s="21" t="n">
        <v>483</v>
      </c>
      <c r="B486" s="116" t="s">
        <v>1296</v>
      </c>
      <c r="C486" s="167" t="s">
        <v>1297</v>
      </c>
      <c r="D486" s="38" t="n">
        <v>41275</v>
      </c>
      <c r="E486" s="21" t="s">
        <v>33</v>
      </c>
      <c r="F486" s="21" t="s">
        <v>1177</v>
      </c>
      <c r="G486" s="159" t="s">
        <v>1127</v>
      </c>
      <c r="H486" s="23" t="s">
        <v>1243</v>
      </c>
      <c r="I486" s="22" t="s">
        <v>28</v>
      </c>
      <c r="J486" s="22" t="s">
        <v>673</v>
      </c>
      <c r="K486" s="23" t="s">
        <v>1194</v>
      </c>
      <c r="L486" s="23" t="s">
        <v>1298</v>
      </c>
      <c r="M486" s="24">
        <f aca="1">DATEDIF(D486,TODAY(),"Y")</f>
        <v>12</v>
      </c>
      <c r="N486" s="24">
        <f aca="1">DATEDIF(D486,TODAY(),"YM")</f>
        <v>9</v>
      </c>
      <c r="O486" s="24" t="str">
        <f aca="1">DATEDIF(D486,NOW(),"Y")&amp;" Tahun "&amp;DATEDIF(D486,NOW(),"YM")&amp;" Bulan "&amp;DATEDIF(D486,NOW(),"MD")&amp;" Hari "</f>
        <v>12 Tahun 9 Bulan 6 Hari </v>
      </c>
      <c r="P486" s="41">
        <f>D486</f>
        <v>41275</v>
      </c>
      <c r="Q486" s="36" t="n">
        <v>45258</v>
      </c>
      <c r="R486" s="51" t="n">
        <v>2325000</v>
      </c>
      <c r="S486" s="51">
        <f>R486</f>
        <v>2325000</v>
      </c>
      <c r="T486" s="72">
        <f>S486-R486</f>
        <v>0</v>
      </c>
    </row>
    <row r="487" spans="1:20">
      <c r="A487" s="21" t="n">
        <v>484</v>
      </c>
      <c r="B487" s="116" t="s">
        <v>1299</v>
      </c>
      <c r="C487" s="167" t="s">
        <v>1300</v>
      </c>
      <c r="D487" s="38" t="n">
        <v>41275</v>
      </c>
      <c r="E487" s="21" t="s">
        <v>33</v>
      </c>
      <c r="F487" s="21" t="s">
        <v>1177</v>
      </c>
      <c r="G487" s="159" t="s">
        <v>1127</v>
      </c>
      <c r="H487" s="22" t="s">
        <v>818</v>
      </c>
      <c r="I487" s="22" t="s">
        <v>28</v>
      </c>
      <c r="J487" s="25" t="s">
        <v>262</v>
      </c>
      <c r="K487" s="23" t="s">
        <v>1257</v>
      </c>
      <c r="L487" s="23" t="s">
        <v>122</v>
      </c>
      <c r="M487" s="24">
        <f aca="1">DATEDIF(D487,TODAY(),"Y")</f>
        <v>12</v>
      </c>
      <c r="N487" s="24">
        <f aca="1">DATEDIF(D487,TODAY(),"YM")</f>
        <v>9</v>
      </c>
      <c r="O487" s="24" t="str">
        <f aca="1">DATEDIF(D487,NOW(),"Y")&amp;" Tahun "&amp;DATEDIF(D487,NOW(),"YM")&amp;" Bulan "&amp;DATEDIF(D487,NOW(),"MD")&amp;" Hari "</f>
        <v>12 Tahun 9 Bulan 6 Hari </v>
      </c>
      <c r="P487" s="41">
        <f>D487</f>
        <v>41275</v>
      </c>
      <c r="Q487" s="36" t="n">
        <v>45258</v>
      </c>
      <c r="R487" s="51" t="n">
        <v>2450000</v>
      </c>
      <c r="S487" s="51">
        <f>R487</f>
        <v>2450000</v>
      </c>
      <c r="T487" s="72">
        <f>S487-R487</f>
        <v>0</v>
      </c>
    </row>
    <row r="488" spans="1:20">
      <c r="A488" s="21" t="n">
        <v>485</v>
      </c>
      <c r="B488" s="116" t="s">
        <v>1301</v>
      </c>
      <c r="C488" s="167" t="s">
        <v>1302</v>
      </c>
      <c r="D488" s="38" t="n">
        <v>41275</v>
      </c>
      <c r="E488" s="21" t="s">
        <v>33</v>
      </c>
      <c r="F488" s="21" t="s">
        <v>1177</v>
      </c>
      <c r="G488" s="159" t="s">
        <v>1127</v>
      </c>
      <c r="H488" s="22" t="s">
        <v>818</v>
      </c>
      <c r="I488" s="22" t="s">
        <v>28</v>
      </c>
      <c r="J488" s="22" t="s">
        <v>673</v>
      </c>
      <c r="K488" s="23" t="s">
        <v>1194</v>
      </c>
      <c r="L488" s="23" t="s">
        <v>128</v>
      </c>
      <c r="M488" s="24">
        <f aca="1">DATEDIF(D488,TODAY(),"Y")</f>
        <v>12</v>
      </c>
      <c r="N488" s="24">
        <f aca="1">DATEDIF(D488,TODAY(),"YM")</f>
        <v>9</v>
      </c>
      <c r="O488" s="24" t="str">
        <f aca="1">DATEDIF(D488,NOW(),"Y")&amp;" Tahun "&amp;DATEDIF(D488,NOW(),"YM")&amp;" Bulan "&amp;DATEDIF(D488,NOW(),"MD")&amp;" Hari "</f>
        <v>12 Tahun 9 Bulan 6 Hari </v>
      </c>
      <c r="P488" s="41">
        <f>D488</f>
        <v>41275</v>
      </c>
      <c r="Q488" s="36" t="n">
        <v>45258</v>
      </c>
      <c r="R488" s="51" t="n">
        <v>2325000</v>
      </c>
      <c r="S488" s="51">
        <f>R488</f>
        <v>2325000</v>
      </c>
      <c r="T488" s="72">
        <f>S488-R488</f>
        <v>0</v>
      </c>
    </row>
    <row r="489" spans="1:20">
      <c r="A489" s="21" t="n">
        <v>486</v>
      </c>
      <c r="B489" s="116" t="s">
        <v>1303</v>
      </c>
      <c r="C489" s="167" t="s">
        <v>1304</v>
      </c>
      <c r="D489" s="38" t="n">
        <v>41275</v>
      </c>
      <c r="E489" s="21" t="s">
        <v>33</v>
      </c>
      <c r="F489" s="21" t="s">
        <v>1177</v>
      </c>
      <c r="G489" s="159" t="s">
        <v>1127</v>
      </c>
      <c r="H489" s="22" t="s">
        <v>818</v>
      </c>
      <c r="I489" s="22" t="s">
        <v>28</v>
      </c>
      <c r="J489" s="25" t="s">
        <v>262</v>
      </c>
      <c r="K489" s="23" t="s">
        <v>1305</v>
      </c>
      <c r="L489" s="23" t="s">
        <v>331</v>
      </c>
      <c r="M489" s="24">
        <f aca="1">DATEDIF(D489,TODAY(),"Y")</f>
        <v>12</v>
      </c>
      <c r="N489" s="24">
        <f aca="1">DATEDIF(D489,TODAY(),"YM")</f>
        <v>9</v>
      </c>
      <c r="O489" s="24" t="str">
        <f aca="1">DATEDIF(D489,NOW(),"Y")&amp;" Tahun "&amp;DATEDIF(D489,NOW(),"YM")&amp;" Bulan "&amp;DATEDIF(D489,NOW(),"MD")&amp;" Hari "</f>
        <v>12 Tahun 9 Bulan 6 Hari </v>
      </c>
      <c r="P489" s="41">
        <f>D489</f>
        <v>41275</v>
      </c>
      <c r="Q489" s="36" t="n">
        <v>45258</v>
      </c>
      <c r="R489" s="51" t="n">
        <v>2450000</v>
      </c>
      <c r="S489" s="51">
        <f>R489</f>
        <v>2450000</v>
      </c>
      <c r="T489" s="72">
        <f>S489-R489</f>
        <v>0</v>
      </c>
    </row>
    <row r="490" spans="1:20">
      <c r="A490" s="21" t="n">
        <v>487</v>
      </c>
      <c r="B490" s="117" t="s">
        <v>1306</v>
      </c>
      <c r="C490" s="168" t="s">
        <v>1307</v>
      </c>
      <c r="D490" s="38" t="n">
        <v>41275</v>
      </c>
      <c r="E490" s="21" t="s">
        <v>33</v>
      </c>
      <c r="F490" s="21" t="s">
        <v>1177</v>
      </c>
      <c r="G490" s="159" t="s">
        <v>1127</v>
      </c>
      <c r="H490" s="23" t="s">
        <v>1243</v>
      </c>
      <c r="I490" s="22" t="s">
        <v>28</v>
      </c>
      <c r="J490" s="22" t="s">
        <v>822</v>
      </c>
      <c r="K490" s="23" t="s">
        <v>1215</v>
      </c>
      <c r="L490" s="23" t="s">
        <v>1244</v>
      </c>
      <c r="M490" s="24">
        <f aca="1">DATEDIF(D490,TODAY(),"Y")</f>
        <v>12</v>
      </c>
      <c r="N490" s="24">
        <f aca="1">DATEDIF(D490,TODAY(),"YM")</f>
        <v>9</v>
      </c>
      <c r="O490" s="24" t="str">
        <f aca="1">DATEDIF(D490,NOW(),"Y")&amp;" Tahun "&amp;DATEDIF(D490,NOW(),"YM")&amp;" Bulan "&amp;DATEDIF(D490,NOW(),"MD")&amp;" Hari "</f>
        <v>12 Tahun 9 Bulan 6 Hari </v>
      </c>
      <c r="P490" s="41">
        <f>D490</f>
        <v>41275</v>
      </c>
      <c r="Q490" s="36" t="n">
        <v>45258</v>
      </c>
      <c r="R490" s="51" t="n">
        <v>2200000</v>
      </c>
      <c r="S490" s="51">
        <f>R490</f>
        <v>2200000</v>
      </c>
      <c r="T490" s="72">
        <f>S490-R490</f>
        <v>0</v>
      </c>
    </row>
    <row r="491" spans="1:20">
      <c r="A491" s="21" t="n">
        <v>488</v>
      </c>
      <c r="B491" s="117" t="s">
        <v>1308</v>
      </c>
      <c r="C491" s="168" t="s">
        <v>1309</v>
      </c>
      <c r="D491" s="38" t="n">
        <v>41275</v>
      </c>
      <c r="E491" s="21" t="s">
        <v>24</v>
      </c>
      <c r="F491" s="21" t="s">
        <v>1177</v>
      </c>
      <c r="G491" s="159" t="s">
        <v>1127</v>
      </c>
      <c r="H491" s="22" t="s">
        <v>818</v>
      </c>
      <c r="I491" s="22" t="s">
        <v>28</v>
      </c>
      <c r="J491" s="25" t="s">
        <v>262</v>
      </c>
      <c r="K491" s="23" t="s">
        <v>1305</v>
      </c>
      <c r="L491" s="23" t="s">
        <v>523</v>
      </c>
      <c r="M491" s="24">
        <f aca="1">DATEDIF(D491,TODAY(),"Y")</f>
        <v>12</v>
      </c>
      <c r="N491" s="24">
        <f aca="1">DATEDIF(D491,TODAY(),"YM")</f>
        <v>9</v>
      </c>
      <c r="O491" s="24" t="str">
        <f aca="1">DATEDIF(D491,NOW(),"Y")&amp;" Tahun "&amp;DATEDIF(D491,NOW(),"YM")&amp;" Bulan "&amp;DATEDIF(D491,NOW(),"MD")&amp;" Hari "</f>
        <v>12 Tahun 9 Bulan 6 Hari </v>
      </c>
      <c r="P491" s="41">
        <f>D491</f>
        <v>41275</v>
      </c>
      <c r="Q491" s="36" t="n">
        <v>45258</v>
      </c>
      <c r="R491" s="51" t="n">
        <v>2450000</v>
      </c>
      <c r="S491" s="51">
        <f>R491</f>
        <v>2450000</v>
      </c>
      <c r="T491" s="72">
        <f>S491-R491</f>
        <v>0</v>
      </c>
    </row>
    <row r="492" spans="1:20">
      <c r="A492" s="21" t="n">
        <v>489</v>
      </c>
      <c r="B492" s="117" t="s">
        <v>1310</v>
      </c>
      <c r="C492" s="168" t="s">
        <v>1311</v>
      </c>
      <c r="D492" s="38" t="n">
        <v>41275</v>
      </c>
      <c r="E492" s="21" t="s">
        <v>24</v>
      </c>
      <c r="F492" s="21" t="s">
        <v>1177</v>
      </c>
      <c r="G492" s="159" t="s">
        <v>1127</v>
      </c>
      <c r="H492" s="23" t="s">
        <v>499</v>
      </c>
      <c r="I492" s="22" t="s">
        <v>28</v>
      </c>
      <c r="J492" s="22" t="s">
        <v>673</v>
      </c>
      <c r="K492" s="23" t="s">
        <v>1180</v>
      </c>
      <c r="L492" s="23" t="s">
        <v>92</v>
      </c>
      <c r="M492" s="24">
        <f aca="1">DATEDIF(D492,TODAY(),"Y")</f>
        <v>12</v>
      </c>
      <c r="N492" s="24">
        <f aca="1">DATEDIF(D492,TODAY(),"YM")</f>
        <v>9</v>
      </c>
      <c r="O492" s="24" t="str">
        <f aca="1">DATEDIF(D492,NOW(),"Y")&amp;" Tahun "&amp;DATEDIF(D492,NOW(),"YM")&amp;" Bulan "&amp;DATEDIF(D492,NOW(),"MD")&amp;" Hari "</f>
        <v>12 Tahun 9 Bulan 6 Hari </v>
      </c>
      <c r="P492" s="41">
        <f>D492</f>
        <v>41275</v>
      </c>
      <c r="Q492" s="36" t="n">
        <v>45258</v>
      </c>
      <c r="R492" s="51" t="n">
        <v>2325000</v>
      </c>
      <c r="S492" s="51">
        <f>R492</f>
        <v>2325000</v>
      </c>
      <c r="T492" s="72">
        <f>S492-R492</f>
        <v>0</v>
      </c>
    </row>
    <row r="493" spans="1:20">
      <c r="A493" s="21" t="n">
        <v>490</v>
      </c>
      <c r="B493" s="117" t="s">
        <v>1312</v>
      </c>
      <c r="C493" s="168" t="s">
        <v>1313</v>
      </c>
      <c r="D493" s="38" t="n">
        <v>41275</v>
      </c>
      <c r="E493" s="21" t="s">
        <v>24</v>
      </c>
      <c r="F493" s="21" t="s">
        <v>1177</v>
      </c>
      <c r="G493" s="159" t="s">
        <v>1127</v>
      </c>
      <c r="H493" s="23" t="s">
        <v>499</v>
      </c>
      <c r="I493" s="22" t="s">
        <v>28</v>
      </c>
      <c r="J493" s="22" t="s">
        <v>673</v>
      </c>
      <c r="K493" s="23" t="s">
        <v>1180</v>
      </c>
      <c r="L493" s="23" t="s">
        <v>92</v>
      </c>
      <c r="M493" s="24">
        <f aca="1">DATEDIF(D493,TODAY(),"Y")</f>
        <v>12</v>
      </c>
      <c r="N493" s="24">
        <f aca="1">DATEDIF(D493,TODAY(),"YM")</f>
        <v>9</v>
      </c>
      <c r="O493" s="24" t="str">
        <f aca="1">DATEDIF(D493,NOW(),"Y")&amp;" Tahun "&amp;DATEDIF(D493,NOW(),"YM")&amp;" Bulan "&amp;DATEDIF(D493,NOW(),"MD")&amp;" Hari "</f>
        <v>12 Tahun 9 Bulan 6 Hari </v>
      </c>
      <c r="P493" s="41">
        <f>D493</f>
        <v>41275</v>
      </c>
      <c r="Q493" s="36" t="n">
        <v>45258</v>
      </c>
      <c r="R493" s="51" t="n">
        <v>2325000</v>
      </c>
      <c r="S493" s="51">
        <f>R493</f>
        <v>2325000</v>
      </c>
      <c r="T493" s="72">
        <f>S493-R493</f>
        <v>0</v>
      </c>
    </row>
    <row r="494" spans="1:20">
      <c r="A494" s="21" t="n">
        <v>491</v>
      </c>
      <c r="B494" s="117" t="s">
        <v>1314</v>
      </c>
      <c r="C494" s="168" t="s">
        <v>1315</v>
      </c>
      <c r="D494" s="38" t="n">
        <v>41275</v>
      </c>
      <c r="E494" s="21" t="s">
        <v>24</v>
      </c>
      <c r="F494" s="21" t="s">
        <v>1177</v>
      </c>
      <c r="G494" s="159" t="s">
        <v>1127</v>
      </c>
      <c r="H494" s="29" t="s">
        <v>499</v>
      </c>
      <c r="I494" s="49" t="s">
        <v>28</v>
      </c>
      <c r="J494" s="49" t="s">
        <v>673</v>
      </c>
      <c r="K494" s="29" t="s">
        <v>1218</v>
      </c>
      <c r="L494" s="29" t="s">
        <v>1316</v>
      </c>
      <c r="M494" s="24">
        <f aca="1">DATEDIF(D494,TODAY(),"Y")</f>
        <v>12</v>
      </c>
      <c r="N494" s="24">
        <f aca="1">DATEDIF(D494,TODAY(),"YM")</f>
        <v>9</v>
      </c>
      <c r="O494" s="24" t="str">
        <f aca="1">DATEDIF(D494,NOW(),"Y")&amp;" Tahun "&amp;DATEDIF(D494,NOW(),"YM")&amp;" Bulan "&amp;DATEDIF(D494,NOW(),"MD")&amp;" Hari "</f>
        <v>12 Tahun 9 Bulan 6 Hari </v>
      </c>
      <c r="P494" s="41">
        <f>D494</f>
        <v>41275</v>
      </c>
      <c r="Q494" s="36" t="n">
        <v>45258</v>
      </c>
      <c r="R494" s="51" t="n">
        <v>2325000</v>
      </c>
      <c r="S494" s="51">
        <f>R494</f>
        <v>2325000</v>
      </c>
      <c r="T494" s="72">
        <f>S494-R494</f>
        <v>0</v>
      </c>
    </row>
    <row r="495" spans="1:20">
      <c r="A495" s="21" t="n">
        <v>492</v>
      </c>
      <c r="B495" s="117" t="s">
        <v>1317</v>
      </c>
      <c r="C495" s="168" t="s">
        <v>1318</v>
      </c>
      <c r="D495" s="38" t="n">
        <v>41275</v>
      </c>
      <c r="E495" s="21" t="s">
        <v>24</v>
      </c>
      <c r="F495" s="21" t="s">
        <v>1177</v>
      </c>
      <c r="G495" s="159" t="s">
        <v>1127</v>
      </c>
      <c r="H495" s="23" t="s">
        <v>499</v>
      </c>
      <c r="I495" s="22" t="s">
        <v>28</v>
      </c>
      <c r="J495" s="22" t="s">
        <v>673</v>
      </c>
      <c r="K495" s="23" t="s">
        <v>1228</v>
      </c>
      <c r="L495" s="23" t="s">
        <v>92</v>
      </c>
      <c r="M495" s="24">
        <f aca="1">DATEDIF(D495,TODAY(),"Y")</f>
        <v>12</v>
      </c>
      <c r="N495" s="24">
        <f aca="1">DATEDIF(D495,TODAY(),"YM")</f>
        <v>9</v>
      </c>
      <c r="O495" s="24" t="str">
        <f aca="1">DATEDIF(D495,NOW(),"Y")&amp;" Tahun "&amp;DATEDIF(D495,NOW(),"YM")&amp;" Bulan "&amp;DATEDIF(D495,NOW(),"MD")&amp;" Hari "</f>
        <v>12 Tahun 9 Bulan 6 Hari </v>
      </c>
      <c r="P495" s="41">
        <f>D495</f>
        <v>41275</v>
      </c>
      <c r="Q495" s="36" t="n">
        <v>45258</v>
      </c>
      <c r="R495" s="51" t="n">
        <v>2200000</v>
      </c>
      <c r="S495" s="51">
        <f>R495</f>
        <v>2200000</v>
      </c>
      <c r="T495" s="72">
        <f>S495-R495</f>
        <v>0</v>
      </c>
    </row>
    <row r="496" spans="1:20">
      <c r="A496" s="21" t="n">
        <v>493</v>
      </c>
      <c r="B496" s="110" t="s">
        <v>1319</v>
      </c>
      <c r="C496" s="166" t="s">
        <v>1320</v>
      </c>
      <c r="D496" s="38" t="n">
        <v>41640</v>
      </c>
      <c r="E496" s="21" t="s">
        <v>33</v>
      </c>
      <c r="F496" s="21" t="s">
        <v>1177</v>
      </c>
      <c r="G496" s="159" t="s">
        <v>1127</v>
      </c>
      <c r="H496" s="46" t="s">
        <v>1279</v>
      </c>
      <c r="I496" s="27" t="s">
        <v>96</v>
      </c>
      <c r="J496" s="23" t="s">
        <v>1185</v>
      </c>
      <c r="K496" s="23" t="s">
        <v>161</v>
      </c>
      <c r="L496" s="23" t="s">
        <v>68</v>
      </c>
      <c r="M496" s="24">
        <f aca="1">DATEDIF(D496,TODAY(),"Y")</f>
        <v>11</v>
      </c>
      <c r="N496" s="24">
        <f aca="1">DATEDIF(D496,TODAY(),"YM")</f>
        <v>9</v>
      </c>
      <c r="O496" s="24" t="str">
        <f aca="1">DATEDIF(D496,NOW(),"Y")&amp;" Tahun "&amp;DATEDIF(D496,NOW(),"YM")&amp;" Bulan "&amp;DATEDIF(D496,NOW(),"MD")&amp;" Hari "</f>
        <v>11 Tahun 9 Bulan 6 Hari </v>
      </c>
      <c r="P496" s="41">
        <f>D496</f>
        <v>41640</v>
      </c>
      <c r="Q496" s="36" t="n">
        <v>45258</v>
      </c>
      <c r="R496" s="51" t="n">
        <v>2450000</v>
      </c>
      <c r="S496" s="51">
        <f>R496</f>
        <v>2450000</v>
      </c>
      <c r="T496" s="72">
        <f>S496-R496</f>
        <v>0</v>
      </c>
    </row>
    <row r="497" spans="1:20">
      <c r="A497" s="21" t="n">
        <v>494</v>
      </c>
      <c r="B497" s="117" t="s">
        <v>1321</v>
      </c>
      <c r="C497" s="168" t="s">
        <v>1322</v>
      </c>
      <c r="D497" s="38" t="n">
        <v>41640</v>
      </c>
      <c r="E497" s="21" t="s">
        <v>24</v>
      </c>
      <c r="F497" s="21" t="s">
        <v>1177</v>
      </c>
      <c r="G497" s="159" t="s">
        <v>1127</v>
      </c>
      <c r="H497" s="23" t="s">
        <v>499</v>
      </c>
      <c r="I497" s="22" t="s">
        <v>28</v>
      </c>
      <c r="J497" s="22" t="s">
        <v>673</v>
      </c>
      <c r="K497" s="23" t="s">
        <v>1194</v>
      </c>
      <c r="L497" s="23" t="s">
        <v>92</v>
      </c>
      <c r="M497" s="24">
        <f aca="1">DATEDIF(D497,TODAY(),"Y")</f>
        <v>11</v>
      </c>
      <c r="N497" s="24">
        <f aca="1">DATEDIF(D497,TODAY(),"YM")</f>
        <v>9</v>
      </c>
      <c r="O497" s="24" t="str">
        <f aca="1">DATEDIF(D497,NOW(),"Y")&amp;" Tahun "&amp;DATEDIF(D497,NOW(),"YM")&amp;" Bulan "&amp;DATEDIF(D497,NOW(),"MD")&amp;" Hari "</f>
        <v>11 Tahun 9 Bulan 6 Hari </v>
      </c>
      <c r="P497" s="41">
        <f>D497</f>
        <v>41640</v>
      </c>
      <c r="Q497" s="36" t="n">
        <v>45258</v>
      </c>
      <c r="R497" s="51" t="n">
        <v>2325000</v>
      </c>
      <c r="S497" s="51">
        <f>R497</f>
        <v>2325000</v>
      </c>
      <c r="T497" s="72">
        <f>S497-R497</f>
        <v>0</v>
      </c>
    </row>
    <row r="498" spans="1:20">
      <c r="A498" s="21" t="n">
        <v>495</v>
      </c>
      <c r="B498" s="117" t="s">
        <v>1323</v>
      </c>
      <c r="C498" s="168" t="s">
        <v>1324</v>
      </c>
      <c r="D498" s="38" t="n">
        <v>41640</v>
      </c>
      <c r="E498" s="21" t="s">
        <v>33</v>
      </c>
      <c r="F498" s="21" t="s">
        <v>1177</v>
      </c>
      <c r="G498" s="159" t="s">
        <v>1127</v>
      </c>
      <c r="H498" s="22" t="s">
        <v>818</v>
      </c>
      <c r="I498" s="22" t="s">
        <v>28</v>
      </c>
      <c r="J498" s="22" t="s">
        <v>347</v>
      </c>
      <c r="K498" s="23" t="s">
        <v>1325</v>
      </c>
      <c r="L498" s="23" t="s">
        <v>122</v>
      </c>
      <c r="M498" s="24">
        <f aca="1">DATEDIF(D498,TODAY(),"Y")</f>
        <v>11</v>
      </c>
      <c r="N498" s="24">
        <f aca="1">DATEDIF(D498,TODAY(),"YM")</f>
        <v>9</v>
      </c>
      <c r="O498" s="24" t="str">
        <f aca="1">DATEDIF(D498,NOW(),"Y")&amp;" Tahun "&amp;DATEDIF(D498,NOW(),"YM")&amp;" Bulan "&amp;DATEDIF(D498,NOW(),"MD")&amp;" Hari "</f>
        <v>11 Tahun 9 Bulan 6 Hari </v>
      </c>
      <c r="P498" s="41">
        <f>D498</f>
        <v>41640</v>
      </c>
      <c r="Q498" s="36" t="n">
        <v>45258</v>
      </c>
      <c r="R498" s="51" t="n">
        <v>2425000</v>
      </c>
      <c r="S498" s="51">
        <f>R498</f>
        <v>2425000</v>
      </c>
      <c r="T498" s="72">
        <f>S498-R498</f>
        <v>0</v>
      </c>
    </row>
    <row r="499" spans="1:20">
      <c r="A499" s="21" t="n">
        <v>496</v>
      </c>
      <c r="B499" s="116" t="s">
        <v>1326</v>
      </c>
      <c r="C499" s="167" t="s">
        <v>1327</v>
      </c>
      <c r="D499" s="38" t="n">
        <v>42005</v>
      </c>
      <c r="E499" s="21" t="s">
        <v>33</v>
      </c>
      <c r="F499" s="21" t="s">
        <v>1177</v>
      </c>
      <c r="G499" s="159" t="s">
        <v>1127</v>
      </c>
      <c r="H499" s="23" t="s">
        <v>1243</v>
      </c>
      <c r="I499" s="22" t="s">
        <v>28</v>
      </c>
      <c r="J499" s="22" t="s">
        <v>673</v>
      </c>
      <c r="K499" s="23" t="s">
        <v>1231</v>
      </c>
      <c r="L499" s="23" t="s">
        <v>1328</v>
      </c>
      <c r="M499" s="24">
        <f aca="1">DATEDIF(D499,TODAY(),"Y")</f>
        <v>10</v>
      </c>
      <c r="N499" s="24">
        <f aca="1">DATEDIF(D499,TODAY(),"YM")</f>
        <v>9</v>
      </c>
      <c r="O499" s="24" t="str">
        <f aca="1">DATEDIF(D499,NOW(),"Y")&amp;" Tahun "&amp;DATEDIF(D499,NOW(),"YM")&amp;" Bulan "&amp;DATEDIF(D499,NOW(),"MD")&amp;" Hari "</f>
        <v>10 Tahun 9 Bulan 6 Hari </v>
      </c>
      <c r="P499" s="41">
        <f>D499</f>
        <v>42005</v>
      </c>
      <c r="Q499" s="36" t="n">
        <v>45258</v>
      </c>
      <c r="R499" s="51" t="n">
        <v>2325000</v>
      </c>
      <c r="S499" s="51">
        <f>R499</f>
        <v>2325000</v>
      </c>
      <c r="T499" s="72">
        <f>S499-R499</f>
        <v>0</v>
      </c>
    </row>
    <row r="500" spans="1:20">
      <c r="A500" s="21" t="n">
        <v>497</v>
      </c>
      <c r="B500" s="106" t="s">
        <v>1329</v>
      </c>
      <c r="C500" s="169" t="s">
        <v>1330</v>
      </c>
      <c r="D500" s="38" t="n">
        <v>42278</v>
      </c>
      <c r="E500" s="21" t="s">
        <v>33</v>
      </c>
      <c r="F500" s="21" t="s">
        <v>1177</v>
      </c>
      <c r="G500" s="159" t="s">
        <v>1127</v>
      </c>
      <c r="H500" s="46" t="s">
        <v>1279</v>
      </c>
      <c r="I500" s="27" t="s">
        <v>96</v>
      </c>
      <c r="J500" s="23" t="s">
        <v>1185</v>
      </c>
      <c r="K500" s="23" t="s">
        <v>161</v>
      </c>
      <c r="L500" s="23" t="s">
        <v>222</v>
      </c>
      <c r="M500" s="24">
        <f aca="1">DATEDIF(D500,TODAY(),"Y")</f>
        <v>10</v>
      </c>
      <c r="N500" s="24">
        <f aca="1">DATEDIF(D500,TODAY(),"YM")</f>
        <v>0</v>
      </c>
      <c r="O500" s="24" t="str">
        <f aca="1">DATEDIF(D500,NOW(),"Y")&amp;" Tahun "&amp;DATEDIF(D500,NOW(),"YM")&amp;" Bulan "&amp;DATEDIF(D500,NOW(),"MD")&amp;" Hari "</f>
        <v>10 Tahun 0 Bulan 6 Hari </v>
      </c>
      <c r="P500" s="41">
        <f>D500</f>
        <v>42278</v>
      </c>
      <c r="Q500" s="36" t="n">
        <v>45258</v>
      </c>
      <c r="R500" s="51" t="n">
        <v>2400000</v>
      </c>
      <c r="S500" s="51" t="n">
        <v>2450000</v>
      </c>
      <c r="T500" s="72">
        <f>S500-R500</f>
        <v>50000</v>
      </c>
    </row>
    <row r="501" spans="1:20">
      <c r="A501" s="21" t="n">
        <v>498</v>
      </c>
      <c r="B501" s="111" t="s">
        <v>1331</v>
      </c>
      <c r="C501" s="170" t="s">
        <v>1332</v>
      </c>
      <c r="D501" s="38" t="n">
        <v>42370</v>
      </c>
      <c r="E501" s="21" t="s">
        <v>24</v>
      </c>
      <c r="F501" s="21" t="s">
        <v>1177</v>
      </c>
      <c r="G501" s="159" t="s">
        <v>1127</v>
      </c>
      <c r="H501" s="23" t="s">
        <v>1184</v>
      </c>
      <c r="I501" s="27" t="s">
        <v>96</v>
      </c>
      <c r="J501" s="23" t="s">
        <v>1185</v>
      </c>
      <c r="K501" s="28" t="s">
        <v>181</v>
      </c>
      <c r="L501" s="23" t="s">
        <v>222</v>
      </c>
      <c r="M501" s="24">
        <f aca="1">DATEDIF(D501,TODAY(),"Y")</f>
        <v>9</v>
      </c>
      <c r="N501" s="24">
        <f aca="1">DATEDIF(D501,TODAY(),"YM")</f>
        <v>9</v>
      </c>
      <c r="O501" s="24" t="str">
        <f aca="1">DATEDIF(D501,NOW(),"Y")&amp;" Tahun "&amp;DATEDIF(D501,NOW(),"YM")&amp;" Bulan "&amp;DATEDIF(D501,NOW(),"MD")&amp;" Hari "</f>
        <v>9 Tahun 9 Bulan 6 Hari </v>
      </c>
      <c r="P501" s="41">
        <f>D501</f>
        <v>42370</v>
      </c>
      <c r="Q501" s="36" t="n">
        <v>45258</v>
      </c>
      <c r="R501" s="51" t="n">
        <v>2375000</v>
      </c>
      <c r="S501" s="51" t="n">
        <v>2425000</v>
      </c>
      <c r="T501" s="72">
        <f>S501-R501</f>
        <v>50000</v>
      </c>
    </row>
    <row r="502" spans="1:20">
      <c r="A502" s="21" t="n">
        <v>499</v>
      </c>
      <c r="B502" s="111" t="s">
        <v>1333</v>
      </c>
      <c r="C502" s="170" t="s">
        <v>1334</v>
      </c>
      <c r="D502" s="38" t="n">
        <v>42370</v>
      </c>
      <c r="E502" s="21" t="s">
        <v>24</v>
      </c>
      <c r="F502" s="21" t="s">
        <v>1177</v>
      </c>
      <c r="G502" s="159" t="s">
        <v>1127</v>
      </c>
      <c r="H502" s="22" t="s">
        <v>1335</v>
      </c>
      <c r="I502" s="27" t="s">
        <v>201</v>
      </c>
      <c r="J502" s="22" t="s">
        <v>1335</v>
      </c>
      <c r="K502" s="28" t="s">
        <v>209</v>
      </c>
      <c r="L502" s="23" t="s">
        <v>737</v>
      </c>
      <c r="M502" s="24">
        <f aca="1">DATEDIF(D502,TODAY(),"Y")</f>
        <v>9</v>
      </c>
      <c r="N502" s="24">
        <f aca="1">DATEDIF(D502,TODAY(),"YM")</f>
        <v>9</v>
      </c>
      <c r="O502" s="24" t="str">
        <f aca="1">DATEDIF(D502,NOW(),"Y")&amp;" Tahun "&amp;DATEDIF(D502,NOW(),"YM")&amp;" Bulan "&amp;DATEDIF(D502,NOW(),"MD")&amp;" Hari "</f>
        <v>9 Tahun 9 Bulan 6 Hari </v>
      </c>
      <c r="P502" s="41">
        <f>D502</f>
        <v>42370</v>
      </c>
      <c r="Q502" s="36" t="n">
        <v>45258</v>
      </c>
      <c r="R502" s="51" t="n">
        <v>2375000</v>
      </c>
      <c r="S502" s="51" t="n">
        <v>2425000</v>
      </c>
      <c r="T502" s="72">
        <f>S502-R502</f>
        <v>50000</v>
      </c>
    </row>
    <row r="503" spans="1:20">
      <c r="A503" s="21" t="n">
        <v>500</v>
      </c>
      <c r="B503" s="106" t="s">
        <v>1336</v>
      </c>
      <c r="C503" s="169" t="s">
        <v>1337</v>
      </c>
      <c r="D503" s="38" t="n">
        <v>42370</v>
      </c>
      <c r="E503" s="21" t="s">
        <v>24</v>
      </c>
      <c r="F503" s="21" t="s">
        <v>1177</v>
      </c>
      <c r="G503" s="159" t="s">
        <v>1127</v>
      </c>
      <c r="H503" s="22" t="s">
        <v>1335</v>
      </c>
      <c r="I503" s="27" t="s">
        <v>201</v>
      </c>
      <c r="J503" s="22" t="s">
        <v>1335</v>
      </c>
      <c r="K503" s="28" t="s">
        <v>209</v>
      </c>
      <c r="L503" s="23" t="s">
        <v>210</v>
      </c>
      <c r="M503" s="24">
        <f aca="1">DATEDIF(D503,TODAY(),"Y")</f>
        <v>9</v>
      </c>
      <c r="N503" s="24">
        <f aca="1">DATEDIF(D503,TODAY(),"YM")</f>
        <v>9</v>
      </c>
      <c r="O503" s="24" t="str">
        <f aca="1">DATEDIF(D503,NOW(),"Y")&amp;" Tahun "&amp;DATEDIF(D503,NOW(),"YM")&amp;" Bulan "&amp;DATEDIF(D503,NOW(),"MD")&amp;" Hari "</f>
        <v>9 Tahun 9 Bulan 6 Hari </v>
      </c>
      <c r="P503" s="41">
        <f>D503</f>
        <v>42370</v>
      </c>
      <c r="Q503" s="36" t="n">
        <v>45258</v>
      </c>
      <c r="R503" s="51" t="n">
        <v>2375000</v>
      </c>
      <c r="S503" s="51" t="n">
        <v>2425000</v>
      </c>
      <c r="T503" s="72">
        <f>S503-R503</f>
        <v>50000</v>
      </c>
    </row>
    <row r="504" spans="1:20">
      <c r="A504" s="21" t="n">
        <v>501</v>
      </c>
      <c r="B504" s="106" t="s">
        <v>1338</v>
      </c>
      <c r="C504" s="169" t="s">
        <v>1339</v>
      </c>
      <c r="D504" s="38" t="n">
        <v>42370</v>
      </c>
      <c r="E504" s="21" t="s">
        <v>33</v>
      </c>
      <c r="F504" s="21" t="s">
        <v>1177</v>
      </c>
      <c r="G504" s="159" t="s">
        <v>1127</v>
      </c>
      <c r="H504" s="46" t="s">
        <v>1279</v>
      </c>
      <c r="I504" s="27" t="s">
        <v>96</v>
      </c>
      <c r="J504" s="23" t="s">
        <v>1185</v>
      </c>
      <c r="K504" s="23" t="s">
        <v>161</v>
      </c>
      <c r="L504" s="23" t="s">
        <v>222</v>
      </c>
      <c r="M504" s="24">
        <f aca="1">DATEDIF(D504,TODAY(),"Y")</f>
        <v>9</v>
      </c>
      <c r="N504" s="24">
        <f aca="1">DATEDIF(D504,TODAY(),"YM")</f>
        <v>9</v>
      </c>
      <c r="O504" s="24" t="str">
        <f aca="1">DATEDIF(D504,NOW(),"Y")&amp;" Tahun "&amp;DATEDIF(D504,NOW(),"YM")&amp;" Bulan "&amp;DATEDIF(D504,NOW(),"MD")&amp;" Hari "</f>
        <v>9 Tahun 9 Bulan 6 Hari </v>
      </c>
      <c r="P504" s="41">
        <f>D504</f>
        <v>42370</v>
      </c>
      <c r="Q504" s="36" t="n">
        <v>45258</v>
      </c>
      <c r="R504" s="51" t="n">
        <v>2400000</v>
      </c>
      <c r="S504" s="51" t="n">
        <v>2450000</v>
      </c>
      <c r="T504" s="72">
        <f>S504-R504</f>
        <v>50000</v>
      </c>
    </row>
    <row r="505" spans="1:20">
      <c r="A505" s="21" t="n">
        <v>502</v>
      </c>
      <c r="B505" s="106" t="s">
        <v>1340</v>
      </c>
      <c r="C505" s="169" t="s">
        <v>1341</v>
      </c>
      <c r="D505" s="38" t="n">
        <v>42370</v>
      </c>
      <c r="E505" s="21" t="s">
        <v>24</v>
      </c>
      <c r="F505" s="21" t="s">
        <v>1177</v>
      </c>
      <c r="G505" s="159" t="s">
        <v>1127</v>
      </c>
      <c r="H505" s="22" t="s">
        <v>1342</v>
      </c>
      <c r="I505" s="27" t="s">
        <v>201</v>
      </c>
      <c r="J505" s="22" t="s">
        <v>1342</v>
      </c>
      <c r="K505" s="28" t="s">
        <v>202</v>
      </c>
      <c r="L505" s="23" t="s">
        <v>158</v>
      </c>
      <c r="M505" s="24">
        <f aca="1">DATEDIF(D505,TODAY(),"Y")</f>
        <v>9</v>
      </c>
      <c r="N505" s="24">
        <f aca="1">DATEDIF(D505,TODAY(),"YM")</f>
        <v>9</v>
      </c>
      <c r="O505" s="24" t="str">
        <f aca="1">DATEDIF(D505,NOW(),"Y")&amp;" Tahun "&amp;DATEDIF(D505,NOW(),"YM")&amp;" Bulan "&amp;DATEDIF(D505,NOW(),"MD")&amp;" Hari "</f>
        <v>9 Tahun 9 Bulan 6 Hari </v>
      </c>
      <c r="P505" s="41">
        <f>D505</f>
        <v>42370</v>
      </c>
      <c r="Q505" s="36" t="n">
        <v>45258</v>
      </c>
      <c r="R505" s="51" t="n">
        <v>2400000</v>
      </c>
      <c r="S505" s="51" t="n">
        <v>2450000</v>
      </c>
      <c r="T505" s="72">
        <f>S505-R505</f>
        <v>50000</v>
      </c>
    </row>
    <row r="506" spans="1:20">
      <c r="A506" s="21" t="n">
        <v>503</v>
      </c>
      <c r="B506" s="119" t="s">
        <v>1343</v>
      </c>
      <c r="C506" s="171" t="s">
        <v>1344</v>
      </c>
      <c r="D506" s="38" t="n">
        <v>42370</v>
      </c>
      <c r="E506" s="21" t="s">
        <v>24</v>
      </c>
      <c r="F506" s="21" t="s">
        <v>1177</v>
      </c>
      <c r="G506" s="159" t="s">
        <v>1127</v>
      </c>
      <c r="H506" s="22" t="s">
        <v>818</v>
      </c>
      <c r="I506" s="22" t="s">
        <v>28</v>
      </c>
      <c r="J506" s="22" t="s">
        <v>673</v>
      </c>
      <c r="K506" s="23" t="s">
        <v>1194</v>
      </c>
      <c r="L506" s="23" t="s">
        <v>103</v>
      </c>
      <c r="M506" s="24">
        <f aca="1">DATEDIF(D506,TODAY(),"Y")</f>
        <v>9</v>
      </c>
      <c r="N506" s="24">
        <f aca="1">DATEDIF(D506,TODAY(),"YM")</f>
        <v>9</v>
      </c>
      <c r="O506" s="24" t="str">
        <f aca="1">DATEDIF(D506,NOW(),"Y")&amp;" Tahun "&amp;DATEDIF(D506,NOW(),"YM")&amp;" Bulan "&amp;DATEDIF(D506,NOW(),"MD")&amp;" Hari "</f>
        <v>9 Tahun 9 Bulan 6 Hari </v>
      </c>
      <c r="P506" s="41">
        <f>D506</f>
        <v>42370</v>
      </c>
      <c r="Q506" s="36" t="n">
        <v>45258</v>
      </c>
      <c r="R506" s="51" t="n">
        <v>2275000</v>
      </c>
      <c r="S506" s="51" t="n">
        <v>2325000</v>
      </c>
      <c r="T506" s="72">
        <f>S506-R506</f>
        <v>50000</v>
      </c>
    </row>
    <row r="507" spans="1:20">
      <c r="A507" s="21" t="n">
        <v>504</v>
      </c>
      <c r="B507" s="116" t="s">
        <v>1345</v>
      </c>
      <c r="C507" s="172" t="s">
        <v>1346</v>
      </c>
      <c r="D507" s="38" t="n">
        <v>42370</v>
      </c>
      <c r="E507" s="21" t="s">
        <v>24</v>
      </c>
      <c r="F507" s="21" t="s">
        <v>1177</v>
      </c>
      <c r="G507" s="159" t="s">
        <v>1127</v>
      </c>
      <c r="H507" s="22" t="s">
        <v>818</v>
      </c>
      <c r="I507" s="22" t="s">
        <v>28</v>
      </c>
      <c r="J507" s="22" t="s">
        <v>673</v>
      </c>
      <c r="K507" s="23" t="s">
        <v>1347</v>
      </c>
      <c r="L507" s="23" t="s">
        <v>53</v>
      </c>
      <c r="M507" s="24">
        <f aca="1">DATEDIF(D507,TODAY(),"Y")</f>
        <v>9</v>
      </c>
      <c r="N507" s="24">
        <f aca="1">DATEDIF(D507,TODAY(),"YM")</f>
        <v>9</v>
      </c>
      <c r="O507" s="24" t="str">
        <f aca="1">DATEDIF(D507,NOW(),"Y")&amp;" Tahun "&amp;DATEDIF(D507,NOW(),"YM")&amp;" Bulan "&amp;DATEDIF(D507,NOW(),"MD")&amp;" Hari "</f>
        <v>9 Tahun 9 Bulan 6 Hari </v>
      </c>
      <c r="P507" s="41">
        <f>D507</f>
        <v>42370</v>
      </c>
      <c r="Q507" s="36" t="n">
        <v>45258</v>
      </c>
      <c r="R507" s="51" t="n">
        <v>2275000</v>
      </c>
      <c r="S507" s="51" t="n">
        <v>2325000</v>
      </c>
      <c r="T507" s="72">
        <f>S507-R507</f>
        <v>50000</v>
      </c>
    </row>
    <row r="508" spans="1:20">
      <c r="A508" s="21" t="n">
        <v>505</v>
      </c>
      <c r="B508" s="106" t="s">
        <v>1348</v>
      </c>
      <c r="C508" s="169" t="s">
        <v>1349</v>
      </c>
      <c r="D508" s="38" t="n">
        <v>42370</v>
      </c>
      <c r="E508" s="21" t="s">
        <v>24</v>
      </c>
      <c r="F508" s="21" t="s">
        <v>1177</v>
      </c>
      <c r="G508" s="159" t="s">
        <v>1127</v>
      </c>
      <c r="H508" s="22" t="s">
        <v>1335</v>
      </c>
      <c r="I508" s="27" t="s">
        <v>201</v>
      </c>
      <c r="J508" s="22" t="s">
        <v>1335</v>
      </c>
      <c r="K508" s="28" t="s">
        <v>209</v>
      </c>
      <c r="L508" s="23" t="s">
        <v>461</v>
      </c>
      <c r="M508" s="24">
        <f aca="1">DATEDIF(D508,TODAY(),"Y")</f>
        <v>9</v>
      </c>
      <c r="N508" s="24">
        <f aca="1">DATEDIF(D508,TODAY(),"YM")</f>
        <v>9</v>
      </c>
      <c r="O508" s="24" t="str">
        <f aca="1">DATEDIF(D508,NOW(),"Y")&amp;" Tahun "&amp;DATEDIF(D508,NOW(),"YM")&amp;" Bulan "&amp;DATEDIF(D508,NOW(),"MD")&amp;" Hari "</f>
        <v>9 Tahun 9 Bulan 6 Hari </v>
      </c>
      <c r="P508" s="41">
        <f>D508</f>
        <v>42370</v>
      </c>
      <c r="Q508" s="36" t="n">
        <v>45258</v>
      </c>
      <c r="R508" s="51" t="n">
        <v>2375000</v>
      </c>
      <c r="S508" s="51" t="n">
        <v>2425000</v>
      </c>
      <c r="T508" s="72">
        <f>S508-R508</f>
        <v>50000</v>
      </c>
    </row>
    <row r="509" spans="1:20">
      <c r="A509" s="21" t="n">
        <v>506</v>
      </c>
      <c r="B509" s="106" t="s">
        <v>1350</v>
      </c>
      <c r="C509" s="169" t="s">
        <v>1351</v>
      </c>
      <c r="D509" s="38" t="n">
        <v>42370</v>
      </c>
      <c r="E509" s="21" t="s">
        <v>24</v>
      </c>
      <c r="F509" s="21" t="s">
        <v>1177</v>
      </c>
      <c r="G509" s="159" t="s">
        <v>1127</v>
      </c>
      <c r="H509" s="22" t="s">
        <v>818</v>
      </c>
      <c r="I509" s="22" t="s">
        <v>28</v>
      </c>
      <c r="J509" s="25" t="s">
        <v>262</v>
      </c>
      <c r="K509" s="23" t="s">
        <v>1352</v>
      </c>
      <c r="L509" s="23" t="s">
        <v>496</v>
      </c>
      <c r="M509" s="24">
        <f aca="1">DATEDIF(D509,TODAY(),"Y")</f>
        <v>9</v>
      </c>
      <c r="N509" s="24">
        <f aca="1">DATEDIF(D509,TODAY(),"YM")</f>
        <v>9</v>
      </c>
      <c r="O509" s="24" t="str">
        <f aca="1">DATEDIF(D509,NOW(),"Y")&amp;" Tahun "&amp;DATEDIF(D509,NOW(),"YM")&amp;" Bulan "&amp;DATEDIF(D509,NOW(),"MD")&amp;" Hari "</f>
        <v>9 Tahun 9 Bulan 6 Hari </v>
      </c>
      <c r="P509" s="41">
        <f>D509</f>
        <v>42370</v>
      </c>
      <c r="Q509" s="36" t="n">
        <v>45258</v>
      </c>
      <c r="R509" s="51" t="n">
        <v>2400000</v>
      </c>
      <c r="S509" s="51" t="n">
        <v>2450000</v>
      </c>
      <c r="T509" s="72">
        <f>S509-R509</f>
        <v>50000</v>
      </c>
    </row>
    <row r="510" spans="1:20">
      <c r="A510" s="21" t="n">
        <v>507</v>
      </c>
      <c r="B510" s="106" t="s">
        <v>1353</v>
      </c>
      <c r="C510" s="169" t="s">
        <v>1354</v>
      </c>
      <c r="D510" s="38" t="n">
        <v>42370</v>
      </c>
      <c r="E510" s="21" t="s">
        <v>33</v>
      </c>
      <c r="F510" s="21" t="s">
        <v>1177</v>
      </c>
      <c r="G510" s="159" t="s">
        <v>1127</v>
      </c>
      <c r="H510" s="22" t="s">
        <v>818</v>
      </c>
      <c r="I510" s="22" t="s">
        <v>28</v>
      </c>
      <c r="J510" s="22" t="s">
        <v>673</v>
      </c>
      <c r="K510" s="23" t="s">
        <v>1231</v>
      </c>
      <c r="L510" s="23" t="s">
        <v>68</v>
      </c>
      <c r="M510" s="24">
        <f aca="1">DATEDIF(D510,TODAY(),"Y")</f>
        <v>9</v>
      </c>
      <c r="N510" s="24">
        <f aca="1">DATEDIF(D510,TODAY(),"YM")</f>
        <v>9</v>
      </c>
      <c r="O510" s="24" t="str">
        <f aca="1">DATEDIF(D510,NOW(),"Y")&amp;" Tahun "&amp;DATEDIF(D510,NOW(),"YM")&amp;" Bulan "&amp;DATEDIF(D510,NOW(),"MD")&amp;" Hari "</f>
        <v>9 Tahun 9 Bulan 6 Hari </v>
      </c>
      <c r="P510" s="41">
        <f>D510</f>
        <v>42370</v>
      </c>
      <c r="Q510" s="36" t="n">
        <v>45258</v>
      </c>
      <c r="R510" s="51" t="n">
        <v>2275000</v>
      </c>
      <c r="S510" s="51" t="n">
        <v>2325000</v>
      </c>
      <c r="T510" s="72">
        <f>S510-R510</f>
        <v>50000</v>
      </c>
    </row>
    <row r="511" spans="1:20">
      <c r="A511" s="21" t="n">
        <v>508</v>
      </c>
      <c r="B511" s="106" t="s">
        <v>1355</v>
      </c>
      <c r="C511" s="169" t="s">
        <v>1356</v>
      </c>
      <c r="D511" s="38" t="n">
        <v>42370</v>
      </c>
      <c r="E511" s="21" t="s">
        <v>33</v>
      </c>
      <c r="F511" s="21" t="s">
        <v>1177</v>
      </c>
      <c r="G511" s="159" t="s">
        <v>1127</v>
      </c>
      <c r="H511" s="22" t="s">
        <v>818</v>
      </c>
      <c r="I511" s="22" t="s">
        <v>28</v>
      </c>
      <c r="J511" s="22" t="s">
        <v>673</v>
      </c>
      <c r="K511" s="23" t="s">
        <v>1231</v>
      </c>
      <c r="L511" s="23" t="s">
        <v>268</v>
      </c>
      <c r="M511" s="24">
        <f aca="1">DATEDIF(D511,TODAY(),"Y")</f>
        <v>9</v>
      </c>
      <c r="N511" s="24">
        <f aca="1">DATEDIF(D511,TODAY(),"YM")</f>
        <v>9</v>
      </c>
      <c r="O511" s="24" t="str">
        <f aca="1">DATEDIF(D511,NOW(),"Y")&amp;" Tahun "&amp;DATEDIF(D511,NOW(),"YM")&amp;" Bulan "&amp;DATEDIF(D511,NOW(),"MD")&amp;" Hari "</f>
        <v>9 Tahun 9 Bulan 6 Hari </v>
      </c>
      <c r="P511" s="41">
        <f>D511</f>
        <v>42370</v>
      </c>
      <c r="Q511" s="36" t="n">
        <v>45258</v>
      </c>
      <c r="R511" s="51" t="n">
        <v>2275000</v>
      </c>
      <c r="S511" s="51" t="n">
        <v>2325000</v>
      </c>
      <c r="T511" s="72">
        <f>S511-R511</f>
        <v>50000</v>
      </c>
    </row>
    <row r="512" spans="1:20">
      <c r="A512" s="21" t="n">
        <v>509</v>
      </c>
      <c r="B512" s="106" t="s">
        <v>1357</v>
      </c>
      <c r="C512" s="169" t="s">
        <v>1358</v>
      </c>
      <c r="D512" s="38" t="n">
        <v>42370</v>
      </c>
      <c r="E512" s="21" t="s">
        <v>33</v>
      </c>
      <c r="F512" s="21" t="s">
        <v>1177</v>
      </c>
      <c r="G512" s="159" t="s">
        <v>1127</v>
      </c>
      <c r="H512" s="46" t="s">
        <v>1279</v>
      </c>
      <c r="I512" s="27" t="s">
        <v>96</v>
      </c>
      <c r="J512" s="23" t="s">
        <v>1185</v>
      </c>
      <c r="K512" s="23" t="s">
        <v>161</v>
      </c>
      <c r="L512" s="23" t="s">
        <v>396</v>
      </c>
      <c r="M512" s="24">
        <f aca="1">DATEDIF(D512,TODAY(),"Y")</f>
        <v>9</v>
      </c>
      <c r="N512" s="24">
        <f aca="1">DATEDIF(D512,TODAY(),"YM")</f>
        <v>9</v>
      </c>
      <c r="O512" s="24" t="str">
        <f aca="1">DATEDIF(D512,NOW(),"Y")&amp;" Tahun "&amp;DATEDIF(D512,NOW(),"YM")&amp;" Bulan "&amp;DATEDIF(D512,NOW(),"MD")&amp;" Hari "</f>
        <v>9 Tahun 9 Bulan 6 Hari </v>
      </c>
      <c r="P512" s="41">
        <f>D512</f>
        <v>42370</v>
      </c>
      <c r="Q512" s="36" t="n">
        <v>45258</v>
      </c>
      <c r="R512" s="51" t="n">
        <v>2400000</v>
      </c>
      <c r="S512" s="51" t="n">
        <v>2450000</v>
      </c>
      <c r="T512" s="72">
        <f>S512-R512</f>
        <v>50000</v>
      </c>
    </row>
    <row r="513" spans="1:20">
      <c r="A513" s="21" t="n">
        <v>510</v>
      </c>
      <c r="B513" s="106" t="s">
        <v>1359</v>
      </c>
      <c r="C513" s="169" t="s">
        <v>1360</v>
      </c>
      <c r="D513" s="38" t="n">
        <v>42370</v>
      </c>
      <c r="E513" s="21" t="s">
        <v>24</v>
      </c>
      <c r="F513" s="21" t="s">
        <v>1177</v>
      </c>
      <c r="G513" s="159" t="s">
        <v>1127</v>
      </c>
      <c r="H513" s="22" t="s">
        <v>1335</v>
      </c>
      <c r="I513" s="27" t="s">
        <v>201</v>
      </c>
      <c r="J513" s="22" t="s">
        <v>1335</v>
      </c>
      <c r="K513" s="28" t="s">
        <v>209</v>
      </c>
      <c r="L513" s="23" t="s">
        <v>162</v>
      </c>
      <c r="M513" s="24">
        <f aca="1">DATEDIF(D513,TODAY(),"Y")</f>
        <v>9</v>
      </c>
      <c r="N513" s="24">
        <f aca="1">DATEDIF(D513,TODAY(),"YM")</f>
        <v>9</v>
      </c>
      <c r="O513" s="24" t="str">
        <f aca="1">DATEDIF(D513,NOW(),"Y")&amp;" Tahun "&amp;DATEDIF(D513,NOW(),"YM")&amp;" Bulan "&amp;DATEDIF(D513,NOW(),"MD")&amp;" Hari "</f>
        <v>9 Tahun 9 Bulan 6 Hari </v>
      </c>
      <c r="P513" s="41">
        <f>D513</f>
        <v>42370</v>
      </c>
      <c r="Q513" s="36" t="n">
        <v>45258</v>
      </c>
      <c r="R513" s="51" t="n">
        <v>2375000</v>
      </c>
      <c r="S513" s="51" t="n">
        <v>2425000</v>
      </c>
      <c r="T513" s="72">
        <f>S513-R513</f>
        <v>50000</v>
      </c>
    </row>
    <row r="514" spans="1:20">
      <c r="A514" s="21" t="n">
        <v>511</v>
      </c>
      <c r="B514" s="106" t="s">
        <v>1361</v>
      </c>
      <c r="C514" s="169" t="s">
        <v>1362</v>
      </c>
      <c r="D514" s="38" t="n">
        <v>42370</v>
      </c>
      <c r="E514" s="21" t="s">
        <v>33</v>
      </c>
      <c r="F514" s="21" t="s">
        <v>1177</v>
      </c>
      <c r="G514" s="159" t="s">
        <v>1127</v>
      </c>
      <c r="H514" s="22" t="s">
        <v>818</v>
      </c>
      <c r="I514" s="22" t="s">
        <v>28</v>
      </c>
      <c r="J514" s="25" t="s">
        <v>262</v>
      </c>
      <c r="K514" s="23" t="s">
        <v>1305</v>
      </c>
      <c r="L514" s="23" t="s">
        <v>128</v>
      </c>
      <c r="M514" s="24">
        <f aca="1">DATEDIF(D514,TODAY(),"Y")</f>
        <v>9</v>
      </c>
      <c r="N514" s="24">
        <f aca="1">DATEDIF(D514,TODAY(),"YM")</f>
        <v>9</v>
      </c>
      <c r="O514" s="24" t="str">
        <f aca="1">DATEDIF(D514,NOW(),"Y")&amp;" Tahun "&amp;DATEDIF(D514,NOW(),"YM")&amp;" Bulan "&amp;DATEDIF(D514,NOW(),"MD")&amp;" Hari "</f>
        <v>9 Tahun 9 Bulan 6 Hari </v>
      </c>
      <c r="P514" s="41">
        <f>D514</f>
        <v>42370</v>
      </c>
      <c r="Q514" s="36" t="n">
        <v>45258</v>
      </c>
      <c r="R514" s="51" t="n">
        <v>2400000</v>
      </c>
      <c r="S514" s="51" t="n">
        <v>2450000</v>
      </c>
      <c r="T514" s="72">
        <f>S514-R514</f>
        <v>50000</v>
      </c>
    </row>
    <row r="515" spans="1:20">
      <c r="A515" s="21" t="n">
        <v>512</v>
      </c>
      <c r="B515" s="106" t="s">
        <v>1363</v>
      </c>
      <c r="C515" s="169" t="s">
        <v>1364</v>
      </c>
      <c r="D515" s="38" t="n">
        <v>42583</v>
      </c>
      <c r="E515" s="21" t="s">
        <v>24</v>
      </c>
      <c r="F515" s="21" t="s">
        <v>1177</v>
      </c>
      <c r="G515" s="159" t="s">
        <v>1127</v>
      </c>
      <c r="H515" s="22" t="s">
        <v>1342</v>
      </c>
      <c r="I515" s="27" t="s">
        <v>201</v>
      </c>
      <c r="J515" s="22" t="s">
        <v>1342</v>
      </c>
      <c r="K515" s="28" t="s">
        <v>202</v>
      </c>
      <c r="L515" s="23" t="s">
        <v>210</v>
      </c>
      <c r="M515" s="24">
        <f aca="1">DATEDIF(D515,TODAY(),"Y")</f>
        <v>9</v>
      </c>
      <c r="N515" s="24">
        <f aca="1">DATEDIF(D515,TODAY(),"YM")</f>
        <v>2</v>
      </c>
      <c r="O515" s="24" t="str">
        <f aca="1">DATEDIF(D515,NOW(),"Y")&amp;" Tahun "&amp;DATEDIF(D515,NOW(),"YM")&amp;" Bulan "&amp;DATEDIF(D515,NOW(),"MD")&amp;" Hari "</f>
        <v>9 Tahun 2 Bulan 6 Hari </v>
      </c>
      <c r="P515" s="41">
        <f>D515</f>
        <v>42583</v>
      </c>
      <c r="Q515" s="36" t="n">
        <v>45258</v>
      </c>
      <c r="R515" s="51" t="n">
        <v>2400000</v>
      </c>
      <c r="S515" s="51" t="n">
        <v>2450000</v>
      </c>
      <c r="T515" s="72">
        <f>S515-R515</f>
        <v>50000</v>
      </c>
    </row>
    <row r="516" spans="1:20">
      <c r="A516" s="21" t="n">
        <v>513</v>
      </c>
      <c r="B516" s="106" t="s">
        <v>1365</v>
      </c>
      <c r="C516" s="169" t="s">
        <v>1366</v>
      </c>
      <c r="D516" s="38" t="n">
        <v>43040</v>
      </c>
      <c r="E516" s="21" t="s">
        <v>24</v>
      </c>
      <c r="F516" s="21" t="s">
        <v>1177</v>
      </c>
      <c r="G516" s="159" t="s">
        <v>1127</v>
      </c>
      <c r="H516" s="22" t="s">
        <v>1367</v>
      </c>
      <c r="I516" s="22" t="s">
        <v>28</v>
      </c>
      <c r="J516" s="25" t="s">
        <v>262</v>
      </c>
      <c r="K516" s="23" t="s">
        <v>1368</v>
      </c>
      <c r="L516" s="23" t="s">
        <v>119</v>
      </c>
      <c r="M516" s="24">
        <f aca="1">DATEDIF(D516,TODAY(),"Y")</f>
        <v>7</v>
      </c>
      <c r="N516" s="24">
        <f aca="1">DATEDIF(D516,TODAY(),"YM")</f>
        <v>11</v>
      </c>
      <c r="O516" s="24" t="str">
        <f aca="1">DATEDIF(D516,NOW(),"Y")&amp;" Tahun "&amp;DATEDIF(D516,NOW(),"YM")&amp;" Bulan "&amp;DATEDIF(D516,NOW(),"MD")&amp;" Hari "</f>
        <v>7 Tahun 11 Bulan 6 Hari </v>
      </c>
      <c r="P516" s="41">
        <f>D516</f>
        <v>43040</v>
      </c>
      <c r="Q516" s="36" t="n">
        <v>45258</v>
      </c>
      <c r="R516" s="51" t="n">
        <v>3100000</v>
      </c>
      <c r="S516" s="51" t="n">
        <v>3100000</v>
      </c>
      <c r="T516" s="72">
        <f>S516-R516</f>
        <v>0</v>
      </c>
    </row>
    <row r="517" spans="1:20">
      <c r="A517" s="21" t="n">
        <v>514</v>
      </c>
      <c r="B517" s="106" t="s">
        <v>1369</v>
      </c>
      <c r="C517" s="169" t="s">
        <v>1370</v>
      </c>
      <c r="D517" s="38" t="n">
        <v>43101</v>
      </c>
      <c r="E517" s="21" t="s">
        <v>33</v>
      </c>
      <c r="F517" s="21" t="s">
        <v>1177</v>
      </c>
      <c r="G517" s="159" t="s">
        <v>1127</v>
      </c>
      <c r="H517" s="46" t="s">
        <v>1279</v>
      </c>
      <c r="I517" s="27" t="s">
        <v>96</v>
      </c>
      <c r="J517" s="23" t="s">
        <v>1185</v>
      </c>
      <c r="K517" s="23" t="s">
        <v>161</v>
      </c>
      <c r="L517" s="23" t="s">
        <v>222</v>
      </c>
      <c r="M517" s="24">
        <f aca="1">DATEDIF(D517,TODAY(),"Y")</f>
        <v>7</v>
      </c>
      <c r="N517" s="24">
        <f aca="1">DATEDIF(D517,TODAY(),"YM")</f>
        <v>9</v>
      </c>
      <c r="O517" s="24" t="str">
        <f aca="1">DATEDIF(D517,NOW(),"Y")&amp;" Tahun "&amp;DATEDIF(D517,NOW(),"YM")&amp;" Bulan "&amp;DATEDIF(D517,NOW(),"MD")&amp;" Hari "</f>
        <v>7 Tahun 9 Bulan 6 Hari </v>
      </c>
      <c r="P517" s="41">
        <f>D517</f>
        <v>43101</v>
      </c>
      <c r="Q517" s="36" t="n">
        <v>45258</v>
      </c>
      <c r="R517" s="51" t="n">
        <v>2400000</v>
      </c>
      <c r="S517" s="51">
        <f>R517</f>
        <v>2400000</v>
      </c>
      <c r="T517" s="72">
        <f>S517-R517</f>
        <v>0</v>
      </c>
    </row>
    <row r="518" spans="1:20">
      <c r="A518" s="21" t="n">
        <v>515</v>
      </c>
      <c r="B518" s="114" t="s">
        <v>1371</v>
      </c>
      <c r="C518" s="173" t="s">
        <v>1372</v>
      </c>
      <c r="D518" s="36" t="n">
        <v>38504</v>
      </c>
      <c r="E518" s="25" t="s">
        <v>33</v>
      </c>
      <c r="F518" s="21" t="s">
        <v>1177</v>
      </c>
      <c r="G518" s="159" t="s">
        <v>1127</v>
      </c>
      <c r="H518" s="23" t="s">
        <v>1184</v>
      </c>
      <c r="I518" s="27" t="s">
        <v>96</v>
      </c>
      <c r="J518" s="23" t="s">
        <v>1185</v>
      </c>
      <c r="K518" s="28" t="s">
        <v>181</v>
      </c>
      <c r="L518" s="23" t="s">
        <v>225</v>
      </c>
      <c r="M518" s="24">
        <f aca="1">DATEDIF(D518,TODAY(),"Y")</f>
        <v>20</v>
      </c>
      <c r="N518" s="24">
        <f aca="1">DATEDIF(D518,TODAY(),"YM")</f>
        <v>4</v>
      </c>
      <c r="O518" s="24" t="str">
        <f aca="1">DATEDIF(D518,NOW(),"Y")&amp;" Tahun "&amp;DATEDIF(D518,NOW(),"YM")&amp;" Bulan "&amp;DATEDIF(D518,NOW(),"MD")&amp;" Hari "</f>
        <v>20 Tahun 4 Bulan 6 Hari </v>
      </c>
      <c r="P518" s="41">
        <f>D518</f>
        <v>38504</v>
      </c>
      <c r="Q518" s="36" t="n">
        <v>45258</v>
      </c>
      <c r="R518" s="51" t="n">
        <v>2425000</v>
      </c>
      <c r="S518" s="51" t="n">
        <v>2525000</v>
      </c>
      <c r="T518" s="72">
        <f>S518-R518</f>
        <v>100000</v>
      </c>
    </row>
    <row r="519" spans="1:20" s="56" customFormat="1">
      <c r="A519" s="21" t="n">
        <v>516</v>
      </c>
      <c r="B519" s="114" t="s">
        <v>1373</v>
      </c>
      <c r="C519" s="173" t="s">
        <v>1374</v>
      </c>
      <c r="D519" s="36" t="n">
        <v>38504</v>
      </c>
      <c r="E519" s="21" t="s">
        <v>33</v>
      </c>
      <c r="F519" s="21" t="s">
        <v>1177</v>
      </c>
      <c r="G519" s="21"/>
      <c r="H519" s="23" t="s">
        <v>1184</v>
      </c>
      <c r="I519" s="27" t="s">
        <v>96</v>
      </c>
      <c r="J519" s="23" t="s">
        <v>1185</v>
      </c>
      <c r="K519" s="28" t="s">
        <v>181</v>
      </c>
      <c r="L519" s="23" t="s">
        <v>549</v>
      </c>
      <c r="M519" s="24">
        <f aca="1">DATEDIF(D519,TODAY(),"Y")</f>
        <v>20</v>
      </c>
      <c r="N519" s="24">
        <f aca="1">DATEDIF(D519,TODAY(),"YM")</f>
        <v>4</v>
      </c>
      <c r="O519" s="24" t="str">
        <f aca="1">DATEDIF(D519,NOW(),"Y")&amp;" Tahun "&amp;DATEDIF(D519,NOW(),"YM")&amp;" Bulan "&amp;DATEDIF(D519,NOW(),"MD")&amp;" Hari "</f>
        <v>20 Tahun 4 Bulan 6 Hari </v>
      </c>
      <c r="P519" s="41">
        <f>D519</f>
        <v>38504</v>
      </c>
      <c r="Q519" s="36"/>
      <c r="R519" s="51"/>
      <c r="S519" s="51" t="n">
        <v>2525000</v>
      </c>
      <c r="T519" s="52"/>
    </row>
    <row r="520" spans="1:20" s="56" customFormat="1">
      <c r="A520" s="21" t="n">
        <v>517</v>
      </c>
      <c r="B520" s="114" t="s">
        <v>1375</v>
      </c>
      <c r="C520" s="173" t="s">
        <v>1376</v>
      </c>
      <c r="D520" s="36" t="n">
        <v>39264</v>
      </c>
      <c r="E520" s="21" t="s">
        <v>33</v>
      </c>
      <c r="F520" s="21" t="s">
        <v>1177</v>
      </c>
      <c r="G520" s="21"/>
      <c r="H520" s="23" t="s">
        <v>1184</v>
      </c>
      <c r="I520" s="27" t="s">
        <v>96</v>
      </c>
      <c r="J520" s="23" t="s">
        <v>1185</v>
      </c>
      <c r="K520" s="28" t="s">
        <v>181</v>
      </c>
      <c r="L520" s="23" t="s">
        <v>1377</v>
      </c>
      <c r="M520" s="24"/>
      <c r="N520" s="24"/>
      <c r="O520" s="24" t="str">
        <f aca="1">DATEDIF(D520,NOW(),"Y")&amp;" Tahun "&amp;DATEDIF(D520,NOW(),"YM")&amp;" Bulan "&amp;DATEDIF(D520,NOW(),"MD")&amp;" Hari "</f>
        <v>18 Tahun 3 Bulan 6 Hari </v>
      </c>
      <c r="P520" s="41">
        <f>D520</f>
        <v>39264</v>
      </c>
      <c r="Q520" s="36"/>
      <c r="R520" s="51"/>
      <c r="S520" s="51" t="n">
        <v>2525000</v>
      </c>
      <c r="T520" s="52"/>
    </row>
    <row r="521" spans="1:20" s="56" customFormat="1">
      <c r="A521" s="21" t="n">
        <v>518</v>
      </c>
      <c r="B521" s="114" t="s">
        <v>1378</v>
      </c>
      <c r="C521" s="173" t="s">
        <v>1379</v>
      </c>
      <c r="D521" s="36" t="n">
        <v>40715</v>
      </c>
      <c r="E521" s="21" t="s">
        <v>33</v>
      </c>
      <c r="F521" s="21" t="s">
        <v>1177</v>
      </c>
      <c r="G521" s="21"/>
      <c r="H521" s="23" t="s">
        <v>1184</v>
      </c>
      <c r="I521" s="27" t="s">
        <v>96</v>
      </c>
      <c r="J521" s="23" t="s">
        <v>1185</v>
      </c>
      <c r="K521" s="28" t="s">
        <v>181</v>
      </c>
      <c r="L521" s="23" t="s">
        <v>225</v>
      </c>
      <c r="M521" s="24"/>
      <c r="N521" s="24"/>
      <c r="O521" s="24" t="str">
        <f aca="1">DATEDIF(D521,NOW(),"Y")&amp;" Tahun "&amp;DATEDIF(D521,NOW(),"YM")&amp;" Bulan "&amp;DATEDIF(D521,NOW(),"MD")&amp;" Hari "</f>
        <v>14 Tahun 3 Bulan 16 Hari </v>
      </c>
      <c r="P521" s="41">
        <f>D521</f>
        <v>40715</v>
      </c>
      <c r="Q521" s="36"/>
      <c r="R521" s="51"/>
      <c r="S521" s="51" t="n">
        <v>2475000</v>
      </c>
      <c r="T521" s="52"/>
    </row>
    <row r="522" spans="1:20" s="56" customFormat="1">
      <c r="A522" s="21" t="n">
        <v>519</v>
      </c>
      <c r="B522" s="114" t="s">
        <v>1380</v>
      </c>
      <c r="C522" s="173" t="s">
        <v>1381</v>
      </c>
      <c r="D522" s="36" t="n">
        <v>43739</v>
      </c>
      <c r="E522" s="21" t="s">
        <v>24</v>
      </c>
      <c r="F522" s="21" t="s">
        <v>1177</v>
      </c>
      <c r="G522" s="159" t="s">
        <v>1127</v>
      </c>
      <c r="H522" s="22" t="s">
        <v>1335</v>
      </c>
      <c r="I522" s="27" t="s">
        <v>201</v>
      </c>
      <c r="J522" s="22" t="s">
        <v>1335</v>
      </c>
      <c r="K522" s="28" t="s">
        <v>209</v>
      </c>
      <c r="L522" s="23" t="s">
        <v>210</v>
      </c>
      <c r="M522" s="24"/>
      <c r="N522" s="24"/>
      <c r="O522" s="24" t="str">
        <f aca="1">DATEDIF(D522,NOW(),"Y")&amp;" Tahun "&amp;DATEDIF(D522,NOW(),"YM")&amp;" Bulan "&amp;DATEDIF(D522,NOW(),"MD")&amp;" Hari "</f>
        <v>6 Tahun 0 Bulan 6 Hari </v>
      </c>
      <c r="P522" s="41">
        <f>D522</f>
        <v>43739</v>
      </c>
      <c r="Q522" s="36"/>
      <c r="S522" s="51" t="n">
        <v>2375000</v>
      </c>
      <c r="T522" s="52"/>
    </row>
    <row r="523" spans="1:20">
      <c r="A523" s="21" t="n">
        <v>520</v>
      </c>
      <c r="B523" s="106" t="s">
        <v>1382</v>
      </c>
      <c r="C523" s="169" t="s">
        <v>1383</v>
      </c>
      <c r="D523" s="38" t="n">
        <v>44197</v>
      </c>
      <c r="E523" s="21" t="s">
        <v>24</v>
      </c>
      <c r="F523" s="21" t="s">
        <v>1177</v>
      </c>
      <c r="G523" s="159" t="s">
        <v>1127</v>
      </c>
      <c r="H523" s="46" t="s">
        <v>1279</v>
      </c>
      <c r="I523" s="27" t="s">
        <v>96</v>
      </c>
      <c r="J523" s="23" t="s">
        <v>1185</v>
      </c>
      <c r="K523" s="23" t="s">
        <v>161</v>
      </c>
      <c r="L523" s="23" t="s">
        <v>396</v>
      </c>
      <c r="M523" s="24">
        <f aca="1">DATEDIF(D523,TODAY(),"Y")</f>
        <v>4</v>
      </c>
      <c r="N523" s="24">
        <f aca="1">DATEDIF(D523,TODAY(),"YM")</f>
        <v>9</v>
      </c>
      <c r="O523" s="24" t="str">
        <f aca="1">DATEDIF(D523,NOW(),"Y")&amp;" Tahun "&amp;DATEDIF(D523,NOW(),"YM")&amp;" Bulan "&amp;DATEDIF(D523,NOW(),"MD")&amp;" Hari "</f>
        <v>4 Tahun 9 Bulan 6 Hari </v>
      </c>
      <c r="P523" s="41">
        <f>D523</f>
        <v>44197</v>
      </c>
      <c r="Q523" s="36" t="n">
        <v>45258</v>
      </c>
      <c r="R523" s="51" t="n">
        <v>1350000</v>
      </c>
      <c r="S523" s="51" t="n">
        <v>1350000</v>
      </c>
      <c r="T523" s="72">
        <f>S523-R523</f>
        <v>0</v>
      </c>
    </row>
    <row r="524" spans="1:20">
      <c r="A524" s="21" t="n">
        <v>521</v>
      </c>
      <c r="B524" s="106" t="s">
        <v>1384</v>
      </c>
      <c r="C524" s="169" t="s">
        <v>1385</v>
      </c>
      <c r="D524" s="38" t="n">
        <v>44197</v>
      </c>
      <c r="E524" s="21" t="s">
        <v>24</v>
      </c>
      <c r="F524" s="21" t="s">
        <v>1177</v>
      </c>
      <c r="G524" s="159" t="s">
        <v>1127</v>
      </c>
      <c r="H524" s="22" t="s">
        <v>1335</v>
      </c>
      <c r="I524" s="27" t="s">
        <v>201</v>
      </c>
      <c r="J524" s="22" t="s">
        <v>1335</v>
      </c>
      <c r="K524" s="28" t="s">
        <v>209</v>
      </c>
      <c r="L524" s="23" t="s">
        <v>737</v>
      </c>
      <c r="M524" s="24">
        <f aca="1">DATEDIF(D524,TODAY(),"Y")</f>
        <v>4</v>
      </c>
      <c r="N524" s="24">
        <f aca="1">DATEDIF(D524,TODAY(),"YM")</f>
        <v>9</v>
      </c>
      <c r="O524" s="24" t="str">
        <f aca="1">DATEDIF(D524,NOW(),"Y")&amp;" Tahun "&amp;DATEDIF(D524,NOW(),"YM")&amp;" Bulan "&amp;DATEDIF(D524,NOW(),"MD")&amp;" Hari "</f>
        <v>4 Tahun 9 Bulan 6 Hari </v>
      </c>
      <c r="P524" s="41">
        <f>D524</f>
        <v>44197</v>
      </c>
      <c r="Q524" s="36" t="n">
        <v>45258</v>
      </c>
      <c r="R524" s="51" t="n">
        <v>1200000</v>
      </c>
      <c r="S524" s="51" t="n">
        <v>1200000</v>
      </c>
      <c r="T524" s="72">
        <f>S524-R524</f>
        <v>0</v>
      </c>
    </row>
    <row r="525" spans="1:20">
      <c r="A525" s="21" t="n">
        <v>522</v>
      </c>
      <c r="B525" s="106" t="s">
        <v>1386</v>
      </c>
      <c r="C525" s="174" t="s">
        <v>1387</v>
      </c>
      <c r="D525" s="38" t="n">
        <v>44197</v>
      </c>
      <c r="E525" s="21" t="s">
        <v>24</v>
      </c>
      <c r="F525" s="21" t="s">
        <v>1177</v>
      </c>
      <c r="G525" s="159" t="s">
        <v>1127</v>
      </c>
      <c r="H525" s="22" t="s">
        <v>1342</v>
      </c>
      <c r="I525" s="27" t="s">
        <v>201</v>
      </c>
      <c r="J525" s="22" t="s">
        <v>1342</v>
      </c>
      <c r="K525" s="28" t="s">
        <v>202</v>
      </c>
      <c r="L525" s="23" t="s">
        <v>158</v>
      </c>
      <c r="M525" s="24">
        <f aca="1">DATEDIF(D525,TODAY(),"Y")</f>
        <v>4</v>
      </c>
      <c r="N525" s="24">
        <f aca="1">DATEDIF(D525,TODAY(),"YM")</f>
        <v>9</v>
      </c>
      <c r="O525" s="24" t="str">
        <f aca="1">DATEDIF(D525,NOW(),"Y")&amp;" Tahun "&amp;DATEDIF(D525,NOW(),"YM")&amp;" Bulan "&amp;DATEDIF(D525,NOW(),"MD")&amp;" Hari "</f>
        <v>4 Tahun 9 Bulan 6 Hari </v>
      </c>
      <c r="P525" s="41">
        <f>D525</f>
        <v>44197</v>
      </c>
      <c r="Q525" s="36" t="n">
        <v>45258</v>
      </c>
      <c r="R525" s="51" t="n">
        <v>1350000</v>
      </c>
      <c r="S525" s="51" t="n">
        <v>1350000</v>
      </c>
      <c r="T525" s="72">
        <f>S525-R525</f>
        <v>0</v>
      </c>
    </row>
    <row r="526" spans="1:20">
      <c r="A526" s="21" t="n">
        <v>523</v>
      </c>
      <c r="B526" s="106" t="s">
        <v>1388</v>
      </c>
      <c r="C526" s="118"/>
      <c r="D526" s="38" t="n">
        <v>42186</v>
      </c>
      <c r="E526" s="21" t="s">
        <v>33</v>
      </c>
      <c r="F526" s="21" t="s">
        <v>1389</v>
      </c>
      <c r="G526" s="159" t="s">
        <v>1127</v>
      </c>
      <c r="H526" s="23" t="s">
        <v>1390</v>
      </c>
      <c r="I526" s="27" t="s">
        <v>66</v>
      </c>
      <c r="J526" s="23" t="s">
        <v>1390</v>
      </c>
      <c r="K526" s="23" t="s">
        <v>1391</v>
      </c>
      <c r="L526" s="23" t="s">
        <v>218</v>
      </c>
      <c r="M526" s="24">
        <f aca="1">DATEDIF(D526,TODAY(),"Y")</f>
        <v>10</v>
      </c>
      <c r="N526" s="24">
        <f aca="1">DATEDIF(D526,TODAY(),"YM")</f>
        <v>3</v>
      </c>
      <c r="O526" s="24" t="str">
        <f aca="1">DATEDIF(D526,NOW(),"Y")&amp;" Tahun "&amp;DATEDIF(D526,NOW(),"YM")&amp;" Bulan "&amp;DATEDIF(D526,NOW(),"MD")&amp;" Hari "</f>
        <v>10 Tahun 3 Bulan 6 Hari </v>
      </c>
      <c r="P526" s="41">
        <f>D526</f>
        <v>42186</v>
      </c>
      <c r="Q526" s="36" t="n">
        <v>45258</v>
      </c>
      <c r="R526" s="51" t="n">
        <v>3800000</v>
      </c>
      <c r="S526" s="51" t="n">
        <v>3850000</v>
      </c>
      <c r="T526" s="72">
        <f>S526-R526</f>
        <v>50000</v>
      </c>
    </row>
    <row r="527" spans="1:19" s="56" customFormat="1">
      <c r="A527" s="21" t="n">
        <v>524</v>
      </c>
      <c r="B527" s="106" t="s">
        <v>1392</v>
      </c>
      <c r="C527" s="169" t="s">
        <v>1393</v>
      </c>
      <c r="D527" s="38" t="n">
        <v>42795</v>
      </c>
      <c r="E527" s="21" t="s">
        <v>24</v>
      </c>
      <c r="F527" s="38" t="s">
        <v>1394</v>
      </c>
      <c r="G527" s="159" t="s">
        <v>1127</v>
      </c>
      <c r="H527" s="22" t="s">
        <v>818</v>
      </c>
      <c r="I527" s="22" t="s">
        <v>28</v>
      </c>
      <c r="J527" s="22" t="s">
        <v>676</v>
      </c>
      <c r="K527" s="23" t="s">
        <v>1395</v>
      </c>
      <c r="L527" s="23" t="s">
        <v>103</v>
      </c>
      <c r="M527" s="24">
        <f aca="1">DATEDIF(D527,TODAY(),"Y")</f>
        <v>8</v>
      </c>
      <c r="N527" s="24">
        <f aca="1">DATEDIF(D527,TODAY(),"YM")</f>
        <v>7</v>
      </c>
      <c r="O527" s="24" t="str">
        <f aca="1">DATEDIF(D527,NOW(),"Y")&amp;" Tahun "&amp;DATEDIF(D527,NOW(),"YM")&amp;" Bulan "&amp;DATEDIF(D527,NOW(),"MD")&amp;" Hari "</f>
        <v>8 Tahun 7 Bulan 6 Hari </v>
      </c>
      <c r="P527" s="41">
        <f>D527</f>
        <v>42795</v>
      </c>
      <c r="Q527" s="36" t="n">
        <v>45258</v>
      </c>
      <c r="R527" s="51" t="n">
        <v>1100000</v>
      </c>
      <c r="S527" s="51" t="n">
        <v>1100000</v>
      </c>
    </row>
    <row r="528" spans="1:19">
      <c r="A528" s="21" t="n">
        <v>525</v>
      </c>
      <c r="B528" s="106" t="s">
        <v>1396</v>
      </c>
      <c r="C528" s="169" t="s">
        <v>1397</v>
      </c>
      <c r="D528" s="38" t="n">
        <v>42795</v>
      </c>
      <c r="E528" s="21" t="s">
        <v>24</v>
      </c>
      <c r="F528" s="38" t="s">
        <v>1394</v>
      </c>
      <c r="G528" s="159" t="s">
        <v>1127</v>
      </c>
      <c r="H528" s="22" t="s">
        <v>818</v>
      </c>
      <c r="I528" s="22" t="s">
        <v>28</v>
      </c>
      <c r="J528" s="25" t="s">
        <v>262</v>
      </c>
      <c r="K528" s="23" t="s">
        <v>1398</v>
      </c>
      <c r="L528" s="23" t="s">
        <v>531</v>
      </c>
      <c r="M528" s="24">
        <f aca="1">DATEDIF(D528,TODAY(),"Y")</f>
        <v>8</v>
      </c>
      <c r="N528" s="24">
        <f aca="1">DATEDIF(D528,TODAY(),"YM")</f>
        <v>7</v>
      </c>
      <c r="O528" s="24" t="str">
        <f aca="1">DATEDIF(D528,NOW(),"Y")&amp;" Tahun "&amp;DATEDIF(D528,NOW(),"YM")&amp;" Bulan "&amp;DATEDIF(D528,NOW(),"MD")&amp;" Hari "</f>
        <v>8 Tahun 7 Bulan 6 Hari </v>
      </c>
      <c r="P528" s="41">
        <f>D528</f>
        <v>42795</v>
      </c>
      <c r="Q528" s="36" t="n">
        <v>45258</v>
      </c>
      <c r="R528" s="51" t="n">
        <v>1200000</v>
      </c>
      <c r="S528" s="51" t="n">
        <v>1200000</v>
      </c>
    </row>
    <row r="529" spans="1:19">
      <c r="A529" s="21" t="n">
        <v>526</v>
      </c>
      <c r="B529" s="106" t="s">
        <v>1399</v>
      </c>
      <c r="C529" s="169" t="s">
        <v>1400</v>
      </c>
      <c r="D529" s="38" t="n">
        <v>42795</v>
      </c>
      <c r="E529" s="21" t="s">
        <v>33</v>
      </c>
      <c r="F529" s="38" t="s">
        <v>1394</v>
      </c>
      <c r="G529" s="159" t="s">
        <v>1127</v>
      </c>
      <c r="H529" s="22" t="s">
        <v>818</v>
      </c>
      <c r="I529" s="22" t="s">
        <v>28</v>
      </c>
      <c r="J529" s="25" t="s">
        <v>262</v>
      </c>
      <c r="K529" s="23" t="s">
        <v>1398</v>
      </c>
      <c r="L529" s="23" t="s">
        <v>993</v>
      </c>
      <c r="M529" s="24">
        <f aca="1">DATEDIF(D529,TODAY(),"Y")</f>
        <v>8</v>
      </c>
      <c r="N529" s="24">
        <f aca="1">DATEDIF(D529,TODAY(),"YM")</f>
        <v>7</v>
      </c>
      <c r="O529" s="24" t="str">
        <f aca="1">DATEDIF(D529,NOW(),"Y")&amp;" Tahun "&amp;DATEDIF(D529,NOW(),"YM")&amp;" Bulan "&amp;DATEDIF(D529,NOW(),"MD")&amp;" Hari "</f>
        <v>8 Tahun 7 Bulan 6 Hari </v>
      </c>
      <c r="P529" s="41">
        <f>D529</f>
        <v>42795</v>
      </c>
      <c r="Q529" s="36" t="n">
        <v>45258</v>
      </c>
      <c r="R529" s="51" t="n">
        <v>1200000</v>
      </c>
      <c r="S529" s="51" t="n">
        <v>1200000</v>
      </c>
    </row>
    <row r="530" spans="1:19">
      <c r="A530" s="21" t="n">
        <v>527</v>
      </c>
      <c r="B530" s="106" t="s">
        <v>1401</v>
      </c>
      <c r="C530" s="169" t="s">
        <v>1402</v>
      </c>
      <c r="D530" s="38" t="n">
        <v>42856</v>
      </c>
      <c r="E530" s="21" t="s">
        <v>33</v>
      </c>
      <c r="F530" s="38" t="s">
        <v>1394</v>
      </c>
      <c r="G530" s="159" t="s">
        <v>1127</v>
      </c>
      <c r="H530" s="22" t="s">
        <v>1403</v>
      </c>
      <c r="I530" s="22" t="s">
        <v>91</v>
      </c>
      <c r="J530" s="22" t="s">
        <v>1403</v>
      </c>
      <c r="K530" s="23" t="s">
        <v>1404</v>
      </c>
      <c r="L530" s="23" t="s">
        <v>92</v>
      </c>
      <c r="M530" s="24">
        <f aca="1">DATEDIF(D530,TODAY(),"Y")</f>
        <v>8</v>
      </c>
      <c r="N530" s="24">
        <f aca="1">DATEDIF(D530,TODAY(),"YM")</f>
        <v>5</v>
      </c>
      <c r="O530" s="24" t="str">
        <f aca="1">DATEDIF(D530,NOW(),"Y")&amp;" Tahun "&amp;DATEDIF(D530,NOW(),"YM")&amp;" Bulan "&amp;DATEDIF(D530,NOW(),"MD")&amp;" Hari "</f>
        <v>8 Tahun 5 Bulan 6 Hari </v>
      </c>
      <c r="P530" s="41">
        <f>D530</f>
        <v>42856</v>
      </c>
      <c r="Q530" s="36" t="n">
        <v>45258</v>
      </c>
      <c r="R530" s="51" t="n">
        <v>1350000</v>
      </c>
      <c r="S530" s="51" t="n">
        <v>1350000</v>
      </c>
    </row>
    <row r="531" spans="1:19">
      <c r="A531" s="21" t="n">
        <v>528</v>
      </c>
      <c r="B531" s="120" t="s">
        <v>1405</v>
      </c>
      <c r="C531" s="175" t="s">
        <v>1406</v>
      </c>
      <c r="D531" s="38" t="n">
        <v>42888</v>
      </c>
      <c r="E531" s="21" t="s">
        <v>24</v>
      </c>
      <c r="F531" s="38" t="s">
        <v>1394</v>
      </c>
      <c r="G531" s="159" t="s">
        <v>1127</v>
      </c>
      <c r="H531" s="22" t="s">
        <v>818</v>
      </c>
      <c r="I531" s="22" t="s">
        <v>28</v>
      </c>
      <c r="J531" s="22" t="s">
        <v>676</v>
      </c>
      <c r="K531" s="23" t="s">
        <v>1194</v>
      </c>
      <c r="L531" s="23" t="s">
        <v>1190</v>
      </c>
      <c r="M531" s="24">
        <f aca="1">DATEDIF(D531,TODAY(),"Y")</f>
        <v>8</v>
      </c>
      <c r="N531" s="24">
        <f aca="1">DATEDIF(D531,TODAY(),"YM")</f>
        <v>4</v>
      </c>
      <c r="O531" s="24" t="str">
        <f aca="1">DATEDIF(D531,NOW(),"Y")&amp;" Tahun "&amp;DATEDIF(D531,NOW(),"YM")&amp;" Bulan "&amp;DATEDIF(D531,NOW(),"MD")&amp;" Hari "</f>
        <v>8 Tahun 4 Bulan 5 Hari </v>
      </c>
      <c r="P531" s="41">
        <f>D531</f>
        <v>42888</v>
      </c>
      <c r="Q531" s="36" t="n">
        <v>45258</v>
      </c>
      <c r="R531" s="51" t="n">
        <v>1000000</v>
      </c>
      <c r="S531" s="51" t="n">
        <v>1000000</v>
      </c>
    </row>
    <row r="532" spans="1:19">
      <c r="A532" s="21" t="n">
        <v>529</v>
      </c>
      <c r="B532" s="106" t="s">
        <v>1407</v>
      </c>
      <c r="C532" s="175" t="s">
        <v>1408</v>
      </c>
      <c r="D532" s="38" t="n">
        <v>42888</v>
      </c>
      <c r="E532" s="21" t="s">
        <v>33</v>
      </c>
      <c r="F532" s="38" t="s">
        <v>1394</v>
      </c>
      <c r="G532" s="159" t="s">
        <v>1127</v>
      </c>
      <c r="H532" s="23" t="s">
        <v>1184</v>
      </c>
      <c r="I532" s="27" t="s">
        <v>96</v>
      </c>
      <c r="J532" s="23" t="s">
        <v>1185</v>
      </c>
      <c r="K532" s="28" t="s">
        <v>181</v>
      </c>
      <c r="L532" s="23" t="s">
        <v>168</v>
      </c>
      <c r="M532" s="24">
        <f aca="1">DATEDIF(D532,TODAY(),"Y")</f>
        <v>8</v>
      </c>
      <c r="N532" s="24">
        <f aca="1">DATEDIF(D532,TODAY(),"YM")</f>
        <v>4</v>
      </c>
      <c r="O532" s="24" t="str">
        <f aca="1">DATEDIF(D532,NOW(),"Y")&amp;" Tahun "&amp;DATEDIF(D532,NOW(),"YM")&amp;" Bulan "&amp;DATEDIF(D532,NOW(),"MD")&amp;" Hari "</f>
        <v>8 Tahun 4 Bulan 5 Hari </v>
      </c>
      <c r="P532" s="41">
        <f>D532</f>
        <v>42888</v>
      </c>
      <c r="Q532" s="36" t="n">
        <v>45258</v>
      </c>
      <c r="R532" s="51" t="n">
        <v>1200000</v>
      </c>
      <c r="S532" s="51" t="n">
        <v>1200000</v>
      </c>
    </row>
    <row r="533" spans="1:19">
      <c r="A533" s="21" t="n">
        <v>530</v>
      </c>
      <c r="B533" s="106" t="s">
        <v>1409</v>
      </c>
      <c r="C533" s="175" t="s">
        <v>1410</v>
      </c>
      <c r="D533" s="38" t="n">
        <v>43073</v>
      </c>
      <c r="E533" s="21" t="s">
        <v>33</v>
      </c>
      <c r="F533" s="38" t="s">
        <v>1394</v>
      </c>
      <c r="G533" s="159" t="s">
        <v>1127</v>
      </c>
      <c r="H533" s="22" t="s">
        <v>818</v>
      </c>
      <c r="I533" s="22" t="s">
        <v>28</v>
      </c>
      <c r="J533" s="22" t="s">
        <v>676</v>
      </c>
      <c r="K533" s="23" t="s">
        <v>1231</v>
      </c>
      <c r="L533" s="23" t="s">
        <v>382</v>
      </c>
      <c r="M533" s="24">
        <f aca="1">DATEDIF(D533,TODAY(),"Y")</f>
        <v>7</v>
      </c>
      <c r="N533" s="24">
        <f aca="1">DATEDIF(D533,TODAY(),"YM")</f>
        <v>10</v>
      </c>
      <c r="O533" s="24" t="str">
        <f aca="1">DATEDIF(D533,NOW(),"Y")&amp;" Tahun "&amp;DATEDIF(D533,NOW(),"YM")&amp;" Bulan "&amp;DATEDIF(D533,NOW(),"MD")&amp;" Hari "</f>
        <v>7 Tahun 10 Bulan 3 Hari </v>
      </c>
      <c r="P533" s="41">
        <f>D533</f>
        <v>43073</v>
      </c>
      <c r="Q533" s="36" t="n">
        <v>45258</v>
      </c>
      <c r="R533" s="51" t="n">
        <v>1000000</v>
      </c>
      <c r="S533" s="51" t="n">
        <v>1000000</v>
      </c>
    </row>
    <row r="534" spans="1:19">
      <c r="A534" s="21" t="n">
        <v>531</v>
      </c>
      <c r="B534" s="106" t="s">
        <v>1411</v>
      </c>
      <c r="C534" s="175" t="s">
        <v>1412</v>
      </c>
      <c r="D534" s="38" t="n">
        <v>43087</v>
      </c>
      <c r="E534" s="21" t="s">
        <v>33</v>
      </c>
      <c r="F534" s="38" t="s">
        <v>1394</v>
      </c>
      <c r="G534" s="159" t="s">
        <v>1127</v>
      </c>
      <c r="H534" s="22" t="s">
        <v>1413</v>
      </c>
      <c r="I534" s="22" t="s">
        <v>28</v>
      </c>
      <c r="J534" s="22" t="s">
        <v>676</v>
      </c>
      <c r="K534" s="23" t="s">
        <v>157</v>
      </c>
      <c r="L534" s="23" t="s">
        <v>119</v>
      </c>
      <c r="M534" s="24">
        <f aca="1">DATEDIF(D534,TODAY(),"Y")</f>
        <v>7</v>
      </c>
      <c r="N534" s="24">
        <f aca="1">DATEDIF(D534,TODAY(),"YM")</f>
        <v>9</v>
      </c>
      <c r="O534" s="24" t="str">
        <f aca="1">DATEDIF(D534,NOW(),"Y")&amp;" Tahun "&amp;DATEDIF(D534,NOW(),"YM")&amp;" Bulan "&amp;DATEDIF(D534,NOW(),"MD")&amp;" Hari "</f>
        <v>7 Tahun 9 Bulan 19 Hari </v>
      </c>
      <c r="P534" s="41">
        <f>D534</f>
        <v>43087</v>
      </c>
      <c r="Q534" s="36" t="n">
        <v>45258</v>
      </c>
      <c r="R534" s="51" t="n">
        <v>1000000</v>
      </c>
      <c r="S534" s="51" t="n">
        <v>1000000</v>
      </c>
    </row>
    <row r="535" spans="1:19" s="56" customFormat="1">
      <c r="A535" s="21" t="n">
        <v>532</v>
      </c>
      <c r="B535" s="106" t="s">
        <v>1414</v>
      </c>
      <c r="C535" s="175" t="s">
        <v>1415</v>
      </c>
      <c r="D535" s="38" t="n">
        <v>43087</v>
      </c>
      <c r="E535" s="21" t="s">
        <v>33</v>
      </c>
      <c r="F535" s="38" t="s">
        <v>1394</v>
      </c>
      <c r="G535" s="159" t="s">
        <v>1127</v>
      </c>
      <c r="H535" s="22" t="s">
        <v>1243</v>
      </c>
      <c r="I535" s="22" t="s">
        <v>28</v>
      </c>
      <c r="J535" s="22" t="s">
        <v>673</v>
      </c>
      <c r="K535" s="23" t="s">
        <v>1416</v>
      </c>
      <c r="L535" s="23" t="s">
        <v>1417</v>
      </c>
      <c r="M535" s="24">
        <f aca="1">DATEDIF(D535,TODAY(),"Y")</f>
        <v>7</v>
      </c>
      <c r="N535" s="24">
        <f aca="1">DATEDIF(D535,TODAY(),"YM")</f>
        <v>9</v>
      </c>
      <c r="O535" s="24" t="str">
        <f aca="1">DATEDIF(D535,NOW(),"Y")&amp;" Tahun "&amp;DATEDIF(D535,NOW(),"YM")&amp;" Bulan "&amp;DATEDIF(D535,NOW(),"MD")&amp;" Hari "</f>
        <v>7 Tahun 9 Bulan 19 Hari </v>
      </c>
      <c r="P535" s="41">
        <f>D535</f>
        <v>43087</v>
      </c>
      <c r="Q535" s="36" t="n">
        <v>45258</v>
      </c>
      <c r="R535" s="51" t="n">
        <v>1000000</v>
      </c>
      <c r="S535" s="51" t="n">
        <v>1000000</v>
      </c>
    </row>
    <row r="536" spans="1:19">
      <c r="A536" s="21" t="n">
        <v>533</v>
      </c>
      <c r="B536" s="106" t="s">
        <v>1418</v>
      </c>
      <c r="C536" s="175" t="s">
        <v>1419</v>
      </c>
      <c r="D536" s="38" t="n">
        <v>43101</v>
      </c>
      <c r="E536" s="21" t="s">
        <v>33</v>
      </c>
      <c r="F536" s="38" t="s">
        <v>1394</v>
      </c>
      <c r="G536" s="159" t="s">
        <v>1127</v>
      </c>
      <c r="H536" s="22" t="s">
        <v>1420</v>
      </c>
      <c r="I536" s="22" t="s">
        <v>28</v>
      </c>
      <c r="J536" s="22" t="s">
        <v>673</v>
      </c>
      <c r="K536" s="23" t="s">
        <v>1231</v>
      </c>
      <c r="L536" s="23" t="s">
        <v>103</v>
      </c>
      <c r="M536" s="24">
        <f aca="1">DATEDIF(D536,TODAY(),"Y")</f>
        <v>7</v>
      </c>
      <c r="N536" s="24">
        <f aca="1">DATEDIF(D536,TODAY(),"YM")</f>
        <v>9</v>
      </c>
      <c r="O536" s="24" t="str">
        <f aca="1">DATEDIF(D536,NOW(),"Y")&amp;" Tahun "&amp;DATEDIF(D536,NOW(),"YM")&amp;" Bulan "&amp;DATEDIF(D536,NOW(),"MD")&amp;" Hari "</f>
        <v>7 Tahun 9 Bulan 6 Hari </v>
      </c>
      <c r="P536" s="41">
        <f>D536</f>
        <v>43101</v>
      </c>
      <c r="Q536" s="36" t="n">
        <v>45258</v>
      </c>
      <c r="R536" s="51" t="n">
        <v>1000000</v>
      </c>
      <c r="S536" s="51" t="n">
        <v>1000000</v>
      </c>
    </row>
    <row r="537" spans="1:19">
      <c r="A537" s="21" t="n">
        <v>534</v>
      </c>
      <c r="B537" s="106" t="s">
        <v>1421</v>
      </c>
      <c r="C537" s="175" t="s">
        <v>1422</v>
      </c>
      <c r="D537" s="38" t="n">
        <v>43101</v>
      </c>
      <c r="E537" s="21" t="s">
        <v>33</v>
      </c>
      <c r="F537" s="38" t="s">
        <v>1394</v>
      </c>
      <c r="G537" s="159" t="s">
        <v>1127</v>
      </c>
      <c r="H537" s="22" t="s">
        <v>818</v>
      </c>
      <c r="I537" s="22" t="s">
        <v>28</v>
      </c>
      <c r="J537" s="22" t="s">
        <v>676</v>
      </c>
      <c r="K537" s="23" t="s">
        <v>1423</v>
      </c>
      <c r="L537" s="23" t="s">
        <v>1424</v>
      </c>
      <c r="M537" s="24">
        <f aca="1">DATEDIF(D537,TODAY(),"Y")</f>
        <v>7</v>
      </c>
      <c r="N537" s="24">
        <f aca="1">DATEDIF(D537,TODAY(),"YM")</f>
        <v>9</v>
      </c>
      <c r="O537" s="24" t="str">
        <f aca="1">DATEDIF(D537,NOW(),"Y")&amp;" Tahun "&amp;DATEDIF(D537,NOW(),"YM")&amp;" Bulan "&amp;DATEDIF(D537,NOW(),"MD")&amp;" Hari "</f>
        <v>7 Tahun 9 Bulan 6 Hari </v>
      </c>
      <c r="P537" s="41">
        <f>D537</f>
        <v>43101</v>
      </c>
      <c r="Q537" s="36" t="n">
        <v>45258</v>
      </c>
      <c r="R537" s="51" t="n">
        <v>1000000</v>
      </c>
      <c r="S537" s="51" t="n">
        <v>1000000</v>
      </c>
    </row>
    <row r="538" spans="1:19">
      <c r="A538" s="21" t="n">
        <v>535</v>
      </c>
      <c r="B538" s="106" t="s">
        <v>1425</v>
      </c>
      <c r="C538" s="175" t="s">
        <v>1426</v>
      </c>
      <c r="D538" s="38" t="n">
        <v>43101</v>
      </c>
      <c r="E538" s="21" t="s">
        <v>33</v>
      </c>
      <c r="F538" s="38" t="s">
        <v>1394</v>
      </c>
      <c r="G538" s="159" t="s">
        <v>1127</v>
      </c>
      <c r="H538" s="22" t="s">
        <v>1427</v>
      </c>
      <c r="I538" s="22" t="s">
        <v>28</v>
      </c>
      <c r="J538" s="22" t="s">
        <v>676</v>
      </c>
      <c r="K538" s="23" t="s">
        <v>1231</v>
      </c>
      <c r="L538" s="23" t="s">
        <v>1244</v>
      </c>
      <c r="M538" s="24">
        <f aca="1">DATEDIF(D538,TODAY(),"Y")</f>
        <v>7</v>
      </c>
      <c r="N538" s="24">
        <f aca="1">DATEDIF(D538,TODAY(),"YM")</f>
        <v>9</v>
      </c>
      <c r="O538" s="24" t="str">
        <f aca="1">DATEDIF(D538,NOW(),"Y")&amp;" Tahun "&amp;DATEDIF(D538,NOW(),"YM")&amp;" Bulan "&amp;DATEDIF(D538,NOW(),"MD")&amp;" Hari "</f>
        <v>7 Tahun 9 Bulan 6 Hari </v>
      </c>
      <c r="P538" s="41">
        <f>D538</f>
        <v>43101</v>
      </c>
      <c r="Q538" s="36" t="n">
        <v>45258</v>
      </c>
      <c r="R538" s="51" t="n">
        <v>1000000</v>
      </c>
      <c r="S538" s="51" t="n">
        <v>1000000</v>
      </c>
    </row>
    <row r="539" spans="1:19">
      <c r="A539" s="21" t="n">
        <v>536</v>
      </c>
      <c r="B539" s="106" t="s">
        <v>1428</v>
      </c>
      <c r="C539" s="175" t="s">
        <v>1429</v>
      </c>
      <c r="D539" s="38" t="n">
        <v>43101</v>
      </c>
      <c r="E539" s="21" t="s">
        <v>33</v>
      </c>
      <c r="F539" s="38" t="s">
        <v>1394</v>
      </c>
      <c r="G539" s="159" t="s">
        <v>1127</v>
      </c>
      <c r="H539" s="22" t="s">
        <v>1430</v>
      </c>
      <c r="I539" s="22" t="s">
        <v>28</v>
      </c>
      <c r="J539" s="22" t="s">
        <v>673</v>
      </c>
      <c r="K539" s="23" t="s">
        <v>1231</v>
      </c>
      <c r="L539" s="23" t="s">
        <v>696</v>
      </c>
      <c r="M539" s="24">
        <f aca="1">DATEDIF(D539,TODAY(),"Y")</f>
        <v>7</v>
      </c>
      <c r="N539" s="24">
        <f aca="1">DATEDIF(D539,TODAY(),"YM")</f>
        <v>9</v>
      </c>
      <c r="O539" s="24" t="str">
        <f aca="1">DATEDIF(D539,NOW(),"Y")&amp;" Tahun "&amp;DATEDIF(D539,NOW(),"YM")&amp;" Bulan "&amp;DATEDIF(D539,NOW(),"MD")&amp;" Hari "</f>
        <v>7 Tahun 9 Bulan 6 Hari </v>
      </c>
      <c r="P539" s="41">
        <f>D539</f>
        <v>43101</v>
      </c>
      <c r="Q539" s="36" t="n">
        <v>45258</v>
      </c>
      <c r="R539" s="51" t="n">
        <v>1000000</v>
      </c>
      <c r="S539" s="51" t="n">
        <v>1000000</v>
      </c>
    </row>
    <row r="540" spans="1:19">
      <c r="A540" s="21" t="n">
        <v>537</v>
      </c>
      <c r="B540" s="106" t="s">
        <v>1431</v>
      </c>
      <c r="C540" s="175" t="s">
        <v>1432</v>
      </c>
      <c r="D540" s="38" t="n">
        <v>43101</v>
      </c>
      <c r="E540" s="21" t="s">
        <v>33</v>
      </c>
      <c r="F540" s="38" t="s">
        <v>1394</v>
      </c>
      <c r="G540" s="159" t="s">
        <v>1127</v>
      </c>
      <c r="H540" s="22" t="s">
        <v>1420</v>
      </c>
      <c r="I540" s="22" t="s">
        <v>28</v>
      </c>
      <c r="J540" s="22" t="s">
        <v>673</v>
      </c>
      <c r="K540" s="23" t="s">
        <v>1231</v>
      </c>
      <c r="L540" s="23" t="s">
        <v>103</v>
      </c>
      <c r="M540" s="24">
        <f aca="1">DATEDIF(D540,TODAY(),"Y")</f>
        <v>7</v>
      </c>
      <c r="N540" s="24">
        <f aca="1">DATEDIF(D540,TODAY(),"YM")</f>
        <v>9</v>
      </c>
      <c r="O540" s="24" t="str">
        <f aca="1">DATEDIF(D540,NOW(),"Y")&amp;" Tahun "&amp;DATEDIF(D540,NOW(),"YM")&amp;" Bulan "&amp;DATEDIF(D540,NOW(),"MD")&amp;" Hari "</f>
        <v>7 Tahun 9 Bulan 6 Hari </v>
      </c>
      <c r="P540" s="41">
        <f>D540</f>
        <v>43101</v>
      </c>
      <c r="Q540" s="36" t="n">
        <v>45258</v>
      </c>
      <c r="R540" s="51" t="n">
        <v>1000000</v>
      </c>
      <c r="S540" s="51" t="n">
        <v>1000000</v>
      </c>
    </row>
    <row r="541" spans="1:19">
      <c r="A541" s="21" t="n">
        <v>538</v>
      </c>
      <c r="B541" s="106" t="s">
        <v>1433</v>
      </c>
      <c r="C541" s="175" t="s">
        <v>1434</v>
      </c>
      <c r="D541" s="38" t="n">
        <v>43101</v>
      </c>
      <c r="E541" s="21" t="s">
        <v>24</v>
      </c>
      <c r="F541" s="38" t="s">
        <v>1394</v>
      </c>
      <c r="G541" s="159" t="s">
        <v>1127</v>
      </c>
      <c r="H541" s="23" t="s">
        <v>1435</v>
      </c>
      <c r="I541" s="22" t="s">
        <v>28</v>
      </c>
      <c r="J541" s="22" t="s">
        <v>673</v>
      </c>
      <c r="K541" s="23" t="s">
        <v>1436</v>
      </c>
      <c r="L541" s="23" t="s">
        <v>92</v>
      </c>
      <c r="M541" s="24">
        <f aca="1">DATEDIF(D541,TODAY(),"Y")</f>
        <v>7</v>
      </c>
      <c r="N541" s="24">
        <f aca="1">DATEDIF(D541,TODAY(),"YM")</f>
        <v>9</v>
      </c>
      <c r="O541" s="24" t="str">
        <f aca="1">DATEDIF(D541,NOW(),"Y")&amp;" Tahun "&amp;DATEDIF(D541,NOW(),"YM")&amp;" Bulan "&amp;DATEDIF(D541,NOW(),"MD")&amp;" Hari "</f>
        <v>7 Tahun 9 Bulan 6 Hari </v>
      </c>
      <c r="P541" s="41">
        <f>D541</f>
        <v>43101</v>
      </c>
      <c r="Q541" s="36" t="n">
        <v>45258</v>
      </c>
      <c r="R541" s="51" t="n">
        <v>1000000</v>
      </c>
      <c r="S541" s="51" t="n">
        <v>1000000</v>
      </c>
    </row>
    <row r="542" spans="1:19">
      <c r="A542" s="21" t="n">
        <v>539</v>
      </c>
      <c r="B542" s="106" t="s">
        <v>1437</v>
      </c>
      <c r="C542" s="175" t="s">
        <v>1438</v>
      </c>
      <c r="D542" s="38" t="n">
        <v>43101</v>
      </c>
      <c r="E542" s="21" t="s">
        <v>24</v>
      </c>
      <c r="F542" s="38" t="s">
        <v>1394</v>
      </c>
      <c r="G542" s="159" t="s">
        <v>1127</v>
      </c>
      <c r="H542" s="23" t="s">
        <v>1435</v>
      </c>
      <c r="I542" s="22" t="s">
        <v>28</v>
      </c>
      <c r="J542" s="22" t="s">
        <v>673</v>
      </c>
      <c r="K542" s="23" t="s">
        <v>1194</v>
      </c>
      <c r="L542" s="23" t="s">
        <v>92</v>
      </c>
      <c r="M542" s="24">
        <f aca="1">DATEDIF(D542,TODAY(),"Y")</f>
        <v>7</v>
      </c>
      <c r="N542" s="24">
        <f aca="1">DATEDIF(D542,TODAY(),"YM")</f>
        <v>9</v>
      </c>
      <c r="O542" s="24" t="str">
        <f aca="1">DATEDIF(D542,NOW(),"Y")&amp;" Tahun "&amp;DATEDIF(D542,NOW(),"YM")&amp;" Bulan "&amp;DATEDIF(D542,NOW(),"MD")&amp;" Hari "</f>
        <v>7 Tahun 9 Bulan 6 Hari </v>
      </c>
      <c r="P542" s="41">
        <f>D542</f>
        <v>43101</v>
      </c>
      <c r="Q542" s="36" t="n">
        <v>45258</v>
      </c>
      <c r="R542" s="51" t="n">
        <v>1000000</v>
      </c>
      <c r="S542" s="51" t="n">
        <v>1000000</v>
      </c>
    </row>
    <row r="543" spans="1:19">
      <c r="A543" s="21" t="n">
        <v>540</v>
      </c>
      <c r="B543" s="106" t="s">
        <v>1439</v>
      </c>
      <c r="C543" s="175" t="s">
        <v>1440</v>
      </c>
      <c r="D543" s="38" t="n">
        <v>43101</v>
      </c>
      <c r="E543" s="21" t="s">
        <v>33</v>
      </c>
      <c r="F543" s="38" t="s">
        <v>1394</v>
      </c>
      <c r="G543" s="159" t="s">
        <v>1127</v>
      </c>
      <c r="H543" s="22" t="s">
        <v>818</v>
      </c>
      <c r="I543" s="22" t="s">
        <v>28</v>
      </c>
      <c r="J543" s="22" t="s">
        <v>676</v>
      </c>
      <c r="K543" s="23" t="s">
        <v>1231</v>
      </c>
      <c r="L543" s="23" t="s">
        <v>173</v>
      </c>
      <c r="M543" s="24">
        <f aca="1">DATEDIF(D543,TODAY(),"Y")</f>
        <v>7</v>
      </c>
      <c r="N543" s="24">
        <f aca="1">DATEDIF(D543,TODAY(),"YM")</f>
        <v>9</v>
      </c>
      <c r="O543" s="24" t="str">
        <f aca="1">DATEDIF(D543,NOW(),"Y")&amp;" Tahun "&amp;DATEDIF(D543,NOW(),"YM")&amp;" Bulan "&amp;DATEDIF(D543,NOW(),"MD")&amp;" Hari "</f>
        <v>7 Tahun 9 Bulan 6 Hari </v>
      </c>
      <c r="P543" s="41">
        <f>D543</f>
        <v>43101</v>
      </c>
      <c r="Q543" s="36" t="n">
        <v>45258</v>
      </c>
      <c r="R543" s="51" t="n">
        <v>1000000</v>
      </c>
      <c r="S543" s="51" t="n">
        <v>1000000</v>
      </c>
    </row>
    <row r="544" spans="1:19">
      <c r="A544" s="21" t="n">
        <v>541</v>
      </c>
      <c r="B544" s="106" t="s">
        <v>1441</v>
      </c>
      <c r="C544" s="175" t="s">
        <v>1442</v>
      </c>
      <c r="D544" s="38" t="n">
        <v>43101</v>
      </c>
      <c r="E544" s="21" t="s">
        <v>33</v>
      </c>
      <c r="F544" s="38" t="s">
        <v>1394</v>
      </c>
      <c r="G544" s="159" t="s">
        <v>1127</v>
      </c>
      <c r="H544" s="22" t="s">
        <v>818</v>
      </c>
      <c r="I544" s="22" t="s">
        <v>28</v>
      </c>
      <c r="J544" s="22" t="s">
        <v>676</v>
      </c>
      <c r="K544" s="23" t="s">
        <v>1231</v>
      </c>
      <c r="L544" s="30" t="s">
        <v>197</v>
      </c>
      <c r="M544" s="24">
        <f aca="1">DATEDIF(D544,TODAY(),"Y")</f>
        <v>7</v>
      </c>
      <c r="N544" s="24">
        <f aca="1">DATEDIF(D544,TODAY(),"YM")</f>
        <v>9</v>
      </c>
      <c r="O544" s="24" t="str">
        <f aca="1">DATEDIF(D544,NOW(),"Y")&amp;" Tahun "&amp;DATEDIF(D544,NOW(),"YM")&amp;" Bulan "&amp;DATEDIF(D544,NOW(),"MD")&amp;" Hari "</f>
        <v>7 Tahun 9 Bulan 6 Hari </v>
      </c>
      <c r="P544" s="41">
        <f>D544</f>
        <v>43101</v>
      </c>
      <c r="Q544" s="36" t="n">
        <v>45258</v>
      </c>
      <c r="R544" s="51" t="n">
        <v>1000000</v>
      </c>
      <c r="S544" s="51" t="n">
        <v>1000000</v>
      </c>
    </row>
    <row r="545" spans="1:19">
      <c r="A545" s="21" t="n">
        <v>542</v>
      </c>
      <c r="B545" s="106" t="s">
        <v>1443</v>
      </c>
      <c r="C545" s="175" t="s">
        <v>1444</v>
      </c>
      <c r="D545" s="38" t="n">
        <v>43101</v>
      </c>
      <c r="E545" s="21" t="s">
        <v>33</v>
      </c>
      <c r="F545" s="38" t="s">
        <v>1394</v>
      </c>
      <c r="G545" s="159" t="s">
        <v>1127</v>
      </c>
      <c r="H545" s="22" t="s">
        <v>1445</v>
      </c>
      <c r="I545" s="22" t="s">
        <v>28</v>
      </c>
      <c r="J545" s="22" t="s">
        <v>673</v>
      </c>
      <c r="K545" s="23" t="s">
        <v>1231</v>
      </c>
      <c r="L545" s="23" t="s">
        <v>245</v>
      </c>
      <c r="M545" s="24">
        <f aca="1">DATEDIF(D545,TODAY(),"Y")</f>
        <v>7</v>
      </c>
      <c r="N545" s="24">
        <f aca="1">DATEDIF(D545,TODAY(),"YM")</f>
        <v>9</v>
      </c>
      <c r="O545" s="24" t="str">
        <f aca="1">DATEDIF(D545,NOW(),"Y")&amp;" Tahun "&amp;DATEDIF(D545,NOW(),"YM")&amp;" Bulan "&amp;DATEDIF(D545,NOW(),"MD")&amp;" Hari "</f>
        <v>7 Tahun 9 Bulan 6 Hari </v>
      </c>
      <c r="P545" s="41">
        <f>D545</f>
        <v>43101</v>
      </c>
      <c r="Q545" s="36" t="n">
        <v>45258</v>
      </c>
      <c r="R545" s="51" t="n">
        <v>1000000</v>
      </c>
      <c r="S545" s="51" t="n">
        <v>1000000</v>
      </c>
    </row>
    <row r="546" spans="1:19">
      <c r="A546" s="21" t="n">
        <v>543</v>
      </c>
      <c r="B546" s="106" t="s">
        <v>1446</v>
      </c>
      <c r="C546" s="175" t="s">
        <v>1447</v>
      </c>
      <c r="D546" s="38" t="n">
        <v>43101</v>
      </c>
      <c r="E546" s="21" t="s">
        <v>33</v>
      </c>
      <c r="F546" s="38" t="s">
        <v>1394</v>
      </c>
      <c r="G546" s="159" t="s">
        <v>1127</v>
      </c>
      <c r="H546" s="22" t="s">
        <v>1448</v>
      </c>
      <c r="I546" s="22" t="s">
        <v>28</v>
      </c>
      <c r="J546" s="22" t="s">
        <v>673</v>
      </c>
      <c r="K546" s="23" t="s">
        <v>1423</v>
      </c>
      <c r="L546" s="23" t="s">
        <v>1449</v>
      </c>
      <c r="M546" s="24">
        <f aca="1">DATEDIF(D546,TODAY(),"Y")</f>
        <v>7</v>
      </c>
      <c r="N546" s="24">
        <f aca="1">DATEDIF(D546,TODAY(),"YM")</f>
        <v>9</v>
      </c>
      <c r="O546" s="24" t="str">
        <f aca="1">DATEDIF(D546,NOW(),"Y")&amp;" Tahun "&amp;DATEDIF(D546,NOW(),"YM")&amp;" Bulan "&amp;DATEDIF(D546,NOW(),"MD")&amp;" Hari "</f>
        <v>7 Tahun 9 Bulan 6 Hari </v>
      </c>
      <c r="P546" s="41">
        <f>D546</f>
        <v>43101</v>
      </c>
      <c r="Q546" s="36" t="n">
        <v>45258</v>
      </c>
      <c r="R546" s="51" t="n">
        <v>1000000</v>
      </c>
      <c r="S546" s="51" t="n">
        <v>1000000</v>
      </c>
    </row>
    <row r="547" spans="1:19">
      <c r="A547" s="21" t="n">
        <v>544</v>
      </c>
      <c r="B547" s="106" t="s">
        <v>1450</v>
      </c>
      <c r="C547" s="175" t="s">
        <v>1451</v>
      </c>
      <c r="D547" s="38" t="n">
        <v>43101</v>
      </c>
      <c r="E547" s="21" t="s">
        <v>33</v>
      </c>
      <c r="F547" s="38" t="s">
        <v>1394</v>
      </c>
      <c r="G547" s="159" t="s">
        <v>1127</v>
      </c>
      <c r="H547" s="22" t="s">
        <v>818</v>
      </c>
      <c r="I547" s="22" t="s">
        <v>28</v>
      </c>
      <c r="J547" s="22" t="s">
        <v>676</v>
      </c>
      <c r="K547" s="23" t="s">
        <v>1231</v>
      </c>
      <c r="L547" s="23" t="s">
        <v>134</v>
      </c>
      <c r="M547" s="24">
        <f aca="1">DATEDIF(D547,TODAY(),"Y")</f>
        <v>7</v>
      </c>
      <c r="N547" s="24">
        <f aca="1">DATEDIF(D547,TODAY(),"YM")</f>
        <v>9</v>
      </c>
      <c r="O547" s="24" t="str">
        <f aca="1">DATEDIF(D547,NOW(),"Y")&amp;" Tahun "&amp;DATEDIF(D547,NOW(),"YM")&amp;" Bulan "&amp;DATEDIF(D547,NOW(),"MD")&amp;" Hari "</f>
        <v>7 Tahun 9 Bulan 6 Hari </v>
      </c>
      <c r="P547" s="41">
        <f>D547</f>
        <v>43101</v>
      </c>
      <c r="Q547" s="36" t="n">
        <v>45258</v>
      </c>
      <c r="R547" s="51" t="n">
        <v>1000000</v>
      </c>
      <c r="S547" s="51" t="n">
        <v>1000000</v>
      </c>
    </row>
    <row r="548" spans="1:19">
      <c r="A548" s="21" t="n">
        <v>545</v>
      </c>
      <c r="B548" s="106" t="s">
        <v>1452</v>
      </c>
      <c r="C548" s="175" t="s">
        <v>1453</v>
      </c>
      <c r="D548" s="38" t="n">
        <v>43101</v>
      </c>
      <c r="E548" s="21" t="s">
        <v>33</v>
      </c>
      <c r="F548" s="38" t="s">
        <v>1394</v>
      </c>
      <c r="G548" s="159" t="s">
        <v>1127</v>
      </c>
      <c r="H548" s="22" t="s">
        <v>1430</v>
      </c>
      <c r="I548" s="22" t="s">
        <v>28</v>
      </c>
      <c r="J548" s="22" t="s">
        <v>673</v>
      </c>
      <c r="K548" s="23" t="s">
        <v>1454</v>
      </c>
      <c r="L548" s="23" t="s">
        <v>696</v>
      </c>
      <c r="M548" s="24">
        <f aca="1">DATEDIF(D548,TODAY(),"Y")</f>
        <v>7</v>
      </c>
      <c r="N548" s="24">
        <f aca="1">DATEDIF(D548,TODAY(),"YM")</f>
        <v>9</v>
      </c>
      <c r="O548" s="24" t="str">
        <f aca="1">DATEDIF(D548,NOW(),"Y")&amp;" Tahun "&amp;DATEDIF(D548,NOW(),"YM")&amp;" Bulan "&amp;DATEDIF(D548,NOW(),"MD")&amp;" Hari "</f>
        <v>7 Tahun 9 Bulan 6 Hari </v>
      </c>
      <c r="P548" s="41">
        <f>D548</f>
        <v>43101</v>
      </c>
      <c r="Q548" s="36" t="n">
        <v>45258</v>
      </c>
      <c r="R548" s="51" t="n">
        <v>1000000</v>
      </c>
      <c r="S548" s="51" t="n">
        <v>1000000</v>
      </c>
    </row>
    <row r="549" spans="1:19">
      <c r="A549" s="21" t="n">
        <v>546</v>
      </c>
      <c r="B549" s="106" t="s">
        <v>1455</v>
      </c>
      <c r="C549" s="175" t="s">
        <v>1456</v>
      </c>
      <c r="D549" s="38" t="n">
        <v>43101</v>
      </c>
      <c r="E549" s="21" t="s">
        <v>33</v>
      </c>
      <c r="F549" s="38" t="s">
        <v>1394</v>
      </c>
      <c r="G549" s="159" t="s">
        <v>1127</v>
      </c>
      <c r="H549" s="22" t="s">
        <v>346</v>
      </c>
      <c r="I549" s="22" t="s">
        <v>28</v>
      </c>
      <c r="J549" s="22" t="s">
        <v>673</v>
      </c>
      <c r="K549" s="23" t="s">
        <v>1231</v>
      </c>
      <c r="L549" s="23" t="s">
        <v>128</v>
      </c>
      <c r="M549" s="24">
        <f aca="1">DATEDIF(D549,TODAY(),"Y")</f>
        <v>7</v>
      </c>
      <c r="N549" s="24">
        <f aca="1">DATEDIF(D549,TODAY(),"YM")</f>
        <v>9</v>
      </c>
      <c r="O549" s="24" t="str">
        <f aca="1">DATEDIF(D549,NOW(),"Y")&amp;" Tahun "&amp;DATEDIF(D549,NOW(),"YM")&amp;" Bulan "&amp;DATEDIF(D549,NOW(),"MD")&amp;" Hari "</f>
        <v>7 Tahun 9 Bulan 6 Hari </v>
      </c>
      <c r="P549" s="41">
        <f>D549</f>
        <v>43101</v>
      </c>
      <c r="Q549" s="36" t="n">
        <v>45258</v>
      </c>
      <c r="R549" s="51" t="n">
        <v>1000000</v>
      </c>
      <c r="S549" s="51" t="n">
        <v>1000000</v>
      </c>
    </row>
    <row r="550" spans="1:19">
      <c r="A550" s="21" t="n">
        <v>547</v>
      </c>
      <c r="B550" s="106" t="s">
        <v>1457</v>
      </c>
      <c r="C550" s="175" t="s">
        <v>1458</v>
      </c>
      <c r="D550" s="38" t="n">
        <v>43101</v>
      </c>
      <c r="E550" s="21" t="s">
        <v>33</v>
      </c>
      <c r="F550" s="38" t="s">
        <v>1394</v>
      </c>
      <c r="G550" s="159" t="s">
        <v>1127</v>
      </c>
      <c r="H550" s="22" t="s">
        <v>346</v>
      </c>
      <c r="I550" s="22" t="s">
        <v>28</v>
      </c>
      <c r="J550" s="22" t="s">
        <v>673</v>
      </c>
      <c r="K550" s="23" t="s">
        <v>1231</v>
      </c>
      <c r="L550" s="23" t="s">
        <v>128</v>
      </c>
      <c r="M550" s="24">
        <f aca="1">DATEDIF(D550,TODAY(),"Y")</f>
        <v>7</v>
      </c>
      <c r="N550" s="24">
        <f aca="1">DATEDIF(D550,TODAY(),"YM")</f>
        <v>9</v>
      </c>
      <c r="O550" s="24" t="str">
        <f aca="1">DATEDIF(D550,NOW(),"Y")&amp;" Tahun "&amp;DATEDIF(D550,NOW(),"YM")&amp;" Bulan "&amp;DATEDIF(D550,NOW(),"MD")&amp;" Hari "</f>
        <v>7 Tahun 9 Bulan 6 Hari </v>
      </c>
      <c r="P550" s="41">
        <f>D550</f>
        <v>43101</v>
      </c>
      <c r="Q550" s="36" t="n">
        <v>45258</v>
      </c>
      <c r="R550" s="51" t="n">
        <v>1000000</v>
      </c>
      <c r="S550" s="51" t="n">
        <v>1000000</v>
      </c>
    </row>
    <row r="551" spans="1:19">
      <c r="A551" s="21" t="n">
        <v>548</v>
      </c>
      <c r="B551" s="106" t="s">
        <v>1459</v>
      </c>
      <c r="C551" s="175" t="s">
        <v>1460</v>
      </c>
      <c r="D551" s="38" t="n">
        <v>43101</v>
      </c>
      <c r="E551" s="21" t="s">
        <v>33</v>
      </c>
      <c r="F551" s="38" t="s">
        <v>1394</v>
      </c>
      <c r="G551" s="159" t="s">
        <v>1127</v>
      </c>
      <c r="H551" s="22" t="s">
        <v>1445</v>
      </c>
      <c r="I551" s="22" t="s">
        <v>28</v>
      </c>
      <c r="J551" s="22" t="s">
        <v>673</v>
      </c>
      <c r="K551" s="23" t="s">
        <v>1231</v>
      </c>
      <c r="L551" s="23" t="s">
        <v>245</v>
      </c>
      <c r="M551" s="24">
        <f aca="1">DATEDIF(D551,TODAY(),"Y")</f>
        <v>7</v>
      </c>
      <c r="N551" s="24">
        <f aca="1">DATEDIF(D551,TODAY(),"YM")</f>
        <v>9</v>
      </c>
      <c r="O551" s="24" t="str">
        <f aca="1">DATEDIF(D551,NOW(),"Y")&amp;" Tahun "&amp;DATEDIF(D551,NOW(),"YM")&amp;" Bulan "&amp;DATEDIF(D551,NOW(),"MD")&amp;" Hari "</f>
        <v>7 Tahun 9 Bulan 6 Hari </v>
      </c>
      <c r="P551" s="41">
        <f>D551</f>
        <v>43101</v>
      </c>
      <c r="Q551" s="36" t="n">
        <v>45258</v>
      </c>
      <c r="R551" s="51" t="n">
        <v>1000000</v>
      </c>
      <c r="S551" s="51" t="n">
        <v>1000000</v>
      </c>
    </row>
    <row r="552" spans="1:19">
      <c r="A552" s="21" t="n">
        <v>549</v>
      </c>
      <c r="B552" s="106" t="s">
        <v>1461</v>
      </c>
      <c r="C552" s="175" t="s">
        <v>1462</v>
      </c>
      <c r="D552" s="38" t="n">
        <v>43101</v>
      </c>
      <c r="E552" s="21" t="s">
        <v>24</v>
      </c>
      <c r="F552" s="38" t="s">
        <v>1394</v>
      </c>
      <c r="G552" s="159" t="s">
        <v>1127</v>
      </c>
      <c r="H552" s="23" t="s">
        <v>1435</v>
      </c>
      <c r="I552" s="22" t="s">
        <v>28</v>
      </c>
      <c r="J552" s="22" t="s">
        <v>673</v>
      </c>
      <c r="K552" s="23" t="s">
        <v>1454</v>
      </c>
      <c r="L552" s="23" t="s">
        <v>92</v>
      </c>
      <c r="M552" s="24">
        <f aca="1">DATEDIF(D552,TODAY(),"Y")</f>
        <v>7</v>
      </c>
      <c r="N552" s="24">
        <f aca="1">DATEDIF(D552,TODAY(),"YM")</f>
        <v>9</v>
      </c>
      <c r="O552" s="24" t="str">
        <f aca="1">DATEDIF(D552,NOW(),"Y")&amp;" Tahun "&amp;DATEDIF(D552,NOW(),"YM")&amp;" Bulan "&amp;DATEDIF(D552,NOW(),"MD")&amp;" Hari "</f>
        <v>7 Tahun 9 Bulan 6 Hari </v>
      </c>
      <c r="P552" s="41">
        <f>D552</f>
        <v>43101</v>
      </c>
      <c r="Q552" s="36" t="n">
        <v>45258</v>
      </c>
      <c r="R552" s="51" t="n">
        <v>1000000</v>
      </c>
      <c r="S552" s="51" t="n">
        <v>1000000</v>
      </c>
    </row>
    <row r="553" spans="1:19">
      <c r="A553" s="21" t="n">
        <v>550</v>
      </c>
      <c r="B553" s="106" t="s">
        <v>1463</v>
      </c>
      <c r="C553" s="175" t="s">
        <v>1464</v>
      </c>
      <c r="D553" s="38" t="n">
        <v>43101</v>
      </c>
      <c r="E553" s="21" t="s">
        <v>24</v>
      </c>
      <c r="F553" s="38" t="s">
        <v>1394</v>
      </c>
      <c r="G553" s="159" t="s">
        <v>1127</v>
      </c>
      <c r="H553" s="23" t="s">
        <v>1435</v>
      </c>
      <c r="I553" s="22" t="s">
        <v>28</v>
      </c>
      <c r="J553" s="22" t="s">
        <v>673</v>
      </c>
      <c r="K553" s="23" t="s">
        <v>1231</v>
      </c>
      <c r="L553" s="23" t="s">
        <v>92</v>
      </c>
      <c r="M553" s="24">
        <f aca="1">DATEDIF(D553,TODAY(),"Y")</f>
        <v>7</v>
      </c>
      <c r="N553" s="24">
        <f aca="1">DATEDIF(D553,TODAY(),"YM")</f>
        <v>9</v>
      </c>
      <c r="O553" s="24" t="str">
        <f aca="1">DATEDIF(D553,NOW(),"Y")&amp;" Tahun "&amp;DATEDIF(D553,NOW(),"YM")&amp;" Bulan "&amp;DATEDIF(D553,NOW(),"MD")&amp;" Hari "</f>
        <v>7 Tahun 9 Bulan 6 Hari </v>
      </c>
      <c r="P553" s="41">
        <f>D553</f>
        <v>43101</v>
      </c>
      <c r="Q553" s="36" t="n">
        <v>45258</v>
      </c>
      <c r="R553" s="51" t="n">
        <v>1000000</v>
      </c>
      <c r="S553" s="51" t="n">
        <v>1000000</v>
      </c>
    </row>
    <row r="554" spans="1:19">
      <c r="A554" s="21" t="n">
        <v>551</v>
      </c>
      <c r="B554" s="106" t="s">
        <v>1465</v>
      </c>
      <c r="C554" s="175" t="s">
        <v>1466</v>
      </c>
      <c r="D554" s="38" t="n">
        <v>43101</v>
      </c>
      <c r="E554" s="21" t="s">
        <v>33</v>
      </c>
      <c r="F554" s="38" t="s">
        <v>1394</v>
      </c>
      <c r="G554" s="159" t="s">
        <v>1127</v>
      </c>
      <c r="H554" s="22" t="s">
        <v>818</v>
      </c>
      <c r="I554" s="22" t="s">
        <v>28</v>
      </c>
      <c r="J554" s="22" t="s">
        <v>676</v>
      </c>
      <c r="K554" s="23" t="s">
        <v>1194</v>
      </c>
      <c r="L554" s="23" t="s">
        <v>134</v>
      </c>
      <c r="M554" s="24">
        <f aca="1">DATEDIF(D554,TODAY(),"Y")</f>
        <v>7</v>
      </c>
      <c r="N554" s="24">
        <f aca="1">DATEDIF(D554,TODAY(),"YM")</f>
        <v>9</v>
      </c>
      <c r="O554" s="24" t="str">
        <f aca="1">DATEDIF(D554,NOW(),"Y")&amp;" Tahun "&amp;DATEDIF(D554,NOW(),"YM")&amp;" Bulan "&amp;DATEDIF(D554,NOW(),"MD")&amp;" Hari "</f>
        <v>7 Tahun 9 Bulan 6 Hari </v>
      </c>
      <c r="P554" s="41">
        <f>D554</f>
        <v>43101</v>
      </c>
      <c r="Q554" s="36" t="n">
        <v>45258</v>
      </c>
      <c r="R554" s="51" t="n">
        <v>1000000</v>
      </c>
      <c r="S554" s="51" t="n">
        <v>1000000</v>
      </c>
    </row>
    <row r="555" spans="1:19">
      <c r="A555" s="21" t="n">
        <v>552</v>
      </c>
      <c r="B555" s="106" t="s">
        <v>1467</v>
      </c>
      <c r="C555" s="175" t="s">
        <v>1468</v>
      </c>
      <c r="D555" s="38" t="n">
        <v>43101</v>
      </c>
      <c r="E555" s="21" t="s">
        <v>24</v>
      </c>
      <c r="F555" s="38" t="s">
        <v>1394</v>
      </c>
      <c r="G555" s="159" t="s">
        <v>1127</v>
      </c>
      <c r="H555" s="23" t="s">
        <v>1435</v>
      </c>
      <c r="I555" s="22" t="s">
        <v>28</v>
      </c>
      <c r="J555" s="22" t="s">
        <v>673</v>
      </c>
      <c r="K555" s="23" t="s">
        <v>1231</v>
      </c>
      <c r="L555" s="23" t="s">
        <v>92</v>
      </c>
      <c r="M555" s="24">
        <f aca="1">DATEDIF(D555,TODAY(),"Y")</f>
        <v>7</v>
      </c>
      <c r="N555" s="24">
        <f aca="1">DATEDIF(D555,TODAY(),"YM")</f>
        <v>9</v>
      </c>
      <c r="O555" s="24" t="str">
        <f aca="1">DATEDIF(D555,NOW(),"Y")&amp;" Tahun "&amp;DATEDIF(D555,NOW(),"YM")&amp;" Bulan "&amp;DATEDIF(D555,NOW(),"MD")&amp;" Hari "</f>
        <v>7 Tahun 9 Bulan 6 Hari </v>
      </c>
      <c r="P555" s="41">
        <f>D555</f>
        <v>43101</v>
      </c>
      <c r="Q555" s="36" t="n">
        <v>45258</v>
      </c>
      <c r="R555" s="51" t="n">
        <v>1000000</v>
      </c>
      <c r="S555" s="51" t="n">
        <v>1000000</v>
      </c>
    </row>
    <row r="556" spans="1:19">
      <c r="A556" s="21" t="n">
        <v>553</v>
      </c>
      <c r="B556" s="106" t="s">
        <v>1469</v>
      </c>
      <c r="C556" s="175" t="s">
        <v>1470</v>
      </c>
      <c r="D556" s="38" t="n">
        <v>43101</v>
      </c>
      <c r="E556" s="21" t="s">
        <v>24</v>
      </c>
      <c r="F556" s="38" t="s">
        <v>1394</v>
      </c>
      <c r="G556" s="159" t="s">
        <v>1127</v>
      </c>
      <c r="H556" s="22" t="s">
        <v>536</v>
      </c>
      <c r="I556" s="22" t="s">
        <v>28</v>
      </c>
      <c r="J556" s="22" t="s">
        <v>673</v>
      </c>
      <c r="K556" s="23" t="s">
        <v>1471</v>
      </c>
      <c r="L556" s="23" t="s">
        <v>245</v>
      </c>
      <c r="M556" s="24">
        <f aca="1">DATEDIF(D556,TODAY(),"Y")</f>
        <v>7</v>
      </c>
      <c r="N556" s="24">
        <f aca="1">DATEDIF(D556,TODAY(),"YM")</f>
        <v>9</v>
      </c>
      <c r="O556" s="24" t="str">
        <f aca="1">DATEDIF(D556,NOW(),"Y")&amp;" Tahun "&amp;DATEDIF(D556,NOW(),"YM")&amp;" Bulan "&amp;DATEDIF(D556,NOW(),"MD")&amp;" Hari "</f>
        <v>7 Tahun 9 Bulan 6 Hari </v>
      </c>
      <c r="P556" s="41">
        <f>D556</f>
        <v>43101</v>
      </c>
      <c r="Q556" s="36" t="n">
        <v>45258</v>
      </c>
      <c r="R556" s="51" t="n">
        <v>1000000</v>
      </c>
      <c r="S556" s="51" t="n">
        <v>1000000</v>
      </c>
    </row>
    <row r="557" spans="1:19">
      <c r="A557" s="21" t="n">
        <v>554</v>
      </c>
      <c r="B557" s="106" t="s">
        <v>1472</v>
      </c>
      <c r="C557" s="175" t="s">
        <v>1473</v>
      </c>
      <c r="D557" s="38" t="n">
        <v>43101</v>
      </c>
      <c r="E557" s="21" t="s">
        <v>33</v>
      </c>
      <c r="F557" s="38" t="s">
        <v>1394</v>
      </c>
      <c r="G557" s="159" t="s">
        <v>1127</v>
      </c>
      <c r="H557" s="22" t="s">
        <v>818</v>
      </c>
      <c r="I557" s="22" t="s">
        <v>28</v>
      </c>
      <c r="J557" s="22" t="s">
        <v>676</v>
      </c>
      <c r="K557" s="23" t="s">
        <v>1194</v>
      </c>
      <c r="L557" s="23" t="s">
        <v>523</v>
      </c>
      <c r="M557" s="24">
        <f aca="1">DATEDIF(D557,TODAY(),"Y")</f>
        <v>7</v>
      </c>
      <c r="N557" s="24">
        <f aca="1">DATEDIF(D557,TODAY(),"YM")</f>
        <v>9</v>
      </c>
      <c r="O557" s="24" t="str">
        <f aca="1">DATEDIF(D557,NOW(),"Y")&amp;" Tahun "&amp;DATEDIF(D557,NOW(),"YM")&amp;" Bulan "&amp;DATEDIF(D557,NOW(),"MD")&amp;" Hari "</f>
        <v>7 Tahun 9 Bulan 6 Hari </v>
      </c>
      <c r="P557" s="41">
        <f>D557</f>
        <v>43101</v>
      </c>
      <c r="Q557" s="36" t="n">
        <v>45258</v>
      </c>
      <c r="R557" s="51" t="n">
        <v>1000000</v>
      </c>
      <c r="S557" s="51" t="n">
        <v>1000000</v>
      </c>
    </row>
    <row r="558" spans="1:19">
      <c r="A558" s="21" t="n">
        <v>555</v>
      </c>
      <c r="B558" s="106" t="s">
        <v>1474</v>
      </c>
      <c r="C558" s="175" t="s">
        <v>1475</v>
      </c>
      <c r="D558" s="38" t="n">
        <v>43101</v>
      </c>
      <c r="E558" s="21" t="s">
        <v>24</v>
      </c>
      <c r="F558" s="38" t="s">
        <v>1394</v>
      </c>
      <c r="G558" s="159" t="s">
        <v>1127</v>
      </c>
      <c r="H558" s="23" t="s">
        <v>1435</v>
      </c>
      <c r="I558" s="22" t="s">
        <v>28</v>
      </c>
      <c r="J558" s="22" t="s">
        <v>673</v>
      </c>
      <c r="K558" s="23" t="s">
        <v>1454</v>
      </c>
      <c r="L558" s="23" t="s">
        <v>92</v>
      </c>
      <c r="M558" s="24">
        <f aca="1">DATEDIF(D558,TODAY(),"Y")</f>
        <v>7</v>
      </c>
      <c r="N558" s="24">
        <f aca="1">DATEDIF(D558,TODAY(),"YM")</f>
        <v>9</v>
      </c>
      <c r="O558" s="24" t="str">
        <f aca="1">DATEDIF(D558,NOW(),"Y")&amp;" Tahun "&amp;DATEDIF(D558,NOW(),"YM")&amp;" Bulan "&amp;DATEDIF(D558,NOW(),"MD")&amp;" Hari "</f>
        <v>7 Tahun 9 Bulan 6 Hari </v>
      </c>
      <c r="P558" s="41">
        <f>D558</f>
        <v>43101</v>
      </c>
      <c r="Q558" s="36" t="n">
        <v>45258</v>
      </c>
      <c r="R558" s="51" t="n">
        <v>1000000</v>
      </c>
      <c r="S558" s="51" t="n">
        <v>1000000</v>
      </c>
    </row>
    <row r="559" spans="1:19">
      <c r="A559" s="21" t="n">
        <v>556</v>
      </c>
      <c r="B559" s="106" t="s">
        <v>1476</v>
      </c>
      <c r="C559" s="175" t="s">
        <v>1477</v>
      </c>
      <c r="D559" s="38" t="n">
        <v>43101</v>
      </c>
      <c r="E559" s="21" t="s">
        <v>33</v>
      </c>
      <c r="F559" s="38" t="s">
        <v>1394</v>
      </c>
      <c r="G559" s="159" t="s">
        <v>1127</v>
      </c>
      <c r="H559" s="22" t="s">
        <v>1445</v>
      </c>
      <c r="I559" s="22" t="s">
        <v>28</v>
      </c>
      <c r="J559" s="22" t="s">
        <v>673</v>
      </c>
      <c r="K559" s="23" t="s">
        <v>1454</v>
      </c>
      <c r="L559" s="23" t="s">
        <v>245</v>
      </c>
      <c r="M559" s="24">
        <f aca="1">DATEDIF(D559,TODAY(),"Y")</f>
        <v>7</v>
      </c>
      <c r="N559" s="24">
        <f aca="1">DATEDIF(D559,TODAY(),"YM")</f>
        <v>9</v>
      </c>
      <c r="O559" s="24" t="str">
        <f aca="1">DATEDIF(D559,NOW(),"Y")&amp;" Tahun "&amp;DATEDIF(D559,NOW(),"YM")&amp;" Bulan "&amp;DATEDIF(D559,NOW(),"MD")&amp;" Hari "</f>
        <v>7 Tahun 9 Bulan 6 Hari </v>
      </c>
      <c r="P559" s="41">
        <f>D559</f>
        <v>43101</v>
      </c>
      <c r="Q559" s="36" t="n">
        <v>45258</v>
      </c>
      <c r="R559" s="51" t="n">
        <v>1000000</v>
      </c>
      <c r="S559" s="51" t="n">
        <v>1000000</v>
      </c>
    </row>
    <row r="560" spans="1:19">
      <c r="A560" s="21" t="n">
        <v>557</v>
      </c>
      <c r="B560" s="106" t="s">
        <v>1478</v>
      </c>
      <c r="C560" s="175" t="s">
        <v>1479</v>
      </c>
      <c r="D560" s="38" t="n">
        <v>43101</v>
      </c>
      <c r="E560" s="21" t="s">
        <v>33</v>
      </c>
      <c r="F560" s="38" t="s">
        <v>1394</v>
      </c>
      <c r="G560" s="159" t="s">
        <v>1127</v>
      </c>
      <c r="H560" s="22" t="s">
        <v>818</v>
      </c>
      <c r="I560" s="22" t="s">
        <v>28</v>
      </c>
      <c r="J560" s="22" t="s">
        <v>676</v>
      </c>
      <c r="K560" s="23" t="s">
        <v>1231</v>
      </c>
      <c r="L560" s="23" t="s">
        <v>331</v>
      </c>
      <c r="M560" s="24">
        <f aca="1">DATEDIF(D560,TODAY(),"Y")</f>
        <v>7</v>
      </c>
      <c r="N560" s="24">
        <f aca="1">DATEDIF(D560,TODAY(),"YM")</f>
        <v>9</v>
      </c>
      <c r="O560" s="24" t="str">
        <f aca="1">DATEDIF(D560,NOW(),"Y")&amp;" Tahun "&amp;DATEDIF(D560,NOW(),"YM")&amp;" Bulan "&amp;DATEDIF(D560,NOW(),"MD")&amp;" Hari "</f>
        <v>7 Tahun 9 Bulan 6 Hari </v>
      </c>
      <c r="P560" s="41">
        <f>D560</f>
        <v>43101</v>
      </c>
      <c r="Q560" s="36" t="n">
        <v>45258</v>
      </c>
      <c r="R560" s="51" t="n">
        <v>1000000</v>
      </c>
      <c r="S560" s="51" t="n">
        <v>1000000</v>
      </c>
    </row>
    <row r="561" spans="1:19" s="56" customFormat="1">
      <c r="A561" s="21" t="n">
        <v>558</v>
      </c>
      <c r="B561" s="106" t="s">
        <v>1480</v>
      </c>
      <c r="C561" s="175" t="s">
        <v>1481</v>
      </c>
      <c r="D561" s="38" t="n">
        <v>43132</v>
      </c>
      <c r="E561" s="21" t="s">
        <v>33</v>
      </c>
      <c r="F561" s="38" t="s">
        <v>1394</v>
      </c>
      <c r="G561" s="159" t="s">
        <v>1127</v>
      </c>
      <c r="H561" s="22" t="s">
        <v>818</v>
      </c>
      <c r="I561" s="22" t="s">
        <v>28</v>
      </c>
      <c r="J561" s="22" t="s">
        <v>676</v>
      </c>
      <c r="K561" s="23" t="s">
        <v>1231</v>
      </c>
      <c r="L561" s="23" t="s">
        <v>68</v>
      </c>
      <c r="M561" s="24">
        <f aca="1">DATEDIF(D561,TODAY(),"Y")</f>
        <v>7</v>
      </c>
      <c r="N561" s="24">
        <f aca="1">DATEDIF(D561,TODAY(),"YM")</f>
        <v>8</v>
      </c>
      <c r="O561" s="24" t="str">
        <f aca="1">DATEDIF(D561,NOW(),"Y")&amp;" Tahun "&amp;DATEDIF(D561,NOW(),"YM")&amp;" Bulan "&amp;DATEDIF(D561,NOW(),"MD")&amp;" Hari "</f>
        <v>7 Tahun 8 Bulan 6 Hari </v>
      </c>
      <c r="P561" s="41">
        <f>D561</f>
        <v>43132</v>
      </c>
      <c r="Q561" s="36" t="n">
        <v>45258</v>
      </c>
      <c r="R561" s="51" t="n">
        <v>1000000</v>
      </c>
      <c r="S561" s="51" t="n">
        <v>1000000</v>
      </c>
    </row>
    <row r="562" spans="1:19" s="56" customFormat="1">
      <c r="A562" s="21" t="n">
        <v>559</v>
      </c>
      <c r="B562" s="106" t="s">
        <v>1482</v>
      </c>
      <c r="C562" s="175" t="s">
        <v>1483</v>
      </c>
      <c r="D562" s="38" t="n">
        <v>43132</v>
      </c>
      <c r="E562" s="21" t="s">
        <v>33</v>
      </c>
      <c r="F562" s="38" t="s">
        <v>1394</v>
      </c>
      <c r="G562" s="159" t="s">
        <v>1127</v>
      </c>
      <c r="H562" s="23" t="s">
        <v>1243</v>
      </c>
      <c r="I562" s="22" t="s">
        <v>28</v>
      </c>
      <c r="J562" s="22" t="s">
        <v>673</v>
      </c>
      <c r="K562" s="23" t="s">
        <v>1231</v>
      </c>
      <c r="L562" s="23" t="s">
        <v>1244</v>
      </c>
      <c r="M562" s="24">
        <f aca="1">DATEDIF(D562,TODAY(),"Y")</f>
        <v>7</v>
      </c>
      <c r="N562" s="24">
        <f aca="1">DATEDIF(D562,TODAY(),"YM")</f>
        <v>8</v>
      </c>
      <c r="O562" s="24" t="str">
        <f aca="1">DATEDIF(D562,NOW(),"Y")&amp;" Tahun "&amp;DATEDIF(D562,NOW(),"YM")&amp;" Bulan "&amp;DATEDIF(D562,NOW(),"MD")&amp;" Hari "</f>
        <v>7 Tahun 8 Bulan 6 Hari </v>
      </c>
      <c r="P562" s="41">
        <f>D562</f>
        <v>43132</v>
      </c>
      <c r="Q562" s="36" t="n">
        <v>45258</v>
      </c>
      <c r="R562" s="51" t="n">
        <v>1000000</v>
      </c>
      <c r="S562" s="51" t="n">
        <v>1000000</v>
      </c>
    </row>
    <row r="563" spans="1:19" s="56" customFormat="1">
      <c r="A563" s="21" t="n">
        <v>560</v>
      </c>
      <c r="B563" s="106" t="s">
        <v>1484</v>
      </c>
      <c r="C563" s="175" t="s">
        <v>1485</v>
      </c>
      <c r="D563" s="38" t="n">
        <v>43132</v>
      </c>
      <c r="E563" s="21" t="s">
        <v>33</v>
      </c>
      <c r="F563" s="38" t="s">
        <v>1394</v>
      </c>
      <c r="G563" s="159" t="s">
        <v>1127</v>
      </c>
      <c r="H563" s="22" t="s">
        <v>818</v>
      </c>
      <c r="I563" s="22" t="s">
        <v>28</v>
      </c>
      <c r="J563" s="22" t="s">
        <v>676</v>
      </c>
      <c r="K563" s="23" t="s">
        <v>1194</v>
      </c>
      <c r="L563" s="23" t="s">
        <v>97</v>
      </c>
      <c r="M563" s="24">
        <f aca="1">DATEDIF(D563,TODAY(),"Y")</f>
        <v>7</v>
      </c>
      <c r="N563" s="24">
        <f aca="1">DATEDIF(D563,TODAY(),"YM")</f>
        <v>8</v>
      </c>
      <c r="O563" s="24" t="str">
        <f aca="1">DATEDIF(D563,NOW(),"Y")&amp;" Tahun "&amp;DATEDIF(D563,NOW(),"YM")&amp;" Bulan "&amp;DATEDIF(D563,NOW(),"MD")&amp;" Hari "</f>
        <v>7 Tahun 8 Bulan 6 Hari </v>
      </c>
      <c r="P563" s="41">
        <f>D563</f>
        <v>43132</v>
      </c>
      <c r="Q563" s="36" t="n">
        <v>45258</v>
      </c>
      <c r="R563" s="51" t="n">
        <v>1000000</v>
      </c>
      <c r="S563" s="51" t="n">
        <v>1000000</v>
      </c>
    </row>
    <row r="564" spans="1:19" s="56" customFormat="1">
      <c r="A564" s="21" t="n">
        <v>561</v>
      </c>
      <c r="B564" s="106" t="s">
        <v>1486</v>
      </c>
      <c r="C564" s="175" t="s">
        <v>1487</v>
      </c>
      <c r="D564" s="38" t="n">
        <v>43132</v>
      </c>
      <c r="E564" s="21" t="s">
        <v>33</v>
      </c>
      <c r="F564" s="38" t="s">
        <v>1394</v>
      </c>
      <c r="G564" s="159" t="s">
        <v>1127</v>
      </c>
      <c r="H564" s="22" t="s">
        <v>818</v>
      </c>
      <c r="I564" s="22" t="s">
        <v>28</v>
      </c>
      <c r="J564" s="22" t="s">
        <v>676</v>
      </c>
      <c r="K564" s="23" t="s">
        <v>1194</v>
      </c>
      <c r="L564" s="23" t="s">
        <v>1488</v>
      </c>
      <c r="M564" s="24">
        <f aca="1">DATEDIF(D564,TODAY(),"Y")</f>
        <v>7</v>
      </c>
      <c r="N564" s="24">
        <f aca="1">DATEDIF(D564,TODAY(),"YM")</f>
        <v>8</v>
      </c>
      <c r="O564" s="24" t="str">
        <f aca="1">DATEDIF(D564,NOW(),"Y")&amp;" Tahun "&amp;DATEDIF(D564,NOW(),"YM")&amp;" Bulan "&amp;DATEDIF(D564,NOW(),"MD")&amp;" Hari "</f>
        <v>7 Tahun 8 Bulan 6 Hari </v>
      </c>
      <c r="P564" s="41">
        <f>D564</f>
        <v>43132</v>
      </c>
      <c r="Q564" s="36" t="n">
        <v>45258</v>
      </c>
      <c r="R564" s="51" t="n">
        <v>1000000</v>
      </c>
      <c r="S564" s="51" t="n">
        <v>1000000</v>
      </c>
    </row>
    <row r="565" spans="1:19" s="56" customFormat="1">
      <c r="A565" s="21" t="n">
        <v>562</v>
      </c>
      <c r="B565" s="106" t="s">
        <v>1489</v>
      </c>
      <c r="C565" s="175" t="s">
        <v>1490</v>
      </c>
      <c r="D565" s="38" t="n">
        <v>43132</v>
      </c>
      <c r="E565" s="21" t="s">
        <v>33</v>
      </c>
      <c r="F565" s="38" t="s">
        <v>1394</v>
      </c>
      <c r="G565" s="159" t="s">
        <v>1127</v>
      </c>
      <c r="H565" s="22" t="s">
        <v>818</v>
      </c>
      <c r="I565" s="22" t="s">
        <v>28</v>
      </c>
      <c r="J565" s="22" t="s">
        <v>676</v>
      </c>
      <c r="K565" s="23" t="s">
        <v>1194</v>
      </c>
      <c r="L565" s="30" t="s">
        <v>197</v>
      </c>
      <c r="M565" s="24">
        <f aca="1">DATEDIF(D565,TODAY(),"Y")</f>
        <v>7</v>
      </c>
      <c r="N565" s="24">
        <f aca="1">DATEDIF(D565,TODAY(),"YM")</f>
        <v>8</v>
      </c>
      <c r="O565" s="24" t="str">
        <f aca="1">DATEDIF(D565,NOW(),"Y")&amp;" Tahun "&amp;DATEDIF(D565,NOW(),"YM")&amp;" Bulan "&amp;DATEDIF(D565,NOW(),"MD")&amp;" Hari "</f>
        <v>7 Tahun 8 Bulan 6 Hari </v>
      </c>
      <c r="P565" s="41">
        <f>D565</f>
        <v>43132</v>
      </c>
      <c r="Q565" s="36" t="n">
        <v>45258</v>
      </c>
      <c r="R565" s="51" t="n">
        <v>1000000</v>
      </c>
      <c r="S565" s="51" t="n">
        <v>1000000</v>
      </c>
    </row>
    <row r="566" spans="1:19" s="56" customFormat="1">
      <c r="A566" s="21" t="n">
        <v>563</v>
      </c>
      <c r="B566" s="106" t="s">
        <v>1491</v>
      </c>
      <c r="C566" s="175" t="s">
        <v>1492</v>
      </c>
      <c r="D566" s="38" t="n">
        <v>43132</v>
      </c>
      <c r="E566" s="21" t="s">
        <v>33</v>
      </c>
      <c r="F566" s="38" t="s">
        <v>1394</v>
      </c>
      <c r="G566" s="159" t="s">
        <v>1127</v>
      </c>
      <c r="H566" s="22" t="s">
        <v>818</v>
      </c>
      <c r="I566" s="22" t="s">
        <v>28</v>
      </c>
      <c r="J566" s="22" t="s">
        <v>676</v>
      </c>
      <c r="K566" s="23" t="s">
        <v>1231</v>
      </c>
      <c r="L566" s="23" t="s">
        <v>458</v>
      </c>
      <c r="M566" s="24">
        <f aca="1">DATEDIF(D566,TODAY(),"Y")</f>
        <v>7</v>
      </c>
      <c r="N566" s="24">
        <f aca="1">DATEDIF(D566,TODAY(),"YM")</f>
        <v>8</v>
      </c>
      <c r="O566" s="24" t="str">
        <f aca="1">DATEDIF(D566,NOW(),"Y")&amp;" Tahun "&amp;DATEDIF(D566,NOW(),"YM")&amp;" Bulan "&amp;DATEDIF(D566,NOW(),"MD")&amp;" Hari "</f>
        <v>7 Tahun 8 Bulan 6 Hari </v>
      </c>
      <c r="P566" s="41">
        <f>D566</f>
        <v>43132</v>
      </c>
      <c r="Q566" s="36" t="n">
        <v>45258</v>
      </c>
      <c r="R566" s="51" t="n">
        <v>1000000</v>
      </c>
      <c r="S566" s="51" t="n">
        <v>1000000</v>
      </c>
    </row>
    <row r="567" spans="1:19">
      <c r="A567" s="21" t="n">
        <v>564</v>
      </c>
      <c r="B567" s="106" t="s">
        <v>1493</v>
      </c>
      <c r="C567" s="175" t="s">
        <v>1494</v>
      </c>
      <c r="D567" s="42" t="n">
        <v>43344</v>
      </c>
      <c r="E567" s="21" t="s">
        <v>33</v>
      </c>
      <c r="F567" s="38" t="s">
        <v>1394</v>
      </c>
      <c r="G567" s="159" t="s">
        <v>1127</v>
      </c>
      <c r="H567" s="22" t="s">
        <v>818</v>
      </c>
      <c r="I567" s="22" t="s">
        <v>28</v>
      </c>
      <c r="J567" s="22" t="s">
        <v>676</v>
      </c>
      <c r="K567" s="23" t="s">
        <v>1495</v>
      </c>
      <c r="L567" s="23" t="s">
        <v>218</v>
      </c>
      <c r="M567" s="24">
        <f aca="1">DATEDIF(D567,TODAY(),"Y")</f>
        <v>7</v>
      </c>
      <c r="N567" s="24">
        <f aca="1">DATEDIF(D567,TODAY(),"YM")</f>
        <v>1</v>
      </c>
      <c r="O567" s="24" t="str">
        <f aca="1">DATEDIF(D567,NOW(),"Y")&amp;" Tahun "&amp;DATEDIF(D567,NOW(),"YM")&amp;" Bulan "&amp;DATEDIF(D567,NOW(),"MD")&amp;" Hari "</f>
        <v>7 Tahun 1 Bulan 6 Hari </v>
      </c>
      <c r="P567" s="41">
        <f>D567</f>
        <v>43344</v>
      </c>
      <c r="Q567" s="36" t="n">
        <v>45258</v>
      </c>
      <c r="R567" s="51" t="n">
        <v>1000000</v>
      </c>
      <c r="S567" s="51" t="n">
        <v>1000000</v>
      </c>
    </row>
    <row r="568" spans="1:19">
      <c r="A568" s="21" t="n">
        <v>565</v>
      </c>
      <c r="B568" s="106" t="s">
        <v>1496</v>
      </c>
      <c r="C568" s="175" t="s">
        <v>1497</v>
      </c>
      <c r="D568" s="42" t="n">
        <v>43344</v>
      </c>
      <c r="E568" s="21" t="s">
        <v>33</v>
      </c>
      <c r="F568" s="38" t="s">
        <v>1394</v>
      </c>
      <c r="G568" s="159" t="s">
        <v>1127</v>
      </c>
      <c r="H568" s="22" t="s">
        <v>818</v>
      </c>
      <c r="I568" s="22" t="s">
        <v>28</v>
      </c>
      <c r="J568" s="25" t="s">
        <v>262</v>
      </c>
      <c r="K568" s="23" t="s">
        <v>1498</v>
      </c>
      <c r="L568" s="23" t="s">
        <v>523</v>
      </c>
      <c r="M568" s="24">
        <f aca="1">DATEDIF(D568,TODAY(),"Y")</f>
        <v>7</v>
      </c>
      <c r="N568" s="24">
        <f aca="1">DATEDIF(D568,TODAY(),"YM")</f>
        <v>1</v>
      </c>
      <c r="O568" s="24" t="str">
        <f aca="1">DATEDIF(D568,NOW(),"Y")&amp;" Tahun "&amp;DATEDIF(D568,NOW(),"YM")&amp;" Bulan "&amp;DATEDIF(D568,NOW(),"MD")&amp;" Hari "</f>
        <v>7 Tahun 1 Bulan 6 Hari </v>
      </c>
      <c r="P568" s="41">
        <f>D568</f>
        <v>43344</v>
      </c>
      <c r="Q568" s="36" t="n">
        <v>45258</v>
      </c>
      <c r="R568" s="51" t="n">
        <v>1200000</v>
      </c>
      <c r="S568" s="51" t="n">
        <v>1200000</v>
      </c>
    </row>
    <row r="569" spans="1:19">
      <c r="A569" s="21" t="n">
        <v>566</v>
      </c>
      <c r="B569" s="106" t="s">
        <v>1499</v>
      </c>
      <c r="C569" s="175" t="s">
        <v>1500</v>
      </c>
      <c r="D569" s="42" t="n">
        <v>43344</v>
      </c>
      <c r="E569" s="21" t="s">
        <v>33</v>
      </c>
      <c r="F569" s="38" t="s">
        <v>1394</v>
      </c>
      <c r="G569" s="159" t="s">
        <v>1127</v>
      </c>
      <c r="H569" s="22" t="s">
        <v>818</v>
      </c>
      <c r="I569" s="22" t="s">
        <v>28</v>
      </c>
      <c r="J569" s="25" t="s">
        <v>262</v>
      </c>
      <c r="K569" s="23" t="s">
        <v>1498</v>
      </c>
      <c r="L569" s="23" t="s">
        <v>68</v>
      </c>
      <c r="M569" s="24">
        <f aca="1">DATEDIF(D569,TODAY(),"Y")</f>
        <v>7</v>
      </c>
      <c r="N569" s="24">
        <f aca="1">DATEDIF(D569,TODAY(),"YM")</f>
        <v>1</v>
      </c>
      <c r="O569" s="24" t="str">
        <f aca="1">DATEDIF(D569,NOW(),"Y")&amp;" Tahun "&amp;DATEDIF(D569,NOW(),"YM")&amp;" Bulan "&amp;DATEDIF(D569,NOW(),"MD")&amp;" Hari "</f>
        <v>7 Tahun 1 Bulan 6 Hari </v>
      </c>
      <c r="P569" s="41">
        <f>D569</f>
        <v>43344</v>
      </c>
      <c r="Q569" s="36" t="n">
        <v>45258</v>
      </c>
      <c r="R569" s="51" t="n">
        <v>1200000</v>
      </c>
      <c r="S569" s="51" t="n">
        <v>1200000</v>
      </c>
    </row>
    <row r="570" spans="1:19">
      <c r="A570" s="21" t="n">
        <v>567</v>
      </c>
      <c r="B570" s="106" t="s">
        <v>1501</v>
      </c>
      <c r="C570" s="175" t="s">
        <v>1502</v>
      </c>
      <c r="D570" s="42" t="n">
        <v>43344</v>
      </c>
      <c r="E570" s="21" t="s">
        <v>24</v>
      </c>
      <c r="F570" s="38" t="s">
        <v>1394</v>
      </c>
      <c r="G570" s="159" t="s">
        <v>1127</v>
      </c>
      <c r="H570" s="22" t="s">
        <v>818</v>
      </c>
      <c r="I570" s="22" t="s">
        <v>28</v>
      </c>
      <c r="J570" s="25" t="s">
        <v>262</v>
      </c>
      <c r="K570" s="23" t="s">
        <v>1503</v>
      </c>
      <c r="L570" s="23" t="s">
        <v>523</v>
      </c>
      <c r="M570" s="24">
        <f aca="1">DATEDIF(D570,TODAY(),"Y")</f>
        <v>7</v>
      </c>
      <c r="N570" s="24">
        <f aca="1">DATEDIF(D570,TODAY(),"YM")</f>
        <v>1</v>
      </c>
      <c r="O570" s="24" t="str">
        <f aca="1">DATEDIF(D570,NOW(),"Y")&amp;" Tahun "&amp;DATEDIF(D570,NOW(),"YM")&amp;" Bulan "&amp;DATEDIF(D570,NOW(),"MD")&amp;" Hari "</f>
        <v>7 Tahun 1 Bulan 6 Hari </v>
      </c>
      <c r="P570" s="41">
        <f>D570</f>
        <v>43344</v>
      </c>
      <c r="Q570" s="36" t="n">
        <v>45258</v>
      </c>
      <c r="R570" s="51" t="n">
        <v>1200000</v>
      </c>
      <c r="S570" s="51" t="n">
        <v>1200000</v>
      </c>
    </row>
    <row r="571" spans="1:19">
      <c r="A571" s="21" t="n">
        <v>568</v>
      </c>
      <c r="B571" s="106" t="s">
        <v>1504</v>
      </c>
      <c r="C571" s="175" t="s">
        <v>1505</v>
      </c>
      <c r="D571" s="42" t="n">
        <v>43344</v>
      </c>
      <c r="E571" s="21" t="s">
        <v>24</v>
      </c>
      <c r="F571" s="38" t="s">
        <v>1394</v>
      </c>
      <c r="G571" s="159" t="s">
        <v>1127</v>
      </c>
      <c r="H571" s="23" t="s">
        <v>1506</v>
      </c>
      <c r="I571" s="22" t="s">
        <v>242</v>
      </c>
      <c r="J571" s="23" t="s">
        <v>1506</v>
      </c>
      <c r="K571" s="23" t="s">
        <v>1087</v>
      </c>
      <c r="L571" s="23" t="s">
        <v>523</v>
      </c>
      <c r="M571" s="24">
        <f aca="1">DATEDIF(D571,TODAY(),"Y")</f>
        <v>7</v>
      </c>
      <c r="N571" s="24">
        <f aca="1">DATEDIF(D571,TODAY(),"YM")</f>
        <v>1</v>
      </c>
      <c r="O571" s="24" t="str">
        <f aca="1">DATEDIF(D571,NOW(),"Y")&amp;" Tahun "&amp;DATEDIF(D571,NOW(),"YM")&amp;" Bulan "&amp;DATEDIF(D571,NOW(),"MD")&amp;" Hari "</f>
        <v>7 Tahun 1 Bulan 6 Hari </v>
      </c>
      <c r="P571" s="41">
        <f>D571</f>
        <v>43344</v>
      </c>
      <c r="Q571" s="36" t="n">
        <v>45258</v>
      </c>
      <c r="R571" s="51" t="n">
        <v>1350000</v>
      </c>
      <c r="S571" s="51" t="n">
        <v>1350000</v>
      </c>
    </row>
    <row r="572" spans="1:19" s="71" customFormat="1">
      <c r="A572" s="21" t="n">
        <v>569</v>
      </c>
      <c r="B572" s="106" t="s">
        <v>1507</v>
      </c>
      <c r="C572" s="175" t="s">
        <v>1508</v>
      </c>
      <c r="D572" s="42" t="n">
        <v>43344</v>
      </c>
      <c r="E572" s="21" t="s">
        <v>33</v>
      </c>
      <c r="F572" s="38" t="s">
        <v>1394</v>
      </c>
      <c r="G572" s="159" t="s">
        <v>1127</v>
      </c>
      <c r="H572" s="22" t="s">
        <v>818</v>
      </c>
      <c r="I572" s="22" t="s">
        <v>28</v>
      </c>
      <c r="J572" s="22" t="s">
        <v>676</v>
      </c>
      <c r="K572" s="23" t="s">
        <v>1231</v>
      </c>
      <c r="L572" s="23" t="s">
        <v>461</v>
      </c>
      <c r="M572" s="24">
        <f aca="1">DATEDIF(D572,TODAY(),"Y")</f>
        <v>7</v>
      </c>
      <c r="N572" s="24">
        <f aca="1">DATEDIF(D572,TODAY(),"YM")</f>
        <v>1</v>
      </c>
      <c r="O572" s="24" t="str">
        <f aca="1">DATEDIF(D572,NOW(),"Y")&amp;" Tahun "&amp;DATEDIF(D572,NOW(),"YM")&amp;" Bulan "&amp;DATEDIF(D572,NOW(),"MD")&amp;" Hari "</f>
        <v>7 Tahun 1 Bulan 6 Hari </v>
      </c>
      <c r="P572" s="41">
        <f>D572</f>
        <v>43344</v>
      </c>
      <c r="Q572" s="36" t="n">
        <v>45258</v>
      </c>
      <c r="R572" s="51" t="n">
        <v>1000000</v>
      </c>
      <c r="S572" s="51" t="n">
        <v>1000000</v>
      </c>
    </row>
    <row r="573" spans="1:19">
      <c r="A573" s="21" t="n">
        <v>570</v>
      </c>
      <c r="B573" s="106" t="s">
        <v>1509</v>
      </c>
      <c r="C573" s="175" t="s">
        <v>1510</v>
      </c>
      <c r="D573" s="42" t="n">
        <v>43344</v>
      </c>
      <c r="E573" s="21" t="s">
        <v>33</v>
      </c>
      <c r="F573" s="38" t="s">
        <v>1394</v>
      </c>
      <c r="G573" s="159" t="s">
        <v>1127</v>
      </c>
      <c r="H573" s="22" t="s">
        <v>818</v>
      </c>
      <c r="I573" s="22" t="s">
        <v>28</v>
      </c>
      <c r="J573" s="22" t="s">
        <v>676</v>
      </c>
      <c r="K573" s="23" t="s">
        <v>1231</v>
      </c>
      <c r="L573" s="23" t="s">
        <v>496</v>
      </c>
      <c r="M573" s="24">
        <f aca="1">DATEDIF(D573,TODAY(),"Y")</f>
        <v>7</v>
      </c>
      <c r="N573" s="24">
        <f aca="1">DATEDIF(D573,TODAY(),"YM")</f>
        <v>1</v>
      </c>
      <c r="O573" s="24" t="str">
        <f aca="1">DATEDIF(D573,NOW(),"Y")&amp;" Tahun "&amp;DATEDIF(D573,NOW(),"YM")&amp;" Bulan "&amp;DATEDIF(D573,NOW(),"MD")&amp;" Hari "</f>
        <v>7 Tahun 1 Bulan 6 Hari </v>
      </c>
      <c r="P573" s="41">
        <f>D573</f>
        <v>43344</v>
      </c>
      <c r="Q573" s="36" t="n">
        <v>45258</v>
      </c>
      <c r="R573" s="51" t="n">
        <v>1000000</v>
      </c>
      <c r="S573" s="51" t="n">
        <v>1000000</v>
      </c>
    </row>
    <row r="574" spans="1:19">
      <c r="A574" s="21" t="n">
        <v>571</v>
      </c>
      <c r="B574" s="106" t="s">
        <v>1511</v>
      </c>
      <c r="C574" s="175" t="s">
        <v>1512</v>
      </c>
      <c r="D574" s="42" t="n">
        <v>43344</v>
      </c>
      <c r="E574" s="21" t="s">
        <v>33</v>
      </c>
      <c r="F574" s="38" t="s">
        <v>1394</v>
      </c>
      <c r="G574" s="159" t="s">
        <v>1127</v>
      </c>
      <c r="H574" s="22" t="s">
        <v>818</v>
      </c>
      <c r="I574" s="22" t="s">
        <v>28</v>
      </c>
      <c r="J574" s="22" t="s">
        <v>676</v>
      </c>
      <c r="K574" s="23" t="s">
        <v>1194</v>
      </c>
      <c r="L574" s="23" t="s">
        <v>83</v>
      </c>
      <c r="M574" s="24">
        <f aca="1">DATEDIF(D574,TODAY(),"Y")</f>
        <v>7</v>
      </c>
      <c r="N574" s="24">
        <f aca="1">DATEDIF(D574,TODAY(),"YM")</f>
        <v>1</v>
      </c>
      <c r="O574" s="24" t="str">
        <f aca="1">DATEDIF(D574,NOW(),"Y")&amp;" Tahun "&amp;DATEDIF(D574,NOW(),"YM")&amp;" Bulan "&amp;DATEDIF(D574,NOW(),"MD")&amp;" Hari "</f>
        <v>7 Tahun 1 Bulan 6 Hari </v>
      </c>
      <c r="P574" s="41">
        <f>D574</f>
        <v>43344</v>
      </c>
      <c r="Q574" s="36" t="n">
        <v>45258</v>
      </c>
      <c r="R574" s="51" t="n">
        <v>1000000</v>
      </c>
      <c r="S574" s="51" t="n">
        <v>1000000</v>
      </c>
    </row>
    <row r="575" spans="1:19">
      <c r="A575" s="21" t="n">
        <v>572</v>
      </c>
      <c r="B575" s="106" t="s">
        <v>1513</v>
      </c>
      <c r="C575" s="175" t="s">
        <v>1514</v>
      </c>
      <c r="D575" s="42" t="n">
        <v>43344</v>
      </c>
      <c r="E575" s="21" t="s">
        <v>33</v>
      </c>
      <c r="F575" s="38" t="s">
        <v>1394</v>
      </c>
      <c r="G575" s="159" t="s">
        <v>1127</v>
      </c>
      <c r="H575" s="22" t="s">
        <v>818</v>
      </c>
      <c r="I575" s="22" t="s">
        <v>28</v>
      </c>
      <c r="J575" s="22" t="s">
        <v>676</v>
      </c>
      <c r="K575" s="23" t="s">
        <v>1231</v>
      </c>
      <c r="L575" s="23" t="s">
        <v>359</v>
      </c>
      <c r="M575" s="24">
        <f aca="1">DATEDIF(D575,TODAY(),"Y")</f>
        <v>7</v>
      </c>
      <c r="N575" s="24">
        <f aca="1">DATEDIF(D575,TODAY(),"YM")</f>
        <v>1</v>
      </c>
      <c r="O575" s="24" t="str">
        <f aca="1">DATEDIF(D575,NOW(),"Y")&amp;" Tahun "&amp;DATEDIF(D575,NOW(),"YM")&amp;" Bulan "&amp;DATEDIF(D575,NOW(),"MD")&amp;" Hari "</f>
        <v>7 Tahun 1 Bulan 6 Hari </v>
      </c>
      <c r="P575" s="41">
        <f>D575</f>
        <v>43344</v>
      </c>
      <c r="Q575" s="36" t="n">
        <v>45258</v>
      </c>
      <c r="R575" s="51" t="n">
        <v>1000000</v>
      </c>
      <c r="S575" s="51" t="n">
        <v>1000000</v>
      </c>
    </row>
    <row r="576" spans="1:19">
      <c r="A576" s="21" t="n">
        <v>573</v>
      </c>
      <c r="B576" s="106" t="s">
        <v>1515</v>
      </c>
      <c r="C576" s="175" t="s">
        <v>1516</v>
      </c>
      <c r="D576" s="42" t="n">
        <v>43344</v>
      </c>
      <c r="E576" s="21" t="s">
        <v>24</v>
      </c>
      <c r="F576" s="38" t="s">
        <v>1394</v>
      </c>
      <c r="G576" s="159" t="s">
        <v>1127</v>
      </c>
      <c r="H576" s="22" t="s">
        <v>818</v>
      </c>
      <c r="I576" s="22" t="s">
        <v>28</v>
      </c>
      <c r="J576" s="25" t="s">
        <v>262</v>
      </c>
      <c r="K576" s="23" t="s">
        <v>1517</v>
      </c>
      <c r="L576" s="23" t="s">
        <v>531</v>
      </c>
      <c r="M576" s="24">
        <f aca="1">DATEDIF(D576,TODAY(),"Y")</f>
        <v>7</v>
      </c>
      <c r="N576" s="24">
        <f aca="1">DATEDIF(D576,TODAY(),"YM")</f>
        <v>1</v>
      </c>
      <c r="O576" s="24" t="str">
        <f aca="1">DATEDIF(D576,NOW(),"Y")&amp;" Tahun "&amp;DATEDIF(D576,NOW(),"YM")&amp;" Bulan "&amp;DATEDIF(D576,NOW(),"MD")&amp;" Hari "</f>
        <v>7 Tahun 1 Bulan 6 Hari </v>
      </c>
      <c r="P576" s="41">
        <f>D576</f>
        <v>43344</v>
      </c>
      <c r="Q576" s="36" t="n">
        <v>45258</v>
      </c>
      <c r="R576" s="51" t="n">
        <v>1200000</v>
      </c>
      <c r="S576" s="51" t="n">
        <v>1200000</v>
      </c>
    </row>
    <row r="577" spans="1:19" s="71" customFormat="1">
      <c r="A577" s="21" t="n">
        <v>574</v>
      </c>
      <c r="B577" s="106" t="s">
        <v>1518</v>
      </c>
      <c r="C577" s="175" t="s">
        <v>1519</v>
      </c>
      <c r="D577" s="42" t="n">
        <v>43344</v>
      </c>
      <c r="E577" s="21" t="s">
        <v>33</v>
      </c>
      <c r="F577" s="38" t="s">
        <v>1394</v>
      </c>
      <c r="G577" s="159" t="s">
        <v>1127</v>
      </c>
      <c r="H577" s="22" t="s">
        <v>818</v>
      </c>
      <c r="I577" s="22" t="s">
        <v>28</v>
      </c>
      <c r="J577" s="22" t="s">
        <v>676</v>
      </c>
      <c r="K577" s="23" t="s">
        <v>1231</v>
      </c>
      <c r="L577" s="23" t="s">
        <v>268</v>
      </c>
      <c r="M577" s="24">
        <f aca="1">DATEDIF(D577,TODAY(),"Y")</f>
        <v>7</v>
      </c>
      <c r="N577" s="24">
        <f aca="1">DATEDIF(D577,TODAY(),"YM")</f>
        <v>1</v>
      </c>
      <c r="O577" s="24" t="str">
        <f aca="1">DATEDIF(D577,NOW(),"Y")&amp;" Tahun "&amp;DATEDIF(D577,NOW(),"YM")&amp;" Bulan "&amp;DATEDIF(D577,NOW(),"MD")&amp;" Hari "</f>
        <v>7 Tahun 1 Bulan 6 Hari </v>
      </c>
      <c r="P577" s="41">
        <f>D577</f>
        <v>43344</v>
      </c>
      <c r="Q577" s="36" t="n">
        <v>45258</v>
      </c>
      <c r="R577" s="51" t="n">
        <v>1000000</v>
      </c>
      <c r="S577" s="51" t="n">
        <v>1000000</v>
      </c>
    </row>
    <row r="578" spans="1:19">
      <c r="A578" s="21" t="n">
        <v>575</v>
      </c>
      <c r="B578" s="106" t="s">
        <v>1520</v>
      </c>
      <c r="C578" s="175" t="s">
        <v>1521</v>
      </c>
      <c r="D578" s="42" t="n">
        <v>43344</v>
      </c>
      <c r="E578" s="21" t="s">
        <v>24</v>
      </c>
      <c r="F578" s="38" t="s">
        <v>1394</v>
      </c>
      <c r="G578" s="159" t="s">
        <v>1127</v>
      </c>
      <c r="H578" s="23" t="s">
        <v>1506</v>
      </c>
      <c r="I578" s="22" t="s">
        <v>242</v>
      </c>
      <c r="J578" s="23" t="s">
        <v>1506</v>
      </c>
      <c r="K578" s="23" t="s">
        <v>1087</v>
      </c>
      <c r="L578" s="23" t="s">
        <v>458</v>
      </c>
      <c r="M578" s="24">
        <f aca="1">DATEDIF(D578,TODAY(),"Y")</f>
        <v>7</v>
      </c>
      <c r="N578" s="24">
        <f aca="1">DATEDIF(D578,TODAY(),"YM")</f>
        <v>1</v>
      </c>
      <c r="O578" s="24" t="str">
        <f aca="1">DATEDIF(D578,NOW(),"Y")&amp;" Tahun "&amp;DATEDIF(D578,NOW(),"YM")&amp;" Bulan "&amp;DATEDIF(D578,NOW(),"MD")&amp;" Hari "</f>
        <v>7 Tahun 1 Bulan 6 Hari </v>
      </c>
      <c r="P578" s="41">
        <f>D578</f>
        <v>43344</v>
      </c>
      <c r="Q578" s="36" t="n">
        <v>45258</v>
      </c>
      <c r="R578" s="51" t="n">
        <v>1350000</v>
      </c>
      <c r="S578" s="51" t="n">
        <v>1350000</v>
      </c>
    </row>
    <row r="579" spans="1:19">
      <c r="A579" s="21" t="n">
        <v>576</v>
      </c>
      <c r="B579" s="106" t="s">
        <v>1522</v>
      </c>
      <c r="C579" s="175" t="s">
        <v>1523</v>
      </c>
      <c r="D579" s="42" t="n">
        <v>43344</v>
      </c>
      <c r="E579" s="21" t="s">
        <v>33</v>
      </c>
      <c r="F579" s="38" t="s">
        <v>1394</v>
      </c>
      <c r="G579" s="159" t="s">
        <v>1127</v>
      </c>
      <c r="H579" s="22" t="s">
        <v>818</v>
      </c>
      <c r="I579" s="22" t="s">
        <v>28</v>
      </c>
      <c r="J579" s="22" t="s">
        <v>676</v>
      </c>
      <c r="K579" s="23" t="s">
        <v>1524</v>
      </c>
      <c r="L579" s="23" t="s">
        <v>1190</v>
      </c>
      <c r="M579" s="24">
        <f aca="1">DATEDIF(D579,TODAY(),"Y")</f>
        <v>7</v>
      </c>
      <c r="N579" s="24">
        <f aca="1">DATEDIF(D579,TODAY(),"YM")</f>
        <v>1</v>
      </c>
      <c r="O579" s="24" t="str">
        <f aca="1">DATEDIF(D579,NOW(),"Y")&amp;" Tahun "&amp;DATEDIF(D579,NOW(),"YM")&amp;" Bulan "&amp;DATEDIF(D579,NOW(),"MD")&amp;" Hari "</f>
        <v>7 Tahun 1 Bulan 6 Hari </v>
      </c>
      <c r="P579" s="41">
        <f>D579</f>
        <v>43344</v>
      </c>
      <c r="Q579" s="36" t="n">
        <v>45258</v>
      </c>
      <c r="R579" s="51" t="n">
        <v>1000000</v>
      </c>
      <c r="S579" s="51" t="n">
        <v>1000000</v>
      </c>
    </row>
    <row r="580" spans="1:19" s="71" customFormat="1">
      <c r="A580" s="21" t="n">
        <v>577</v>
      </c>
      <c r="B580" s="106" t="s">
        <v>1525</v>
      </c>
      <c r="C580" s="175" t="s">
        <v>1526</v>
      </c>
      <c r="D580" s="42" t="n">
        <v>43344</v>
      </c>
      <c r="E580" s="21" t="s">
        <v>33</v>
      </c>
      <c r="F580" s="38" t="s">
        <v>1394</v>
      </c>
      <c r="G580" s="159" t="s">
        <v>1127</v>
      </c>
      <c r="H580" s="22" t="s">
        <v>818</v>
      </c>
      <c r="I580" s="22" t="s">
        <v>28</v>
      </c>
      <c r="J580" s="22" t="s">
        <v>676</v>
      </c>
      <c r="K580" s="23" t="s">
        <v>1231</v>
      </c>
      <c r="L580" s="23" t="s">
        <v>68</v>
      </c>
      <c r="M580" s="24">
        <f aca="1">DATEDIF(D580,TODAY(),"Y")</f>
        <v>7</v>
      </c>
      <c r="N580" s="24">
        <f aca="1">DATEDIF(D580,TODAY(),"YM")</f>
        <v>1</v>
      </c>
      <c r="O580" s="24" t="str">
        <f aca="1">DATEDIF(D580,NOW(),"Y")&amp;" Tahun "&amp;DATEDIF(D580,NOW(),"YM")&amp;" Bulan "&amp;DATEDIF(D580,NOW(),"MD")&amp;" Hari "</f>
        <v>7 Tahun 1 Bulan 6 Hari </v>
      </c>
      <c r="P580" s="41">
        <f>D580</f>
        <v>43344</v>
      </c>
      <c r="Q580" s="36" t="n">
        <v>45258</v>
      </c>
      <c r="R580" s="51" t="n">
        <v>1000000</v>
      </c>
      <c r="S580" s="51" t="n">
        <v>1000000</v>
      </c>
    </row>
    <row r="581" spans="1:19">
      <c r="A581" s="21" t="n">
        <v>578</v>
      </c>
      <c r="B581" s="106" t="s">
        <v>1527</v>
      </c>
      <c r="C581" s="175" t="s">
        <v>1528</v>
      </c>
      <c r="D581" s="42" t="n">
        <v>43344</v>
      </c>
      <c r="E581" s="21" t="s">
        <v>24</v>
      </c>
      <c r="F581" s="38" t="s">
        <v>1394</v>
      </c>
      <c r="G581" s="159" t="s">
        <v>1127</v>
      </c>
      <c r="H581" s="23" t="s">
        <v>1506</v>
      </c>
      <c r="I581" s="22" t="s">
        <v>242</v>
      </c>
      <c r="J581" s="23" t="s">
        <v>1506</v>
      </c>
      <c r="K581" s="23" t="s">
        <v>1087</v>
      </c>
      <c r="L581" s="23" t="s">
        <v>458</v>
      </c>
      <c r="M581" s="24">
        <f aca="1">DATEDIF(D581,TODAY(),"Y")</f>
        <v>7</v>
      </c>
      <c r="N581" s="24">
        <f aca="1">DATEDIF(D581,TODAY(),"YM")</f>
        <v>1</v>
      </c>
      <c r="O581" s="24" t="str">
        <f aca="1">DATEDIF(D581,NOW(),"Y")&amp;" Tahun "&amp;DATEDIF(D581,NOW(),"YM")&amp;" Bulan "&amp;DATEDIF(D581,NOW(),"MD")&amp;" Hari "</f>
        <v>7 Tahun 1 Bulan 6 Hari </v>
      </c>
      <c r="P581" s="41">
        <f>D581</f>
        <v>43344</v>
      </c>
      <c r="Q581" s="36" t="n">
        <v>45258</v>
      </c>
      <c r="R581" s="51" t="n">
        <v>1350000</v>
      </c>
      <c r="S581" s="51" t="n">
        <v>1350000</v>
      </c>
    </row>
    <row r="582" spans="1:19">
      <c r="A582" s="21" t="n">
        <v>579</v>
      </c>
      <c r="B582" s="106" t="s">
        <v>1529</v>
      </c>
      <c r="C582" s="175" t="s">
        <v>1530</v>
      </c>
      <c r="D582" s="42" t="n">
        <v>43344</v>
      </c>
      <c r="E582" s="21" t="s">
        <v>24</v>
      </c>
      <c r="F582" s="38" t="s">
        <v>1394</v>
      </c>
      <c r="G582" s="159" t="s">
        <v>1127</v>
      </c>
      <c r="H582" s="22" t="s">
        <v>818</v>
      </c>
      <c r="I582" s="22" t="s">
        <v>28</v>
      </c>
      <c r="J582" s="25" t="s">
        <v>262</v>
      </c>
      <c r="K582" s="23" t="s">
        <v>1531</v>
      </c>
      <c r="L582" s="23" t="s">
        <v>531</v>
      </c>
      <c r="M582" s="24">
        <f aca="1">DATEDIF(D582,TODAY(),"Y")</f>
        <v>7</v>
      </c>
      <c r="N582" s="24">
        <f aca="1">DATEDIF(D582,TODAY(),"YM")</f>
        <v>1</v>
      </c>
      <c r="O582" s="24" t="str">
        <f aca="1">DATEDIF(D582,NOW(),"Y")&amp;" Tahun "&amp;DATEDIF(D582,NOW(),"YM")&amp;" Bulan "&amp;DATEDIF(D582,NOW(),"MD")&amp;" Hari "</f>
        <v>7 Tahun 1 Bulan 6 Hari </v>
      </c>
      <c r="P582" s="41">
        <f>D582</f>
        <v>43344</v>
      </c>
      <c r="Q582" s="36" t="n">
        <v>45258</v>
      </c>
      <c r="R582" s="51" t="n">
        <v>1200000</v>
      </c>
      <c r="S582" s="51" t="n">
        <v>1200000</v>
      </c>
    </row>
    <row r="583" spans="1:19">
      <c r="A583" s="21" t="n">
        <v>580</v>
      </c>
      <c r="B583" s="106" t="s">
        <v>1532</v>
      </c>
      <c r="C583" s="175" t="s">
        <v>1533</v>
      </c>
      <c r="D583" s="42" t="n">
        <v>43344</v>
      </c>
      <c r="E583" s="21" t="s">
        <v>33</v>
      </c>
      <c r="F583" s="38" t="s">
        <v>1394</v>
      </c>
      <c r="G583" s="159" t="s">
        <v>1127</v>
      </c>
      <c r="H583" s="22" t="s">
        <v>818</v>
      </c>
      <c r="I583" s="22" t="s">
        <v>28</v>
      </c>
      <c r="J583" s="25" t="s">
        <v>262</v>
      </c>
      <c r="K583" s="23" t="s">
        <v>1534</v>
      </c>
      <c r="L583" s="23" t="s">
        <v>68</v>
      </c>
      <c r="M583" s="24">
        <f aca="1">DATEDIF(D583,TODAY(),"Y")</f>
        <v>7</v>
      </c>
      <c r="N583" s="24">
        <f aca="1">DATEDIF(D583,TODAY(),"YM")</f>
        <v>1</v>
      </c>
      <c r="O583" s="24" t="str">
        <f aca="1">DATEDIF(D583,NOW(),"Y")&amp;" Tahun "&amp;DATEDIF(D583,NOW(),"YM")&amp;" Bulan "&amp;DATEDIF(D583,NOW(),"MD")&amp;" Hari "</f>
        <v>7 Tahun 1 Bulan 6 Hari </v>
      </c>
      <c r="P583" s="41">
        <f>D583</f>
        <v>43344</v>
      </c>
      <c r="Q583" s="36" t="n">
        <v>45258</v>
      </c>
      <c r="R583" s="51" t="n">
        <v>1200000</v>
      </c>
      <c r="S583" s="51" t="n">
        <v>1200000</v>
      </c>
    </row>
    <row r="584" spans="1:19">
      <c r="A584" s="21" t="n">
        <v>581</v>
      </c>
      <c r="B584" s="106" t="s">
        <v>1535</v>
      </c>
      <c r="C584" s="175" t="s">
        <v>1536</v>
      </c>
      <c r="D584" s="42" t="n">
        <v>43344</v>
      </c>
      <c r="E584" s="21" t="s">
        <v>33</v>
      </c>
      <c r="F584" s="38" t="s">
        <v>1394</v>
      </c>
      <c r="G584" s="159" t="s">
        <v>1127</v>
      </c>
      <c r="H584" s="22" t="s">
        <v>818</v>
      </c>
      <c r="I584" s="22" t="s">
        <v>28</v>
      </c>
      <c r="J584" s="22" t="s">
        <v>676</v>
      </c>
      <c r="K584" s="23" t="s">
        <v>1436</v>
      </c>
      <c r="L584" s="23" t="s">
        <v>128</v>
      </c>
      <c r="M584" s="24">
        <f aca="1">DATEDIF(D584,TODAY(),"Y")</f>
        <v>7</v>
      </c>
      <c r="N584" s="24">
        <f aca="1">DATEDIF(D584,TODAY(),"YM")</f>
        <v>1</v>
      </c>
      <c r="O584" s="24" t="str">
        <f aca="1">DATEDIF(D584,NOW(),"Y")&amp;" Tahun "&amp;DATEDIF(D584,NOW(),"YM")&amp;" Bulan "&amp;DATEDIF(D584,NOW(),"MD")&amp;" Hari "</f>
        <v>7 Tahun 1 Bulan 6 Hari </v>
      </c>
      <c r="P584" s="41">
        <f>D584</f>
        <v>43344</v>
      </c>
      <c r="Q584" s="36" t="n">
        <v>45258</v>
      </c>
      <c r="R584" s="51" t="n">
        <v>1000000</v>
      </c>
      <c r="S584" s="51" t="n">
        <v>1000000</v>
      </c>
    </row>
    <row r="585" spans="1:19">
      <c r="A585" s="21" t="n">
        <v>582</v>
      </c>
      <c r="B585" s="106" t="s">
        <v>1537</v>
      </c>
      <c r="C585" s="175" t="s">
        <v>1538</v>
      </c>
      <c r="D585" s="38" t="n">
        <v>43497</v>
      </c>
      <c r="E585" s="21" t="s">
        <v>33</v>
      </c>
      <c r="F585" s="38" t="s">
        <v>1394</v>
      </c>
      <c r="G585" s="159" t="s">
        <v>1127</v>
      </c>
      <c r="H585" s="22" t="s">
        <v>346</v>
      </c>
      <c r="I585" s="22" t="s">
        <v>28</v>
      </c>
      <c r="J585" s="22" t="s">
        <v>673</v>
      </c>
      <c r="K585" s="23" t="s">
        <v>1231</v>
      </c>
      <c r="L585" s="23" t="s">
        <v>128</v>
      </c>
      <c r="M585" s="24">
        <f aca="1">DATEDIF(D585,TODAY(),"Y")</f>
        <v>6</v>
      </c>
      <c r="N585" s="24">
        <f aca="1">DATEDIF(D585,TODAY(),"YM")</f>
        <v>8</v>
      </c>
      <c r="O585" s="24" t="str">
        <f aca="1">DATEDIF(D585,NOW(),"Y")&amp;" Tahun "&amp;DATEDIF(D585,NOW(),"YM")&amp;" Bulan "&amp;DATEDIF(D585,NOW(),"MD")&amp;" Hari "</f>
        <v>6 Tahun 8 Bulan 6 Hari </v>
      </c>
      <c r="P585" s="41">
        <f>D585</f>
        <v>43497</v>
      </c>
      <c r="Q585" s="36" t="n">
        <v>45258</v>
      </c>
      <c r="R585" s="51" t="n">
        <v>1000000</v>
      </c>
      <c r="S585" s="51" t="n">
        <v>1000000</v>
      </c>
    </row>
    <row r="586" spans="1:19">
      <c r="A586" s="21" t="n">
        <v>583</v>
      </c>
      <c r="B586" s="106" t="s">
        <v>1539</v>
      </c>
      <c r="C586" s="175" t="s">
        <v>1540</v>
      </c>
      <c r="D586" s="38" t="n">
        <v>44077</v>
      </c>
      <c r="E586" s="21" t="s">
        <v>24</v>
      </c>
      <c r="F586" s="38" t="s">
        <v>1394</v>
      </c>
      <c r="G586" s="159" t="s">
        <v>1127</v>
      </c>
      <c r="H586" s="46" t="s">
        <v>1279</v>
      </c>
      <c r="I586" s="27" t="s">
        <v>96</v>
      </c>
      <c r="J586" s="23" t="s">
        <v>1185</v>
      </c>
      <c r="K586" s="23" t="s">
        <v>161</v>
      </c>
      <c r="L586" s="23" t="s">
        <v>235</v>
      </c>
      <c r="M586" s="24">
        <f aca="1">DATEDIF(D586,TODAY(),"Y")</f>
        <v>5</v>
      </c>
      <c r="N586" s="24">
        <f aca="1">DATEDIF(D586,TODAY(),"YM")</f>
        <v>1</v>
      </c>
      <c r="O586" s="24" t="str">
        <f aca="1">DATEDIF(D586,NOW(),"Y")&amp;" Tahun "&amp;DATEDIF(D586,NOW(),"YM")&amp;" Bulan "&amp;DATEDIF(D586,NOW(),"MD")&amp;" Hari "</f>
        <v>5 Tahun 1 Bulan 4 Hari </v>
      </c>
      <c r="P586" s="41">
        <f>D586</f>
        <v>44077</v>
      </c>
      <c r="Q586" s="36" t="n">
        <v>45258</v>
      </c>
      <c r="R586" s="51" t="n">
        <v>1350000</v>
      </c>
      <c r="S586" s="51" t="n">
        <v>1350000</v>
      </c>
    </row>
    <row r="587" spans="1:19">
      <c r="A587" s="21" t="n">
        <v>584</v>
      </c>
      <c r="B587" s="106" t="s">
        <v>1541</v>
      </c>
      <c r="C587" s="175" t="s">
        <v>1542</v>
      </c>
      <c r="D587" s="38" t="n">
        <v>44077</v>
      </c>
      <c r="E587" s="21" t="s">
        <v>33</v>
      </c>
      <c r="F587" s="38" t="s">
        <v>1394</v>
      </c>
      <c r="G587" s="159" t="s">
        <v>1127</v>
      </c>
      <c r="H587" s="23" t="s">
        <v>1184</v>
      </c>
      <c r="I587" s="27" t="s">
        <v>96</v>
      </c>
      <c r="J587" s="23" t="s">
        <v>1185</v>
      </c>
      <c r="K587" s="28" t="s">
        <v>181</v>
      </c>
      <c r="L587" s="29" t="s">
        <v>235</v>
      </c>
      <c r="M587" s="24">
        <f aca="1">DATEDIF(D587,TODAY(),"Y")</f>
        <v>5</v>
      </c>
      <c r="N587" s="24">
        <f aca="1">DATEDIF(D587,TODAY(),"YM")</f>
        <v>1</v>
      </c>
      <c r="O587" s="24" t="str">
        <f aca="1">DATEDIF(D587,NOW(),"Y")&amp;" Tahun "&amp;DATEDIF(D587,NOW(),"YM")&amp;" Bulan "&amp;DATEDIF(D587,NOW(),"MD")&amp;" Hari "</f>
        <v>5 Tahun 1 Bulan 4 Hari </v>
      </c>
      <c r="P587" s="41">
        <f>D587</f>
        <v>44077</v>
      </c>
      <c r="Q587" s="36" t="n">
        <v>45258</v>
      </c>
      <c r="R587" s="51" t="n">
        <v>1200000</v>
      </c>
      <c r="S587" s="51" t="n">
        <v>1200000</v>
      </c>
    </row>
    <row r="588" spans="1:19">
      <c r="A588" s="21" t="n">
        <v>585</v>
      </c>
      <c r="B588" s="106" t="s">
        <v>1543</v>
      </c>
      <c r="C588" s="175" t="s">
        <v>1544</v>
      </c>
      <c r="D588" s="38" t="n">
        <v>44077</v>
      </c>
      <c r="E588" s="21" t="s">
        <v>24</v>
      </c>
      <c r="F588" s="38" t="s">
        <v>1394</v>
      </c>
      <c r="G588" s="159" t="s">
        <v>1127</v>
      </c>
      <c r="H588" s="46" t="s">
        <v>1279</v>
      </c>
      <c r="I588" s="27" t="s">
        <v>96</v>
      </c>
      <c r="J588" s="23" t="s">
        <v>1185</v>
      </c>
      <c r="K588" s="23" t="s">
        <v>161</v>
      </c>
      <c r="L588" s="23" t="s">
        <v>396</v>
      </c>
      <c r="M588" s="24">
        <f aca="1">DATEDIF(D588,TODAY(),"Y")</f>
        <v>5</v>
      </c>
      <c r="N588" s="24">
        <f aca="1">DATEDIF(D588,TODAY(),"YM")</f>
        <v>1</v>
      </c>
      <c r="O588" s="24" t="str">
        <f aca="1">DATEDIF(D588,NOW(),"Y")&amp;" Tahun "&amp;DATEDIF(D588,NOW(),"YM")&amp;" Bulan "&amp;DATEDIF(D588,NOW(),"MD")&amp;" Hari "</f>
        <v>5 Tahun 1 Bulan 4 Hari </v>
      </c>
      <c r="P588" s="41">
        <f>D588</f>
        <v>44077</v>
      </c>
      <c r="Q588" s="36" t="n">
        <v>45258</v>
      </c>
      <c r="R588" s="51" t="n">
        <v>1350000</v>
      </c>
      <c r="S588" s="51" t="n">
        <v>1350000</v>
      </c>
    </row>
    <row r="589" spans="1:19">
      <c r="A589" s="21" t="n">
        <v>586</v>
      </c>
      <c r="B589" s="106" t="s">
        <v>1545</v>
      </c>
      <c r="C589" s="175" t="s">
        <v>1546</v>
      </c>
      <c r="D589" s="38" t="n">
        <v>44097</v>
      </c>
      <c r="E589" s="21" t="s">
        <v>24</v>
      </c>
      <c r="F589" s="38" t="s">
        <v>1394</v>
      </c>
      <c r="G589" s="159" t="s">
        <v>1127</v>
      </c>
      <c r="H589" s="23" t="s">
        <v>1547</v>
      </c>
      <c r="I589" s="22" t="s">
        <v>132</v>
      </c>
      <c r="J589" s="23" t="s">
        <v>1547</v>
      </c>
      <c r="K589" s="23" t="s">
        <v>172</v>
      </c>
      <c r="L589" s="23" t="s">
        <v>173</v>
      </c>
      <c r="M589" s="24">
        <f aca="1">DATEDIF(D589,TODAY(),"Y")</f>
        <v>5</v>
      </c>
      <c r="N589" s="24">
        <f aca="1">DATEDIF(D589,TODAY(),"YM")</f>
        <v>0</v>
      </c>
      <c r="O589" s="24" t="str">
        <f aca="1">DATEDIF(D589,NOW(),"Y")&amp;" Tahun "&amp;DATEDIF(D589,NOW(),"YM")&amp;" Bulan "&amp;DATEDIF(D589,NOW(),"MD")&amp;" Hari "</f>
        <v>5 Tahun 0 Bulan 14 Hari </v>
      </c>
      <c r="P589" s="41">
        <f>D589</f>
        <v>44097</v>
      </c>
      <c r="Q589" s="36" t="n">
        <v>45258</v>
      </c>
      <c r="R589" s="51" t="n">
        <v>1350000</v>
      </c>
      <c r="S589" s="51" t="n">
        <v>1350000</v>
      </c>
    </row>
    <row r="590" spans="1:19" s="71" customFormat="1">
      <c r="A590" s="21" t="n">
        <v>587</v>
      </c>
      <c r="B590" s="106" t="s">
        <v>1548</v>
      </c>
      <c r="C590" s="175" t="s">
        <v>1549</v>
      </c>
      <c r="D590" s="38" t="n">
        <v>44105</v>
      </c>
      <c r="E590" s="21" t="s">
        <v>33</v>
      </c>
      <c r="F590" s="38" t="s">
        <v>1394</v>
      </c>
      <c r="G590" s="159" t="s">
        <v>1127</v>
      </c>
      <c r="H590" s="22" t="s">
        <v>818</v>
      </c>
      <c r="I590" s="22" t="s">
        <v>28</v>
      </c>
      <c r="J590" s="22" t="s">
        <v>676</v>
      </c>
      <c r="K590" s="23" t="s">
        <v>157</v>
      </c>
      <c r="L590" s="23" t="s">
        <v>173</v>
      </c>
      <c r="M590" s="24">
        <f aca="1">DATEDIF(D590,TODAY(),"Y")</f>
        <v>5</v>
      </c>
      <c r="N590" s="24">
        <f aca="1">DATEDIF(D590,TODAY(),"YM")</f>
        <v>0</v>
      </c>
      <c r="O590" s="24" t="str">
        <f aca="1">DATEDIF(D590,NOW(),"Y")&amp;" Tahun "&amp;DATEDIF(D590,NOW(),"YM")&amp;" Bulan "&amp;DATEDIF(D590,NOW(),"MD")&amp;" Hari "</f>
        <v>5 Tahun 0 Bulan 6 Hari </v>
      </c>
      <c r="P590" s="41">
        <f>D590</f>
        <v>44105</v>
      </c>
      <c r="Q590" s="36" t="n">
        <v>45258</v>
      </c>
      <c r="R590" s="51" t="n">
        <v>1000000</v>
      </c>
      <c r="S590" s="51" t="n">
        <v>1000000</v>
      </c>
    </row>
    <row r="591" spans="1:19" s="71" customFormat="1">
      <c r="A591" s="21" t="n">
        <v>588</v>
      </c>
      <c r="B591" s="106" t="s">
        <v>1550</v>
      </c>
      <c r="C591" s="175" t="s">
        <v>1551</v>
      </c>
      <c r="D591" s="38" t="n">
        <v>44105</v>
      </c>
      <c r="E591" s="21" t="s">
        <v>33</v>
      </c>
      <c r="F591" s="38" t="s">
        <v>1394</v>
      </c>
      <c r="G591" s="159" t="s">
        <v>1127</v>
      </c>
      <c r="H591" s="22" t="s">
        <v>818</v>
      </c>
      <c r="I591" s="22" t="s">
        <v>28</v>
      </c>
      <c r="J591" s="22" t="s">
        <v>676</v>
      </c>
      <c r="K591" s="23" t="s">
        <v>157</v>
      </c>
      <c r="L591" s="23" t="s">
        <v>737</v>
      </c>
      <c r="M591" s="24">
        <f aca="1">DATEDIF(D591,TODAY(),"Y")</f>
        <v>5</v>
      </c>
      <c r="N591" s="24">
        <f aca="1">DATEDIF(D591,TODAY(),"YM")</f>
        <v>0</v>
      </c>
      <c r="O591" s="24" t="str">
        <f aca="1">DATEDIF(D591,NOW(),"Y")&amp;" Tahun "&amp;DATEDIF(D591,NOW(),"YM")&amp;" Bulan "&amp;DATEDIF(D591,NOW(),"MD")&amp;" Hari "</f>
        <v>5 Tahun 0 Bulan 6 Hari </v>
      </c>
      <c r="P591" s="41">
        <f>D591</f>
        <v>44105</v>
      </c>
      <c r="Q591" s="36" t="n">
        <v>45258</v>
      </c>
      <c r="R591" s="51" t="n">
        <v>1000000</v>
      </c>
      <c r="S591" s="51" t="n">
        <v>1000000</v>
      </c>
    </row>
    <row r="592" spans="1:19">
      <c r="A592" s="21" t="n">
        <v>589</v>
      </c>
      <c r="B592" s="106" t="s">
        <v>1552</v>
      </c>
      <c r="C592" s="175" t="s">
        <v>1553</v>
      </c>
      <c r="D592" s="38" t="n">
        <v>44105</v>
      </c>
      <c r="E592" s="21" t="s">
        <v>33</v>
      </c>
      <c r="F592" s="38" t="s">
        <v>1394</v>
      </c>
      <c r="G592" s="159" t="s">
        <v>1127</v>
      </c>
      <c r="H592" s="22" t="s">
        <v>1554</v>
      </c>
      <c r="I592" s="22" t="s">
        <v>28</v>
      </c>
      <c r="J592" s="22" t="s">
        <v>673</v>
      </c>
      <c r="K592" s="23" t="s">
        <v>157</v>
      </c>
      <c r="L592" s="23" t="s">
        <v>134</v>
      </c>
      <c r="M592" s="24">
        <f aca="1">DATEDIF(D592,TODAY(),"Y")</f>
        <v>5</v>
      </c>
      <c r="N592" s="24">
        <f aca="1">DATEDIF(D592,TODAY(),"YM")</f>
        <v>0</v>
      </c>
      <c r="O592" s="24" t="str">
        <f aca="1">DATEDIF(D592,NOW(),"Y")&amp;" Tahun "&amp;DATEDIF(D592,NOW(),"YM")&amp;" Bulan "&amp;DATEDIF(D592,NOW(),"MD")&amp;" Hari "</f>
        <v>5 Tahun 0 Bulan 6 Hari </v>
      </c>
      <c r="P592" s="41">
        <f>D592</f>
        <v>44105</v>
      </c>
      <c r="Q592" s="36" t="n">
        <v>45258</v>
      </c>
      <c r="R592" s="51" t="n">
        <v>1000000</v>
      </c>
      <c r="S592" s="51" t="n">
        <v>1000000</v>
      </c>
    </row>
    <row r="593" spans="1:19" s="71" customFormat="1">
      <c r="A593" s="21" t="n">
        <v>590</v>
      </c>
      <c r="B593" s="106" t="s">
        <v>1555</v>
      </c>
      <c r="C593" s="175" t="s">
        <v>1556</v>
      </c>
      <c r="D593" s="38" t="n">
        <v>44137</v>
      </c>
      <c r="E593" s="21" t="s">
        <v>33</v>
      </c>
      <c r="F593" s="38" t="s">
        <v>1394</v>
      </c>
      <c r="G593" s="159" t="s">
        <v>1127</v>
      </c>
      <c r="H593" s="22" t="s">
        <v>818</v>
      </c>
      <c r="I593" s="22" t="s">
        <v>28</v>
      </c>
      <c r="J593" s="22" t="s">
        <v>676</v>
      </c>
      <c r="K593" s="23" t="s">
        <v>157</v>
      </c>
      <c r="L593" s="23" t="s">
        <v>480</v>
      </c>
      <c r="M593" s="24">
        <f aca="1">DATEDIF(D593,TODAY(),"Y")</f>
        <v>4</v>
      </c>
      <c r="N593" s="24">
        <f aca="1">DATEDIF(D593,TODAY(),"YM")</f>
        <v>11</v>
      </c>
      <c r="O593" s="24" t="str">
        <f aca="1">DATEDIF(D593,NOW(),"Y")&amp;" Tahun "&amp;DATEDIF(D593,NOW(),"YM")&amp;" Bulan "&amp;DATEDIF(D593,NOW(),"MD")&amp;" Hari "</f>
        <v>4 Tahun 11 Bulan 5 Hari </v>
      </c>
      <c r="P593" s="41">
        <f>D593</f>
        <v>44137</v>
      </c>
      <c r="Q593" s="36" t="n">
        <v>45258</v>
      </c>
      <c r="R593" s="51" t="n">
        <v>1000000</v>
      </c>
      <c r="S593" s="51" t="n">
        <v>1000000</v>
      </c>
    </row>
    <row r="594" spans="1:19" s="71" customFormat="1">
      <c r="A594" s="21" t="n">
        <v>591</v>
      </c>
      <c r="B594" s="106" t="s">
        <v>1557</v>
      </c>
      <c r="C594" s="175" t="s">
        <v>1558</v>
      </c>
      <c r="D594" s="38" t="n">
        <v>44348</v>
      </c>
      <c r="E594" s="21" t="s">
        <v>33</v>
      </c>
      <c r="F594" s="36" t="s">
        <v>1394</v>
      </c>
      <c r="G594" s="159" t="s">
        <v>1127</v>
      </c>
      <c r="H594" s="22" t="s">
        <v>536</v>
      </c>
      <c r="I594" s="22" t="s">
        <v>28</v>
      </c>
      <c r="J594" s="22" t="s">
        <v>673</v>
      </c>
      <c r="K594" s="23" t="s">
        <v>1231</v>
      </c>
      <c r="L594" s="23" t="s">
        <v>245</v>
      </c>
      <c r="M594" s="24">
        <f aca="1">DATEDIF(D594,TODAY(),"Y")</f>
        <v>4</v>
      </c>
      <c r="N594" s="24">
        <f aca="1">DATEDIF(D594,TODAY(),"YM")</f>
        <v>4</v>
      </c>
      <c r="O594" s="24" t="str">
        <f aca="1">DATEDIF(D594,NOW(),"Y")&amp;" Tahun "&amp;DATEDIF(D594,NOW(),"YM")&amp;" Bulan "&amp;DATEDIF(D594,NOW(),"MD")&amp;" Hari "</f>
        <v>4 Tahun 4 Bulan 6 Hari </v>
      </c>
      <c r="P594" s="41">
        <f>D594</f>
        <v>44348</v>
      </c>
      <c r="Q594" s="36" t="n">
        <v>45258</v>
      </c>
      <c r="R594" s="51" t="n">
        <v>1000000</v>
      </c>
      <c r="S594" s="51" t="n">
        <v>1000000</v>
      </c>
    </row>
    <row r="595" spans="1:19">
      <c r="A595" s="21" t="n">
        <v>592</v>
      </c>
      <c r="B595" s="106" t="s">
        <v>1559</v>
      </c>
      <c r="C595" s="176" t="s">
        <v>1560</v>
      </c>
      <c r="D595" s="38" t="n">
        <v>43831</v>
      </c>
      <c r="E595" s="21" t="s">
        <v>24</v>
      </c>
      <c r="F595" s="21" t="s">
        <v>1389</v>
      </c>
      <c r="G595" s="159" t="s">
        <v>1127</v>
      </c>
      <c r="H595" s="22" t="s">
        <v>1561</v>
      </c>
      <c r="I595" s="27" t="s">
        <v>66</v>
      </c>
      <c r="J595" s="22" t="s">
        <v>1561</v>
      </c>
      <c r="K595" s="23" t="s">
        <v>1562</v>
      </c>
      <c r="L595" s="23" t="s">
        <v>176</v>
      </c>
      <c r="M595" s="24">
        <f aca="1">DATEDIF(D595,TODAY(),"Y")</f>
        <v>5</v>
      </c>
      <c r="N595" s="24">
        <f aca="1">DATEDIF(D595,TODAY(),"YM")</f>
        <v>9</v>
      </c>
      <c r="O595" s="24" t="str">
        <f aca="1">DATEDIF(D595,NOW(),"Y")&amp;" Tahun "&amp;DATEDIF(D595,NOW(),"YM")&amp;" Bulan "&amp;DATEDIF(D595,NOW(),"MD")&amp;" Hari "</f>
        <v>5 Tahun 9 Bulan 6 Hari </v>
      </c>
      <c r="P595" s="25"/>
      <c r="Q595" s="25"/>
      <c r="R595" s="51" t="n">
        <v>3650000</v>
      </c>
      <c r="S595" s="52" t="n">
        <v>3650000</v>
      </c>
    </row>
    <row r="596" spans="1:19">
      <c r="A596" s="21" t="n">
        <v>593</v>
      </c>
      <c r="B596" s="106" t="s">
        <v>1563</v>
      </c>
      <c r="C596" s="120"/>
      <c r="D596" s="38" t="n">
        <v>43725</v>
      </c>
      <c r="E596" s="21" t="s">
        <v>33</v>
      </c>
      <c r="F596" s="21" t="s">
        <v>1389</v>
      </c>
      <c r="G596" s="159" t="s">
        <v>1127</v>
      </c>
      <c r="H596" s="22" t="s">
        <v>866</v>
      </c>
      <c r="I596" s="27" t="s">
        <v>66</v>
      </c>
      <c r="J596" s="22" t="s">
        <v>866</v>
      </c>
      <c r="K596" s="23" t="s">
        <v>867</v>
      </c>
      <c r="L596" s="23" t="s">
        <v>325</v>
      </c>
      <c r="M596" s="24">
        <f aca="1">DATEDIF(D596,TODAY(),"Y")</f>
        <v>6</v>
      </c>
      <c r="N596" s="24">
        <f aca="1">DATEDIF(D596,TODAY(),"YM")</f>
        <v>0</v>
      </c>
      <c r="O596" s="24" t="str">
        <f aca="1">DATEDIF(D596,NOW(),"Y")&amp;" Tahun "&amp;DATEDIF(D596,NOW(),"YM")&amp;" Bulan "&amp;DATEDIF(D596,NOW(),"MD")&amp;" Hari "</f>
        <v>6 Tahun 0 Bulan 20 Hari </v>
      </c>
      <c r="P596" s="25"/>
      <c r="Q596" s="25"/>
      <c r="R596" s="51" t="n">
        <v>7650000</v>
      </c>
      <c r="S596" s="33" t="n">
        <v>7650000</v>
      </c>
    </row>
    <row r="597" spans="1:19">
      <c r="A597" s="21" t="n">
        <v>594</v>
      </c>
      <c r="B597" s="106" t="s">
        <v>1564</v>
      </c>
      <c r="C597" s="175" t="s">
        <v>1565</v>
      </c>
      <c r="D597" s="38" t="n">
        <v>44562</v>
      </c>
      <c r="E597" s="21" t="s">
        <v>33</v>
      </c>
      <c r="F597" s="21" t="s">
        <v>1389</v>
      </c>
      <c r="G597" s="159" t="s">
        <v>1127</v>
      </c>
      <c r="H597" s="22" t="s">
        <v>1566</v>
      </c>
      <c r="I597" s="27" t="s">
        <v>66</v>
      </c>
      <c r="J597" s="22" t="s">
        <v>1566</v>
      </c>
      <c r="K597" s="23" t="s">
        <v>1567</v>
      </c>
      <c r="L597" s="23" t="s">
        <v>359</v>
      </c>
      <c r="M597" s="24">
        <f aca="1">DATEDIF(D597,TODAY(),"Y")</f>
        <v>3</v>
      </c>
      <c r="N597" s="24">
        <f aca="1">DATEDIF(D597,TODAY(),"YM")</f>
        <v>9</v>
      </c>
      <c r="O597" s="24" t="str">
        <f aca="1">DATEDIF(D597,NOW(),"Y")&amp;" Tahun "&amp;DATEDIF(D597,NOW(),"YM")&amp;" Bulan "&amp;DATEDIF(D597,NOW(),"MD")&amp;" Hari "</f>
        <v>3 Tahun 9 Bulan 6 Hari </v>
      </c>
      <c r="P597" s="25"/>
      <c r="Q597" s="25"/>
      <c r="R597" s="51" t="n">
        <v>8350000</v>
      </c>
      <c r="S597" s="33" t="n">
        <v>8350000</v>
      </c>
    </row>
    <row r="598" spans="1:19">
      <c r="A598" s="21" t="n">
        <v>595</v>
      </c>
      <c r="B598" s="106" t="s">
        <v>1568</v>
      </c>
      <c r="C598" s="175" t="s">
        <v>1569</v>
      </c>
      <c r="D598" s="38" t="n">
        <v>44958</v>
      </c>
      <c r="E598" s="21" t="s">
        <v>33</v>
      </c>
      <c r="F598" s="21" t="s">
        <v>1389</v>
      </c>
      <c r="G598" s="159" t="s">
        <v>1127</v>
      </c>
      <c r="H598" s="22" t="s">
        <v>1570</v>
      </c>
      <c r="I598" s="27" t="s">
        <v>66</v>
      </c>
      <c r="J598" s="22" t="s">
        <v>1570</v>
      </c>
      <c r="K598" s="23" t="s">
        <v>67</v>
      </c>
      <c r="L598" s="23" t="s">
        <v>68</v>
      </c>
      <c r="M598" s="24">
        <f aca="1">DATEDIF(D598,TODAY(),"Y")</f>
        <v>2</v>
      </c>
      <c r="N598" s="24">
        <f aca="1">DATEDIF(D598,TODAY(),"YM")</f>
        <v>8</v>
      </c>
      <c r="O598" s="24" t="str">
        <f aca="1">DATEDIF(D598,NOW(),"Y")&amp;" Tahun "&amp;DATEDIF(D598,NOW(),"YM")&amp;" Bulan "&amp;DATEDIF(D598,NOW(),"MD")&amp;" Hari "</f>
        <v>2 Tahun 8 Bulan 6 Hari </v>
      </c>
      <c r="P598" s="25"/>
      <c r="Q598" s="25"/>
      <c r="R598" s="51" t="n">
        <v>3650000</v>
      </c>
      <c r="S598" s="52" t="n">
        <v>3650000</v>
      </c>
    </row>
    <row r="599" spans="1:19">
      <c r="A599" s="21" t="n">
        <v>596</v>
      </c>
      <c r="B599" s="106" t="s">
        <v>1571</v>
      </c>
      <c r="C599" s="120"/>
      <c r="D599" s="36" t="n">
        <v>45082</v>
      </c>
      <c r="E599" s="21" t="s">
        <v>33</v>
      </c>
      <c r="F599" s="21" t="s">
        <v>1389</v>
      </c>
      <c r="G599" s="159" t="s">
        <v>1127</v>
      </c>
      <c r="H599" s="22" t="s">
        <v>1572</v>
      </c>
      <c r="I599" s="27" t="s">
        <v>66</v>
      </c>
      <c r="J599" s="22" t="s">
        <v>1572</v>
      </c>
      <c r="K599" s="23" t="s">
        <v>1573</v>
      </c>
      <c r="L599" s="23" t="s">
        <v>1574</v>
      </c>
      <c r="M599" s="24">
        <f aca="1">DATEDIF(D599,TODAY(),"Y")</f>
        <v>2</v>
      </c>
      <c r="N599" s="24">
        <f aca="1">DATEDIF(D599,TODAY(),"YM")</f>
        <v>4</v>
      </c>
      <c r="O599" s="24" t="str">
        <f aca="1">DATEDIF(D599,NOW(),"Y")&amp;" Tahun "&amp;DATEDIF(D599,NOW(),"YM")&amp;" Bulan "&amp;DATEDIF(D599,NOW(),"MD")&amp;" Hari "</f>
        <v>2 Tahun 4 Bulan 2 Hari </v>
      </c>
      <c r="P599" s="25"/>
      <c r="Q599" s="25"/>
      <c r="R599" s="51" t="n">
        <v>3750000</v>
      </c>
      <c r="S599" s="33" t="n">
        <v>3750000</v>
      </c>
    </row>
    <row r="600" spans="1:19">
      <c r="A600" s="21" t="n">
        <v>597</v>
      </c>
      <c r="B600" s="106" t="s">
        <v>1575</v>
      </c>
      <c r="C600" s="120"/>
      <c r="D600" s="38" t="n">
        <v>45139</v>
      </c>
      <c r="E600" s="21" t="s">
        <v>33</v>
      </c>
      <c r="F600" s="21" t="s">
        <v>1389</v>
      </c>
      <c r="G600" s="159" t="s">
        <v>1127</v>
      </c>
      <c r="H600" s="22" t="s">
        <v>871</v>
      </c>
      <c r="I600" s="27" t="s">
        <v>66</v>
      </c>
      <c r="J600" s="22" t="s">
        <v>871</v>
      </c>
      <c r="K600" s="23" t="s">
        <v>872</v>
      </c>
      <c r="L600" s="23" t="s">
        <v>168</v>
      </c>
      <c r="M600" s="24">
        <f aca="1">DATEDIF(D600,TODAY(),"Y")</f>
        <v>2</v>
      </c>
      <c r="N600" s="24">
        <f aca="1">DATEDIF(D600,TODAY(),"YM")</f>
        <v>2</v>
      </c>
      <c r="O600" s="24" t="str">
        <f aca="1">DATEDIF(D600,NOW(),"Y")&amp;" Tahun "&amp;DATEDIF(D600,NOW(),"YM")&amp;" Bulan "&amp;DATEDIF(D600,NOW(),"MD")&amp;" Hari "</f>
        <v>2 Tahun 2 Bulan 6 Hari </v>
      </c>
      <c r="P600" s="25"/>
      <c r="Q600" s="25"/>
      <c r="R600" s="51" t="n">
        <v>7000000</v>
      </c>
      <c r="S600" s="33" t="n">
        <v>7000000</v>
      </c>
    </row>
    <row r="601" spans="1:19">
      <c r="A601" s="21" t="n">
        <v>598</v>
      </c>
      <c r="B601" s="106" t="s">
        <v>1576</v>
      </c>
      <c r="C601" s="175" t="s">
        <v>1577</v>
      </c>
      <c r="D601" s="38" t="n">
        <v>45139</v>
      </c>
      <c r="E601" s="21" t="s">
        <v>24</v>
      </c>
      <c r="F601" s="21" t="s">
        <v>1389</v>
      </c>
      <c r="G601" s="159" t="s">
        <v>1127</v>
      </c>
      <c r="H601" s="22" t="s">
        <v>1578</v>
      </c>
      <c r="I601" s="22" t="s">
        <v>91</v>
      </c>
      <c r="J601" s="22" t="s">
        <v>1578</v>
      </c>
      <c r="K601" s="23" t="s">
        <v>1579</v>
      </c>
      <c r="L601" s="23" t="s">
        <v>92</v>
      </c>
      <c r="M601" s="24">
        <f aca="1">DATEDIF(D601,TODAY(),"Y")</f>
        <v>2</v>
      </c>
      <c r="N601" s="24">
        <f aca="1">DATEDIF(D601,TODAY(),"YM")</f>
        <v>2</v>
      </c>
      <c r="O601" s="24" t="str">
        <f aca="1">DATEDIF(D601,NOW(),"Y")&amp;" Tahun "&amp;DATEDIF(D601,NOW(),"YM")&amp;" Bulan "&amp;DATEDIF(D601,NOW(),"MD")&amp;" Hari "</f>
        <v>2 Tahun 2 Bulan 6 Hari </v>
      </c>
      <c r="P601" s="25"/>
      <c r="Q601" s="25"/>
      <c r="R601" s="51" t="n">
        <v>1350000</v>
      </c>
      <c r="S601" s="51" t="n">
        <v>1350000</v>
      </c>
    </row>
    <row r="602" spans="1:19">
      <c r="A602" s="21" t="n">
        <v>599</v>
      </c>
      <c r="B602" s="106" t="s">
        <v>1580</v>
      </c>
      <c r="C602" s="175" t="s">
        <v>1581</v>
      </c>
      <c r="D602" s="38" t="n">
        <v>45139</v>
      </c>
      <c r="E602" s="21" t="s">
        <v>24</v>
      </c>
      <c r="F602" s="21" t="s">
        <v>1389</v>
      </c>
      <c r="G602" s="159" t="s">
        <v>1127</v>
      </c>
      <c r="H602" s="22" t="s">
        <v>1578</v>
      </c>
      <c r="I602" s="22" t="s">
        <v>91</v>
      </c>
      <c r="J602" s="22" t="s">
        <v>1578</v>
      </c>
      <c r="K602" s="23" t="s">
        <v>1579</v>
      </c>
      <c r="L602" s="23" t="s">
        <v>92</v>
      </c>
      <c r="M602" s="24">
        <f aca="1">DATEDIF(D602,TODAY(),"Y")</f>
        <v>2</v>
      </c>
      <c r="N602" s="24">
        <f aca="1">DATEDIF(D602,TODAY(),"YM")</f>
        <v>2</v>
      </c>
      <c r="O602" s="24" t="str">
        <f aca="1">DATEDIF(D602,NOW(),"Y")&amp;" Tahun "&amp;DATEDIF(D602,NOW(),"YM")&amp;" Bulan "&amp;DATEDIF(D602,NOW(),"MD")&amp;" Hari "</f>
        <v>2 Tahun 2 Bulan 6 Hari </v>
      </c>
      <c r="P602" s="25"/>
      <c r="Q602" s="25"/>
      <c r="R602" s="51" t="n">
        <v>1350000</v>
      </c>
      <c r="S602" s="51" t="n">
        <v>1350000</v>
      </c>
    </row>
    <row r="603" spans="1:19">
      <c r="A603" s="21" t="n">
        <v>600</v>
      </c>
      <c r="B603" s="106" t="s">
        <v>1582</v>
      </c>
      <c r="C603" s="175" t="s">
        <v>1583</v>
      </c>
      <c r="D603" s="38" t="n">
        <v>45139</v>
      </c>
      <c r="E603" s="21" t="s">
        <v>33</v>
      </c>
      <c r="F603" s="21" t="s">
        <v>1389</v>
      </c>
      <c r="G603" s="159" t="s">
        <v>1127</v>
      </c>
      <c r="H603" s="23" t="s">
        <v>1184</v>
      </c>
      <c r="I603" s="27" t="s">
        <v>96</v>
      </c>
      <c r="J603" s="23" t="s">
        <v>1185</v>
      </c>
      <c r="K603" s="28" t="s">
        <v>181</v>
      </c>
      <c r="L603" s="23" t="s">
        <v>222</v>
      </c>
      <c r="M603" s="24">
        <f aca="1">DATEDIF(D603,TODAY(),"Y")</f>
        <v>2</v>
      </c>
      <c r="N603" s="24">
        <f aca="1">DATEDIF(D603,TODAY(),"YM")</f>
        <v>2</v>
      </c>
      <c r="O603" s="24" t="str">
        <f aca="1">DATEDIF(D603,NOW(),"Y")&amp;" Tahun "&amp;DATEDIF(D603,NOW(),"YM")&amp;" Bulan "&amp;DATEDIF(D603,NOW(),"MD")&amp;" Hari "</f>
        <v>2 Tahun 2 Bulan 6 Hari </v>
      </c>
      <c r="P603" s="41" t="n">
        <v>45139</v>
      </c>
      <c r="Q603" s="36" t="n">
        <v>45291</v>
      </c>
      <c r="R603" s="51" t="n">
        <v>1200000</v>
      </c>
      <c r="S603" s="51" t="n">
        <v>1200000</v>
      </c>
    </row>
    <row r="604" spans="1:19">
      <c r="A604" s="21" t="n">
        <v>601</v>
      </c>
      <c r="B604" s="106" t="s">
        <v>1584</v>
      </c>
      <c r="C604" s="175" t="s">
        <v>1585</v>
      </c>
      <c r="D604" s="38" t="n">
        <v>45139</v>
      </c>
      <c r="E604" s="21" t="s">
        <v>33</v>
      </c>
      <c r="F604" s="21" t="s">
        <v>1389</v>
      </c>
      <c r="G604" s="159" t="s">
        <v>1127</v>
      </c>
      <c r="H604" s="23" t="s">
        <v>1184</v>
      </c>
      <c r="I604" s="27" t="s">
        <v>96</v>
      </c>
      <c r="J604" s="23" t="s">
        <v>1185</v>
      </c>
      <c r="K604" s="28" t="s">
        <v>181</v>
      </c>
      <c r="L604" s="23" t="s">
        <v>379</v>
      </c>
      <c r="M604" s="24">
        <f aca="1">DATEDIF(D604,TODAY(),"Y")</f>
        <v>2</v>
      </c>
      <c r="N604" s="24">
        <f aca="1">DATEDIF(D604,TODAY(),"YM")</f>
        <v>2</v>
      </c>
      <c r="O604" s="24" t="str">
        <f aca="1">DATEDIF(D604,NOW(),"Y")&amp;" Tahun "&amp;DATEDIF(D604,NOW(),"YM")&amp;" Bulan "&amp;DATEDIF(D604,NOW(),"MD")&amp;" Hari "</f>
        <v>2 Tahun 2 Bulan 6 Hari </v>
      </c>
      <c r="P604" s="41" t="n">
        <v>45139</v>
      </c>
      <c r="Q604" s="36" t="n">
        <v>45291</v>
      </c>
      <c r="R604" s="51" t="n">
        <v>1200000</v>
      </c>
      <c r="S604" s="51" t="n">
        <v>1200000</v>
      </c>
    </row>
    <row r="605" spans="1:19">
      <c r="A605" s="21" t="n">
        <v>602</v>
      </c>
      <c r="B605" s="106" t="s">
        <v>1586</v>
      </c>
      <c r="C605" s="175" t="s">
        <v>1587</v>
      </c>
      <c r="D605" s="38" t="n">
        <v>45139</v>
      </c>
      <c r="E605" s="21" t="s">
        <v>24</v>
      </c>
      <c r="F605" s="21" t="s">
        <v>1389</v>
      </c>
      <c r="G605" s="159" t="s">
        <v>1127</v>
      </c>
      <c r="H605" s="23" t="s">
        <v>1184</v>
      </c>
      <c r="I605" s="27" t="s">
        <v>96</v>
      </c>
      <c r="J605" s="23" t="s">
        <v>1185</v>
      </c>
      <c r="K605" s="28" t="s">
        <v>181</v>
      </c>
      <c r="L605" s="23" t="s">
        <v>278</v>
      </c>
      <c r="M605" s="24">
        <f aca="1">DATEDIF(D605,TODAY(),"Y")</f>
        <v>2</v>
      </c>
      <c r="N605" s="24">
        <f aca="1">DATEDIF(D605,TODAY(),"YM")</f>
        <v>2</v>
      </c>
      <c r="O605" s="24" t="str">
        <f aca="1">DATEDIF(D605,NOW(),"Y")&amp;" Tahun "&amp;DATEDIF(D605,NOW(),"YM")&amp;" Bulan "&amp;DATEDIF(D605,NOW(),"MD")&amp;" Hari "</f>
        <v>2 Tahun 2 Bulan 6 Hari </v>
      </c>
      <c r="P605" s="41" t="n">
        <v>45139</v>
      </c>
      <c r="Q605" s="36" t="n">
        <v>45291</v>
      </c>
      <c r="R605" s="51" t="n">
        <v>1200000</v>
      </c>
      <c r="S605" s="51" t="n">
        <v>1200000</v>
      </c>
    </row>
    <row r="606" spans="1:19">
      <c r="A606" s="21" t="n">
        <v>603</v>
      </c>
      <c r="B606" s="106" t="s">
        <v>1588</v>
      </c>
      <c r="C606" s="175" t="s">
        <v>1589</v>
      </c>
      <c r="D606" s="38" t="n">
        <v>45139</v>
      </c>
      <c r="E606" s="21" t="s">
        <v>24</v>
      </c>
      <c r="F606" s="21" t="s">
        <v>1389</v>
      </c>
      <c r="G606" s="159" t="s">
        <v>1127</v>
      </c>
      <c r="H606" s="23" t="s">
        <v>1184</v>
      </c>
      <c r="I606" s="27" t="s">
        <v>96</v>
      </c>
      <c r="J606" s="23" t="s">
        <v>1185</v>
      </c>
      <c r="K606" s="28" t="s">
        <v>181</v>
      </c>
      <c r="L606" s="29" t="s">
        <v>1590</v>
      </c>
      <c r="M606" s="24">
        <f aca="1">DATEDIF(D606,TODAY(),"Y")</f>
        <v>2</v>
      </c>
      <c r="N606" s="24">
        <f aca="1">DATEDIF(D606,TODAY(),"YM")</f>
        <v>2</v>
      </c>
      <c r="O606" s="24" t="str">
        <f aca="1">DATEDIF(D606,NOW(),"Y")&amp;" Tahun "&amp;DATEDIF(D606,NOW(),"YM")&amp;" Bulan "&amp;DATEDIF(D606,NOW(),"MD")&amp;" Hari "</f>
        <v>2 Tahun 2 Bulan 6 Hari </v>
      </c>
      <c r="P606" s="41" t="n">
        <v>45139</v>
      </c>
      <c r="Q606" s="36" t="n">
        <v>45291</v>
      </c>
      <c r="R606" s="51" t="n">
        <v>1200000</v>
      </c>
      <c r="S606" s="51" t="n">
        <v>1200000</v>
      </c>
    </row>
    <row r="607" spans="1:19">
      <c r="A607" s="21" t="n">
        <v>604</v>
      </c>
      <c r="B607" s="114" t="s">
        <v>1591</v>
      </c>
      <c r="C607" s="177" t="s">
        <v>1592</v>
      </c>
      <c r="D607" s="36" t="n">
        <v>45200</v>
      </c>
      <c r="E607" s="21" t="s">
        <v>33</v>
      </c>
      <c r="F607" s="21" t="s">
        <v>1389</v>
      </c>
      <c r="G607" s="159" t="s">
        <v>1127</v>
      </c>
      <c r="H607" s="46" t="s">
        <v>1279</v>
      </c>
      <c r="I607" s="27" t="s">
        <v>96</v>
      </c>
      <c r="J607" s="23" t="s">
        <v>1185</v>
      </c>
      <c r="K607" s="23" t="s">
        <v>1593</v>
      </c>
      <c r="L607" s="23" t="s">
        <v>68</v>
      </c>
      <c r="M607" s="24">
        <f aca="1">DATEDIF(D607,TODAY(),"Y")</f>
        <v>2</v>
      </c>
      <c r="N607" s="24">
        <f aca="1">DATEDIF(D607,TODAY(),"YM")</f>
        <v>0</v>
      </c>
      <c r="O607" s="24" t="str">
        <f aca="1">DATEDIF(D607,NOW(),"Y")&amp;" Tahun "&amp;DATEDIF(D607,NOW(),"YM")&amp;" Bulan "&amp;DATEDIF(D607,NOW(),"MD")&amp;" Hari "</f>
        <v>2 Tahun 0 Bulan 6 Hari </v>
      </c>
      <c r="P607" s="36" t="n">
        <v>45200</v>
      </c>
      <c r="Q607" s="36" t="n">
        <v>45291</v>
      </c>
      <c r="R607" s="51" t="n">
        <v>1350000</v>
      </c>
      <c r="S607" s="51" t="n">
        <v>1350000</v>
      </c>
    </row>
    <row r="608" spans="1:19">
      <c r="A608" s="21" t="n">
        <v>605</v>
      </c>
      <c r="B608" s="114" t="s">
        <v>1594</v>
      </c>
      <c r="C608" s="177" t="s">
        <v>1595</v>
      </c>
      <c r="D608" s="36" t="n">
        <v>45200</v>
      </c>
      <c r="E608" s="21" t="s">
        <v>24</v>
      </c>
      <c r="F608" s="21" t="s">
        <v>1389</v>
      </c>
      <c r="G608" s="159" t="s">
        <v>1127</v>
      </c>
      <c r="H608" s="46" t="s">
        <v>1279</v>
      </c>
      <c r="I608" s="27" t="s">
        <v>96</v>
      </c>
      <c r="J608" s="23" t="s">
        <v>1185</v>
      </c>
      <c r="K608" s="23" t="s">
        <v>1593</v>
      </c>
      <c r="L608" s="23" t="s">
        <v>158</v>
      </c>
      <c r="M608" s="24">
        <f aca="1">DATEDIF(D608,TODAY(),"Y")</f>
        <v>2</v>
      </c>
      <c r="N608" s="24">
        <f aca="1">DATEDIF(D608,TODAY(),"YM")</f>
        <v>0</v>
      </c>
      <c r="O608" s="24" t="str">
        <f aca="1">DATEDIF(D608,NOW(),"Y")&amp;" Tahun "&amp;DATEDIF(D608,NOW(),"YM")&amp;" Bulan "&amp;DATEDIF(D608,NOW(),"MD")&amp;" Hari "</f>
        <v>2 Tahun 0 Bulan 6 Hari </v>
      </c>
      <c r="P608" s="36" t="n">
        <v>45200</v>
      </c>
      <c r="Q608" s="36" t="n">
        <v>45291</v>
      </c>
      <c r="R608" s="51" t="n">
        <v>1350000</v>
      </c>
      <c r="S608" s="51" t="n">
        <v>1350000</v>
      </c>
    </row>
    <row r="609" spans="1:19">
      <c r="A609" s="21" t="n">
        <v>606</v>
      </c>
      <c r="B609" s="114" t="s">
        <v>1596</v>
      </c>
      <c r="C609" s="177" t="s">
        <v>1597</v>
      </c>
      <c r="D609" s="36" t="n">
        <v>45200</v>
      </c>
      <c r="E609" s="21" t="s">
        <v>24</v>
      </c>
      <c r="F609" s="21" t="s">
        <v>1389</v>
      </c>
      <c r="G609" s="159" t="s">
        <v>1127</v>
      </c>
      <c r="H609" s="23" t="s">
        <v>1184</v>
      </c>
      <c r="I609" s="27" t="s">
        <v>96</v>
      </c>
      <c r="J609" s="23" t="s">
        <v>1185</v>
      </c>
      <c r="K609" s="28" t="s">
        <v>181</v>
      </c>
      <c r="L609" s="23" t="s">
        <v>382</v>
      </c>
      <c r="M609" s="24">
        <f aca="1">DATEDIF(D609,TODAY(),"Y")</f>
        <v>2</v>
      </c>
      <c r="N609" s="24">
        <f aca="1">DATEDIF(D609,TODAY(),"YM")</f>
        <v>0</v>
      </c>
      <c r="O609" s="24" t="str">
        <f aca="1">DATEDIF(D609,NOW(),"Y")&amp;" Tahun "&amp;DATEDIF(D609,NOW(),"YM")&amp;" Bulan "&amp;DATEDIF(D609,NOW(),"MD")&amp;" Hari "</f>
        <v>2 Tahun 0 Bulan 6 Hari </v>
      </c>
      <c r="P609" s="36" t="n">
        <v>45200</v>
      </c>
      <c r="Q609" s="36" t="n">
        <v>45291</v>
      </c>
      <c r="R609" s="51" t="n">
        <v>1200000</v>
      </c>
      <c r="S609" s="51" t="n">
        <v>1200000</v>
      </c>
    </row>
    <row r="610" spans="1:19">
      <c r="A610" s="21" t="n">
        <v>607</v>
      </c>
      <c r="B610" s="114" t="s">
        <v>1598</v>
      </c>
      <c r="C610" s="178" t="s">
        <v>1599</v>
      </c>
      <c r="D610" s="36" t="n">
        <v>45200</v>
      </c>
      <c r="E610" s="21" t="s">
        <v>33</v>
      </c>
      <c r="F610" s="21" t="s">
        <v>1389</v>
      </c>
      <c r="G610" s="159" t="s">
        <v>1127</v>
      </c>
      <c r="H610" s="23" t="s">
        <v>1184</v>
      </c>
      <c r="I610" s="27" t="s">
        <v>96</v>
      </c>
      <c r="J610" s="23" t="s">
        <v>1185</v>
      </c>
      <c r="K610" s="28" t="s">
        <v>181</v>
      </c>
      <c r="L610" s="23" t="s">
        <v>222</v>
      </c>
      <c r="M610" s="24">
        <f aca="1">DATEDIF(D610,TODAY(),"Y")</f>
        <v>2</v>
      </c>
      <c r="N610" s="24">
        <f aca="1">DATEDIF(D610,TODAY(),"YM")</f>
        <v>0</v>
      </c>
      <c r="O610" s="24" t="str">
        <f aca="1">DATEDIF(D610,NOW(),"Y")&amp;" Tahun "&amp;DATEDIF(D610,NOW(),"YM")&amp;" Bulan "&amp;DATEDIF(D610,NOW(),"MD")&amp;" Hari "</f>
        <v>2 Tahun 0 Bulan 6 Hari </v>
      </c>
      <c r="P610" s="36" t="n">
        <v>45200</v>
      </c>
      <c r="Q610" s="36" t="n">
        <v>45291</v>
      </c>
      <c r="R610" s="51" t="n">
        <v>1200000</v>
      </c>
      <c r="S610" s="51" t="n">
        <v>1200000</v>
      </c>
    </row>
    <row r="611" spans="1:19">
      <c r="A611" s="21" t="n">
        <v>608</v>
      </c>
      <c r="B611" s="114" t="s">
        <v>1600</v>
      </c>
      <c r="C611" s="177" t="s">
        <v>1601</v>
      </c>
      <c r="D611" s="36" t="n">
        <v>45200</v>
      </c>
      <c r="E611" s="21" t="s">
        <v>24</v>
      </c>
      <c r="F611" s="21" t="s">
        <v>1389</v>
      </c>
      <c r="G611" s="159" t="s">
        <v>1127</v>
      </c>
      <c r="H611" s="46" t="s">
        <v>1279</v>
      </c>
      <c r="I611" s="27" t="s">
        <v>96</v>
      </c>
      <c r="J611" s="23" t="s">
        <v>1185</v>
      </c>
      <c r="K611" s="23" t="s">
        <v>1593</v>
      </c>
      <c r="L611" s="23" t="s">
        <v>162</v>
      </c>
      <c r="M611" s="24">
        <f aca="1">DATEDIF(D611,TODAY(),"Y")</f>
        <v>2</v>
      </c>
      <c r="N611" s="24">
        <f aca="1">DATEDIF(D611,TODAY(),"YM")</f>
        <v>0</v>
      </c>
      <c r="O611" s="24" t="str">
        <f aca="1">DATEDIF(D611,NOW(),"Y")&amp;" Tahun "&amp;DATEDIF(D611,NOW(),"YM")&amp;" Bulan "&amp;DATEDIF(D611,NOW(),"MD")&amp;" Hari "</f>
        <v>2 Tahun 0 Bulan 6 Hari </v>
      </c>
      <c r="P611" s="36" t="n">
        <v>45200</v>
      </c>
      <c r="Q611" s="36" t="n">
        <v>45291</v>
      </c>
      <c r="R611" s="51" t="n">
        <v>1350000</v>
      </c>
      <c r="S611" s="51" t="n">
        <v>1350000</v>
      </c>
    </row>
    <row r="612" spans="1:19">
      <c r="A612" s="21" t="n">
        <v>609</v>
      </c>
      <c r="B612" s="114" t="s">
        <v>1602</v>
      </c>
      <c r="C612" s="177" t="s">
        <v>1603</v>
      </c>
      <c r="D612" s="36" t="n">
        <v>45200</v>
      </c>
      <c r="E612" s="21" t="s">
        <v>24</v>
      </c>
      <c r="F612" s="21" t="s">
        <v>1389</v>
      </c>
      <c r="G612" s="159" t="s">
        <v>1127</v>
      </c>
      <c r="H612" s="46" t="s">
        <v>1279</v>
      </c>
      <c r="I612" s="27" t="s">
        <v>96</v>
      </c>
      <c r="J612" s="23" t="s">
        <v>1185</v>
      </c>
      <c r="K612" s="23" t="s">
        <v>1593</v>
      </c>
      <c r="L612" s="23" t="s">
        <v>222</v>
      </c>
      <c r="M612" s="24">
        <f aca="1">DATEDIF(D612,TODAY(),"Y")</f>
        <v>2</v>
      </c>
      <c r="N612" s="24">
        <f aca="1">DATEDIF(D612,TODAY(),"YM")</f>
        <v>0</v>
      </c>
      <c r="O612" s="24" t="str">
        <f aca="1">DATEDIF(D612,NOW(),"Y")&amp;" Tahun "&amp;DATEDIF(D612,NOW(),"YM")&amp;" Bulan "&amp;DATEDIF(D612,NOW(),"MD")&amp;" Hari "</f>
        <v>2 Tahun 0 Bulan 6 Hari </v>
      </c>
      <c r="P612" s="36" t="n">
        <v>45200</v>
      </c>
      <c r="Q612" s="36" t="n">
        <v>45291</v>
      </c>
      <c r="R612" s="51" t="n">
        <v>1350000</v>
      </c>
      <c r="S612" s="51" t="n">
        <v>1350000</v>
      </c>
    </row>
    <row r="613" spans="1:19">
      <c r="A613" s="21" t="n">
        <v>610</v>
      </c>
      <c r="B613" s="114" t="s">
        <v>1604</v>
      </c>
      <c r="C613" s="177" t="s">
        <v>1605</v>
      </c>
      <c r="D613" s="36" t="n">
        <v>45200</v>
      </c>
      <c r="E613" s="21" t="s">
        <v>33</v>
      </c>
      <c r="F613" s="21" t="s">
        <v>1389</v>
      </c>
      <c r="G613" s="159" t="s">
        <v>1127</v>
      </c>
      <c r="H613" s="46" t="s">
        <v>1279</v>
      </c>
      <c r="I613" s="27" t="s">
        <v>96</v>
      </c>
      <c r="J613" s="23" t="s">
        <v>1185</v>
      </c>
      <c r="K613" s="23" t="s">
        <v>1593</v>
      </c>
      <c r="L613" s="23" t="s">
        <v>235</v>
      </c>
      <c r="M613" s="24">
        <f aca="1">DATEDIF(D613,TODAY(),"Y")</f>
        <v>2</v>
      </c>
      <c r="N613" s="24">
        <f aca="1">DATEDIF(D613,TODAY(),"YM")</f>
        <v>0</v>
      </c>
      <c r="O613" s="24" t="str">
        <f aca="1">DATEDIF(D613,NOW(),"Y")&amp;" Tahun "&amp;DATEDIF(D613,NOW(),"YM")&amp;" Bulan "&amp;DATEDIF(D613,NOW(),"MD")&amp;" Hari "</f>
        <v>2 Tahun 0 Bulan 6 Hari </v>
      </c>
      <c r="P613" s="36" t="n">
        <v>45200</v>
      </c>
      <c r="Q613" s="36" t="n">
        <v>45291</v>
      </c>
      <c r="R613" s="51" t="n">
        <v>1350000</v>
      </c>
      <c r="S613" s="51" t="n">
        <v>1350000</v>
      </c>
    </row>
    <row r="614" spans="1:19">
      <c r="A614" s="21" t="n">
        <v>611</v>
      </c>
      <c r="B614" s="114" t="s">
        <v>1606</v>
      </c>
      <c r="C614" s="177" t="s">
        <v>1607</v>
      </c>
      <c r="D614" s="36" t="n">
        <v>45200</v>
      </c>
      <c r="E614" s="21" t="s">
        <v>24</v>
      </c>
      <c r="F614" s="21" t="s">
        <v>1389</v>
      </c>
      <c r="G614" s="159" t="s">
        <v>1127</v>
      </c>
      <c r="H614" s="23" t="s">
        <v>1184</v>
      </c>
      <c r="I614" s="27" t="s">
        <v>96</v>
      </c>
      <c r="J614" s="23" t="s">
        <v>1185</v>
      </c>
      <c r="K614" s="28" t="s">
        <v>181</v>
      </c>
      <c r="L614" s="23" t="s">
        <v>382</v>
      </c>
      <c r="M614" s="24">
        <f aca="1">DATEDIF(D614,TODAY(),"Y")</f>
        <v>2</v>
      </c>
      <c r="N614" s="24">
        <f aca="1">DATEDIF(D614,TODAY(),"YM")</f>
        <v>0</v>
      </c>
      <c r="O614" s="24" t="str">
        <f aca="1">DATEDIF(D614,NOW(),"Y")&amp;" Tahun "&amp;DATEDIF(D614,NOW(),"YM")&amp;" Bulan "&amp;DATEDIF(D614,NOW(),"MD")&amp;" Hari "</f>
        <v>2 Tahun 0 Bulan 6 Hari </v>
      </c>
      <c r="P614" s="36" t="n">
        <v>45200</v>
      </c>
      <c r="Q614" s="36" t="n">
        <v>45291</v>
      </c>
      <c r="R614" s="51" t="n">
        <v>1200000</v>
      </c>
      <c r="S614" s="51" t="n">
        <v>1200000</v>
      </c>
    </row>
    <row r="615" spans="1:19">
      <c r="A615" s="21" t="n">
        <v>612</v>
      </c>
      <c r="B615" s="114" t="s">
        <v>1608</v>
      </c>
      <c r="C615" s="177" t="s">
        <v>1609</v>
      </c>
      <c r="D615" s="36" t="n">
        <v>45200</v>
      </c>
      <c r="E615" s="21" t="s">
        <v>33</v>
      </c>
      <c r="F615" s="21" t="s">
        <v>1389</v>
      </c>
      <c r="G615" s="159" t="s">
        <v>1127</v>
      </c>
      <c r="H615" s="23" t="s">
        <v>1184</v>
      </c>
      <c r="I615" s="27" t="s">
        <v>96</v>
      </c>
      <c r="J615" s="23" t="s">
        <v>1185</v>
      </c>
      <c r="K615" s="28" t="s">
        <v>181</v>
      </c>
      <c r="L615" s="23" t="s">
        <v>278</v>
      </c>
      <c r="M615" s="24">
        <f aca="1">DATEDIF(D615,TODAY(),"Y")</f>
        <v>2</v>
      </c>
      <c r="N615" s="24">
        <f aca="1">DATEDIF(D615,TODAY(),"YM")</f>
        <v>0</v>
      </c>
      <c r="O615" s="24" t="str">
        <f aca="1">DATEDIF(D615,NOW(),"Y")&amp;" Tahun "&amp;DATEDIF(D615,NOW(),"YM")&amp;" Bulan "&amp;DATEDIF(D615,NOW(),"MD")&amp;" Hari "</f>
        <v>2 Tahun 0 Bulan 6 Hari </v>
      </c>
      <c r="P615" s="36" t="n">
        <v>45200</v>
      </c>
      <c r="Q615" s="36" t="n">
        <v>45291</v>
      </c>
      <c r="R615" s="51" t="n">
        <v>1200000</v>
      </c>
      <c r="S615" s="51" t="n">
        <v>1200000</v>
      </c>
    </row>
    <row r="616" spans="1:19">
      <c r="A616" s="21" t="n">
        <v>613</v>
      </c>
      <c r="B616" s="114" t="s">
        <v>1610</v>
      </c>
      <c r="C616" s="177" t="s">
        <v>1611</v>
      </c>
      <c r="D616" s="36" t="n">
        <v>45231</v>
      </c>
      <c r="E616" s="21" t="s">
        <v>24</v>
      </c>
      <c r="F616" s="21" t="s">
        <v>1389</v>
      </c>
      <c r="G616" s="159" t="s">
        <v>1127</v>
      </c>
      <c r="H616" s="23" t="s">
        <v>1612</v>
      </c>
      <c r="I616" s="22" t="s">
        <v>242</v>
      </c>
      <c r="J616" s="23" t="s">
        <v>1612</v>
      </c>
      <c r="K616" s="28" t="s">
        <v>1613</v>
      </c>
      <c r="L616" s="23" t="s">
        <v>458</v>
      </c>
      <c r="M616" s="24">
        <f aca="1">DATEDIF(D616,TODAY(),"Y")</f>
        <v>1</v>
      </c>
      <c r="N616" s="24">
        <f aca="1">DATEDIF(D616,TODAY(),"YM")</f>
        <v>11</v>
      </c>
      <c r="O616" s="24" t="str">
        <f aca="1">DATEDIF(D616,NOW(),"Y")&amp;" Tahun "&amp;DATEDIF(D616,NOW(),"YM")&amp;" Bulan "&amp;DATEDIF(D616,NOW(),"MD")&amp;" Hari "</f>
        <v>1 Tahun 11 Bulan 6 Hari </v>
      </c>
      <c r="P616" s="41">
        <f>D616</f>
        <v>45231</v>
      </c>
      <c r="Q616" s="36" t="n">
        <v>45291</v>
      </c>
      <c r="R616" s="51" t="n">
        <v>1200000</v>
      </c>
      <c r="S616" s="51" t="n">
        <v>1200000</v>
      </c>
    </row>
    <row r="617" spans="1:19">
      <c r="A617" s="21" t="n">
        <v>614</v>
      </c>
      <c r="B617" s="114" t="s">
        <v>1614</v>
      </c>
      <c r="C617" s="177" t="s">
        <v>1615</v>
      </c>
      <c r="D617" s="36" t="n">
        <v>45231</v>
      </c>
      <c r="E617" s="21" t="s">
        <v>24</v>
      </c>
      <c r="F617" s="21" t="s">
        <v>1389</v>
      </c>
      <c r="G617" s="159" t="s">
        <v>1127</v>
      </c>
      <c r="H617" s="23" t="s">
        <v>1612</v>
      </c>
      <c r="I617" s="22" t="s">
        <v>242</v>
      </c>
      <c r="J617" s="23" t="s">
        <v>1612</v>
      </c>
      <c r="K617" s="28" t="s">
        <v>1613</v>
      </c>
      <c r="L617" s="23" t="s">
        <v>458</v>
      </c>
      <c r="M617" s="24">
        <f aca="1">DATEDIF(D617,TODAY(),"Y")</f>
        <v>1</v>
      </c>
      <c r="N617" s="24">
        <f aca="1">DATEDIF(D617,TODAY(),"YM")</f>
        <v>11</v>
      </c>
      <c r="O617" s="24" t="str">
        <f aca="1">DATEDIF(D617,NOW(),"Y")&amp;" Tahun "&amp;DATEDIF(D617,NOW(),"YM")&amp;" Bulan "&amp;DATEDIF(D617,NOW(),"MD")&amp;" Hari "</f>
        <v>1 Tahun 11 Bulan 6 Hari </v>
      </c>
      <c r="P617" s="41">
        <f>D617</f>
        <v>45231</v>
      </c>
      <c r="Q617" s="36" t="n">
        <v>45291</v>
      </c>
      <c r="R617" s="51" t="n">
        <v>1200000</v>
      </c>
      <c r="S617" s="51" t="n">
        <v>1200000</v>
      </c>
    </row>
    <row r="618" spans="1:19">
      <c r="A618" s="21" t="n">
        <v>615</v>
      </c>
      <c r="B618" s="114" t="s">
        <v>1616</v>
      </c>
      <c r="C618" s="177" t="s">
        <v>1617</v>
      </c>
      <c r="D618" s="36" t="n">
        <v>45231</v>
      </c>
      <c r="E618" s="21" t="s">
        <v>24</v>
      </c>
      <c r="F618" s="21" t="s">
        <v>1389</v>
      </c>
      <c r="G618" s="159" t="s">
        <v>1127</v>
      </c>
      <c r="H618" s="23" t="s">
        <v>1612</v>
      </c>
      <c r="I618" s="22" t="s">
        <v>242</v>
      </c>
      <c r="J618" s="23" t="s">
        <v>1612</v>
      </c>
      <c r="K618" s="28" t="s">
        <v>1087</v>
      </c>
      <c r="L618" s="23" t="s">
        <v>458</v>
      </c>
      <c r="M618" s="24">
        <f aca="1">DATEDIF(D618,TODAY(),"Y")</f>
        <v>1</v>
      </c>
      <c r="N618" s="24">
        <f aca="1">DATEDIF(D618,TODAY(),"YM")</f>
        <v>11</v>
      </c>
      <c r="O618" s="24" t="str">
        <f aca="1">DATEDIF(D618,NOW(),"Y")&amp;" Tahun "&amp;DATEDIF(D618,NOW(),"YM")&amp;" Bulan "&amp;DATEDIF(D618,NOW(),"MD")&amp;" Hari "</f>
        <v>1 Tahun 11 Bulan 6 Hari </v>
      </c>
      <c r="P618" s="41">
        <f>D618</f>
        <v>45231</v>
      </c>
      <c r="Q618" s="36" t="n">
        <v>45291</v>
      </c>
      <c r="R618" s="51" t="n">
        <v>1350000</v>
      </c>
      <c r="S618" s="51" t="n">
        <v>1350000</v>
      </c>
    </row>
    <row r="619" spans="1:19">
      <c r="A619" s="21" t="n">
        <v>616</v>
      </c>
      <c r="B619" s="114" t="s">
        <v>1618</v>
      </c>
      <c r="C619" s="177" t="s">
        <v>1619</v>
      </c>
      <c r="D619" s="36" t="n">
        <v>45226</v>
      </c>
      <c r="E619" s="21" t="s">
        <v>24</v>
      </c>
      <c r="F619" s="21" t="s">
        <v>1389</v>
      </c>
      <c r="G619" s="159" t="s">
        <v>1127</v>
      </c>
      <c r="H619" s="23" t="s">
        <v>1620</v>
      </c>
      <c r="I619" s="22" t="s">
        <v>132</v>
      </c>
      <c r="J619" s="23" t="s">
        <v>1620</v>
      </c>
      <c r="K619" s="28" t="s">
        <v>1621</v>
      </c>
      <c r="L619" s="23" t="s">
        <v>134</v>
      </c>
      <c r="M619" s="24">
        <f aca="1">DATEDIF(D619,TODAY(),"Y")</f>
        <v>1</v>
      </c>
      <c r="N619" s="24">
        <f aca="1">DATEDIF(D619,TODAY(),"YM")</f>
        <v>11</v>
      </c>
      <c r="O619" s="24" t="str">
        <f aca="1">DATEDIF(D619,NOW(),"Y")&amp;" Tahun "&amp;DATEDIF(D619,NOW(),"YM")&amp;" Bulan "&amp;DATEDIF(D619,NOW(),"MD")&amp;" Hari "</f>
        <v>1 Tahun 11 Bulan 10 Hari </v>
      </c>
      <c r="P619" s="41">
        <f>D619</f>
        <v>45226</v>
      </c>
      <c r="Q619" s="36" t="n">
        <v>45592</v>
      </c>
      <c r="R619" s="51" t="n">
        <v>3500000</v>
      </c>
      <c r="S619" s="53" t="n">
        <v>3500000</v>
      </c>
    </row>
    <row r="620" spans="1:19">
      <c r="A620" s="21" t="n">
        <v>617</v>
      </c>
      <c r="B620" s="106" t="s">
        <v>1622</v>
      </c>
      <c r="C620" s="175" t="s">
        <v>1623</v>
      </c>
      <c r="D620" s="38" t="n">
        <v>45313</v>
      </c>
      <c r="E620" s="21" t="s">
        <v>33</v>
      </c>
      <c r="F620" s="21" t="s">
        <v>1389</v>
      </c>
      <c r="G620" s="159" t="s">
        <v>1127</v>
      </c>
      <c r="H620" s="23" t="s">
        <v>1624</v>
      </c>
      <c r="I620" s="22" t="s">
        <v>132</v>
      </c>
      <c r="J620" s="23" t="s">
        <v>1625</v>
      </c>
      <c r="K620" s="28" t="s">
        <v>1626</v>
      </c>
      <c r="L620" s="23" t="s">
        <v>134</v>
      </c>
      <c r="M620" s="24">
        <f aca="1">DATEDIF(D620,TODAY(),"Y")</f>
        <v>1</v>
      </c>
      <c r="N620" s="24">
        <f aca="1">DATEDIF(D620,TODAY(),"YM")</f>
        <v>8</v>
      </c>
      <c r="O620" s="24" t="str">
        <f aca="1">DATEDIF(D620,NOW(),"Y")&amp;" Tahun "&amp;DATEDIF(D620,NOW(),"YM")&amp;" Bulan "&amp;DATEDIF(D620,NOW(),"MD")&amp;" Hari "</f>
        <v>1 Tahun 8 Bulan 15 Hari </v>
      </c>
      <c r="P620" s="41">
        <f>D620</f>
        <v>45313</v>
      </c>
      <c r="Q620" s="36" t="n">
        <v>45593</v>
      </c>
      <c r="R620" s="51" t="n">
        <v>1200000</v>
      </c>
      <c r="S620" s="51" t="n">
        <v>1200000</v>
      </c>
    </row>
    <row r="621" spans="1:19">
      <c r="A621" s="21" t="n">
        <v>618</v>
      </c>
      <c r="B621" s="114" t="s">
        <v>1627</v>
      </c>
      <c r="C621" s="136"/>
      <c r="D621" s="36" t="n">
        <v>45313</v>
      </c>
      <c r="E621" s="21" t="s">
        <v>33</v>
      </c>
      <c r="F621" s="24" t="s">
        <v>1389</v>
      </c>
      <c r="G621" s="159" t="s">
        <v>1127</v>
      </c>
      <c r="H621" s="23" t="s">
        <v>1624</v>
      </c>
      <c r="I621" s="22" t="s">
        <v>132</v>
      </c>
      <c r="J621" s="23" t="s">
        <v>1625</v>
      </c>
      <c r="K621" s="28" t="s">
        <v>1628</v>
      </c>
      <c r="L621" s="23" t="s">
        <v>134</v>
      </c>
      <c r="M621" s="24">
        <f aca="1">DATEDIF(D621,TODAY(),"Y")</f>
        <v>1</v>
      </c>
      <c r="N621" s="24">
        <f aca="1">DATEDIF(D621,TODAY(),"YM")</f>
        <v>8</v>
      </c>
      <c r="O621" s="24" t="str">
        <f aca="1">DATEDIF(D621,NOW(),"Y")&amp;" Tahun "&amp;DATEDIF(D621,NOW(),"YM")&amp;" Bulan "&amp;DATEDIF(D621,NOW(),"MD")&amp;" Hari "</f>
        <v>1 Tahun 8 Bulan 15 Hari </v>
      </c>
      <c r="P621" s="25"/>
      <c r="Q621" s="36" t="n">
        <v>45313</v>
      </c>
      <c r="R621" s="51" t="n">
        <v>1200000</v>
      </c>
      <c r="S621" s="51" t="n">
        <v>1200000</v>
      </c>
    </row>
    <row r="622" spans="1:20" s="74" customFormat="1">
      <c r="A622" s="21" t="n">
        <v>619</v>
      </c>
      <c r="B622" s="121" t="s">
        <v>1629</v>
      </c>
      <c r="C622" s="179" t="s">
        <v>1630</v>
      </c>
      <c r="D622" s="36" t="n">
        <v>45383</v>
      </c>
      <c r="E622" s="21" t="s">
        <v>24</v>
      </c>
      <c r="F622" s="24" t="s">
        <v>1389</v>
      </c>
      <c r="G622" s="159" t="s">
        <v>1127</v>
      </c>
      <c r="H622" s="23" t="s">
        <v>1631</v>
      </c>
      <c r="I622" s="27" t="s">
        <v>66</v>
      </c>
      <c r="J622" s="23" t="s">
        <v>1631</v>
      </c>
      <c r="K622" s="28" t="s">
        <v>989</v>
      </c>
      <c r="L622" s="23" t="s">
        <v>271</v>
      </c>
      <c r="M622" s="24">
        <f aca="1">DATEDIF(D622,TODAY(),"Y")</f>
        <v>1</v>
      </c>
      <c r="N622" s="24">
        <f aca="1">DATEDIF(D622,TODAY(),"YM")</f>
        <v>6</v>
      </c>
      <c r="O622" s="24" t="str">
        <f aca="1">DATEDIF(D622,NOW(),"Y")&amp;" Tahun "&amp;DATEDIF(D622,NOW(),"YM")&amp;" Bulan "&amp;DATEDIF(D622,NOW(),"MD")&amp;" Hari "</f>
        <v>1 Tahun 6 Bulan 6 Hari </v>
      </c>
      <c r="P622" s="25"/>
      <c r="Q622" s="36"/>
      <c r="R622" s="12"/>
      <c r="S622" s="53" t="n">
        <v>8200000</v>
      </c>
      <c r="T622" s="69"/>
    </row>
    <row r="623" spans="1:20" s="12" customFormat="1">
      <c r="A623" s="21" t="n">
        <v>620</v>
      </c>
      <c r="B623" s="114" t="s">
        <v>1632</v>
      </c>
      <c r="C623" s="177" t="s">
        <v>1633</v>
      </c>
      <c r="D623" s="36" t="n">
        <v>45474</v>
      </c>
      <c r="E623" s="21" t="s">
        <v>24</v>
      </c>
      <c r="F623" s="24" t="s">
        <v>1389</v>
      </c>
      <c r="G623" s="159" t="s">
        <v>1127</v>
      </c>
      <c r="H623" s="23" t="s">
        <v>1634</v>
      </c>
      <c r="I623" s="27" t="s">
        <v>66</v>
      </c>
      <c r="J623" s="23" t="s">
        <v>1634</v>
      </c>
      <c r="K623" s="28" t="s">
        <v>1635</v>
      </c>
      <c r="L623" s="23" t="s">
        <v>173</v>
      </c>
      <c r="M623" s="24">
        <f aca="1">DATEDIF(D623,TODAY(),"Y")</f>
        <v>1</v>
      </c>
      <c r="N623" s="24">
        <f aca="1">DATEDIF(D623,TODAY(),"YM")</f>
        <v>3</v>
      </c>
      <c r="O623" s="24" t="str">
        <f aca="1">DATEDIF(D623,NOW(),"Y")&amp;" Tahun "&amp;DATEDIF(D623,NOW(),"YM")&amp;" Bulan "&amp;DATEDIF(D623,NOW(),"MD")&amp;" Hari "</f>
        <v>1 Tahun 3 Bulan 6 Hari </v>
      </c>
      <c r="P623" s="25"/>
      <c r="Q623" s="36"/>
      <c r="S623" s="53" t="n">
        <v>8200000</v>
      </c>
      <c r="T623" s="56"/>
    </row>
    <row r="624" spans="1:20" s="12" customFormat="1">
      <c r="A624" s="21" t="n">
        <v>621</v>
      </c>
      <c r="B624" s="106" t="s">
        <v>1636</v>
      </c>
      <c r="C624" s="120"/>
      <c r="D624" s="36" t="n">
        <v>45505</v>
      </c>
      <c r="E624" s="21" t="s">
        <v>24</v>
      </c>
      <c r="F624" s="24" t="s">
        <v>1389</v>
      </c>
      <c r="G624" s="159" t="s">
        <v>1127</v>
      </c>
      <c r="H624" s="22" t="s">
        <v>1570</v>
      </c>
      <c r="I624" s="27" t="s">
        <v>66</v>
      </c>
      <c r="J624" s="22" t="s">
        <v>1570</v>
      </c>
      <c r="K624" s="23" t="s">
        <v>67</v>
      </c>
      <c r="L624" s="23" t="s">
        <v>68</v>
      </c>
      <c r="M624" s="24">
        <f aca="1">DATEDIF(D624,TODAY(),"Y")</f>
        <v>1</v>
      </c>
      <c r="N624" s="24">
        <f aca="1">DATEDIF(D624,TODAY(),"YM")</f>
        <v>2</v>
      </c>
      <c r="O624" s="24" t="str">
        <f aca="1">DATEDIF(D624,NOW(),"Y")&amp;" Tahun "&amp;DATEDIF(D624,NOW(),"YM")&amp;" Bulan "&amp;DATEDIF(D624,NOW(),"MD")&amp;" Hari "</f>
        <v>1 Tahun 2 Bulan 6 Hari </v>
      </c>
      <c r="P624" s="25"/>
      <c r="Q624" s="36"/>
      <c r="S624" s="51" t="n">
        <v>3650000</v>
      </c>
      <c r="T624" s="56"/>
    </row>
    <row r="625" spans="1:20" s="12" customFormat="1">
      <c r="A625" s="21" t="n">
        <v>622</v>
      </c>
      <c r="B625" s="106" t="s">
        <v>1637</v>
      </c>
      <c r="C625" s="175" t="s">
        <v>1638</v>
      </c>
      <c r="D625" s="36" t="n">
        <v>45505</v>
      </c>
      <c r="E625" s="21" t="s">
        <v>24</v>
      </c>
      <c r="F625" s="24" t="s">
        <v>1389</v>
      </c>
      <c r="G625" s="159" t="s">
        <v>1127</v>
      </c>
      <c r="H625" s="23" t="s">
        <v>1184</v>
      </c>
      <c r="I625" s="27" t="s">
        <v>96</v>
      </c>
      <c r="J625" s="23" t="s">
        <v>1185</v>
      </c>
      <c r="K625" s="28" t="s">
        <v>181</v>
      </c>
      <c r="L625" s="23" t="s">
        <v>97</v>
      </c>
      <c r="M625" s="24">
        <f aca="1">DATEDIF(D625,TODAY(),"Y")</f>
        <v>1</v>
      </c>
      <c r="N625" s="24">
        <f aca="1">DATEDIF(D625,TODAY(),"YM")</f>
        <v>2</v>
      </c>
      <c r="O625" s="24" t="str">
        <f aca="1">DATEDIF(D625,NOW(),"Y")&amp;" Tahun "&amp;DATEDIF(D625,NOW(),"YM")&amp;" Bulan "&amp;DATEDIF(D625,NOW(),"MD")&amp;" Hari "</f>
        <v>1 Tahun 2 Bulan 6 Hari </v>
      </c>
      <c r="P625" s="25"/>
      <c r="Q625" s="36"/>
      <c r="S625" s="51" t="n">
        <v>1200000</v>
      </c>
      <c r="T625" s="56"/>
    </row>
    <row r="626" spans="1:20" s="12" customFormat="1">
      <c r="A626" s="21" t="n">
        <v>623</v>
      </c>
      <c r="B626" s="106" t="s">
        <v>1639</v>
      </c>
      <c r="C626" s="175" t="s">
        <v>1640</v>
      </c>
      <c r="D626" s="36" t="n">
        <v>45505</v>
      </c>
      <c r="E626" s="21" t="s">
        <v>33</v>
      </c>
      <c r="F626" s="24" t="s">
        <v>1389</v>
      </c>
      <c r="G626" s="159" t="s">
        <v>1127</v>
      </c>
      <c r="H626" s="23" t="s">
        <v>1184</v>
      </c>
      <c r="I626" s="27" t="s">
        <v>96</v>
      </c>
      <c r="J626" s="23" t="s">
        <v>1185</v>
      </c>
      <c r="K626" s="28" t="s">
        <v>181</v>
      </c>
      <c r="L626" s="23" t="s">
        <v>68</v>
      </c>
      <c r="M626" s="24">
        <f aca="1">DATEDIF(D626,TODAY(),"Y")</f>
        <v>1</v>
      </c>
      <c r="N626" s="24">
        <f aca="1">DATEDIF(D626,TODAY(),"YM")</f>
        <v>2</v>
      </c>
      <c r="O626" s="24" t="str">
        <f aca="1">DATEDIF(D626,NOW(),"Y")&amp;" Tahun "&amp;DATEDIF(D626,NOW(),"YM")&amp;" Bulan "&amp;DATEDIF(D626,NOW(),"MD")&amp;" Hari "</f>
        <v>1 Tahun 2 Bulan 6 Hari </v>
      </c>
      <c r="P626" s="25"/>
      <c r="Q626" s="36"/>
      <c r="S626" s="51" t="n">
        <v>1200000</v>
      </c>
      <c r="T626" s="56"/>
    </row>
    <row r="627" spans="1:20" s="12" customFormat="1">
      <c r="A627" s="21" t="n">
        <v>624</v>
      </c>
      <c r="B627" s="106" t="s">
        <v>1641</v>
      </c>
      <c r="C627" s="175" t="s">
        <v>1642</v>
      </c>
      <c r="D627" s="36" t="n">
        <v>45505</v>
      </c>
      <c r="E627" s="21" t="s">
        <v>33</v>
      </c>
      <c r="F627" s="24" t="s">
        <v>1389</v>
      </c>
      <c r="G627" s="159" t="s">
        <v>1127</v>
      </c>
      <c r="H627" s="23" t="s">
        <v>1184</v>
      </c>
      <c r="I627" s="27" t="s">
        <v>96</v>
      </c>
      <c r="J627" s="23" t="s">
        <v>1185</v>
      </c>
      <c r="K627" s="28" t="s">
        <v>181</v>
      </c>
      <c r="L627" s="23" t="s">
        <v>97</v>
      </c>
      <c r="M627" s="24">
        <f aca="1">DATEDIF(D627,TODAY(),"Y")</f>
        <v>1</v>
      </c>
      <c r="N627" s="24">
        <f aca="1">DATEDIF(D627,TODAY(),"YM")</f>
        <v>2</v>
      </c>
      <c r="O627" s="24" t="str">
        <f aca="1">DATEDIF(D627,NOW(),"Y")&amp;" Tahun "&amp;DATEDIF(D627,NOW(),"YM")&amp;" Bulan "&amp;DATEDIF(D627,NOW(),"MD")&amp;" Hari "</f>
        <v>1 Tahun 2 Bulan 6 Hari </v>
      </c>
      <c r="P627" s="25"/>
      <c r="Q627" s="36"/>
      <c r="S627" s="51" t="n">
        <v>1200000</v>
      </c>
      <c r="T627" s="56"/>
    </row>
    <row r="628" spans="1:20" s="12" customFormat="1">
      <c r="A628" s="21" t="n">
        <v>625</v>
      </c>
      <c r="B628" s="106" t="s">
        <v>1643</v>
      </c>
      <c r="C628" s="175" t="s">
        <v>1644</v>
      </c>
      <c r="D628" s="36" t="n">
        <v>45505</v>
      </c>
      <c r="E628" s="21" t="s">
        <v>24</v>
      </c>
      <c r="F628" s="24" t="s">
        <v>1389</v>
      </c>
      <c r="G628" s="159" t="s">
        <v>1127</v>
      </c>
      <c r="H628" s="23" t="s">
        <v>1184</v>
      </c>
      <c r="I628" s="27" t="s">
        <v>96</v>
      </c>
      <c r="J628" s="23" t="s">
        <v>1185</v>
      </c>
      <c r="K628" s="28" t="s">
        <v>181</v>
      </c>
      <c r="L628" s="23" t="s">
        <v>396</v>
      </c>
      <c r="M628" s="24">
        <f aca="1">DATEDIF(D628,TODAY(),"Y")</f>
        <v>1</v>
      </c>
      <c r="N628" s="24">
        <f aca="1">DATEDIF(D628,TODAY(),"YM")</f>
        <v>2</v>
      </c>
      <c r="O628" s="24" t="str">
        <f aca="1">DATEDIF(D628,NOW(),"Y")&amp;" Tahun "&amp;DATEDIF(D628,NOW(),"YM")&amp;" Bulan "&amp;DATEDIF(D628,NOW(),"MD")&amp;" Hari "</f>
        <v>1 Tahun 2 Bulan 6 Hari </v>
      </c>
      <c r="P628" s="25"/>
      <c r="Q628" s="36"/>
      <c r="S628" s="51" t="n">
        <v>1200000</v>
      </c>
      <c r="T628" s="56"/>
    </row>
    <row r="629" spans="1:20" s="12" customFormat="1">
      <c r="A629" s="21" t="n">
        <v>626</v>
      </c>
      <c r="B629" s="106" t="s">
        <v>1645</v>
      </c>
      <c r="C629" s="175" t="s">
        <v>1646</v>
      </c>
      <c r="D629" s="36" t="n">
        <v>45505</v>
      </c>
      <c r="E629" s="21" t="s">
        <v>24</v>
      </c>
      <c r="F629" s="24" t="s">
        <v>1389</v>
      </c>
      <c r="G629" s="159" t="s">
        <v>1127</v>
      </c>
      <c r="H629" s="23" t="s">
        <v>1184</v>
      </c>
      <c r="I629" s="27" t="s">
        <v>96</v>
      </c>
      <c r="J629" s="23" t="s">
        <v>1185</v>
      </c>
      <c r="K629" s="28" t="s">
        <v>181</v>
      </c>
      <c r="L629" s="23" t="s">
        <v>97</v>
      </c>
      <c r="M629" s="24">
        <f aca="1">DATEDIF(D629,TODAY(),"Y")</f>
        <v>1</v>
      </c>
      <c r="N629" s="24">
        <f aca="1">DATEDIF(D629,TODAY(),"YM")</f>
        <v>2</v>
      </c>
      <c r="O629" s="24" t="str">
        <f aca="1">DATEDIF(D629,NOW(),"Y")&amp;" Tahun "&amp;DATEDIF(D629,NOW(),"YM")&amp;" Bulan "&amp;DATEDIF(D629,NOW(),"MD")&amp;" Hari "</f>
        <v>1 Tahun 2 Bulan 6 Hari </v>
      </c>
      <c r="P629" s="25"/>
      <c r="Q629" s="36"/>
      <c r="S629" s="51" t="n">
        <v>1200000</v>
      </c>
      <c r="T629" s="56"/>
    </row>
    <row r="630" spans="1:20" s="12" customFormat="1">
      <c r="A630" s="21" t="n">
        <v>627</v>
      </c>
      <c r="B630" s="106" t="s">
        <v>1647</v>
      </c>
      <c r="C630" s="175" t="s">
        <v>1648</v>
      </c>
      <c r="D630" s="36" t="n">
        <v>45505</v>
      </c>
      <c r="E630" s="21" t="s">
        <v>24</v>
      </c>
      <c r="F630" s="24" t="s">
        <v>1389</v>
      </c>
      <c r="G630" s="159" t="s">
        <v>1127</v>
      </c>
      <c r="H630" s="23" t="s">
        <v>1184</v>
      </c>
      <c r="I630" s="27" t="s">
        <v>96</v>
      </c>
      <c r="J630" s="23" t="s">
        <v>1185</v>
      </c>
      <c r="K630" s="28" t="s">
        <v>181</v>
      </c>
      <c r="L630" s="23" t="s">
        <v>168</v>
      </c>
      <c r="M630" s="24">
        <f aca="1">DATEDIF(D630,TODAY(),"Y")</f>
        <v>1</v>
      </c>
      <c r="N630" s="24">
        <f aca="1">DATEDIF(D630,TODAY(),"YM")</f>
        <v>2</v>
      </c>
      <c r="O630" s="24" t="str">
        <f aca="1">DATEDIF(D630,NOW(),"Y")&amp;" Tahun "&amp;DATEDIF(D630,NOW(),"YM")&amp;" Bulan "&amp;DATEDIF(D630,NOW(),"MD")&amp;" Hari "</f>
        <v>1 Tahun 2 Bulan 6 Hari </v>
      </c>
      <c r="P630" s="25"/>
      <c r="Q630" s="36"/>
      <c r="S630" s="51" t="n">
        <v>1200000</v>
      </c>
      <c r="T630" s="56"/>
    </row>
    <row r="631" spans="1:20" s="12" customFormat="1">
      <c r="A631" s="21" t="n">
        <v>628</v>
      </c>
      <c r="B631" s="106" t="s">
        <v>1649</v>
      </c>
      <c r="C631" s="175" t="s">
        <v>1650</v>
      </c>
      <c r="D631" s="36" t="n">
        <v>45505</v>
      </c>
      <c r="E631" s="21" t="s">
        <v>24</v>
      </c>
      <c r="F631" s="24" t="s">
        <v>1389</v>
      </c>
      <c r="G631" s="159" t="s">
        <v>1127</v>
      </c>
      <c r="H631" s="23" t="s">
        <v>1184</v>
      </c>
      <c r="I631" s="27" t="s">
        <v>96</v>
      </c>
      <c r="J631" s="23" t="s">
        <v>1185</v>
      </c>
      <c r="K631" s="28" t="s">
        <v>181</v>
      </c>
      <c r="L631" s="29" t="s">
        <v>385</v>
      </c>
      <c r="M631" s="85">
        <f aca="1">DATEDIF(D631,TODAY(),"Y")</f>
        <v>1</v>
      </c>
      <c r="N631" s="24">
        <f aca="1">DATEDIF(D631,TODAY(),"YM")</f>
        <v>2</v>
      </c>
      <c r="O631" s="24" t="str">
        <f aca="1">DATEDIF(D631,NOW(),"Y")&amp;" Tahun "&amp;DATEDIF(D631,NOW(),"YM")&amp;" Bulan "&amp;DATEDIF(D631,NOW(),"MD")&amp;" Hari "</f>
        <v>1 Tahun 2 Bulan 6 Hari </v>
      </c>
      <c r="P631" s="25"/>
      <c r="Q631" s="36"/>
      <c r="S631" s="51" t="n">
        <v>1200000</v>
      </c>
      <c r="T631" s="56"/>
    </row>
    <row r="632" spans="1:20" s="12" customFormat="1">
      <c r="A632" s="21" t="n">
        <v>629</v>
      </c>
      <c r="B632" s="106" t="s">
        <v>1651</v>
      </c>
      <c r="C632" s="175" t="s">
        <v>1652</v>
      </c>
      <c r="D632" s="36" t="n">
        <v>45505</v>
      </c>
      <c r="E632" s="21" t="s">
        <v>24</v>
      </c>
      <c r="F632" s="24" t="s">
        <v>1389</v>
      </c>
      <c r="G632" s="159" t="s">
        <v>1127</v>
      </c>
      <c r="H632" s="23" t="s">
        <v>1184</v>
      </c>
      <c r="I632" s="27" t="s">
        <v>96</v>
      </c>
      <c r="J632" s="23" t="s">
        <v>1185</v>
      </c>
      <c r="K632" s="28" t="s">
        <v>181</v>
      </c>
      <c r="L632" s="23" t="s">
        <v>235</v>
      </c>
      <c r="M632" s="24">
        <f aca="1">DATEDIF(D632,TODAY(),"Y")</f>
        <v>1</v>
      </c>
      <c r="N632" s="24">
        <f aca="1">DATEDIF(D632,TODAY(),"YM")</f>
        <v>2</v>
      </c>
      <c r="O632" s="24" t="str">
        <f aca="1">DATEDIF(D632,NOW(),"Y")&amp;" Tahun "&amp;DATEDIF(D632,NOW(),"YM")&amp;" Bulan "&amp;DATEDIF(D632,NOW(),"MD")&amp;" Hari "</f>
        <v>1 Tahun 2 Bulan 6 Hari </v>
      </c>
      <c r="P632" s="25"/>
      <c r="Q632" s="36"/>
      <c r="S632" s="51" t="n">
        <v>1200000</v>
      </c>
      <c r="T632" s="56"/>
    </row>
    <row r="633" spans="1:20" s="12" customFormat="1">
      <c r="A633" s="21" t="n">
        <v>630</v>
      </c>
      <c r="B633" s="106" t="s">
        <v>1653</v>
      </c>
      <c r="C633" s="175" t="s">
        <v>1654</v>
      </c>
      <c r="D633" s="36" t="n">
        <v>45505</v>
      </c>
      <c r="E633" s="21" t="s">
        <v>24</v>
      </c>
      <c r="F633" s="24" t="s">
        <v>1389</v>
      </c>
      <c r="G633" s="159" t="s">
        <v>1127</v>
      </c>
      <c r="H633" s="23" t="s">
        <v>1184</v>
      </c>
      <c r="I633" s="27" t="s">
        <v>96</v>
      </c>
      <c r="J633" s="23" t="s">
        <v>1185</v>
      </c>
      <c r="K633" s="28" t="s">
        <v>181</v>
      </c>
      <c r="L633" s="23" t="s">
        <v>235</v>
      </c>
      <c r="M633" s="24">
        <f aca="1">DATEDIF(D633,TODAY(),"Y")</f>
        <v>1</v>
      </c>
      <c r="N633" s="24">
        <f aca="1">DATEDIF(D633,TODAY(),"YM")</f>
        <v>2</v>
      </c>
      <c r="O633" s="24" t="str">
        <f aca="1">DATEDIF(D633,NOW(),"Y")&amp;" Tahun "&amp;DATEDIF(D633,NOW(),"YM")&amp;" Bulan "&amp;DATEDIF(D633,NOW(),"MD")&amp;" Hari "</f>
        <v>1 Tahun 2 Bulan 6 Hari </v>
      </c>
      <c r="P633" s="25"/>
      <c r="Q633" s="36"/>
      <c r="S633" s="51" t="n">
        <v>1200000</v>
      </c>
      <c r="T633" s="56"/>
    </row>
    <row r="634" spans="1:20" s="12" customFormat="1">
      <c r="A634" s="21" t="n">
        <v>631</v>
      </c>
      <c r="B634" s="106" t="s">
        <v>1655</v>
      </c>
      <c r="C634" s="175" t="s">
        <v>1656</v>
      </c>
      <c r="D634" s="36" t="n">
        <v>45505</v>
      </c>
      <c r="E634" s="21" t="s">
        <v>33</v>
      </c>
      <c r="F634" s="24" t="s">
        <v>1389</v>
      </c>
      <c r="G634" s="159" t="s">
        <v>1127</v>
      </c>
      <c r="H634" s="23" t="s">
        <v>1184</v>
      </c>
      <c r="I634" s="27" t="s">
        <v>96</v>
      </c>
      <c r="J634" s="23" t="s">
        <v>1185</v>
      </c>
      <c r="K634" s="28" t="s">
        <v>181</v>
      </c>
      <c r="L634" s="23" t="s">
        <v>382</v>
      </c>
      <c r="M634" s="24">
        <f aca="1">DATEDIF(D634,TODAY(),"Y")</f>
        <v>1</v>
      </c>
      <c r="N634" s="24">
        <f aca="1">DATEDIF(D634,TODAY(),"YM")</f>
        <v>2</v>
      </c>
      <c r="O634" s="24" t="str">
        <f aca="1">DATEDIF(D634,NOW(),"Y")&amp;" Tahun "&amp;DATEDIF(D634,NOW(),"YM")&amp;" Bulan "&amp;DATEDIF(D634,NOW(),"MD")&amp;" Hari "</f>
        <v>1 Tahun 2 Bulan 6 Hari </v>
      </c>
      <c r="P634" s="25"/>
      <c r="Q634" s="36"/>
      <c r="S634" s="51" t="n">
        <v>1200000</v>
      </c>
      <c r="T634" s="56"/>
    </row>
    <row r="635" spans="1:20" s="12" customFormat="1">
      <c r="A635" s="21" t="n">
        <v>632</v>
      </c>
      <c r="B635" s="106" t="s">
        <v>1657</v>
      </c>
      <c r="C635" s="175" t="s">
        <v>1658</v>
      </c>
      <c r="D635" s="36" t="n">
        <v>45505</v>
      </c>
      <c r="E635" s="21" t="s">
        <v>24</v>
      </c>
      <c r="F635" s="24" t="s">
        <v>1389</v>
      </c>
      <c r="G635" s="159" t="s">
        <v>1127</v>
      </c>
      <c r="H635" s="23" t="s">
        <v>1184</v>
      </c>
      <c r="I635" s="27" t="s">
        <v>96</v>
      </c>
      <c r="J635" s="23" t="s">
        <v>1185</v>
      </c>
      <c r="K635" s="28" t="s">
        <v>181</v>
      </c>
      <c r="L635" s="23" t="s">
        <v>162</v>
      </c>
      <c r="M635" s="24">
        <f aca="1">DATEDIF(D635,TODAY(),"Y")</f>
        <v>1</v>
      </c>
      <c r="N635" s="24">
        <f aca="1">DATEDIF(D635,TODAY(),"YM")</f>
        <v>2</v>
      </c>
      <c r="O635" s="24" t="str">
        <f aca="1">DATEDIF(D635,NOW(),"Y")&amp;" Tahun "&amp;DATEDIF(D635,NOW(),"YM")&amp;" Bulan "&amp;DATEDIF(D635,NOW(),"MD")&amp;" Hari "</f>
        <v>1 Tahun 2 Bulan 6 Hari </v>
      </c>
      <c r="P635" s="25"/>
      <c r="Q635" s="36"/>
      <c r="S635" s="51" t="n">
        <v>1200000</v>
      </c>
      <c r="T635" s="56"/>
    </row>
    <row r="636" spans="1:20" s="12" customFormat="1">
      <c r="A636" s="21" t="n">
        <v>633</v>
      </c>
      <c r="B636" s="106" t="s">
        <v>1659</v>
      </c>
      <c r="C636" s="175" t="s">
        <v>1660</v>
      </c>
      <c r="D636" s="36" t="n">
        <v>45505</v>
      </c>
      <c r="E636" s="21" t="s">
        <v>24</v>
      </c>
      <c r="F636" s="24" t="s">
        <v>1389</v>
      </c>
      <c r="G636" s="159" t="s">
        <v>1127</v>
      </c>
      <c r="H636" s="23" t="s">
        <v>1184</v>
      </c>
      <c r="I636" s="27" t="s">
        <v>96</v>
      </c>
      <c r="J636" s="23" t="s">
        <v>1185</v>
      </c>
      <c r="K636" s="28" t="s">
        <v>181</v>
      </c>
      <c r="L636" s="30" t="s">
        <v>197</v>
      </c>
      <c r="M636" s="24">
        <f aca="1">DATEDIF(D636,TODAY(),"Y")</f>
        <v>1</v>
      </c>
      <c r="N636" s="24">
        <f aca="1">DATEDIF(D636,TODAY(),"YM")</f>
        <v>2</v>
      </c>
      <c r="O636" s="24" t="str">
        <f aca="1">DATEDIF(D636,NOW(),"Y")&amp;" Tahun "&amp;DATEDIF(D636,NOW(),"YM")&amp;" Bulan "&amp;DATEDIF(D636,NOW(),"MD")&amp;" Hari "</f>
        <v>1 Tahun 2 Bulan 6 Hari </v>
      </c>
      <c r="P636" s="25"/>
      <c r="Q636" s="36"/>
      <c r="S636" s="51" t="n">
        <v>1200000</v>
      </c>
      <c r="T636" s="56"/>
    </row>
    <row r="637" spans="1:20" s="12" customFormat="1">
      <c r="A637" s="21" t="n">
        <v>634</v>
      </c>
      <c r="B637" s="106" t="s">
        <v>1661</v>
      </c>
      <c r="C637" s="180" t="s">
        <v>1662</v>
      </c>
      <c r="D637" s="36" t="n">
        <v>45505</v>
      </c>
      <c r="E637" s="21" t="s">
        <v>33</v>
      </c>
      <c r="F637" s="24" t="s">
        <v>1389</v>
      </c>
      <c r="G637" s="159" t="s">
        <v>1127</v>
      </c>
      <c r="H637" s="23" t="s">
        <v>1184</v>
      </c>
      <c r="I637" s="27" t="s">
        <v>96</v>
      </c>
      <c r="J637" s="23" t="s">
        <v>1185</v>
      </c>
      <c r="K637" s="28" t="s">
        <v>181</v>
      </c>
      <c r="L637" s="23" t="s">
        <v>235</v>
      </c>
      <c r="M637" s="24">
        <f aca="1">DATEDIF(D637,TODAY(),"Y")</f>
        <v>1</v>
      </c>
      <c r="N637" s="24">
        <f aca="1">DATEDIF(D637,TODAY(),"YM")</f>
        <v>2</v>
      </c>
      <c r="O637" s="24" t="str">
        <f aca="1">DATEDIF(D637,NOW(),"Y")&amp;" Tahun "&amp;DATEDIF(D637,NOW(),"YM")&amp;" Bulan "&amp;DATEDIF(D637,NOW(),"MD")&amp;" Hari "</f>
        <v>1 Tahun 2 Bulan 6 Hari </v>
      </c>
      <c r="P637" s="25"/>
      <c r="Q637" s="36"/>
      <c r="S637" s="51" t="n">
        <v>1200000</v>
      </c>
      <c r="T637" s="56"/>
    </row>
    <row r="638" spans="1:20" s="12" customFormat="1">
      <c r="A638" s="21" t="n">
        <v>635</v>
      </c>
      <c r="B638" s="106" t="s">
        <v>1663</v>
      </c>
      <c r="C638" s="175" t="s">
        <v>1664</v>
      </c>
      <c r="D638" s="36" t="n">
        <v>45505</v>
      </c>
      <c r="E638" s="21" t="s">
        <v>24</v>
      </c>
      <c r="F638" s="24" t="s">
        <v>1389</v>
      </c>
      <c r="G638" s="159" t="s">
        <v>1127</v>
      </c>
      <c r="H638" s="23" t="s">
        <v>1184</v>
      </c>
      <c r="I638" s="27" t="s">
        <v>96</v>
      </c>
      <c r="J638" s="23" t="s">
        <v>1185</v>
      </c>
      <c r="K638" s="28" t="s">
        <v>181</v>
      </c>
      <c r="L638" s="23" t="s">
        <v>278</v>
      </c>
      <c r="M638" s="24">
        <f aca="1">DATEDIF(D638,TODAY(),"Y")</f>
        <v>1</v>
      </c>
      <c r="N638" s="24">
        <f aca="1">DATEDIF(D638,TODAY(),"YM")</f>
        <v>2</v>
      </c>
      <c r="O638" s="24" t="str">
        <f aca="1">DATEDIF(D638,NOW(),"Y")&amp;" Tahun "&amp;DATEDIF(D638,NOW(),"YM")&amp;" Bulan "&amp;DATEDIF(D638,NOW(),"MD")&amp;" Hari "</f>
        <v>1 Tahun 2 Bulan 6 Hari </v>
      </c>
      <c r="P638" s="25"/>
      <c r="Q638" s="36"/>
      <c r="S638" s="51" t="n">
        <v>1200000</v>
      </c>
      <c r="T638" s="56"/>
    </row>
    <row r="639" spans="1:20" s="12" customFormat="1">
      <c r="A639" s="21" t="n">
        <v>636</v>
      </c>
      <c r="B639" s="106" t="s">
        <v>1665</v>
      </c>
      <c r="C639" s="175" t="s">
        <v>1666</v>
      </c>
      <c r="D639" s="36" t="n">
        <v>45505</v>
      </c>
      <c r="E639" s="21" t="s">
        <v>24</v>
      </c>
      <c r="F639" s="24" t="s">
        <v>1389</v>
      </c>
      <c r="G639" s="159" t="s">
        <v>1127</v>
      </c>
      <c r="H639" s="23" t="s">
        <v>1184</v>
      </c>
      <c r="I639" s="27" t="s">
        <v>96</v>
      </c>
      <c r="J639" s="23" t="s">
        <v>1185</v>
      </c>
      <c r="K639" s="28" t="s">
        <v>181</v>
      </c>
      <c r="L639" s="23" t="s">
        <v>461</v>
      </c>
      <c r="M639" s="24">
        <f aca="1">DATEDIF(D639,TODAY(),"Y")</f>
        <v>1</v>
      </c>
      <c r="N639" s="24">
        <f aca="1">DATEDIF(D639,TODAY(),"YM")</f>
        <v>2</v>
      </c>
      <c r="O639" s="24" t="str">
        <f aca="1">DATEDIF(D639,NOW(),"Y")&amp;" Tahun "&amp;DATEDIF(D639,NOW(),"YM")&amp;" Bulan "&amp;DATEDIF(D639,NOW(),"MD")&amp;" Hari "</f>
        <v>1 Tahun 2 Bulan 6 Hari </v>
      </c>
      <c r="P639" s="25"/>
      <c r="Q639" s="36"/>
      <c r="S639" s="51" t="n">
        <v>1200000</v>
      </c>
      <c r="T639" s="56"/>
    </row>
    <row r="640" spans="1:20" s="12" customFormat="1">
      <c r="A640" s="21" t="n">
        <v>637</v>
      </c>
      <c r="B640" s="106" t="s">
        <v>1667</v>
      </c>
      <c r="C640" s="175" t="s">
        <v>1668</v>
      </c>
      <c r="D640" s="36" t="n">
        <v>45505</v>
      </c>
      <c r="E640" s="21" t="s">
        <v>24</v>
      </c>
      <c r="F640" s="24" t="s">
        <v>1389</v>
      </c>
      <c r="G640" s="159" t="s">
        <v>1127</v>
      </c>
      <c r="H640" s="23" t="s">
        <v>1184</v>
      </c>
      <c r="I640" s="27" t="s">
        <v>96</v>
      </c>
      <c r="J640" s="23" t="s">
        <v>1185</v>
      </c>
      <c r="K640" s="28" t="s">
        <v>181</v>
      </c>
      <c r="L640" s="23" t="s">
        <v>222</v>
      </c>
      <c r="M640" s="24">
        <f aca="1">DATEDIF(D640,TODAY(),"Y")</f>
        <v>1</v>
      </c>
      <c r="N640" s="24">
        <f aca="1">DATEDIF(D640,TODAY(),"YM")</f>
        <v>2</v>
      </c>
      <c r="O640" s="24" t="str">
        <f aca="1">DATEDIF(D640,NOW(),"Y")&amp;" Tahun "&amp;DATEDIF(D640,NOW(),"YM")&amp;" Bulan "&amp;DATEDIF(D640,NOW(),"MD")&amp;" Hari "</f>
        <v>1 Tahun 2 Bulan 6 Hari </v>
      </c>
      <c r="P640" s="25"/>
      <c r="Q640" s="36"/>
      <c r="S640" s="51" t="n">
        <v>1200000</v>
      </c>
      <c r="T640" s="56"/>
    </row>
    <row r="641" spans="1:20" s="12" customFormat="1">
      <c r="A641" s="21" t="n">
        <v>638</v>
      </c>
      <c r="B641" s="106" t="s">
        <v>1669</v>
      </c>
      <c r="C641" s="175" t="s">
        <v>1670</v>
      </c>
      <c r="D641" s="36" t="n">
        <v>45505</v>
      </c>
      <c r="E641" s="21" t="s">
        <v>24</v>
      </c>
      <c r="F641" s="24" t="s">
        <v>1389</v>
      </c>
      <c r="G641" s="159" t="s">
        <v>1127</v>
      </c>
      <c r="H641" s="23" t="s">
        <v>1184</v>
      </c>
      <c r="I641" s="27" t="s">
        <v>96</v>
      </c>
      <c r="J641" s="23" t="s">
        <v>1185</v>
      </c>
      <c r="K641" s="28" t="s">
        <v>181</v>
      </c>
      <c r="L641" s="30" t="s">
        <v>197</v>
      </c>
      <c r="M641" s="24">
        <f aca="1">DATEDIF(D641,TODAY(),"Y")</f>
        <v>1</v>
      </c>
      <c r="N641" s="24">
        <f aca="1">DATEDIF(D641,TODAY(),"YM")</f>
        <v>2</v>
      </c>
      <c r="O641" s="24" t="str">
        <f aca="1">DATEDIF(D641,NOW(),"Y")&amp;" Tahun "&amp;DATEDIF(D641,NOW(),"YM")&amp;" Bulan "&amp;DATEDIF(D641,NOW(),"MD")&amp;" Hari "</f>
        <v>1 Tahun 2 Bulan 6 Hari </v>
      </c>
      <c r="P641" s="25"/>
      <c r="Q641" s="36"/>
      <c r="S641" s="51" t="n">
        <v>1200000</v>
      </c>
      <c r="T641" s="56"/>
    </row>
    <row r="642" spans="1:20" s="12" customFormat="1">
      <c r="A642" s="21" t="n">
        <v>639</v>
      </c>
      <c r="B642" s="106" t="s">
        <v>1671</v>
      </c>
      <c r="C642" s="175" t="s">
        <v>1672</v>
      </c>
      <c r="D642" s="36" t="n">
        <v>45505</v>
      </c>
      <c r="E642" s="21" t="s">
        <v>33</v>
      </c>
      <c r="F642" s="24" t="s">
        <v>1389</v>
      </c>
      <c r="G642" s="159" t="s">
        <v>1127</v>
      </c>
      <c r="H642" s="23" t="s">
        <v>1184</v>
      </c>
      <c r="I642" s="27" t="s">
        <v>96</v>
      </c>
      <c r="J642" s="23" t="s">
        <v>1185</v>
      </c>
      <c r="K642" s="28" t="s">
        <v>181</v>
      </c>
      <c r="L642" s="23" t="s">
        <v>68</v>
      </c>
      <c r="M642" s="24">
        <f aca="1">DATEDIF(D642,TODAY(),"Y")</f>
        <v>1</v>
      </c>
      <c r="N642" s="24">
        <f aca="1">DATEDIF(D642,TODAY(),"YM")</f>
        <v>2</v>
      </c>
      <c r="O642" s="24" t="str">
        <f aca="1">DATEDIF(D642,NOW(),"Y")&amp;" Tahun "&amp;DATEDIF(D642,NOW(),"YM")&amp;" Bulan "&amp;DATEDIF(D642,NOW(),"MD")&amp;" Hari "</f>
        <v>1 Tahun 2 Bulan 6 Hari </v>
      </c>
      <c r="P642" s="25"/>
      <c r="Q642" s="36"/>
      <c r="S642" s="51" t="n">
        <v>1200000</v>
      </c>
      <c r="T642" s="56"/>
    </row>
    <row r="643" spans="1:20" s="12" customFormat="1">
      <c r="A643" s="21" t="n">
        <v>640</v>
      </c>
      <c r="B643" s="106" t="s">
        <v>1673</v>
      </c>
      <c r="C643" s="120"/>
      <c r="D643" s="36" t="n">
        <v>45505</v>
      </c>
      <c r="E643" s="21" t="s">
        <v>24</v>
      </c>
      <c r="F643" s="24" t="s">
        <v>1389</v>
      </c>
      <c r="G643" s="159" t="s">
        <v>1127</v>
      </c>
      <c r="H643" s="23" t="s">
        <v>1184</v>
      </c>
      <c r="I643" s="27" t="s">
        <v>96</v>
      </c>
      <c r="J643" s="23" t="s">
        <v>1185</v>
      </c>
      <c r="K643" s="28" t="s">
        <v>181</v>
      </c>
      <c r="L643" s="23" t="s">
        <v>235</v>
      </c>
      <c r="M643" s="24">
        <f aca="1">DATEDIF(D643,TODAY(),"Y")</f>
        <v>1</v>
      </c>
      <c r="N643" s="24">
        <f aca="1">DATEDIF(D643,TODAY(),"YM")</f>
        <v>2</v>
      </c>
      <c r="O643" s="24" t="str">
        <f aca="1">DATEDIF(D643,NOW(),"Y")&amp;" Tahun "&amp;DATEDIF(D643,NOW(),"YM")&amp;" Bulan "&amp;DATEDIF(D643,NOW(),"MD")&amp;" Hari "</f>
        <v>1 Tahun 2 Bulan 6 Hari </v>
      </c>
      <c r="P643" s="25"/>
      <c r="Q643" s="36"/>
      <c r="S643" s="51" t="n">
        <v>1200000</v>
      </c>
      <c r="T643" s="56"/>
    </row>
    <row r="644" spans="1:20" s="12" customFormat="1">
      <c r="A644" s="21" t="n">
        <v>641</v>
      </c>
      <c r="B644" s="106" t="s">
        <v>1674</v>
      </c>
      <c r="C644" s="120"/>
      <c r="D644" s="36" t="n">
        <v>45505</v>
      </c>
      <c r="E644" s="21" t="s">
        <v>24</v>
      </c>
      <c r="F644" s="24" t="s">
        <v>1389</v>
      </c>
      <c r="G644" s="159" t="s">
        <v>1127</v>
      </c>
      <c r="H644" s="23" t="s">
        <v>1184</v>
      </c>
      <c r="I644" s="27" t="s">
        <v>96</v>
      </c>
      <c r="J644" s="23" t="s">
        <v>1185</v>
      </c>
      <c r="K644" s="28" t="s">
        <v>181</v>
      </c>
      <c r="L644" s="23" t="s">
        <v>331</v>
      </c>
      <c r="M644" s="24">
        <f aca="1">DATEDIF(D644,TODAY(),"Y")</f>
        <v>1</v>
      </c>
      <c r="N644" s="24">
        <f aca="1">DATEDIF(D644,TODAY(),"YM")</f>
        <v>2</v>
      </c>
      <c r="O644" s="24" t="str">
        <f aca="1">DATEDIF(D644,NOW(),"Y")&amp;" Tahun "&amp;DATEDIF(D644,NOW(),"YM")&amp;" Bulan "&amp;DATEDIF(D644,NOW(),"MD")&amp;" Hari "</f>
        <v>1 Tahun 2 Bulan 6 Hari </v>
      </c>
      <c r="P644" s="25"/>
      <c r="Q644" s="36"/>
      <c r="S644" s="51" t="n">
        <v>1200000</v>
      </c>
      <c r="T644" s="56"/>
    </row>
    <row r="645" spans="1:20" s="12" customFormat="1">
      <c r="A645" s="21" t="n">
        <v>642</v>
      </c>
      <c r="B645" s="106" t="s">
        <v>1675</v>
      </c>
      <c r="C645" s="175" t="s">
        <v>1676</v>
      </c>
      <c r="D645" s="36" t="n">
        <v>45505</v>
      </c>
      <c r="E645" s="21" t="s">
        <v>24</v>
      </c>
      <c r="F645" s="24" t="s">
        <v>1389</v>
      </c>
      <c r="G645" s="159" t="s">
        <v>1127</v>
      </c>
      <c r="H645" s="23" t="s">
        <v>1184</v>
      </c>
      <c r="I645" s="27" t="s">
        <v>96</v>
      </c>
      <c r="J645" s="23" t="s">
        <v>1185</v>
      </c>
      <c r="K645" s="28" t="s">
        <v>181</v>
      </c>
      <c r="L645" s="23" t="s">
        <v>331</v>
      </c>
      <c r="M645" s="24">
        <f aca="1">DATEDIF(D645,TODAY(),"Y")</f>
        <v>1</v>
      </c>
      <c r="N645" s="24">
        <f aca="1">DATEDIF(D645,TODAY(),"YM")</f>
        <v>2</v>
      </c>
      <c r="O645" s="24" t="str">
        <f aca="1">DATEDIF(D645,NOW(),"Y")&amp;" Tahun "&amp;DATEDIF(D645,NOW(),"YM")&amp;" Bulan "&amp;DATEDIF(D645,NOW(),"MD")&amp;" Hari "</f>
        <v>1 Tahun 2 Bulan 6 Hari </v>
      </c>
      <c r="P645" s="25"/>
      <c r="Q645" s="36"/>
      <c r="S645" s="51" t="n">
        <v>1200000</v>
      </c>
      <c r="T645" s="56"/>
    </row>
    <row r="646" spans="1:20" s="12" customFormat="1">
      <c r="A646" s="21" t="n">
        <v>643</v>
      </c>
      <c r="B646" s="106" t="s">
        <v>1677</v>
      </c>
      <c r="C646" s="175" t="s">
        <v>1678</v>
      </c>
      <c r="D646" s="36" t="n">
        <v>45505</v>
      </c>
      <c r="E646" s="21" t="s">
        <v>33</v>
      </c>
      <c r="F646" s="24" t="s">
        <v>1389</v>
      </c>
      <c r="G646" s="159" t="s">
        <v>1127</v>
      </c>
      <c r="H646" s="23" t="s">
        <v>1184</v>
      </c>
      <c r="I646" s="27" t="s">
        <v>96</v>
      </c>
      <c r="J646" s="23" t="s">
        <v>1185</v>
      </c>
      <c r="K646" s="28" t="s">
        <v>181</v>
      </c>
      <c r="L646" s="23" t="s">
        <v>278</v>
      </c>
      <c r="M646" s="24">
        <f aca="1">DATEDIF(D646,TODAY(),"Y")</f>
        <v>1</v>
      </c>
      <c r="N646" s="24">
        <f aca="1">DATEDIF(D646,TODAY(),"YM")</f>
        <v>2</v>
      </c>
      <c r="O646" s="24" t="str">
        <f aca="1">DATEDIF(D646,NOW(),"Y")&amp;" Tahun "&amp;DATEDIF(D646,NOW(),"YM")&amp;" Bulan "&amp;DATEDIF(D646,NOW(),"MD")&amp;" Hari "</f>
        <v>1 Tahun 2 Bulan 6 Hari </v>
      </c>
      <c r="P646" s="25"/>
      <c r="Q646" s="36"/>
      <c r="S646" s="51" t="n">
        <v>1200000</v>
      </c>
      <c r="T646" s="56"/>
    </row>
    <row r="647" spans="1:20" s="12" customFormat="1">
      <c r="A647" s="21" t="n">
        <v>644</v>
      </c>
      <c r="B647" s="106" t="s">
        <v>1679</v>
      </c>
      <c r="C647" s="175" t="s">
        <v>1680</v>
      </c>
      <c r="D647" s="36" t="n">
        <v>45505</v>
      </c>
      <c r="E647" s="21" t="s">
        <v>33</v>
      </c>
      <c r="F647" s="24" t="s">
        <v>1389</v>
      </c>
      <c r="G647" s="159" t="s">
        <v>1127</v>
      </c>
      <c r="H647" s="40" t="s">
        <v>1004</v>
      </c>
      <c r="I647" s="22" t="s">
        <v>132</v>
      </c>
      <c r="J647" s="40" t="s">
        <v>1004</v>
      </c>
      <c r="K647" s="25" t="s">
        <v>1681</v>
      </c>
      <c r="L647" s="23" t="s">
        <v>173</v>
      </c>
      <c r="M647" s="24">
        <f aca="1">DATEDIF(D647,TODAY(),"Y")</f>
        <v>1</v>
      </c>
      <c r="N647" s="24">
        <f aca="1">DATEDIF(D647,TODAY(),"YM")</f>
        <v>2</v>
      </c>
      <c r="O647" s="24" t="str">
        <f aca="1">DATEDIF(D647,NOW(),"Y")&amp;" Tahun "&amp;DATEDIF(D647,NOW(),"YM")&amp;" Bulan "&amp;DATEDIF(D647,NOW(),"MD")&amp;" Hari "</f>
        <v>1 Tahun 2 Bulan 6 Hari </v>
      </c>
      <c r="P647" s="25"/>
      <c r="Q647" s="36"/>
      <c r="S647" s="51" t="n">
        <v>1200000</v>
      </c>
      <c r="T647" s="56"/>
    </row>
    <row r="648" spans="1:20" s="12" customFormat="1">
      <c r="A648" s="21" t="n">
        <v>645</v>
      </c>
      <c r="B648" s="106" t="s">
        <v>1682</v>
      </c>
      <c r="C648" s="175" t="s">
        <v>1683</v>
      </c>
      <c r="D648" s="36" t="n">
        <v>45505</v>
      </c>
      <c r="E648" s="21" t="s">
        <v>33</v>
      </c>
      <c r="F648" s="24" t="s">
        <v>1389</v>
      </c>
      <c r="G648" s="159" t="s">
        <v>1127</v>
      </c>
      <c r="H648" s="40" t="s">
        <v>1004</v>
      </c>
      <c r="I648" s="22" t="s">
        <v>132</v>
      </c>
      <c r="J648" s="40" t="s">
        <v>1004</v>
      </c>
      <c r="K648" s="25" t="s">
        <v>1684</v>
      </c>
      <c r="L648" s="23" t="s">
        <v>173</v>
      </c>
      <c r="M648" s="24">
        <f aca="1">DATEDIF(D648,TODAY(),"Y")</f>
        <v>1</v>
      </c>
      <c r="N648" s="24">
        <f aca="1">DATEDIF(D648,TODAY(),"YM")</f>
        <v>2</v>
      </c>
      <c r="O648" s="24" t="str">
        <f aca="1">DATEDIF(D648,NOW(),"Y")&amp;" Tahun "&amp;DATEDIF(D648,NOW(),"YM")&amp;" Bulan "&amp;DATEDIF(D648,NOW(),"MD")&amp;" Hari "</f>
        <v>1 Tahun 2 Bulan 6 Hari </v>
      </c>
      <c r="P648" s="25"/>
      <c r="Q648" s="36"/>
      <c r="S648" s="51" t="n">
        <v>1200000</v>
      </c>
      <c r="T648" s="56"/>
    </row>
    <row r="649" spans="1:20" s="12" customFormat="1">
      <c r="A649" s="21" t="n">
        <v>646</v>
      </c>
      <c r="B649" s="106" t="s">
        <v>1685</v>
      </c>
      <c r="C649" s="175" t="s">
        <v>1686</v>
      </c>
      <c r="D649" s="36" t="n">
        <v>45505</v>
      </c>
      <c r="E649" s="21" t="s">
        <v>24</v>
      </c>
      <c r="F649" s="24" t="s">
        <v>1389</v>
      </c>
      <c r="G649" s="159" t="s">
        <v>1127</v>
      </c>
      <c r="H649" s="25" t="s">
        <v>1578</v>
      </c>
      <c r="I649" s="22" t="s">
        <v>91</v>
      </c>
      <c r="J649" s="25" t="s">
        <v>1578</v>
      </c>
      <c r="K649" s="25" t="s">
        <v>1687</v>
      </c>
      <c r="L649" s="23" t="s">
        <v>92</v>
      </c>
      <c r="M649" s="24">
        <f aca="1">DATEDIF(D649,TODAY(),"Y")</f>
        <v>1</v>
      </c>
      <c r="N649" s="24">
        <f aca="1">DATEDIF(D649,TODAY(),"YM")</f>
        <v>2</v>
      </c>
      <c r="O649" s="24" t="str">
        <f aca="1">DATEDIF(D649,NOW(),"Y")&amp;" Tahun "&amp;DATEDIF(D649,NOW(),"YM")&amp;" Bulan "&amp;DATEDIF(D649,NOW(),"MD")&amp;" Hari "</f>
        <v>1 Tahun 2 Bulan 6 Hari </v>
      </c>
      <c r="P649" s="25"/>
      <c r="Q649" s="36"/>
      <c r="S649" s="51" t="n">
        <v>1350000</v>
      </c>
      <c r="T649" s="56"/>
    </row>
    <row r="650" spans="1:20" s="12" customFormat="1">
      <c r="A650" s="21" t="n">
        <v>647</v>
      </c>
      <c r="B650" s="106" t="s">
        <v>1688</v>
      </c>
      <c r="C650" s="175" t="s">
        <v>1689</v>
      </c>
      <c r="D650" s="36" t="n">
        <v>45505</v>
      </c>
      <c r="E650" s="21" t="s">
        <v>24</v>
      </c>
      <c r="F650" s="24" t="s">
        <v>1389</v>
      </c>
      <c r="G650" s="159" t="s">
        <v>1127</v>
      </c>
      <c r="H650" s="25" t="s">
        <v>1578</v>
      </c>
      <c r="I650" s="22" t="s">
        <v>91</v>
      </c>
      <c r="J650" s="25" t="s">
        <v>1578</v>
      </c>
      <c r="K650" s="25" t="s">
        <v>1690</v>
      </c>
      <c r="L650" s="23" t="s">
        <v>92</v>
      </c>
      <c r="M650" s="24">
        <f aca="1">DATEDIF(D650,TODAY(),"Y")</f>
        <v>1</v>
      </c>
      <c r="N650" s="24">
        <f aca="1">DATEDIF(D650,TODAY(),"YM")</f>
        <v>2</v>
      </c>
      <c r="O650" s="24" t="str">
        <f aca="1">DATEDIF(D650,NOW(),"Y")&amp;" Tahun "&amp;DATEDIF(D650,NOW(),"YM")&amp;" Bulan "&amp;DATEDIF(D650,NOW(),"MD")&amp;" Hari "</f>
        <v>1 Tahun 2 Bulan 6 Hari </v>
      </c>
      <c r="P650" s="25"/>
      <c r="Q650" s="36"/>
      <c r="S650" s="51" t="n">
        <v>1350000</v>
      </c>
      <c r="T650" s="56"/>
    </row>
    <row r="651" spans="1:20" s="12" customFormat="1">
      <c r="A651" s="21" t="n">
        <v>648</v>
      </c>
      <c r="B651" s="106" t="s">
        <v>1691</v>
      </c>
      <c r="C651" s="175" t="s">
        <v>1692</v>
      </c>
      <c r="D651" s="36" t="n">
        <v>45505</v>
      </c>
      <c r="E651" s="21" t="s">
        <v>24</v>
      </c>
      <c r="F651" s="24" t="s">
        <v>1389</v>
      </c>
      <c r="G651" s="159" t="s">
        <v>1127</v>
      </c>
      <c r="H651" s="22" t="s">
        <v>1367</v>
      </c>
      <c r="I651" s="22" t="s">
        <v>28</v>
      </c>
      <c r="J651" s="25" t="s">
        <v>262</v>
      </c>
      <c r="K651" s="25" t="s">
        <v>1693</v>
      </c>
      <c r="L651" s="23" t="s">
        <v>119</v>
      </c>
      <c r="M651" s="24">
        <f aca="1">DATEDIF(D651,TODAY(),"Y")</f>
        <v>1</v>
      </c>
      <c r="N651" s="24">
        <f aca="1">DATEDIF(D651,TODAY(),"YM")</f>
        <v>2</v>
      </c>
      <c r="O651" s="24" t="str">
        <f aca="1">DATEDIF(D651,NOW(),"Y")&amp;" Tahun "&amp;DATEDIF(D651,NOW(),"YM")&amp;" Bulan "&amp;DATEDIF(D651,NOW(),"MD")&amp;" Hari "</f>
        <v>1 Tahun 2 Bulan 6 Hari </v>
      </c>
      <c r="P651" s="25"/>
      <c r="Q651" s="36"/>
      <c r="S651" s="51" t="n">
        <v>1200000</v>
      </c>
      <c r="T651" s="56"/>
    </row>
    <row r="652" spans="1:20" s="12" customFormat="1">
      <c r="A652" s="21" t="n">
        <v>649</v>
      </c>
      <c r="B652" s="106" t="s">
        <v>1694</v>
      </c>
      <c r="C652" s="175" t="s">
        <v>1695</v>
      </c>
      <c r="D652" s="36" t="n">
        <v>45505</v>
      </c>
      <c r="E652" s="21" t="s">
        <v>33</v>
      </c>
      <c r="F652" s="24" t="s">
        <v>1389</v>
      </c>
      <c r="G652" s="159" t="s">
        <v>1127</v>
      </c>
      <c r="H652" s="25" t="s">
        <v>1696</v>
      </c>
      <c r="I652" s="22" t="s">
        <v>28</v>
      </c>
      <c r="J652" s="25" t="s">
        <v>262</v>
      </c>
      <c r="K652" s="25" t="s">
        <v>1697</v>
      </c>
      <c r="L652" s="23" t="s">
        <v>520</v>
      </c>
      <c r="M652" s="24">
        <f aca="1">DATEDIF(D652,TODAY(),"Y")</f>
        <v>1</v>
      </c>
      <c r="N652" s="24">
        <f aca="1">DATEDIF(D652,TODAY(),"YM")</f>
        <v>2</v>
      </c>
      <c r="O652" s="24" t="str">
        <f aca="1">DATEDIF(D652,NOW(),"Y")&amp;" Tahun "&amp;DATEDIF(D652,NOW(),"YM")&amp;" Bulan "&amp;DATEDIF(D652,NOW(),"MD")&amp;" Hari "</f>
        <v>1 Tahun 2 Bulan 6 Hari </v>
      </c>
      <c r="P652" s="25"/>
      <c r="Q652" s="36"/>
      <c r="S652" s="51" t="n">
        <v>1200000</v>
      </c>
      <c r="T652" s="56"/>
    </row>
    <row r="653" spans="1:20" s="12" customFormat="1">
      <c r="A653" s="21" t="n">
        <v>650</v>
      </c>
      <c r="B653" s="106" t="s">
        <v>1698</v>
      </c>
      <c r="C653" s="175" t="s">
        <v>1699</v>
      </c>
      <c r="D653" s="36" t="n">
        <v>45505</v>
      </c>
      <c r="E653" s="21" t="s">
        <v>33</v>
      </c>
      <c r="F653" s="24" t="s">
        <v>1389</v>
      </c>
      <c r="G653" s="159" t="s">
        <v>1127</v>
      </c>
      <c r="H653" s="25" t="s">
        <v>1696</v>
      </c>
      <c r="I653" s="22" t="s">
        <v>28</v>
      </c>
      <c r="J653" s="25" t="s">
        <v>262</v>
      </c>
      <c r="K653" s="25" t="s">
        <v>1697</v>
      </c>
      <c r="L653" s="23" t="s">
        <v>520</v>
      </c>
      <c r="M653" s="24">
        <f aca="1">DATEDIF(D653,TODAY(),"Y")</f>
        <v>1</v>
      </c>
      <c r="N653" s="24">
        <f aca="1">DATEDIF(D653,TODAY(),"YM")</f>
        <v>2</v>
      </c>
      <c r="O653" s="24" t="str">
        <f aca="1">DATEDIF(D653,NOW(),"Y")&amp;" Tahun "&amp;DATEDIF(D653,NOW(),"YM")&amp;" Bulan "&amp;DATEDIF(D653,NOW(),"MD")&amp;" Hari "</f>
        <v>1 Tahun 2 Bulan 6 Hari </v>
      </c>
      <c r="P653" s="25"/>
      <c r="Q653" s="36"/>
      <c r="S653" s="51" t="n">
        <v>1200000</v>
      </c>
      <c r="T653" s="56"/>
    </row>
    <row r="654" spans="1:20" s="12" customFormat="1">
      <c r="A654" s="21" t="n">
        <v>651</v>
      </c>
      <c r="B654" s="106" t="s">
        <v>1700</v>
      </c>
      <c r="C654" s="120"/>
      <c r="D654" s="36" t="n">
        <v>45597</v>
      </c>
      <c r="E654" s="21" t="s">
        <v>33</v>
      </c>
      <c r="F654" s="24" t="s">
        <v>1389</v>
      </c>
      <c r="G654" s="159" t="s">
        <v>1127</v>
      </c>
      <c r="H654" s="25" t="s">
        <v>1701</v>
      </c>
      <c r="I654" s="22"/>
      <c r="J654" s="25" t="s">
        <v>1702</v>
      </c>
      <c r="K654" s="25"/>
      <c r="L654" s="23" t="s">
        <v>188</v>
      </c>
      <c r="M654" s="24">
        <f aca="1">DATEDIF(D654,TODAY(),"Y")</f>
        <v>0</v>
      </c>
      <c r="N654" s="24">
        <f aca="1">DATEDIF(D654,TODAY(),"YM")</f>
        <v>11</v>
      </c>
      <c r="O654" s="24" t="str">
        <f aca="1">DATEDIF(D654,NOW(),"Y")&amp;" Tahun "&amp;DATEDIF(D654,NOW(),"YM")&amp;" Bulan "&amp;DATEDIF(D654,NOW(),"MD")&amp;" Hari "</f>
        <v>0 Tahun 11 Bulan 6 Hari </v>
      </c>
      <c r="P654" s="25"/>
      <c r="Q654" s="36"/>
      <c r="S654" s="51"/>
      <c r="T654" s="56"/>
    </row>
    <row r="655" spans="1:20" s="12" customFormat="1">
      <c r="A655" s="21" t="n">
        <v>652</v>
      </c>
      <c r="B655" s="106" t="s">
        <v>1703</v>
      </c>
      <c r="C655" s="175" t="s">
        <v>1704</v>
      </c>
      <c r="D655" s="36" t="n">
        <v>45597</v>
      </c>
      <c r="E655" s="21" t="s">
        <v>24</v>
      </c>
      <c r="F655" s="24" t="s">
        <v>1389</v>
      </c>
      <c r="G655" s="159" t="s">
        <v>1127</v>
      </c>
      <c r="H655" s="22" t="s">
        <v>1570</v>
      </c>
      <c r="I655" s="27" t="s">
        <v>66</v>
      </c>
      <c r="J655" s="22" t="s">
        <v>1570</v>
      </c>
      <c r="K655" s="23" t="s">
        <v>67</v>
      </c>
      <c r="L655" s="23" t="s">
        <v>1174</v>
      </c>
      <c r="M655" s="24">
        <f aca="1">DATEDIF(D655,TODAY(),"Y")</f>
        <v>0</v>
      </c>
      <c r="N655" s="24">
        <f aca="1">DATEDIF(D655,TODAY(),"YM")</f>
        <v>11</v>
      </c>
      <c r="O655" s="24" t="str">
        <f aca="1">DATEDIF(D655,NOW(),"Y")&amp;" Tahun "&amp;DATEDIF(D655,NOW(),"YM")&amp;" Bulan "&amp;DATEDIF(D655,NOW(),"MD")&amp;" Hari "</f>
        <v>0 Tahun 11 Bulan 6 Hari </v>
      </c>
      <c r="P655" s="25"/>
      <c r="Q655" s="36"/>
      <c r="S655" s="52" t="n">
        <v>3650000</v>
      </c>
      <c r="T655" s="56"/>
    </row>
    <row r="656" spans="1:20" s="12" customFormat="1">
      <c r="A656" s="21" t="n">
        <v>653</v>
      </c>
      <c r="B656" s="106" t="s">
        <v>1705</v>
      </c>
      <c r="C656" s="175" t="s">
        <v>1706</v>
      </c>
      <c r="D656" s="36" t="n">
        <v>45597</v>
      </c>
      <c r="E656" s="21" t="s">
        <v>24</v>
      </c>
      <c r="F656" s="24" t="s">
        <v>1389</v>
      </c>
      <c r="G656" s="159" t="s">
        <v>1127</v>
      </c>
      <c r="H656" s="22" t="s">
        <v>1570</v>
      </c>
      <c r="I656" s="27" t="s">
        <v>66</v>
      </c>
      <c r="J656" s="22" t="s">
        <v>1570</v>
      </c>
      <c r="K656" s="23" t="s">
        <v>67</v>
      </c>
      <c r="L656" s="23" t="s">
        <v>68</v>
      </c>
      <c r="M656" s="24">
        <f aca="1">DATEDIF(D656,TODAY(),"Y")</f>
        <v>0</v>
      </c>
      <c r="N656" s="24">
        <f aca="1">DATEDIF(D656,TODAY(),"YM")</f>
        <v>11</v>
      </c>
      <c r="O656" s="24" t="str">
        <f aca="1">DATEDIF(D656,NOW(),"Y")&amp;" Tahun "&amp;DATEDIF(D656,NOW(),"YM")&amp;" Bulan "&amp;DATEDIF(D656,NOW(),"MD")&amp;" Hari "</f>
        <v>0 Tahun 11 Bulan 6 Hari </v>
      </c>
      <c r="P656" s="25"/>
      <c r="Q656" s="36"/>
      <c r="S656" s="52" t="n">
        <v>3650000</v>
      </c>
      <c r="T656" s="56"/>
    </row>
    <row r="657" spans="1:20" s="12" customFormat="1">
      <c r="A657" s="21" t="n">
        <v>654</v>
      </c>
      <c r="B657" s="106" t="s">
        <v>1707</v>
      </c>
      <c r="C657" s="175" t="s">
        <v>1708</v>
      </c>
      <c r="D657" s="36" t="n">
        <v>45597</v>
      </c>
      <c r="E657" s="21" t="s">
        <v>33</v>
      </c>
      <c r="F657" s="24" t="s">
        <v>1389</v>
      </c>
      <c r="G657" s="159" t="s">
        <v>1127</v>
      </c>
      <c r="H657" s="22" t="s">
        <v>1570</v>
      </c>
      <c r="I657" s="27" t="s">
        <v>66</v>
      </c>
      <c r="J657" s="22" t="s">
        <v>1570</v>
      </c>
      <c r="K657" s="23" t="s">
        <v>67</v>
      </c>
      <c r="L657" s="23" t="s">
        <v>68</v>
      </c>
      <c r="M657" s="24">
        <f aca="1">DATEDIF(D657,TODAY(),"Y")</f>
        <v>0</v>
      </c>
      <c r="N657" s="24">
        <f aca="1">DATEDIF(D657,TODAY(),"YM")</f>
        <v>11</v>
      </c>
      <c r="O657" s="24" t="str">
        <f aca="1">DATEDIF(D657,NOW(),"Y")&amp;" Tahun "&amp;DATEDIF(D657,NOW(),"YM")&amp;" Bulan "&amp;DATEDIF(D657,NOW(),"MD")&amp;" Hari "</f>
        <v>0 Tahun 11 Bulan 6 Hari </v>
      </c>
      <c r="P657" s="25"/>
      <c r="Q657" s="36"/>
      <c r="S657" s="52" t="n">
        <v>3650000</v>
      </c>
      <c r="T657" s="56"/>
    </row>
    <row r="658" spans="1:20" s="12" customFormat="1">
      <c r="A658" s="21" t="n">
        <v>655</v>
      </c>
      <c r="B658" s="106" t="s">
        <v>1709</v>
      </c>
      <c r="C658" s="175" t="s">
        <v>1710</v>
      </c>
      <c r="D658" s="36" t="n">
        <v>45597</v>
      </c>
      <c r="E658" s="21" t="s">
        <v>24</v>
      </c>
      <c r="F658" s="24" t="s">
        <v>1389</v>
      </c>
      <c r="G658" s="159" t="s">
        <v>1127</v>
      </c>
      <c r="H658" s="46" t="s">
        <v>1279</v>
      </c>
      <c r="I658" s="27" t="s">
        <v>96</v>
      </c>
      <c r="J658" s="25" t="s">
        <v>1185</v>
      </c>
      <c r="K658" s="23" t="s">
        <v>1711</v>
      </c>
      <c r="L658" s="23" t="s">
        <v>461</v>
      </c>
      <c r="M658" s="24">
        <f aca="1">DATEDIF(D658,TODAY(),"Y")</f>
        <v>0</v>
      </c>
      <c r="N658" s="24">
        <f aca="1">DATEDIF(D658,TODAY(),"YM")</f>
        <v>11</v>
      </c>
      <c r="O658" s="24" t="str">
        <f aca="1">DATEDIF(D658,NOW(),"Y")&amp;" Tahun "&amp;DATEDIF(D658,NOW(),"YM")&amp;" Bulan "&amp;DATEDIF(D658,NOW(),"MD")&amp;" Hari "</f>
        <v>0 Tahun 11 Bulan 6 Hari </v>
      </c>
      <c r="P658" s="25"/>
      <c r="Q658" s="36"/>
      <c r="S658" s="51" t="n">
        <v>1350000</v>
      </c>
      <c r="T658" s="56"/>
    </row>
    <row r="659" spans="1:20" s="12" customFormat="1">
      <c r="A659" s="21" t="n">
        <v>656</v>
      </c>
      <c r="B659" s="106" t="s">
        <v>1712</v>
      </c>
      <c r="C659" s="175" t="s">
        <v>1713</v>
      </c>
      <c r="D659" s="36" t="n">
        <v>45597</v>
      </c>
      <c r="E659" s="21" t="s">
        <v>24</v>
      </c>
      <c r="F659" s="24" t="s">
        <v>1389</v>
      </c>
      <c r="G659" s="159" t="s">
        <v>1127</v>
      </c>
      <c r="H659" s="46" t="s">
        <v>1279</v>
      </c>
      <c r="I659" s="27" t="s">
        <v>96</v>
      </c>
      <c r="J659" s="25" t="s">
        <v>1185</v>
      </c>
      <c r="K659" s="23" t="s">
        <v>1711</v>
      </c>
      <c r="L659" s="23" t="s">
        <v>97</v>
      </c>
      <c r="M659" s="24">
        <f aca="1">DATEDIF(D659,TODAY(),"Y")</f>
        <v>0</v>
      </c>
      <c r="N659" s="24">
        <f aca="1">DATEDIF(D659,TODAY(),"YM")</f>
        <v>11</v>
      </c>
      <c r="O659" s="24" t="str">
        <f aca="1">DATEDIF(D659,NOW(),"Y")&amp;" Tahun "&amp;DATEDIF(D659,NOW(),"YM")&amp;" Bulan "&amp;DATEDIF(D659,NOW(),"MD")&amp;" Hari "</f>
        <v>0 Tahun 11 Bulan 6 Hari </v>
      </c>
      <c r="P659" s="25"/>
      <c r="Q659" s="36"/>
      <c r="S659" s="51" t="n">
        <v>1350000</v>
      </c>
      <c r="T659" s="56"/>
    </row>
    <row r="660" spans="1:20" s="12" customFormat="1">
      <c r="A660" s="21" t="n">
        <v>657</v>
      </c>
      <c r="B660" s="106" t="s">
        <v>1714</v>
      </c>
      <c r="C660" s="175" t="s">
        <v>1715</v>
      </c>
      <c r="D660" s="36" t="n">
        <v>45597</v>
      </c>
      <c r="E660" s="21" t="s">
        <v>24</v>
      </c>
      <c r="F660" s="24" t="s">
        <v>1389</v>
      </c>
      <c r="G660" s="159" t="s">
        <v>1127</v>
      </c>
      <c r="H660" s="46" t="s">
        <v>1279</v>
      </c>
      <c r="I660" s="27" t="s">
        <v>96</v>
      </c>
      <c r="J660" s="25" t="s">
        <v>1185</v>
      </c>
      <c r="K660" s="23" t="s">
        <v>1711</v>
      </c>
      <c r="L660" s="29" t="s">
        <v>461</v>
      </c>
      <c r="M660" s="24">
        <f aca="1">DATEDIF(D660,TODAY(),"Y")</f>
        <v>0</v>
      </c>
      <c r="N660" s="24">
        <f aca="1">DATEDIF(D660,TODAY(),"YM")</f>
        <v>11</v>
      </c>
      <c r="O660" s="24" t="str">
        <f aca="1">DATEDIF(D660,NOW(),"Y")&amp;" Tahun "&amp;DATEDIF(D660,NOW(),"YM")&amp;" Bulan "&amp;DATEDIF(D660,NOW(),"MD")&amp;" Hari "</f>
        <v>0 Tahun 11 Bulan 6 Hari </v>
      </c>
      <c r="P660" s="25"/>
      <c r="Q660" s="36"/>
      <c r="S660" s="51" t="n">
        <v>1350000</v>
      </c>
      <c r="T660" s="56"/>
    </row>
    <row r="661" spans="1:20" s="12" customFormat="1">
      <c r="A661" s="21" t="n">
        <v>658</v>
      </c>
      <c r="B661" s="106" t="s">
        <v>1716</v>
      </c>
      <c r="C661" s="175" t="s">
        <v>1717</v>
      </c>
      <c r="D661" s="36" t="n">
        <v>45597</v>
      </c>
      <c r="E661" s="21" t="s">
        <v>33</v>
      </c>
      <c r="F661" s="24" t="s">
        <v>1389</v>
      </c>
      <c r="G661" s="159" t="s">
        <v>1127</v>
      </c>
      <c r="H661" s="46" t="s">
        <v>1279</v>
      </c>
      <c r="I661" s="27" t="s">
        <v>96</v>
      </c>
      <c r="J661" s="25" t="s">
        <v>1185</v>
      </c>
      <c r="K661" s="23" t="s">
        <v>1711</v>
      </c>
      <c r="L661" s="23" t="s">
        <v>225</v>
      </c>
      <c r="M661" s="24">
        <f aca="1">DATEDIF(D661,TODAY(),"Y")</f>
        <v>0</v>
      </c>
      <c r="N661" s="24">
        <f aca="1">DATEDIF(D661,TODAY(),"YM")</f>
        <v>11</v>
      </c>
      <c r="O661" s="24" t="str">
        <f aca="1">DATEDIF(D661,NOW(),"Y")&amp;" Tahun "&amp;DATEDIF(D661,NOW(),"YM")&amp;" Bulan "&amp;DATEDIF(D661,NOW(),"MD")&amp;" Hari "</f>
        <v>0 Tahun 11 Bulan 6 Hari </v>
      </c>
      <c r="P661" s="25"/>
      <c r="Q661" s="36"/>
      <c r="S661" s="51" t="n">
        <v>1350000</v>
      </c>
      <c r="T661" s="56"/>
    </row>
    <row r="662" spans="1:20" s="12" customFormat="1">
      <c r="A662" s="21" t="n">
        <v>659</v>
      </c>
      <c r="B662" s="106" t="s">
        <v>1718</v>
      </c>
      <c r="C662" s="175" t="s">
        <v>1719</v>
      </c>
      <c r="D662" s="36" t="n">
        <v>45597</v>
      </c>
      <c r="E662" s="21" t="s">
        <v>24</v>
      </c>
      <c r="F662" s="24" t="s">
        <v>1389</v>
      </c>
      <c r="G662" s="159" t="s">
        <v>1127</v>
      </c>
      <c r="H662" s="46" t="s">
        <v>1279</v>
      </c>
      <c r="I662" s="27" t="s">
        <v>96</v>
      </c>
      <c r="J662" s="25" t="s">
        <v>1185</v>
      </c>
      <c r="K662" s="23" t="s">
        <v>1711</v>
      </c>
      <c r="L662" s="23" t="s">
        <v>68</v>
      </c>
      <c r="M662" s="24">
        <f aca="1">DATEDIF(D662,TODAY(),"Y")</f>
        <v>0</v>
      </c>
      <c r="N662" s="24">
        <f aca="1">DATEDIF(D662,TODAY(),"YM")</f>
        <v>11</v>
      </c>
      <c r="O662" s="24" t="str">
        <f aca="1">DATEDIF(D662,NOW(),"Y")&amp;" Tahun "&amp;DATEDIF(D662,NOW(),"YM")&amp;" Bulan "&amp;DATEDIF(D662,NOW(),"MD")&amp;" Hari "</f>
        <v>0 Tahun 11 Bulan 6 Hari </v>
      </c>
      <c r="P662" s="25"/>
      <c r="Q662" s="36"/>
      <c r="S662" s="51" t="n">
        <v>1350000</v>
      </c>
      <c r="T662" s="56"/>
    </row>
    <row r="663" spans="1:20" s="12" customFormat="1">
      <c r="A663" s="21" t="n">
        <v>660</v>
      </c>
      <c r="B663" s="106" t="s">
        <v>1720</v>
      </c>
      <c r="C663" s="175" t="s">
        <v>1721</v>
      </c>
      <c r="D663" s="36" t="n">
        <v>45597</v>
      </c>
      <c r="E663" s="21" t="s">
        <v>24</v>
      </c>
      <c r="F663" s="24" t="s">
        <v>1389</v>
      </c>
      <c r="G663" s="159" t="s">
        <v>1127</v>
      </c>
      <c r="H663" s="46" t="s">
        <v>1279</v>
      </c>
      <c r="I663" s="27" t="s">
        <v>96</v>
      </c>
      <c r="J663" s="25" t="s">
        <v>1185</v>
      </c>
      <c r="K663" s="23" t="s">
        <v>1711</v>
      </c>
      <c r="L663" s="23" t="s">
        <v>406</v>
      </c>
      <c r="M663" s="24">
        <f aca="1">DATEDIF(D663,TODAY(),"Y")</f>
        <v>0</v>
      </c>
      <c r="N663" s="24">
        <f aca="1">DATEDIF(D663,TODAY(),"YM")</f>
        <v>11</v>
      </c>
      <c r="O663" s="24" t="str">
        <f aca="1">DATEDIF(D663,NOW(),"Y")&amp;" Tahun "&amp;DATEDIF(D663,NOW(),"YM")&amp;" Bulan "&amp;DATEDIF(D663,NOW(),"MD")&amp;" Hari "</f>
        <v>0 Tahun 11 Bulan 6 Hari </v>
      </c>
      <c r="P663" s="25"/>
      <c r="Q663" s="36"/>
      <c r="S663" s="51" t="n">
        <v>1350000</v>
      </c>
      <c r="T663" s="56"/>
    </row>
    <row r="664" spans="1:20" s="12" customFormat="1">
      <c r="A664" s="21" t="n">
        <v>661</v>
      </c>
      <c r="B664" s="106" t="s">
        <v>1722</v>
      </c>
      <c r="C664" s="175" t="s">
        <v>1723</v>
      </c>
      <c r="D664" s="36" t="n">
        <v>45597</v>
      </c>
      <c r="E664" s="21" t="s">
        <v>24</v>
      </c>
      <c r="F664" s="24" t="s">
        <v>1389</v>
      </c>
      <c r="G664" s="159" t="s">
        <v>1127</v>
      </c>
      <c r="H664" s="46" t="s">
        <v>1279</v>
      </c>
      <c r="I664" s="27" t="s">
        <v>96</v>
      </c>
      <c r="J664" s="25" t="s">
        <v>1185</v>
      </c>
      <c r="K664" s="23" t="s">
        <v>1711</v>
      </c>
      <c r="L664" s="23" t="s">
        <v>168</v>
      </c>
      <c r="M664" s="24">
        <f aca="1">DATEDIF(D664,TODAY(),"Y")</f>
        <v>0</v>
      </c>
      <c r="N664" s="24">
        <f aca="1">DATEDIF(D664,TODAY(),"YM")</f>
        <v>11</v>
      </c>
      <c r="O664" s="24" t="str">
        <f aca="1">DATEDIF(D664,NOW(),"Y")&amp;" Tahun "&amp;DATEDIF(D664,NOW(),"YM")&amp;" Bulan "&amp;DATEDIF(D664,NOW(),"MD")&amp;" Hari "</f>
        <v>0 Tahun 11 Bulan 6 Hari </v>
      </c>
      <c r="P664" s="25"/>
      <c r="Q664" s="36"/>
      <c r="S664" s="51" t="n">
        <v>1350000</v>
      </c>
      <c r="T664" s="56"/>
    </row>
    <row r="665" spans="1:20" s="12" customFormat="1">
      <c r="A665" s="21" t="n">
        <v>662</v>
      </c>
      <c r="B665" s="106" t="s">
        <v>1724</v>
      </c>
      <c r="C665" s="175" t="s">
        <v>1725</v>
      </c>
      <c r="D665" s="36" t="n">
        <v>45597</v>
      </c>
      <c r="E665" s="21" t="s">
        <v>33</v>
      </c>
      <c r="F665" s="24" t="s">
        <v>1389</v>
      </c>
      <c r="G665" s="159" t="s">
        <v>1127</v>
      </c>
      <c r="H665" s="46" t="s">
        <v>1279</v>
      </c>
      <c r="I665" s="27" t="s">
        <v>96</v>
      </c>
      <c r="J665" s="25" t="s">
        <v>1185</v>
      </c>
      <c r="K665" s="23" t="s">
        <v>1711</v>
      </c>
      <c r="L665" s="23" t="s">
        <v>68</v>
      </c>
      <c r="M665" s="24">
        <f aca="1">DATEDIF(D665,TODAY(),"Y")</f>
        <v>0</v>
      </c>
      <c r="N665" s="24">
        <f aca="1">DATEDIF(D665,TODAY(),"YM")</f>
        <v>11</v>
      </c>
      <c r="O665" s="24" t="str">
        <f aca="1">DATEDIF(D665,NOW(),"Y")&amp;" Tahun "&amp;DATEDIF(D665,NOW(),"YM")&amp;" Bulan "&amp;DATEDIF(D665,NOW(),"MD")&amp;" Hari "</f>
        <v>0 Tahun 11 Bulan 6 Hari </v>
      </c>
      <c r="P665" s="25"/>
      <c r="Q665" s="36"/>
      <c r="S665" s="51" t="n">
        <v>1350000</v>
      </c>
      <c r="T665" s="56"/>
    </row>
    <row r="666" spans="1:20" s="12" customFormat="1">
      <c r="A666" s="21" t="n">
        <v>663</v>
      </c>
      <c r="B666" s="106" t="s">
        <v>1726</v>
      </c>
      <c r="C666" s="175" t="s">
        <v>1727</v>
      </c>
      <c r="D666" s="36" t="n">
        <v>45597</v>
      </c>
      <c r="E666" s="21" t="s">
        <v>24</v>
      </c>
      <c r="F666" s="24" t="s">
        <v>1389</v>
      </c>
      <c r="G666" s="159" t="s">
        <v>1127</v>
      </c>
      <c r="H666" s="46" t="s">
        <v>1279</v>
      </c>
      <c r="I666" s="27" t="s">
        <v>96</v>
      </c>
      <c r="J666" s="25" t="s">
        <v>1185</v>
      </c>
      <c r="K666" s="23" t="s">
        <v>1711</v>
      </c>
      <c r="L666" s="23" t="s">
        <v>222</v>
      </c>
      <c r="M666" s="24">
        <f aca="1">DATEDIF(D666,TODAY(),"Y")</f>
        <v>0</v>
      </c>
      <c r="N666" s="24">
        <f aca="1">DATEDIF(D666,TODAY(),"YM")</f>
        <v>11</v>
      </c>
      <c r="O666" s="24" t="str">
        <f aca="1">DATEDIF(D666,NOW(),"Y")&amp;" Tahun "&amp;DATEDIF(D666,NOW(),"YM")&amp;" Bulan "&amp;DATEDIF(D666,NOW(),"MD")&amp;" Hari "</f>
        <v>0 Tahun 11 Bulan 6 Hari </v>
      </c>
      <c r="P666" s="25"/>
      <c r="Q666" s="36"/>
      <c r="S666" s="51" t="n">
        <v>1350000</v>
      </c>
      <c r="T666" s="56"/>
    </row>
    <row r="667" spans="1:20" s="12" customFormat="1">
      <c r="A667" s="21" t="n">
        <v>664</v>
      </c>
      <c r="B667" s="106" t="s">
        <v>1728</v>
      </c>
      <c r="C667" s="175" t="s">
        <v>1729</v>
      </c>
      <c r="D667" s="36" t="n">
        <v>45597</v>
      </c>
      <c r="E667" s="21" t="s">
        <v>24</v>
      </c>
      <c r="F667" s="24" t="s">
        <v>1389</v>
      </c>
      <c r="G667" s="159" t="s">
        <v>1127</v>
      </c>
      <c r="H667" s="46" t="s">
        <v>1279</v>
      </c>
      <c r="I667" s="27" t="s">
        <v>96</v>
      </c>
      <c r="J667" s="25" t="s">
        <v>1185</v>
      </c>
      <c r="K667" s="23" t="s">
        <v>1711</v>
      </c>
      <c r="L667" s="29" t="s">
        <v>385</v>
      </c>
      <c r="M667" s="24">
        <f aca="1">DATEDIF(D667,TODAY(),"Y")</f>
        <v>0</v>
      </c>
      <c r="N667" s="24">
        <f aca="1">DATEDIF(D667,TODAY(),"YM")</f>
        <v>11</v>
      </c>
      <c r="O667" s="24" t="str">
        <f aca="1">DATEDIF(D667,NOW(),"Y")&amp;" Tahun "&amp;DATEDIF(D667,NOW(),"YM")&amp;" Bulan "&amp;DATEDIF(D667,NOW(),"MD")&amp;" Hari "</f>
        <v>0 Tahun 11 Bulan 6 Hari </v>
      </c>
      <c r="P667" s="25"/>
      <c r="Q667" s="36"/>
      <c r="S667" s="51" t="n">
        <v>1350000</v>
      </c>
      <c r="T667" s="56"/>
    </row>
    <row r="668" spans="1:20" s="12" customFormat="1">
      <c r="A668" s="21" t="n">
        <v>665</v>
      </c>
      <c r="B668" s="106" t="s">
        <v>1730</v>
      </c>
      <c r="C668" s="175" t="s">
        <v>1731</v>
      </c>
      <c r="D668" s="36" t="n">
        <v>45597</v>
      </c>
      <c r="E668" s="21" t="s">
        <v>24</v>
      </c>
      <c r="F668" s="24" t="s">
        <v>1389</v>
      </c>
      <c r="G668" s="159" t="s">
        <v>1127</v>
      </c>
      <c r="H668" s="46" t="s">
        <v>1279</v>
      </c>
      <c r="I668" s="27" t="s">
        <v>96</v>
      </c>
      <c r="J668" s="25" t="s">
        <v>1185</v>
      </c>
      <c r="K668" s="23" t="s">
        <v>1711</v>
      </c>
      <c r="L668" s="23" t="s">
        <v>97</v>
      </c>
      <c r="M668" s="24">
        <f aca="1">DATEDIF(D668,TODAY(),"Y")</f>
        <v>0</v>
      </c>
      <c r="N668" s="24">
        <f aca="1">DATEDIF(D668,TODAY(),"YM")</f>
        <v>11</v>
      </c>
      <c r="O668" s="24" t="str">
        <f aca="1">DATEDIF(D668,NOW(),"Y")&amp;" Tahun "&amp;DATEDIF(D668,NOW(),"YM")&amp;" Bulan "&amp;DATEDIF(D668,NOW(),"MD")&amp;" Hari "</f>
        <v>0 Tahun 11 Bulan 6 Hari </v>
      </c>
      <c r="P668" s="25"/>
      <c r="Q668" s="36"/>
      <c r="S668" s="51" t="n">
        <v>1350000</v>
      </c>
      <c r="T668" s="56"/>
    </row>
    <row r="669" spans="1:20" s="12" customFormat="1">
      <c r="A669" s="21" t="n">
        <v>666</v>
      </c>
      <c r="B669" s="106" t="s">
        <v>1732</v>
      </c>
      <c r="C669" s="120"/>
      <c r="D669" s="36" t="n">
        <v>45597</v>
      </c>
      <c r="E669" s="21" t="s">
        <v>24</v>
      </c>
      <c r="F669" s="24" t="s">
        <v>1389</v>
      </c>
      <c r="G669" s="159" t="s">
        <v>1127</v>
      </c>
      <c r="H669" s="46" t="s">
        <v>1279</v>
      </c>
      <c r="I669" s="27" t="s">
        <v>96</v>
      </c>
      <c r="J669" s="25" t="s">
        <v>1185</v>
      </c>
      <c r="K669" s="23" t="s">
        <v>1711</v>
      </c>
      <c r="L669" s="30" t="s">
        <v>197</v>
      </c>
      <c r="M669" s="24">
        <f aca="1">DATEDIF(D669,TODAY(),"Y")</f>
        <v>0</v>
      </c>
      <c r="N669" s="24">
        <f aca="1">DATEDIF(D669,TODAY(),"YM")</f>
        <v>11</v>
      </c>
      <c r="O669" s="24" t="str">
        <f aca="1">DATEDIF(D669,NOW(),"Y")&amp;" Tahun "&amp;DATEDIF(D669,NOW(),"YM")&amp;" Bulan "&amp;DATEDIF(D669,NOW(),"MD")&amp;" Hari "</f>
        <v>0 Tahun 11 Bulan 6 Hari </v>
      </c>
      <c r="P669" s="25"/>
      <c r="Q669" s="36"/>
      <c r="S669" s="51" t="n">
        <v>1350000</v>
      </c>
      <c r="T669" s="56"/>
    </row>
    <row r="670" spans="1:20" s="12" customFormat="1">
      <c r="A670" s="21" t="n">
        <v>667</v>
      </c>
      <c r="B670" s="106" t="s">
        <v>1733</v>
      </c>
      <c r="C670" s="175" t="s">
        <v>1734</v>
      </c>
      <c r="D670" s="36" t="n">
        <v>45597</v>
      </c>
      <c r="E670" s="21" t="s">
        <v>33</v>
      </c>
      <c r="F670" s="24" t="s">
        <v>1389</v>
      </c>
      <c r="G670" s="159" t="s">
        <v>1127</v>
      </c>
      <c r="H670" s="46" t="s">
        <v>1279</v>
      </c>
      <c r="I670" s="27" t="s">
        <v>96</v>
      </c>
      <c r="J670" s="25" t="s">
        <v>1185</v>
      </c>
      <c r="K670" s="23" t="s">
        <v>1711</v>
      </c>
      <c r="L670" s="23" t="s">
        <v>225</v>
      </c>
      <c r="M670" s="24">
        <f aca="1">DATEDIF(D670,TODAY(),"Y")</f>
        <v>0</v>
      </c>
      <c r="N670" s="24">
        <f aca="1">DATEDIF(D670,TODAY(),"YM")</f>
        <v>11</v>
      </c>
      <c r="O670" s="24" t="str">
        <f aca="1">DATEDIF(D670,NOW(),"Y")&amp;" Tahun "&amp;DATEDIF(D670,NOW(),"YM")&amp;" Bulan "&amp;DATEDIF(D670,NOW(),"MD")&amp;" Hari "</f>
        <v>0 Tahun 11 Bulan 6 Hari </v>
      </c>
      <c r="P670" s="25"/>
      <c r="Q670" s="36"/>
      <c r="S670" s="51" t="n">
        <v>1350000</v>
      </c>
      <c r="T670" s="56"/>
    </row>
    <row r="671" spans="1:20" s="12" customFormat="1">
      <c r="A671" s="21" t="n">
        <v>668</v>
      </c>
      <c r="B671" s="106" t="s">
        <v>1735</v>
      </c>
      <c r="C671" s="175" t="s">
        <v>1736</v>
      </c>
      <c r="D671" s="36" t="n">
        <v>45597</v>
      </c>
      <c r="E671" s="21" t="s">
        <v>33</v>
      </c>
      <c r="F671" s="24" t="s">
        <v>1389</v>
      </c>
      <c r="G671" s="159" t="s">
        <v>1127</v>
      </c>
      <c r="H671" s="46" t="s">
        <v>1279</v>
      </c>
      <c r="I671" s="27" t="s">
        <v>96</v>
      </c>
      <c r="J671" s="25" t="s">
        <v>1185</v>
      </c>
      <c r="K671" s="23" t="s">
        <v>1711</v>
      </c>
      <c r="L671" s="23" t="s">
        <v>235</v>
      </c>
      <c r="M671" s="24">
        <f aca="1">DATEDIF(D671,TODAY(),"Y")</f>
        <v>0</v>
      </c>
      <c r="N671" s="24">
        <f aca="1">DATEDIF(D671,TODAY(),"YM")</f>
        <v>11</v>
      </c>
      <c r="O671" s="24" t="str">
        <f aca="1">DATEDIF(D671,NOW(),"Y")&amp;" Tahun "&amp;DATEDIF(D671,NOW(),"YM")&amp;" Bulan "&amp;DATEDIF(D671,NOW(),"MD")&amp;" Hari "</f>
        <v>0 Tahun 11 Bulan 6 Hari </v>
      </c>
      <c r="P671" s="25"/>
      <c r="Q671" s="36"/>
      <c r="S671" s="51" t="n">
        <v>1350000</v>
      </c>
      <c r="T671" s="56"/>
    </row>
    <row r="672" spans="1:20" s="12" customFormat="1">
      <c r="A672" s="21" t="n">
        <v>669</v>
      </c>
      <c r="B672" s="106" t="s">
        <v>1737</v>
      </c>
      <c r="C672" s="175" t="s">
        <v>1738</v>
      </c>
      <c r="D672" s="36" t="n">
        <v>45597</v>
      </c>
      <c r="E672" s="21" t="s">
        <v>24</v>
      </c>
      <c r="F672" s="24" t="s">
        <v>1389</v>
      </c>
      <c r="G672" s="159" t="s">
        <v>1127</v>
      </c>
      <c r="H672" s="46" t="s">
        <v>1279</v>
      </c>
      <c r="I672" s="27" t="s">
        <v>96</v>
      </c>
      <c r="J672" s="25" t="s">
        <v>1185</v>
      </c>
      <c r="K672" s="23" t="s">
        <v>1711</v>
      </c>
      <c r="L672" s="23" t="s">
        <v>278</v>
      </c>
      <c r="M672" s="24">
        <f aca="1">DATEDIF(D672,TODAY(),"Y")</f>
        <v>0</v>
      </c>
      <c r="N672" s="24">
        <f aca="1">DATEDIF(D672,TODAY(),"YM")</f>
        <v>11</v>
      </c>
      <c r="O672" s="24" t="str">
        <f aca="1">DATEDIF(D672,NOW(),"Y")&amp;" Tahun "&amp;DATEDIF(D672,NOW(),"YM")&amp;" Bulan "&amp;DATEDIF(D672,NOW(),"MD")&amp;" Hari "</f>
        <v>0 Tahun 11 Bulan 6 Hari </v>
      </c>
      <c r="P672" s="25"/>
      <c r="Q672" s="36"/>
      <c r="S672" s="51" t="n">
        <v>1350000</v>
      </c>
      <c r="T672" s="56"/>
    </row>
    <row r="673" spans="1:20" s="12" customFormat="1">
      <c r="A673" s="21" t="n">
        <v>670</v>
      </c>
      <c r="B673" s="106" t="s">
        <v>1739</v>
      </c>
      <c r="C673" s="175" t="s">
        <v>1740</v>
      </c>
      <c r="D673" s="36" t="n">
        <v>45597</v>
      </c>
      <c r="E673" s="21" t="s">
        <v>33</v>
      </c>
      <c r="F673" s="24" t="s">
        <v>1389</v>
      </c>
      <c r="G673" s="159" t="s">
        <v>1127</v>
      </c>
      <c r="H673" s="46" t="s">
        <v>1279</v>
      </c>
      <c r="I673" s="27" t="s">
        <v>96</v>
      </c>
      <c r="J673" s="25" t="s">
        <v>1185</v>
      </c>
      <c r="K673" s="23" t="s">
        <v>1711</v>
      </c>
      <c r="L673" s="23" t="s">
        <v>222</v>
      </c>
      <c r="M673" s="24">
        <f aca="1">DATEDIF(D673,TODAY(),"Y")</f>
        <v>0</v>
      </c>
      <c r="N673" s="24">
        <f aca="1">DATEDIF(D673,TODAY(),"YM")</f>
        <v>11</v>
      </c>
      <c r="O673" s="24" t="str">
        <f aca="1">DATEDIF(D673,NOW(),"Y")&amp;" Tahun "&amp;DATEDIF(D673,NOW(),"YM")&amp;" Bulan "&amp;DATEDIF(D673,NOW(),"MD")&amp;" Hari "</f>
        <v>0 Tahun 11 Bulan 6 Hari </v>
      </c>
      <c r="P673" s="25"/>
      <c r="Q673" s="36"/>
      <c r="S673" s="51" t="n">
        <v>1350000</v>
      </c>
      <c r="T673" s="56"/>
    </row>
    <row r="674" spans="1:20" s="12" customFormat="1">
      <c r="A674" s="21" t="n">
        <v>671</v>
      </c>
      <c r="B674" s="106" t="s">
        <v>1741</v>
      </c>
      <c r="C674" s="175" t="s">
        <v>1742</v>
      </c>
      <c r="D674" s="36" t="n">
        <v>45597</v>
      </c>
      <c r="E674" s="21" t="s">
        <v>33</v>
      </c>
      <c r="F674" s="24" t="s">
        <v>1389</v>
      </c>
      <c r="G674" s="159" t="s">
        <v>1127</v>
      </c>
      <c r="H674" s="23" t="s">
        <v>1184</v>
      </c>
      <c r="I674" s="27" t="s">
        <v>96</v>
      </c>
      <c r="J674" s="23" t="s">
        <v>1185</v>
      </c>
      <c r="K674" s="28" t="s">
        <v>181</v>
      </c>
      <c r="L674" s="23" t="s">
        <v>168</v>
      </c>
      <c r="M674" s="24">
        <f aca="1">DATEDIF(D674,TODAY(),"Y")</f>
        <v>0</v>
      </c>
      <c r="N674" s="24">
        <f aca="1">DATEDIF(D674,TODAY(),"YM")</f>
        <v>11</v>
      </c>
      <c r="O674" s="24" t="str">
        <f aca="1">DATEDIF(D674,NOW(),"Y")&amp;" Tahun "&amp;DATEDIF(D674,NOW(),"YM")&amp;" Bulan "&amp;DATEDIF(D674,NOW(),"MD")&amp;" Hari "</f>
        <v>0 Tahun 11 Bulan 6 Hari </v>
      </c>
      <c r="P674" s="25"/>
      <c r="Q674" s="36"/>
      <c r="S674" s="51" t="n">
        <v>1200000</v>
      </c>
      <c r="T674" s="56"/>
    </row>
    <row r="675" spans="1:20" s="12" customFormat="1">
      <c r="A675" s="21" t="n">
        <v>672</v>
      </c>
      <c r="B675" s="106" t="s">
        <v>1743</v>
      </c>
      <c r="C675" s="175" t="s">
        <v>1744</v>
      </c>
      <c r="D675" s="36" t="n">
        <v>45597</v>
      </c>
      <c r="E675" s="21" t="s">
        <v>24</v>
      </c>
      <c r="F675" s="24" t="s">
        <v>1389</v>
      </c>
      <c r="G675" s="159" t="s">
        <v>1127</v>
      </c>
      <c r="H675" s="55" t="s">
        <v>1745</v>
      </c>
      <c r="I675" s="27" t="s">
        <v>96</v>
      </c>
      <c r="J675" s="23" t="s">
        <v>1185</v>
      </c>
      <c r="K675" s="28" t="s">
        <v>181</v>
      </c>
      <c r="L675" s="30" t="s">
        <v>396</v>
      </c>
      <c r="M675" s="24">
        <f aca="1">DATEDIF(D675,TODAY(),"Y")</f>
        <v>0</v>
      </c>
      <c r="N675" s="24">
        <f aca="1">DATEDIF(D675,TODAY(),"YM")</f>
        <v>11</v>
      </c>
      <c r="O675" s="24" t="str">
        <f aca="1">DATEDIF(D675,NOW(),"Y")&amp;" Tahun "&amp;DATEDIF(D675,NOW(),"YM")&amp;" Bulan "&amp;DATEDIF(D675,NOW(),"MD")&amp;" Hari "</f>
        <v>0 Tahun 11 Bulan 6 Hari </v>
      </c>
      <c r="P675" s="25"/>
      <c r="Q675" s="36"/>
      <c r="S675" s="51" t="n">
        <v>1200000</v>
      </c>
      <c r="T675" s="56"/>
    </row>
    <row r="676" spans="1:20" s="12" customFormat="1">
      <c r="A676" s="21" t="n">
        <v>673</v>
      </c>
      <c r="B676" s="106" t="s">
        <v>1746</v>
      </c>
      <c r="C676" s="175" t="s">
        <v>1747</v>
      </c>
      <c r="D676" s="36" t="n">
        <v>45597</v>
      </c>
      <c r="E676" s="21" t="s">
        <v>24</v>
      </c>
      <c r="F676" s="24" t="s">
        <v>1389</v>
      </c>
      <c r="G676" s="159" t="s">
        <v>1127</v>
      </c>
      <c r="H676" s="23" t="s">
        <v>1184</v>
      </c>
      <c r="I676" s="27" t="s">
        <v>96</v>
      </c>
      <c r="J676" s="23" t="s">
        <v>1185</v>
      </c>
      <c r="K676" s="28" t="s">
        <v>181</v>
      </c>
      <c r="L676" s="30" t="s">
        <v>197</v>
      </c>
      <c r="M676" s="24">
        <f aca="1">DATEDIF(D676,TODAY(),"Y")</f>
        <v>0</v>
      </c>
      <c r="N676" s="24">
        <f aca="1">DATEDIF(D676,TODAY(),"YM")</f>
        <v>11</v>
      </c>
      <c r="O676" s="24" t="str">
        <f aca="1">DATEDIF(D676,NOW(),"Y")&amp;" Tahun "&amp;DATEDIF(D676,NOW(),"YM")&amp;" Bulan "&amp;DATEDIF(D676,NOW(),"MD")&amp;" Hari "</f>
        <v>0 Tahun 11 Bulan 6 Hari </v>
      </c>
      <c r="P676" s="25"/>
      <c r="Q676" s="36"/>
      <c r="S676" s="51" t="n">
        <v>1200000</v>
      </c>
      <c r="T676" s="56"/>
    </row>
    <row r="677" spans="1:20" s="12" customFormat="1">
      <c r="A677" s="21" t="n">
        <v>674</v>
      </c>
      <c r="B677" s="106" t="s">
        <v>1748</v>
      </c>
      <c r="C677" s="175" t="s">
        <v>1749</v>
      </c>
      <c r="D677" s="36" t="n">
        <v>45597</v>
      </c>
      <c r="E677" s="21" t="s">
        <v>33</v>
      </c>
      <c r="F677" s="24" t="s">
        <v>1389</v>
      </c>
      <c r="G677" s="159" t="s">
        <v>1127</v>
      </c>
      <c r="H677" s="23" t="s">
        <v>1184</v>
      </c>
      <c r="I677" s="27" t="s">
        <v>96</v>
      </c>
      <c r="J677" s="23" t="s">
        <v>1185</v>
      </c>
      <c r="K677" s="28" t="s">
        <v>181</v>
      </c>
      <c r="L677" s="23" t="s">
        <v>162</v>
      </c>
      <c r="M677" s="24">
        <f aca="1">DATEDIF(D677,TODAY(),"Y")</f>
        <v>0</v>
      </c>
      <c r="N677" s="24">
        <f aca="1">DATEDIF(D677,TODAY(),"YM")</f>
        <v>11</v>
      </c>
      <c r="O677" s="24" t="str">
        <f aca="1">DATEDIF(D677,NOW(),"Y")&amp;" Tahun "&amp;DATEDIF(D677,NOW(),"YM")&amp;" Bulan "&amp;DATEDIF(D677,NOW(),"MD")&amp;" Hari "</f>
        <v>0 Tahun 11 Bulan 6 Hari </v>
      </c>
      <c r="P677" s="25"/>
      <c r="Q677" s="36"/>
      <c r="S677" s="51" t="n">
        <v>1200000</v>
      </c>
      <c r="T677" s="56"/>
    </row>
    <row r="678" spans="1:20" s="12" customFormat="1">
      <c r="A678" s="21" t="n">
        <v>675</v>
      </c>
      <c r="B678" s="106" t="s">
        <v>1750</v>
      </c>
      <c r="C678" s="175" t="s">
        <v>1751</v>
      </c>
      <c r="D678" s="36" t="n">
        <v>45597</v>
      </c>
      <c r="E678" s="21" t="s">
        <v>24</v>
      </c>
      <c r="F678" s="24" t="s">
        <v>1389</v>
      </c>
      <c r="G678" s="159" t="s">
        <v>1127</v>
      </c>
      <c r="H678" s="23" t="s">
        <v>1184</v>
      </c>
      <c r="I678" s="27" t="s">
        <v>96</v>
      </c>
      <c r="J678" s="23" t="s">
        <v>1185</v>
      </c>
      <c r="K678" s="28" t="s">
        <v>181</v>
      </c>
      <c r="L678" s="23" t="s">
        <v>97</v>
      </c>
      <c r="M678" s="24">
        <f aca="1">DATEDIF(D678,TODAY(),"Y")</f>
        <v>0</v>
      </c>
      <c r="N678" s="24">
        <f aca="1">DATEDIF(D678,TODAY(),"YM")</f>
        <v>11</v>
      </c>
      <c r="O678" s="24" t="str">
        <f aca="1">DATEDIF(D678,NOW(),"Y")&amp;" Tahun "&amp;DATEDIF(D678,NOW(),"YM")&amp;" Bulan "&amp;DATEDIF(D678,NOW(),"MD")&amp;" Hari "</f>
        <v>0 Tahun 11 Bulan 6 Hari </v>
      </c>
      <c r="P678" s="25"/>
      <c r="Q678" s="36"/>
      <c r="S678" s="51" t="n">
        <v>1200000</v>
      </c>
      <c r="T678" s="56"/>
    </row>
    <row r="679" spans="1:20" s="12" customFormat="1">
      <c r="A679" s="21" t="n">
        <v>676</v>
      </c>
      <c r="B679" s="106" t="s">
        <v>1752</v>
      </c>
      <c r="C679" s="175" t="s">
        <v>1753</v>
      </c>
      <c r="D679" s="36" t="n">
        <v>45597</v>
      </c>
      <c r="E679" s="21" t="s">
        <v>24</v>
      </c>
      <c r="F679" s="24" t="s">
        <v>1389</v>
      </c>
      <c r="G679" s="159" t="s">
        <v>1127</v>
      </c>
      <c r="H679" s="23" t="s">
        <v>1184</v>
      </c>
      <c r="I679" s="27" t="s">
        <v>96</v>
      </c>
      <c r="J679" s="23" t="s">
        <v>1185</v>
      </c>
      <c r="K679" s="28" t="s">
        <v>181</v>
      </c>
      <c r="L679" s="23" t="s">
        <v>235</v>
      </c>
      <c r="M679" s="24">
        <f aca="1">DATEDIF(D679,TODAY(),"Y")</f>
        <v>0</v>
      </c>
      <c r="N679" s="24">
        <f aca="1">DATEDIF(D679,TODAY(),"YM")</f>
        <v>11</v>
      </c>
      <c r="O679" s="24" t="str">
        <f aca="1">DATEDIF(D679,NOW(),"Y")&amp;" Tahun "&amp;DATEDIF(D679,NOW(),"YM")&amp;" Bulan "&amp;DATEDIF(D679,NOW(),"MD")&amp;" Hari "</f>
        <v>0 Tahun 11 Bulan 6 Hari </v>
      </c>
      <c r="P679" s="25"/>
      <c r="Q679" s="36"/>
      <c r="S679" s="51" t="n">
        <v>1200000</v>
      </c>
      <c r="T679" s="56"/>
    </row>
    <row r="680" spans="1:20" s="12" customFormat="1">
      <c r="A680" s="21" t="n">
        <v>677</v>
      </c>
      <c r="B680" s="106" t="s">
        <v>1754</v>
      </c>
      <c r="C680" s="175" t="s">
        <v>1755</v>
      </c>
      <c r="D680" s="36" t="n">
        <v>45597</v>
      </c>
      <c r="E680" s="21" t="s">
        <v>24</v>
      </c>
      <c r="F680" s="24" t="s">
        <v>1389</v>
      </c>
      <c r="G680" s="159" t="s">
        <v>1127</v>
      </c>
      <c r="H680" s="23" t="s">
        <v>1184</v>
      </c>
      <c r="I680" s="27" t="s">
        <v>96</v>
      </c>
      <c r="J680" s="23" t="s">
        <v>1185</v>
      </c>
      <c r="K680" s="28" t="s">
        <v>181</v>
      </c>
      <c r="L680" s="23" t="s">
        <v>275</v>
      </c>
      <c r="M680" s="24">
        <f aca="1">DATEDIF(D680,TODAY(),"Y")</f>
        <v>0</v>
      </c>
      <c r="N680" s="24">
        <f aca="1">DATEDIF(D680,TODAY(),"YM")</f>
        <v>11</v>
      </c>
      <c r="O680" s="24" t="str">
        <f aca="1">DATEDIF(D680,NOW(),"Y")&amp;" Tahun "&amp;DATEDIF(D680,NOW(),"YM")&amp;" Bulan "&amp;DATEDIF(D680,NOW(),"MD")&amp;" Hari "</f>
        <v>0 Tahun 11 Bulan 6 Hari </v>
      </c>
      <c r="P680" s="25"/>
      <c r="Q680" s="36"/>
      <c r="S680" s="51" t="n">
        <v>1200000</v>
      </c>
      <c r="T680" s="56"/>
    </row>
    <row r="681" spans="1:20" s="12" customFormat="1">
      <c r="A681" s="21" t="n">
        <v>678</v>
      </c>
      <c r="B681" s="106" t="s">
        <v>1756</v>
      </c>
      <c r="C681" s="175" t="s">
        <v>1757</v>
      </c>
      <c r="D681" s="36" t="n">
        <v>45597</v>
      </c>
      <c r="E681" s="21" t="s">
        <v>33</v>
      </c>
      <c r="F681" s="24" t="s">
        <v>1389</v>
      </c>
      <c r="G681" s="159" t="s">
        <v>1127</v>
      </c>
      <c r="H681" s="23" t="s">
        <v>1184</v>
      </c>
      <c r="I681" s="27" t="s">
        <v>96</v>
      </c>
      <c r="J681" s="23" t="s">
        <v>1185</v>
      </c>
      <c r="K681" s="28" t="s">
        <v>181</v>
      </c>
      <c r="L681" s="23" t="s">
        <v>406</v>
      </c>
      <c r="M681" s="24">
        <f aca="1">DATEDIF(D681,TODAY(),"Y")</f>
        <v>0</v>
      </c>
      <c r="N681" s="24">
        <f aca="1">DATEDIF(D681,TODAY(),"YM")</f>
        <v>11</v>
      </c>
      <c r="O681" s="24" t="str">
        <f aca="1">DATEDIF(D681,NOW(),"Y")&amp;" Tahun "&amp;DATEDIF(D681,NOW(),"YM")&amp;" Bulan "&amp;DATEDIF(D681,NOW(),"MD")&amp;" Hari "</f>
        <v>0 Tahun 11 Bulan 6 Hari </v>
      </c>
      <c r="P681" s="25"/>
      <c r="Q681" s="36"/>
      <c r="S681" s="51" t="n">
        <v>1200000</v>
      </c>
      <c r="T681" s="56"/>
    </row>
    <row r="682" spans="1:20" s="12" customFormat="1">
      <c r="A682" s="21" t="n">
        <v>679</v>
      </c>
      <c r="B682" s="106" t="s">
        <v>1758</v>
      </c>
      <c r="C682" s="175" t="s">
        <v>1759</v>
      </c>
      <c r="D682" s="36" t="n">
        <v>45597</v>
      </c>
      <c r="E682" s="21" t="s">
        <v>24</v>
      </c>
      <c r="F682" s="24" t="s">
        <v>1389</v>
      </c>
      <c r="G682" s="159" t="s">
        <v>1127</v>
      </c>
      <c r="H682" s="23" t="s">
        <v>1184</v>
      </c>
      <c r="I682" s="27" t="s">
        <v>96</v>
      </c>
      <c r="J682" s="23" t="s">
        <v>1185</v>
      </c>
      <c r="K682" s="28" t="s">
        <v>181</v>
      </c>
      <c r="L682" s="23" t="s">
        <v>331</v>
      </c>
      <c r="M682" s="24">
        <f aca="1">DATEDIF(D682,TODAY(),"Y")</f>
        <v>0</v>
      </c>
      <c r="N682" s="24">
        <f aca="1">DATEDIF(D682,TODAY(),"YM")</f>
        <v>11</v>
      </c>
      <c r="O682" s="24" t="str">
        <f aca="1">DATEDIF(D682,NOW(),"Y")&amp;" Tahun "&amp;DATEDIF(D682,NOW(),"YM")&amp;" Bulan "&amp;DATEDIF(D682,NOW(),"MD")&amp;" Hari "</f>
        <v>0 Tahun 11 Bulan 6 Hari </v>
      </c>
      <c r="P682" s="25"/>
      <c r="Q682" s="36"/>
      <c r="S682" s="51" t="n">
        <v>1200000</v>
      </c>
      <c r="T682" s="56"/>
    </row>
    <row r="683" spans="1:20" s="12" customFormat="1">
      <c r="A683" s="21" t="n">
        <v>680</v>
      </c>
      <c r="B683" s="106" t="s">
        <v>1760</v>
      </c>
      <c r="C683" s="175" t="s">
        <v>1761</v>
      </c>
      <c r="D683" s="36" t="n">
        <v>45597</v>
      </c>
      <c r="E683" s="21" t="s">
        <v>24</v>
      </c>
      <c r="F683" s="24" t="s">
        <v>1389</v>
      </c>
      <c r="G683" s="159" t="s">
        <v>1127</v>
      </c>
      <c r="H683" s="23" t="s">
        <v>1184</v>
      </c>
      <c r="I683" s="27" t="s">
        <v>96</v>
      </c>
      <c r="J683" s="23" t="s">
        <v>1185</v>
      </c>
      <c r="K683" s="28" t="s">
        <v>181</v>
      </c>
      <c r="L683" s="23" t="s">
        <v>406</v>
      </c>
      <c r="M683" s="24">
        <f aca="1">DATEDIF(D683,TODAY(),"Y")</f>
        <v>0</v>
      </c>
      <c r="N683" s="24">
        <f aca="1">DATEDIF(D683,TODAY(),"YM")</f>
        <v>11</v>
      </c>
      <c r="O683" s="24" t="str">
        <f aca="1">DATEDIF(D683,NOW(),"Y")&amp;" Tahun "&amp;DATEDIF(D683,NOW(),"YM")&amp;" Bulan "&amp;DATEDIF(D683,NOW(),"MD")&amp;" Hari "</f>
        <v>0 Tahun 11 Bulan 6 Hari </v>
      </c>
      <c r="P683" s="25"/>
      <c r="Q683" s="36"/>
      <c r="S683" s="51" t="n">
        <v>1200000</v>
      </c>
      <c r="T683" s="56"/>
    </row>
    <row r="684" spans="1:20" s="12" customFormat="1">
      <c r="A684" s="21" t="n">
        <v>681</v>
      </c>
      <c r="B684" s="106" t="s">
        <v>1762</v>
      </c>
      <c r="C684" s="175" t="s">
        <v>1763</v>
      </c>
      <c r="D684" s="36" t="n">
        <v>45597</v>
      </c>
      <c r="E684" s="21" t="s">
        <v>24</v>
      </c>
      <c r="F684" s="24" t="s">
        <v>1389</v>
      </c>
      <c r="G684" s="159" t="s">
        <v>1127</v>
      </c>
      <c r="H684" s="23" t="s">
        <v>1184</v>
      </c>
      <c r="I684" s="27" t="s">
        <v>96</v>
      </c>
      <c r="J684" s="23" t="s">
        <v>1185</v>
      </c>
      <c r="K684" s="28" t="s">
        <v>181</v>
      </c>
      <c r="L684" s="23" t="s">
        <v>162</v>
      </c>
      <c r="M684" s="24">
        <f aca="1">DATEDIF(D684,TODAY(),"Y")</f>
        <v>0</v>
      </c>
      <c r="N684" s="24">
        <f aca="1">DATEDIF(D684,TODAY(),"YM")</f>
        <v>11</v>
      </c>
      <c r="O684" s="24" t="str">
        <f aca="1">DATEDIF(D684,NOW(),"Y")&amp;" Tahun "&amp;DATEDIF(D684,NOW(),"YM")&amp;" Bulan "&amp;DATEDIF(D684,NOW(),"MD")&amp;" Hari "</f>
        <v>0 Tahun 11 Bulan 6 Hari </v>
      </c>
      <c r="P684" s="25"/>
      <c r="Q684" s="36"/>
      <c r="S684" s="51" t="n">
        <v>1200000</v>
      </c>
      <c r="T684" s="56"/>
    </row>
    <row r="685" spans="1:20" s="12" customFormat="1">
      <c r="A685" s="21" t="n">
        <v>682</v>
      </c>
      <c r="B685" s="106" t="s">
        <v>1764</v>
      </c>
      <c r="C685" s="175" t="s">
        <v>1765</v>
      </c>
      <c r="D685" s="36" t="n">
        <v>45597</v>
      </c>
      <c r="E685" s="21" t="s">
        <v>24</v>
      </c>
      <c r="F685" s="24" t="s">
        <v>1389</v>
      </c>
      <c r="G685" s="159" t="s">
        <v>1127</v>
      </c>
      <c r="H685" s="23" t="s">
        <v>1184</v>
      </c>
      <c r="I685" s="27" t="s">
        <v>96</v>
      </c>
      <c r="J685" s="23" t="s">
        <v>1185</v>
      </c>
      <c r="K685" s="28" t="s">
        <v>181</v>
      </c>
      <c r="L685" s="23" t="s">
        <v>222</v>
      </c>
      <c r="M685" s="24">
        <f aca="1">DATEDIF(D685,TODAY(),"Y")</f>
        <v>0</v>
      </c>
      <c r="N685" s="24">
        <f aca="1">DATEDIF(D685,TODAY(),"YM")</f>
        <v>11</v>
      </c>
      <c r="O685" s="24" t="str">
        <f aca="1">DATEDIF(D685,NOW(),"Y")&amp;" Tahun "&amp;DATEDIF(D685,NOW(),"YM")&amp;" Bulan "&amp;DATEDIF(D685,NOW(),"MD")&amp;" Hari "</f>
        <v>0 Tahun 11 Bulan 6 Hari </v>
      </c>
      <c r="P685" s="25"/>
      <c r="Q685" s="36"/>
      <c r="S685" s="51" t="n">
        <v>1200000</v>
      </c>
      <c r="T685" s="56"/>
    </row>
    <row r="686" spans="1:20" s="12" customFormat="1">
      <c r="A686" s="21" t="n">
        <v>683</v>
      </c>
      <c r="B686" s="106" t="s">
        <v>1766</v>
      </c>
      <c r="C686" s="175" t="s">
        <v>1767</v>
      </c>
      <c r="D686" s="36" t="n">
        <v>45597</v>
      </c>
      <c r="E686" s="21" t="s">
        <v>24</v>
      </c>
      <c r="F686" s="24" t="s">
        <v>1389</v>
      </c>
      <c r="G686" s="159" t="s">
        <v>1127</v>
      </c>
      <c r="H686" s="23" t="s">
        <v>1184</v>
      </c>
      <c r="I686" s="27" t="s">
        <v>96</v>
      </c>
      <c r="J686" s="23" t="s">
        <v>1185</v>
      </c>
      <c r="K686" s="28" t="s">
        <v>181</v>
      </c>
      <c r="L686" s="23" t="s">
        <v>225</v>
      </c>
      <c r="M686" s="24">
        <f aca="1">DATEDIF(D686,TODAY(),"Y")</f>
        <v>0</v>
      </c>
      <c r="N686" s="24">
        <f aca="1">DATEDIF(D686,TODAY(),"YM")</f>
        <v>11</v>
      </c>
      <c r="O686" s="24" t="str">
        <f aca="1">DATEDIF(D686,NOW(),"Y")&amp;" Tahun "&amp;DATEDIF(D686,NOW(),"YM")&amp;" Bulan "&amp;DATEDIF(D686,NOW(),"MD")&amp;" Hari "</f>
        <v>0 Tahun 11 Bulan 6 Hari </v>
      </c>
      <c r="P686" s="25"/>
      <c r="Q686" s="36"/>
      <c r="S686" s="51" t="n">
        <v>1200000</v>
      </c>
      <c r="T686" s="56"/>
    </row>
    <row r="687" spans="1:20" s="12" customFormat="1">
      <c r="A687" s="21" t="n">
        <v>684</v>
      </c>
      <c r="B687" s="106" t="s">
        <v>1768</v>
      </c>
      <c r="C687" s="175" t="s">
        <v>1769</v>
      </c>
      <c r="D687" s="36" t="n">
        <v>45597</v>
      </c>
      <c r="E687" s="21" t="s">
        <v>33</v>
      </c>
      <c r="F687" s="24" t="s">
        <v>1389</v>
      </c>
      <c r="G687" s="159" t="s">
        <v>1127</v>
      </c>
      <c r="H687" s="23" t="s">
        <v>1184</v>
      </c>
      <c r="I687" s="27" t="s">
        <v>96</v>
      </c>
      <c r="J687" s="23" t="s">
        <v>1185</v>
      </c>
      <c r="K687" s="28" t="s">
        <v>181</v>
      </c>
      <c r="L687" s="23" t="s">
        <v>225</v>
      </c>
      <c r="M687" s="24">
        <f aca="1">DATEDIF(D687,TODAY(),"Y")</f>
        <v>0</v>
      </c>
      <c r="N687" s="24">
        <f aca="1">DATEDIF(D687,TODAY(),"YM")</f>
        <v>11</v>
      </c>
      <c r="O687" s="24" t="str">
        <f aca="1">DATEDIF(D687,NOW(),"Y")&amp;" Tahun "&amp;DATEDIF(D687,NOW(),"YM")&amp;" Bulan "&amp;DATEDIF(D687,NOW(),"MD")&amp;" Hari "</f>
        <v>0 Tahun 11 Bulan 6 Hari </v>
      </c>
      <c r="P687" s="25"/>
      <c r="Q687" s="36"/>
      <c r="S687" s="51" t="n">
        <v>1200000</v>
      </c>
      <c r="T687" s="56"/>
    </row>
    <row r="688" spans="1:20" s="12" customFormat="1">
      <c r="A688" s="21" t="n">
        <v>685</v>
      </c>
      <c r="B688" s="106" t="s">
        <v>1770</v>
      </c>
      <c r="C688" s="175" t="s">
        <v>1771</v>
      </c>
      <c r="D688" s="36" t="n">
        <v>45597</v>
      </c>
      <c r="E688" s="21" t="s">
        <v>33</v>
      </c>
      <c r="F688" s="24" t="s">
        <v>1389</v>
      </c>
      <c r="G688" s="159" t="s">
        <v>1127</v>
      </c>
      <c r="H688" s="23" t="s">
        <v>1184</v>
      </c>
      <c r="I688" s="27" t="s">
        <v>96</v>
      </c>
      <c r="J688" s="23" t="s">
        <v>1185</v>
      </c>
      <c r="K688" s="28" t="s">
        <v>181</v>
      </c>
      <c r="L688" s="23" t="s">
        <v>68</v>
      </c>
      <c r="M688" s="24">
        <f aca="1">DATEDIF(D688,TODAY(),"Y")</f>
        <v>0</v>
      </c>
      <c r="N688" s="24">
        <f aca="1">DATEDIF(D688,TODAY(),"YM")</f>
        <v>11</v>
      </c>
      <c r="O688" s="24" t="str">
        <f aca="1">DATEDIF(D688,NOW(),"Y")&amp;" Tahun "&amp;DATEDIF(D688,NOW(),"YM")&amp;" Bulan "&amp;DATEDIF(D688,NOW(),"MD")&amp;" Hari "</f>
        <v>0 Tahun 11 Bulan 6 Hari </v>
      </c>
      <c r="P688" s="25"/>
      <c r="Q688" s="36"/>
      <c r="S688" s="51" t="n">
        <v>1200000</v>
      </c>
      <c r="T688" s="56"/>
    </row>
    <row r="689" spans="1:20" s="12" customFormat="1">
      <c r="A689" s="21" t="n">
        <v>686</v>
      </c>
      <c r="B689" s="106" t="s">
        <v>1772</v>
      </c>
      <c r="C689" s="175" t="s">
        <v>1773</v>
      </c>
      <c r="D689" s="36" t="n">
        <v>45597</v>
      </c>
      <c r="E689" s="21" t="s">
        <v>24</v>
      </c>
      <c r="F689" s="24" t="s">
        <v>1389</v>
      </c>
      <c r="G689" s="159" t="s">
        <v>1127</v>
      </c>
      <c r="H689" s="25" t="s">
        <v>1774</v>
      </c>
      <c r="I689" s="22" t="s">
        <v>101</v>
      </c>
      <c r="J689" s="25" t="s">
        <v>1775</v>
      </c>
      <c r="K689" s="28" t="s">
        <v>1776</v>
      </c>
      <c r="L689" s="23" t="s">
        <v>103</v>
      </c>
      <c r="M689" s="24">
        <f aca="1">DATEDIF(D689,TODAY(),"Y")</f>
        <v>0</v>
      </c>
      <c r="N689" s="24">
        <f aca="1">DATEDIF(D689,TODAY(),"YM")</f>
        <v>11</v>
      </c>
      <c r="O689" s="24" t="str">
        <f aca="1">DATEDIF(D689,NOW(),"Y")&amp;" Tahun "&amp;DATEDIF(D689,NOW(),"YM")&amp;" Bulan "&amp;DATEDIF(D689,NOW(),"MD")&amp;" Hari "</f>
        <v>0 Tahun 11 Bulan 6 Hari </v>
      </c>
      <c r="P689" s="25"/>
      <c r="Q689" s="36"/>
      <c r="S689" s="51" t="n">
        <v>1600000</v>
      </c>
      <c r="T689" s="56"/>
    </row>
    <row r="690" spans="1:20" s="12" customFormat="1">
      <c r="A690" s="21" t="n">
        <v>687</v>
      </c>
      <c r="B690" s="106" t="s">
        <v>1777</v>
      </c>
      <c r="C690" s="175" t="s">
        <v>1778</v>
      </c>
      <c r="D690" s="36" t="n">
        <v>45597</v>
      </c>
      <c r="E690" s="21" t="s">
        <v>24</v>
      </c>
      <c r="F690" s="24" t="s">
        <v>1389</v>
      </c>
      <c r="G690" s="159" t="s">
        <v>1127</v>
      </c>
      <c r="H690" s="25" t="s">
        <v>1779</v>
      </c>
      <c r="I690" s="22" t="s">
        <v>132</v>
      </c>
      <c r="J690" s="25" t="s">
        <v>1780</v>
      </c>
      <c r="K690" s="25" t="s">
        <v>1781</v>
      </c>
      <c r="L690" s="23" t="s">
        <v>173</v>
      </c>
      <c r="M690" s="24">
        <f aca="1">DATEDIF(D690,TODAY(),"Y")</f>
        <v>0</v>
      </c>
      <c r="N690" s="24">
        <f aca="1">DATEDIF(D690,TODAY(),"YM")</f>
        <v>11</v>
      </c>
      <c r="O690" s="24" t="str">
        <f aca="1">DATEDIF(D690,NOW(),"Y")&amp;" Tahun "&amp;DATEDIF(D690,NOW(),"YM")&amp;" Bulan "&amp;DATEDIF(D690,NOW(),"MD")&amp;" Hari "</f>
        <v>0 Tahun 11 Bulan 6 Hari </v>
      </c>
      <c r="P690" s="25"/>
      <c r="Q690" s="36"/>
      <c r="S690" s="51" t="n">
        <v>1350000</v>
      </c>
      <c r="T690" s="56"/>
    </row>
    <row r="691" spans="1:20" s="12" customFormat="1">
      <c r="A691" s="21" t="n">
        <v>688</v>
      </c>
      <c r="B691" s="106" t="s">
        <v>1782</v>
      </c>
      <c r="C691" s="175" t="s">
        <v>1783</v>
      </c>
      <c r="D691" s="36" t="n">
        <v>45597</v>
      </c>
      <c r="E691" s="21" t="s">
        <v>33</v>
      </c>
      <c r="F691" s="24" t="s">
        <v>1389</v>
      </c>
      <c r="G691" s="159" t="s">
        <v>1127</v>
      </c>
      <c r="H691" s="25" t="s">
        <v>1784</v>
      </c>
      <c r="I691" s="22" t="s">
        <v>594</v>
      </c>
      <c r="J691" s="25" t="s">
        <v>1784</v>
      </c>
      <c r="K691" s="25" t="s">
        <v>1781</v>
      </c>
      <c r="L691" s="23" t="s">
        <v>87</v>
      </c>
      <c r="M691" s="24">
        <f aca="1">DATEDIF(D691,TODAY(),"Y")</f>
        <v>0</v>
      </c>
      <c r="N691" s="24">
        <f aca="1">DATEDIF(D691,TODAY(),"YM")</f>
        <v>11</v>
      </c>
      <c r="O691" s="24" t="str">
        <f aca="1">DATEDIF(D691,NOW(),"Y")&amp;" Tahun "&amp;DATEDIF(D691,NOW(),"YM")&amp;" Bulan "&amp;DATEDIF(D691,NOW(),"MD")&amp;" Hari "</f>
        <v>0 Tahun 11 Bulan 6 Hari </v>
      </c>
      <c r="P691" s="25"/>
      <c r="Q691" s="36"/>
      <c r="S691" s="51" t="n">
        <v>1350000</v>
      </c>
      <c r="T691" s="56"/>
    </row>
    <row r="692" spans="1:20" s="12" customFormat="1">
      <c r="A692" s="21" t="n">
        <v>689</v>
      </c>
      <c r="B692" s="106" t="s">
        <v>1785</v>
      </c>
      <c r="C692" s="181" t="s">
        <v>1786</v>
      </c>
      <c r="D692" s="36" t="n">
        <v>45597</v>
      </c>
      <c r="E692" s="21" t="s">
        <v>24</v>
      </c>
      <c r="F692" s="24" t="s">
        <v>1389</v>
      </c>
      <c r="G692" s="159" t="s">
        <v>1127</v>
      </c>
      <c r="H692" s="25" t="s">
        <v>1787</v>
      </c>
      <c r="I692" s="22" t="s">
        <v>242</v>
      </c>
      <c r="J692" s="25" t="s">
        <v>1788</v>
      </c>
      <c r="K692" s="25" t="s">
        <v>1781</v>
      </c>
      <c r="L692" s="23" t="s">
        <v>168</v>
      </c>
      <c r="M692" s="24">
        <f aca="1">DATEDIF(D692,TODAY(),"Y")</f>
        <v>0</v>
      </c>
      <c r="N692" s="24">
        <f aca="1">DATEDIF(D692,TODAY(),"YM")</f>
        <v>11</v>
      </c>
      <c r="O692" s="24" t="str">
        <f aca="1">DATEDIF(D692,NOW(),"Y")&amp;" Tahun "&amp;DATEDIF(D692,NOW(),"YM")&amp;" Bulan "&amp;DATEDIF(D692,NOW(),"MD")&amp;" Hari "</f>
        <v>0 Tahun 11 Bulan 6 Hari </v>
      </c>
      <c r="P692" s="25"/>
      <c r="Q692" s="36"/>
      <c r="S692" s="51" t="n">
        <v>1350000</v>
      </c>
      <c r="T692" s="56"/>
    </row>
    <row r="693" spans="1:20" s="12" customFormat="1">
      <c r="A693" s="21" t="n">
        <v>690</v>
      </c>
      <c r="B693" s="122" t="s">
        <v>1789</v>
      </c>
      <c r="C693" s="182" t="s">
        <v>1790</v>
      </c>
      <c r="D693" s="94" t="n">
        <v>45597</v>
      </c>
      <c r="E693" s="21" t="s">
        <v>33</v>
      </c>
      <c r="F693" s="24" t="s">
        <v>1389</v>
      </c>
      <c r="G693" s="159" t="s">
        <v>1127</v>
      </c>
      <c r="H693" s="25" t="s">
        <v>1791</v>
      </c>
      <c r="I693" s="22" t="s">
        <v>28</v>
      </c>
      <c r="J693" s="25" t="s">
        <v>262</v>
      </c>
      <c r="K693" s="25" t="s">
        <v>1792</v>
      </c>
      <c r="L693" s="23" t="s">
        <v>1793</v>
      </c>
      <c r="M693" s="24">
        <f aca="1">DATEDIF(D693,TODAY(),"Y")</f>
        <v>0</v>
      </c>
      <c r="N693" s="24">
        <f aca="1">DATEDIF(D693,TODAY(),"YM")</f>
        <v>11</v>
      </c>
      <c r="O693" s="24" t="str">
        <f aca="1">DATEDIF(D693,NOW(),"Y")&amp;" Tahun "&amp;DATEDIF(D693,NOW(),"YM")&amp;" Bulan "&amp;DATEDIF(D693,NOW(),"MD")&amp;" Hari "</f>
        <v>0 Tahun 11 Bulan 6 Hari </v>
      </c>
      <c r="P693" s="25"/>
      <c r="Q693" s="36"/>
      <c r="S693" s="51" t="n">
        <v>1200000</v>
      </c>
      <c r="T693" s="56"/>
    </row>
    <row r="694" spans="1:20" s="124" customFormat="1">
      <c r="A694" s="125" t="n">
        <v>691</v>
      </c>
      <c r="B694" s="126" t="s">
        <v>1794</v>
      </c>
      <c r="C694" s="127" t="s">
        <v>1795</v>
      </c>
      <c r="D694" s="128" t="n">
        <v>45870</v>
      </c>
      <c r="E694" s="125" t="s">
        <v>24</v>
      </c>
      <c r="F694" s="129" t="s">
        <v>1389</v>
      </c>
      <c r="G694" s="183" t="s">
        <v>1127</v>
      </c>
      <c r="H694" s="130" t="s">
        <v>1279</v>
      </c>
      <c r="I694" s="131" t="s">
        <v>96</v>
      </c>
      <c r="J694" s="132"/>
      <c r="K694" s="133" t="s">
        <v>1796</v>
      </c>
      <c r="L694" s="134" t="s">
        <v>1174</v>
      </c>
      <c r="M694" s="129">
        <f aca="1">DATEDIF(D694,TODAY(),"Y")</f>
        <v>0</v>
      </c>
      <c r="N694" s="129">
        <f aca="1">DATEDIF(D694,TODAY(),"YM")</f>
        <v>2</v>
      </c>
      <c r="O694" s="129" t="str">
        <f aca="1">DATEDIF(D694,NOW(),"Y")&amp;" Tahun "&amp;DATEDIF(D694,NOW(),"YM")&amp;" Bulan "&amp;DATEDIF(D694,NOW(),"MD")&amp;" Hari "</f>
        <v>0 Tahun 2 Bulan 6 Hari </v>
      </c>
      <c r="P694" s="132"/>
      <c r="Q694" s="135"/>
      <c r="T694" s="132"/>
    </row>
    <row r="695" spans="1:20" s="124" customFormat="1">
      <c r="A695" s="125" t="n">
        <v>692</v>
      </c>
      <c r="B695" s="126" t="s">
        <v>1797</v>
      </c>
      <c r="C695" s="127" t="s">
        <v>1798</v>
      </c>
      <c r="D695" s="128" t="n">
        <v>45870</v>
      </c>
      <c r="E695" s="125" t="s">
        <v>33</v>
      </c>
      <c r="F695" s="129" t="s">
        <v>1389</v>
      </c>
      <c r="G695" s="183" t="s">
        <v>1127</v>
      </c>
      <c r="H695" s="130" t="s">
        <v>1279</v>
      </c>
      <c r="I695" s="131" t="s">
        <v>96</v>
      </c>
      <c r="J695" s="132"/>
      <c r="K695" s="133" t="s">
        <v>1796</v>
      </c>
      <c r="L695" s="134" t="s">
        <v>1174</v>
      </c>
      <c r="M695" s="129">
        <f aca="1">DATEDIF(D695,TODAY(),"Y")</f>
        <v>0</v>
      </c>
      <c r="N695" s="129">
        <f aca="1">DATEDIF(D695,TODAY(),"YM")</f>
        <v>2</v>
      </c>
      <c r="O695" s="129" t="str">
        <f aca="1">DATEDIF(D695,NOW(),"Y")&amp;" Tahun "&amp;DATEDIF(D695,NOW(),"YM")&amp;" Bulan "&amp;DATEDIF(D695,NOW(),"MD")&amp;" Hari "</f>
        <v>0 Tahun 2 Bulan 6 Hari </v>
      </c>
      <c r="P695" s="132"/>
      <c r="Q695" s="135"/>
      <c r="T695" s="132"/>
    </row>
    <row r="696" spans="1:20" s="124" customFormat="1">
      <c r="A696" s="125" t="n">
        <v>693</v>
      </c>
      <c r="B696" s="126" t="s">
        <v>1799</v>
      </c>
      <c r="C696" s="127" t="s">
        <v>1800</v>
      </c>
      <c r="D696" s="128" t="n">
        <v>45870</v>
      </c>
      <c r="E696" s="125" t="s">
        <v>24</v>
      </c>
      <c r="F696" s="129" t="s">
        <v>1389</v>
      </c>
      <c r="G696" s="183" t="s">
        <v>1127</v>
      </c>
      <c r="H696" s="130" t="s">
        <v>1279</v>
      </c>
      <c r="I696" s="131" t="s">
        <v>96</v>
      </c>
      <c r="J696" s="132"/>
      <c r="K696" s="133" t="s">
        <v>1796</v>
      </c>
      <c r="L696" s="134" t="s">
        <v>1174</v>
      </c>
      <c r="M696" s="129">
        <f aca="1">DATEDIF(D696,TODAY(),"Y")</f>
        <v>0</v>
      </c>
      <c r="N696" s="129">
        <f aca="1">DATEDIF(D696,TODAY(),"YM")</f>
        <v>2</v>
      </c>
      <c r="O696" s="129" t="str">
        <f aca="1">DATEDIF(D696,NOW(),"Y")&amp;" Tahun "&amp;DATEDIF(D696,NOW(),"YM")&amp;" Bulan "&amp;DATEDIF(D696,NOW(),"MD")&amp;" Hari "</f>
        <v>0 Tahun 2 Bulan 6 Hari </v>
      </c>
      <c r="P696" s="132"/>
      <c r="Q696" s="135"/>
      <c r="T696" s="132"/>
    </row>
    <row r="697" spans="1:20" s="124" customFormat="1">
      <c r="A697" s="125" t="n">
        <v>694</v>
      </c>
      <c r="B697" s="126" t="s">
        <v>1801</v>
      </c>
      <c r="C697" s="127" t="s">
        <v>1802</v>
      </c>
      <c r="D697" s="128" t="n">
        <v>45870</v>
      </c>
      <c r="E697" s="125" t="s">
        <v>24</v>
      </c>
      <c r="F697" s="129" t="s">
        <v>1389</v>
      </c>
      <c r="G697" s="183" t="s">
        <v>1127</v>
      </c>
      <c r="H697" s="130" t="s">
        <v>1279</v>
      </c>
      <c r="I697" s="131" t="s">
        <v>96</v>
      </c>
      <c r="J697" s="132"/>
      <c r="K697" s="133" t="s">
        <v>1796</v>
      </c>
      <c r="L697" s="134" t="s">
        <v>1174</v>
      </c>
      <c r="M697" s="129">
        <f aca="1">DATEDIF(D697,TODAY(),"Y")</f>
        <v>0</v>
      </c>
      <c r="N697" s="129">
        <f aca="1">DATEDIF(D697,TODAY(),"YM")</f>
        <v>2</v>
      </c>
      <c r="O697" s="129" t="str">
        <f aca="1">DATEDIF(D697,NOW(),"Y")&amp;" Tahun "&amp;DATEDIF(D697,NOW(),"YM")&amp;" Bulan "&amp;DATEDIF(D697,NOW(),"MD")&amp;" Hari "</f>
        <v>0 Tahun 2 Bulan 6 Hari </v>
      </c>
      <c r="P697" s="132"/>
      <c r="Q697" s="135"/>
      <c r="T697" s="132"/>
    </row>
    <row r="698" spans="1:20" s="124" customFormat="1">
      <c r="A698" s="125" t="n">
        <v>695</v>
      </c>
      <c r="B698" s="126" t="s">
        <v>1803</v>
      </c>
      <c r="C698" s="127" t="s">
        <v>1804</v>
      </c>
      <c r="D698" s="128" t="n">
        <v>45870</v>
      </c>
      <c r="E698" s="125" t="s">
        <v>24</v>
      </c>
      <c r="F698" s="129" t="s">
        <v>1389</v>
      </c>
      <c r="G698" s="183" t="s">
        <v>1127</v>
      </c>
      <c r="H698" s="130" t="s">
        <v>1279</v>
      </c>
      <c r="I698" s="131" t="s">
        <v>96</v>
      </c>
      <c r="J698" s="132"/>
      <c r="K698" s="133" t="s">
        <v>1796</v>
      </c>
      <c r="L698" s="134" t="s">
        <v>1174</v>
      </c>
      <c r="M698" s="129">
        <f aca="1">DATEDIF(D698,TODAY(),"Y")</f>
        <v>0</v>
      </c>
      <c r="N698" s="129">
        <f aca="1">DATEDIF(D698,TODAY(),"YM")</f>
        <v>2</v>
      </c>
      <c r="O698" s="129" t="str">
        <f aca="1">DATEDIF(D698,NOW(),"Y")&amp;" Tahun "&amp;DATEDIF(D698,NOW(),"YM")&amp;" Bulan "&amp;DATEDIF(D698,NOW(),"MD")&amp;" Hari "</f>
        <v>0 Tahun 2 Bulan 6 Hari </v>
      </c>
      <c r="P698" s="132"/>
      <c r="Q698" s="135"/>
      <c r="T698" s="132"/>
    </row>
    <row r="699" spans="1:20" s="124" customFormat="1">
      <c r="A699" s="125" t="n">
        <v>696</v>
      </c>
      <c r="B699" s="126" t="s">
        <v>1805</v>
      </c>
      <c r="C699" s="127" t="s">
        <v>1806</v>
      </c>
      <c r="D699" s="128" t="n">
        <v>45870</v>
      </c>
      <c r="E699" s="125" t="s">
        <v>24</v>
      </c>
      <c r="F699" s="129" t="s">
        <v>1389</v>
      </c>
      <c r="G699" s="183" t="s">
        <v>1127</v>
      </c>
      <c r="H699" s="130" t="s">
        <v>1279</v>
      </c>
      <c r="I699" s="131" t="s">
        <v>96</v>
      </c>
      <c r="J699" s="132"/>
      <c r="K699" s="133" t="s">
        <v>1807</v>
      </c>
      <c r="L699" s="134" t="s">
        <v>1174</v>
      </c>
      <c r="M699" s="129">
        <f aca="1">DATEDIF(D699,TODAY(),"Y")</f>
        <v>0</v>
      </c>
      <c r="N699" s="129">
        <f aca="1">DATEDIF(D699,TODAY(),"YM")</f>
        <v>2</v>
      </c>
      <c r="O699" s="129" t="str">
        <f aca="1">DATEDIF(D699,NOW(),"Y")&amp;" Tahun "&amp;DATEDIF(D699,NOW(),"YM")&amp;" Bulan "&amp;DATEDIF(D699,NOW(),"MD")&amp;" Hari "</f>
        <v>0 Tahun 2 Bulan 6 Hari </v>
      </c>
      <c r="P699" s="132"/>
      <c r="Q699" s="135"/>
      <c r="T699" s="132"/>
    </row>
    <row r="700" spans="1:20" s="124" customFormat="1">
      <c r="A700" s="125" t="n">
        <v>697</v>
      </c>
      <c r="B700" s="126" t="s">
        <v>1808</v>
      </c>
      <c r="C700" s="127" t="s">
        <v>1809</v>
      </c>
      <c r="D700" s="128" t="n">
        <v>45870</v>
      </c>
      <c r="E700" s="125" t="s">
        <v>33</v>
      </c>
      <c r="F700" s="129" t="s">
        <v>1389</v>
      </c>
      <c r="G700" s="183" t="s">
        <v>1127</v>
      </c>
      <c r="H700" s="130" t="s">
        <v>1279</v>
      </c>
      <c r="I700" s="131" t="s">
        <v>96</v>
      </c>
      <c r="J700" s="132"/>
      <c r="K700" s="133" t="s">
        <v>1796</v>
      </c>
      <c r="L700" s="134" t="s">
        <v>1174</v>
      </c>
      <c r="M700" s="129">
        <f aca="1">DATEDIF(D700,TODAY(),"Y")</f>
        <v>0</v>
      </c>
      <c r="N700" s="129">
        <f aca="1">DATEDIF(D700,TODAY(),"YM")</f>
        <v>2</v>
      </c>
      <c r="O700" s="129" t="str">
        <f aca="1">DATEDIF(D700,NOW(),"Y")&amp;" Tahun "&amp;DATEDIF(D700,NOW(),"YM")&amp;" Bulan "&amp;DATEDIF(D700,NOW(),"MD")&amp;" Hari "</f>
        <v>0 Tahun 2 Bulan 6 Hari </v>
      </c>
      <c r="P700" s="132"/>
      <c r="Q700" s="135"/>
      <c r="T700" s="132"/>
    </row>
    <row r="701" spans="1:20" s="124" customFormat="1">
      <c r="A701" s="125" t="n">
        <v>698</v>
      </c>
      <c r="B701" s="126" t="s">
        <v>1810</v>
      </c>
      <c r="C701" s="127" t="s">
        <v>1811</v>
      </c>
      <c r="D701" s="128" t="n">
        <v>45870</v>
      </c>
      <c r="E701" s="125" t="s">
        <v>24</v>
      </c>
      <c r="F701" s="129" t="s">
        <v>1389</v>
      </c>
      <c r="G701" s="183" t="s">
        <v>1127</v>
      </c>
      <c r="H701" s="130" t="s">
        <v>1279</v>
      </c>
      <c r="I701" s="131" t="s">
        <v>96</v>
      </c>
      <c r="J701" s="132"/>
      <c r="K701" s="133" t="s">
        <v>1796</v>
      </c>
      <c r="L701" s="134" t="s">
        <v>1174</v>
      </c>
      <c r="M701" s="129">
        <f aca="1">DATEDIF(D701,TODAY(),"Y")</f>
        <v>0</v>
      </c>
      <c r="N701" s="129">
        <f aca="1">DATEDIF(D701,TODAY(),"YM")</f>
        <v>2</v>
      </c>
      <c r="O701" s="129" t="str">
        <f aca="1">DATEDIF(D701,NOW(),"Y")&amp;" Tahun "&amp;DATEDIF(D701,NOW(),"YM")&amp;" Bulan "&amp;DATEDIF(D701,NOW(),"MD")&amp;" Hari "</f>
        <v>0 Tahun 2 Bulan 6 Hari </v>
      </c>
      <c r="P701" s="132"/>
      <c r="Q701" s="135"/>
      <c r="T701" s="132"/>
    </row>
    <row r="702" spans="1:20" s="124" customFormat="1">
      <c r="A702" s="125" t="n">
        <v>699</v>
      </c>
      <c r="B702" s="126" t="s">
        <v>1812</v>
      </c>
      <c r="C702" s="127" t="s">
        <v>1813</v>
      </c>
      <c r="D702" s="128" t="n">
        <v>45870</v>
      </c>
      <c r="E702" s="125" t="s">
        <v>33</v>
      </c>
      <c r="F702" s="129" t="s">
        <v>1389</v>
      </c>
      <c r="G702" s="183" t="s">
        <v>1127</v>
      </c>
      <c r="H702" s="130" t="s">
        <v>1279</v>
      </c>
      <c r="I702" s="131" t="s">
        <v>96</v>
      </c>
      <c r="J702" s="132"/>
      <c r="K702" s="133" t="s">
        <v>1796</v>
      </c>
      <c r="L702" s="134" t="s">
        <v>1745</v>
      </c>
      <c r="M702" s="129">
        <f aca="1">DATEDIF(D702,TODAY(),"Y")</f>
        <v>0</v>
      </c>
      <c r="N702" s="129">
        <f aca="1">DATEDIF(D702,TODAY(),"YM")</f>
        <v>2</v>
      </c>
      <c r="O702" s="129" t="str">
        <f aca="1">DATEDIF(D702,NOW(),"Y")&amp;" Tahun "&amp;DATEDIF(D702,NOW(),"YM")&amp;" Bulan "&amp;DATEDIF(D702,NOW(),"MD")&amp;" Hari "</f>
        <v>0 Tahun 2 Bulan 6 Hari </v>
      </c>
      <c r="P702" s="132"/>
      <c r="Q702" s="135"/>
      <c r="T702" s="132"/>
    </row>
    <row r="703" spans="1:20" s="124" customFormat="1">
      <c r="A703" s="125" t="n">
        <v>700</v>
      </c>
      <c r="B703" s="126" t="s">
        <v>1814</v>
      </c>
      <c r="C703" s="127" t="s">
        <v>1815</v>
      </c>
      <c r="D703" s="128" t="n">
        <v>45870</v>
      </c>
      <c r="E703" s="125" t="s">
        <v>24</v>
      </c>
      <c r="F703" s="129" t="s">
        <v>1389</v>
      </c>
      <c r="G703" s="183" t="s">
        <v>1127</v>
      </c>
      <c r="H703" s="130" t="s">
        <v>1279</v>
      </c>
      <c r="I703" s="131" t="s">
        <v>96</v>
      </c>
      <c r="J703" s="132"/>
      <c r="K703" s="133" t="s">
        <v>1796</v>
      </c>
      <c r="L703" s="134" t="s">
        <v>1174</v>
      </c>
      <c r="M703" s="129">
        <f aca="1">DATEDIF(D703,TODAY(),"Y")</f>
        <v>0</v>
      </c>
      <c r="N703" s="129">
        <f aca="1">DATEDIF(D703,TODAY(),"YM")</f>
        <v>2</v>
      </c>
      <c r="O703" s="129" t="str">
        <f aca="1">DATEDIF(D703,NOW(),"Y")&amp;" Tahun "&amp;DATEDIF(D703,NOW(),"YM")&amp;" Bulan "&amp;DATEDIF(D703,NOW(),"MD")&amp;" Hari "</f>
        <v>0 Tahun 2 Bulan 6 Hari </v>
      </c>
      <c r="P703" s="132"/>
      <c r="Q703" s="135"/>
      <c r="T703" s="132"/>
    </row>
    <row r="704" spans="1:20" s="124" customFormat="1">
      <c r="A704" s="125" t="n">
        <v>701</v>
      </c>
      <c r="B704" s="126" t="s">
        <v>1816</v>
      </c>
      <c r="C704" s="127" t="s">
        <v>1817</v>
      </c>
      <c r="D704" s="128" t="n">
        <v>45870</v>
      </c>
      <c r="E704" s="125" t="s">
        <v>33</v>
      </c>
      <c r="F704" s="129" t="s">
        <v>1389</v>
      </c>
      <c r="G704" s="183" t="s">
        <v>1127</v>
      </c>
      <c r="H704" s="130" t="s">
        <v>1279</v>
      </c>
      <c r="I704" s="131" t="s">
        <v>96</v>
      </c>
      <c r="J704" s="132"/>
      <c r="K704" s="133" t="s">
        <v>1796</v>
      </c>
      <c r="L704" s="134" t="s">
        <v>1174</v>
      </c>
      <c r="M704" s="129">
        <f aca="1">DATEDIF(D704,TODAY(),"Y")</f>
        <v>0</v>
      </c>
      <c r="N704" s="129">
        <f aca="1">DATEDIF(D704,TODAY(),"YM")</f>
        <v>2</v>
      </c>
      <c r="O704" s="129" t="str">
        <f aca="1">DATEDIF(D704,NOW(),"Y")&amp;" Tahun "&amp;DATEDIF(D704,NOW(),"YM")&amp;" Bulan "&amp;DATEDIF(D704,NOW(),"MD")&amp;" Hari "</f>
        <v>0 Tahun 2 Bulan 6 Hari </v>
      </c>
      <c r="P704" s="132"/>
      <c r="Q704" s="135"/>
      <c r="T704" s="132"/>
    </row>
    <row r="705" spans="1:20" s="124" customFormat="1">
      <c r="A705" s="125" t="n">
        <v>702</v>
      </c>
      <c r="B705" s="126" t="s">
        <v>1818</v>
      </c>
      <c r="C705" s="127" t="s">
        <v>1819</v>
      </c>
      <c r="D705" s="128" t="n">
        <v>45870</v>
      </c>
      <c r="E705" s="125" t="s">
        <v>24</v>
      </c>
      <c r="F705" s="129" t="s">
        <v>1389</v>
      </c>
      <c r="G705" s="183" t="s">
        <v>1127</v>
      </c>
      <c r="H705" s="130" t="s">
        <v>1279</v>
      </c>
      <c r="I705" s="131" t="s">
        <v>96</v>
      </c>
      <c r="J705" s="132"/>
      <c r="K705" s="133" t="s">
        <v>1796</v>
      </c>
      <c r="L705" s="134" t="s">
        <v>1174</v>
      </c>
      <c r="M705" s="129">
        <f aca="1">DATEDIF(D705,TODAY(),"Y")</f>
        <v>0</v>
      </c>
      <c r="N705" s="129">
        <f aca="1">DATEDIF(D705,TODAY(),"YM")</f>
        <v>2</v>
      </c>
      <c r="O705" s="129" t="str">
        <f aca="1">DATEDIF(D705,NOW(),"Y")&amp;" Tahun "&amp;DATEDIF(D705,NOW(),"YM")&amp;" Bulan "&amp;DATEDIF(D705,NOW(),"MD")&amp;" Hari "</f>
        <v>0 Tahun 2 Bulan 6 Hari </v>
      </c>
      <c r="P705" s="132"/>
      <c r="Q705" s="135"/>
      <c r="T705" s="132"/>
    </row>
    <row r="706" spans="1:20" s="124" customFormat="1">
      <c r="A706" s="125" t="n">
        <v>703</v>
      </c>
      <c r="B706" s="126" t="s">
        <v>1820</v>
      </c>
      <c r="C706" s="127" t="s">
        <v>1821</v>
      </c>
      <c r="D706" s="128" t="n">
        <v>45870</v>
      </c>
      <c r="E706" s="125" t="s">
        <v>24</v>
      </c>
      <c r="F706" s="129" t="s">
        <v>1389</v>
      </c>
      <c r="G706" s="183" t="s">
        <v>1127</v>
      </c>
      <c r="H706" s="130" t="s">
        <v>1279</v>
      </c>
      <c r="I706" s="131" t="s">
        <v>96</v>
      </c>
      <c r="J706" s="132"/>
      <c r="K706" s="133" t="s">
        <v>1796</v>
      </c>
      <c r="L706" s="134" t="s">
        <v>1174</v>
      </c>
      <c r="M706" s="129">
        <f aca="1">DATEDIF(D706,TODAY(),"Y")</f>
        <v>0</v>
      </c>
      <c r="N706" s="129">
        <f aca="1">DATEDIF(D706,TODAY(),"YM")</f>
        <v>2</v>
      </c>
      <c r="O706" s="129" t="str">
        <f aca="1">DATEDIF(D706,NOW(),"Y")&amp;" Tahun "&amp;DATEDIF(D706,NOW(),"YM")&amp;" Bulan "&amp;DATEDIF(D706,NOW(),"MD")&amp;" Hari "</f>
        <v>0 Tahun 2 Bulan 6 Hari </v>
      </c>
      <c r="P706" s="132"/>
      <c r="Q706" s="135"/>
      <c r="T706" s="132"/>
    </row>
    <row r="707" spans="1:20" s="124" customFormat="1">
      <c r="A707" s="125" t="n">
        <v>704</v>
      </c>
      <c r="B707" s="126" t="s">
        <v>1822</v>
      </c>
      <c r="C707" s="127" t="s">
        <v>1823</v>
      </c>
      <c r="D707" s="128" t="n">
        <v>45870</v>
      </c>
      <c r="E707" s="125" t="s">
        <v>33</v>
      </c>
      <c r="F707" s="129" t="s">
        <v>1389</v>
      </c>
      <c r="G707" s="183" t="s">
        <v>1127</v>
      </c>
      <c r="H707" s="130" t="s">
        <v>1279</v>
      </c>
      <c r="I707" s="131" t="s">
        <v>96</v>
      </c>
      <c r="J707" s="132"/>
      <c r="K707" s="133" t="s">
        <v>1796</v>
      </c>
      <c r="L707" s="134" t="s">
        <v>1174</v>
      </c>
      <c r="M707" s="129">
        <f aca="1">DATEDIF(D707,TODAY(),"Y")</f>
        <v>0</v>
      </c>
      <c r="N707" s="129">
        <f aca="1">DATEDIF(D707,TODAY(),"YM")</f>
        <v>2</v>
      </c>
      <c r="O707" s="129" t="str">
        <f aca="1">DATEDIF(D707,NOW(),"Y")&amp;" Tahun "&amp;DATEDIF(D707,NOW(),"YM")&amp;" Bulan "&amp;DATEDIF(D707,NOW(),"MD")&amp;" Hari "</f>
        <v>0 Tahun 2 Bulan 6 Hari </v>
      </c>
      <c r="P707" s="132"/>
      <c r="Q707" s="135"/>
      <c r="T707" s="132"/>
    </row>
    <row r="708" spans="1:20" s="124" customFormat="1">
      <c r="A708" s="125" t="n">
        <v>705</v>
      </c>
      <c r="B708" s="126" t="s">
        <v>1824</v>
      </c>
      <c r="C708" s="127" t="s">
        <v>1825</v>
      </c>
      <c r="D708" s="128" t="n">
        <v>45870</v>
      </c>
      <c r="E708" s="125" t="s">
        <v>24</v>
      </c>
      <c r="F708" s="129" t="s">
        <v>1389</v>
      </c>
      <c r="G708" s="183" t="s">
        <v>1127</v>
      </c>
      <c r="H708" s="130" t="s">
        <v>1279</v>
      </c>
      <c r="I708" s="131" t="s">
        <v>96</v>
      </c>
      <c r="J708" s="132"/>
      <c r="K708" s="133" t="s">
        <v>1796</v>
      </c>
      <c r="L708" s="134" t="s">
        <v>1174</v>
      </c>
      <c r="M708" s="129">
        <f aca="1">DATEDIF(D708,TODAY(),"Y")</f>
        <v>0</v>
      </c>
      <c r="N708" s="129">
        <f aca="1">DATEDIF(D708,TODAY(),"YM")</f>
        <v>2</v>
      </c>
      <c r="O708" s="129" t="str">
        <f aca="1">DATEDIF(D708,NOW(),"Y")&amp;" Tahun "&amp;DATEDIF(D708,NOW(),"YM")&amp;" Bulan "&amp;DATEDIF(D708,NOW(),"MD")&amp;" Hari "</f>
        <v>0 Tahun 2 Bulan 6 Hari </v>
      </c>
      <c r="P708" s="132"/>
      <c r="Q708" s="135"/>
      <c r="T708" s="132"/>
    </row>
    <row r="709" spans="1:20" s="124" customFormat="1">
      <c r="A709" s="125" t="n">
        <v>706</v>
      </c>
      <c r="B709" s="126" t="s">
        <v>1826</v>
      </c>
      <c r="C709" s="127" t="s">
        <v>1827</v>
      </c>
      <c r="D709" s="128" t="n">
        <v>45870</v>
      </c>
      <c r="E709" s="125" t="s">
        <v>33</v>
      </c>
      <c r="F709" s="129" t="s">
        <v>1389</v>
      </c>
      <c r="G709" s="183" t="s">
        <v>1127</v>
      </c>
      <c r="H709" s="130" t="s">
        <v>1279</v>
      </c>
      <c r="I709" s="131" t="s">
        <v>96</v>
      </c>
      <c r="J709" s="132"/>
      <c r="K709" s="133" t="s">
        <v>1796</v>
      </c>
      <c r="L709" s="134" t="s">
        <v>1745</v>
      </c>
      <c r="M709" s="129">
        <f aca="1">DATEDIF(D709,TODAY(),"Y")</f>
        <v>0</v>
      </c>
      <c r="N709" s="129">
        <f aca="1">DATEDIF(D709,TODAY(),"YM")</f>
        <v>2</v>
      </c>
      <c r="O709" s="129" t="str">
        <f aca="1">DATEDIF(D709,NOW(),"Y")&amp;" Tahun "&amp;DATEDIF(D709,NOW(),"YM")&amp;" Bulan "&amp;DATEDIF(D709,NOW(),"MD")&amp;" Hari "</f>
        <v>0 Tahun 2 Bulan 6 Hari </v>
      </c>
      <c r="P709" s="132"/>
      <c r="Q709" s="135"/>
      <c r="T709" s="132"/>
    </row>
    <row r="710" spans="1:20" s="124" customFormat="1">
      <c r="A710" s="125" t="n">
        <v>707</v>
      </c>
      <c r="B710" s="126" t="s">
        <v>1828</v>
      </c>
      <c r="C710" s="127" t="s">
        <v>1829</v>
      </c>
      <c r="D710" s="128" t="n">
        <v>45870</v>
      </c>
      <c r="E710" s="125" t="s">
        <v>33</v>
      </c>
      <c r="F710" s="129" t="s">
        <v>1389</v>
      </c>
      <c r="G710" s="183" t="s">
        <v>1127</v>
      </c>
      <c r="H710" s="130" t="s">
        <v>1279</v>
      </c>
      <c r="I710" s="131" t="s">
        <v>96</v>
      </c>
      <c r="J710" s="132"/>
      <c r="K710" s="133" t="s">
        <v>1796</v>
      </c>
      <c r="L710" s="134" t="s">
        <v>1174</v>
      </c>
      <c r="M710" s="129">
        <f aca="1">DATEDIF(D710,TODAY(),"Y")</f>
        <v>0</v>
      </c>
      <c r="N710" s="129">
        <f aca="1">DATEDIF(D710,TODAY(),"YM")</f>
        <v>2</v>
      </c>
      <c r="O710" s="129" t="str">
        <f aca="1">DATEDIF(D710,NOW(),"Y")&amp;" Tahun "&amp;DATEDIF(D710,NOW(),"YM")&amp;" Bulan "&amp;DATEDIF(D710,NOW(),"MD")&amp;" Hari "</f>
        <v>0 Tahun 2 Bulan 6 Hari </v>
      </c>
      <c r="P710" s="132"/>
      <c r="Q710" s="135"/>
      <c r="T710" s="132"/>
    </row>
    <row r="711" spans="1:20" s="124" customFormat="1">
      <c r="A711" s="125" t="n">
        <v>708</v>
      </c>
      <c r="B711" s="126" t="s">
        <v>1830</v>
      </c>
      <c r="C711" s="127" t="s">
        <v>1831</v>
      </c>
      <c r="D711" s="128" t="n">
        <v>45870</v>
      </c>
      <c r="E711" s="125" t="s">
        <v>33</v>
      </c>
      <c r="F711" s="129" t="s">
        <v>1389</v>
      </c>
      <c r="G711" s="183" t="s">
        <v>1127</v>
      </c>
      <c r="H711" s="130" t="s">
        <v>1279</v>
      </c>
      <c r="I711" s="131" t="s">
        <v>96</v>
      </c>
      <c r="J711" s="132"/>
      <c r="K711" s="133" t="s">
        <v>1796</v>
      </c>
      <c r="L711" s="134" t="s">
        <v>1745</v>
      </c>
      <c r="M711" s="129">
        <f aca="1">DATEDIF(D711,TODAY(),"Y")</f>
        <v>0</v>
      </c>
      <c r="N711" s="129">
        <f aca="1">DATEDIF(D711,TODAY(),"YM")</f>
        <v>2</v>
      </c>
      <c r="O711" s="129" t="str">
        <f aca="1">DATEDIF(D711,NOW(),"Y")&amp;" Tahun "&amp;DATEDIF(D711,NOW(),"YM")&amp;" Bulan "&amp;DATEDIF(D711,NOW(),"MD")&amp;" Hari "</f>
        <v>0 Tahun 2 Bulan 6 Hari </v>
      </c>
      <c r="P711" s="132"/>
      <c r="Q711" s="135"/>
      <c r="T711" s="132"/>
    </row>
    <row r="712" spans="1:20" s="124" customFormat="1">
      <c r="A712" s="125" t="n">
        <v>709</v>
      </c>
      <c r="B712" s="126" t="s">
        <v>1832</v>
      </c>
      <c r="C712" s="127" t="s">
        <v>1833</v>
      </c>
      <c r="D712" s="128" t="n">
        <v>45870</v>
      </c>
      <c r="E712" s="125" t="s">
        <v>24</v>
      </c>
      <c r="F712" s="129" t="s">
        <v>1389</v>
      </c>
      <c r="G712" s="183" t="s">
        <v>1127</v>
      </c>
      <c r="H712" s="130" t="s">
        <v>1279</v>
      </c>
      <c r="I712" s="131" t="s">
        <v>96</v>
      </c>
      <c r="J712" s="132"/>
      <c r="K712" s="133" t="s">
        <v>1796</v>
      </c>
      <c r="L712" s="134" t="s">
        <v>1174</v>
      </c>
      <c r="M712" s="129">
        <f aca="1">DATEDIF(D712,TODAY(),"Y")</f>
        <v>0</v>
      </c>
      <c r="N712" s="129">
        <f aca="1">DATEDIF(D712,TODAY(),"YM")</f>
        <v>2</v>
      </c>
      <c r="O712" s="129" t="str">
        <f aca="1">DATEDIF(D712,NOW(),"Y")&amp;" Tahun "&amp;DATEDIF(D712,NOW(),"YM")&amp;" Bulan "&amp;DATEDIF(D712,NOW(),"MD")&amp;" Hari "</f>
        <v>0 Tahun 2 Bulan 6 Hari </v>
      </c>
      <c r="P712" s="132"/>
      <c r="Q712" s="135"/>
      <c r="T712" s="132"/>
    </row>
    <row r="713" spans="1:20" s="124" customFormat="1">
      <c r="A713" s="125" t="n">
        <v>710</v>
      </c>
      <c r="B713" s="126" t="s">
        <v>1834</v>
      </c>
      <c r="C713" s="127" t="s">
        <v>1835</v>
      </c>
      <c r="D713" s="128" t="n">
        <v>45870</v>
      </c>
      <c r="E713" s="125" t="s">
        <v>24</v>
      </c>
      <c r="F713" s="129" t="s">
        <v>1389</v>
      </c>
      <c r="G713" s="183" t="s">
        <v>1127</v>
      </c>
      <c r="H713" s="130" t="s">
        <v>1279</v>
      </c>
      <c r="I713" s="131" t="s">
        <v>96</v>
      </c>
      <c r="J713" s="132"/>
      <c r="K713" s="133" t="s">
        <v>1796</v>
      </c>
      <c r="L713" s="134" t="s">
        <v>1174</v>
      </c>
      <c r="M713" s="129">
        <f aca="1">DATEDIF(D713,TODAY(),"Y")</f>
        <v>0</v>
      </c>
      <c r="N713" s="129">
        <f aca="1">DATEDIF(D713,TODAY(),"YM")</f>
        <v>2</v>
      </c>
      <c r="O713" s="129" t="str">
        <f aca="1">DATEDIF(D713,NOW(),"Y")&amp;" Tahun "&amp;DATEDIF(D713,NOW(),"YM")&amp;" Bulan "&amp;DATEDIF(D713,NOW(),"MD")&amp;" Hari "</f>
        <v>0 Tahun 2 Bulan 6 Hari </v>
      </c>
      <c r="P713" s="132"/>
      <c r="Q713" s="135"/>
      <c r="T713" s="132"/>
    </row>
    <row r="714" spans="1:20" s="124" customFormat="1">
      <c r="A714" s="125" t="n">
        <v>711</v>
      </c>
      <c r="B714" s="126" t="s">
        <v>1836</v>
      </c>
      <c r="C714" s="127" t="s">
        <v>1837</v>
      </c>
      <c r="D714" s="128" t="n">
        <v>45870</v>
      </c>
      <c r="E714" s="125" t="s">
        <v>24</v>
      </c>
      <c r="F714" s="129" t="s">
        <v>1389</v>
      </c>
      <c r="G714" s="183" t="s">
        <v>1127</v>
      </c>
      <c r="H714" s="130" t="s">
        <v>1279</v>
      </c>
      <c r="I714" s="131" t="s">
        <v>96</v>
      </c>
      <c r="J714" s="138"/>
      <c r="K714" s="133" t="s">
        <v>1796</v>
      </c>
      <c r="L714" s="134" t="s">
        <v>1174</v>
      </c>
      <c r="M714" s="129">
        <f aca="1">DATEDIF(D714,TODAY(),"Y")</f>
        <v>0</v>
      </c>
      <c r="N714" s="129">
        <f aca="1">DATEDIF(D714,TODAY(),"YM")</f>
        <v>2</v>
      </c>
      <c r="O714" s="129" t="str">
        <f aca="1">DATEDIF(D714,NOW(),"Y")&amp;" Tahun "&amp;DATEDIF(D714,NOW(),"YM")&amp;" Bulan "&amp;DATEDIF(D714,NOW(),"MD")&amp;" Hari "</f>
        <v>0 Tahun 2 Bulan 6 Hari </v>
      </c>
      <c r="P714" s="132"/>
      <c r="Q714" s="135"/>
      <c r="T714" s="132"/>
    </row>
    <row r="715" spans="1:20" s="124" customFormat="1">
      <c r="A715" s="125" t="n">
        <v>712</v>
      </c>
      <c r="B715" s="126" t="s">
        <v>1838</v>
      </c>
      <c r="C715" s="127" t="s">
        <v>1839</v>
      </c>
      <c r="D715" s="128" t="n">
        <v>45870</v>
      </c>
      <c r="E715" s="125" t="s">
        <v>24</v>
      </c>
      <c r="F715" s="129" t="s">
        <v>1389</v>
      </c>
      <c r="G715" s="183" t="s">
        <v>1127</v>
      </c>
      <c r="H715" s="130" t="s">
        <v>1279</v>
      </c>
      <c r="I715" s="131" t="s">
        <v>96</v>
      </c>
      <c r="J715" s="138"/>
      <c r="K715" s="133" t="s">
        <v>1796</v>
      </c>
      <c r="L715" s="134" t="s">
        <v>1174</v>
      </c>
      <c r="M715" s="129">
        <f aca="1">DATEDIF(D715,TODAY(),"Y")</f>
        <v>0</v>
      </c>
      <c r="N715" s="129">
        <f aca="1">DATEDIF(D715,TODAY(),"YM")</f>
        <v>2</v>
      </c>
      <c r="O715" s="129" t="str">
        <f aca="1">DATEDIF(D715,NOW(),"Y")&amp;" Tahun "&amp;DATEDIF(D715,NOW(),"YM")&amp;" Bulan "&amp;DATEDIF(D715,NOW(),"MD")&amp;" Hari "</f>
        <v>0 Tahun 2 Bulan 6 Hari </v>
      </c>
      <c r="P715" s="132"/>
      <c r="Q715" s="135"/>
      <c r="T715" s="132"/>
    </row>
    <row r="716" spans="1:20" s="124" customFormat="1">
      <c r="A716" s="125" t="n">
        <v>713</v>
      </c>
      <c r="B716" s="126" t="s">
        <v>1840</v>
      </c>
      <c r="C716" s="127" t="s">
        <v>1841</v>
      </c>
      <c r="D716" s="128" t="n">
        <v>45870</v>
      </c>
      <c r="E716" s="125" t="s">
        <v>24</v>
      </c>
      <c r="F716" s="129" t="s">
        <v>1389</v>
      </c>
      <c r="G716" s="183" t="s">
        <v>1127</v>
      </c>
      <c r="H716" s="130" t="s">
        <v>1279</v>
      </c>
      <c r="I716" s="131" t="s">
        <v>96</v>
      </c>
      <c r="J716" s="138"/>
      <c r="K716" s="133" t="s">
        <v>1796</v>
      </c>
      <c r="L716" s="134" t="s">
        <v>1174</v>
      </c>
      <c r="M716" s="129">
        <f aca="1">DATEDIF(D716,TODAY(),"Y")</f>
        <v>0</v>
      </c>
      <c r="N716" s="129">
        <f aca="1">DATEDIF(D716,TODAY(),"YM")</f>
        <v>2</v>
      </c>
      <c r="O716" s="129" t="str">
        <f aca="1">DATEDIF(D716,NOW(),"Y")&amp;" Tahun "&amp;DATEDIF(D716,NOW(),"YM")&amp;" Bulan "&amp;DATEDIF(D716,NOW(),"MD")&amp;" Hari "</f>
        <v>0 Tahun 2 Bulan 6 Hari </v>
      </c>
      <c r="P716" s="132"/>
      <c r="Q716" s="135"/>
      <c r="T716" s="132"/>
    </row>
    <row r="717" spans="1:20" s="137" customFormat="1">
      <c r="A717" s="125" t="n">
        <v>714</v>
      </c>
      <c r="B717" s="126" t="s">
        <v>1842</v>
      </c>
      <c r="C717" s="127" t="s">
        <v>1843</v>
      </c>
      <c r="D717" s="128" t="n">
        <v>45870</v>
      </c>
      <c r="E717" s="125" t="s">
        <v>24</v>
      </c>
      <c r="F717" s="129" t="s">
        <v>1389</v>
      </c>
      <c r="G717" s="183" t="s">
        <v>1127</v>
      </c>
      <c r="H717" s="139" t="s">
        <v>1844</v>
      </c>
      <c r="I717" s="132"/>
      <c r="J717" s="132"/>
      <c r="K717" s="140" t="s">
        <v>1845</v>
      </c>
      <c r="L717" s="134" t="s">
        <v>1174</v>
      </c>
      <c r="M717" s="129">
        <f aca="1">DATEDIF(D717,TODAY(),"Y")</f>
        <v>0</v>
      </c>
      <c r="N717" s="129">
        <f aca="1">DATEDIF(D717,TODAY(),"YM")</f>
        <v>2</v>
      </c>
      <c r="O717" s="129" t="str">
        <f aca="1">DATEDIF(D717,NOW(),"Y")&amp;" Tahun "&amp;DATEDIF(D717,NOW(),"YM")&amp;" Bulan "&amp;DATEDIF(D717,NOW(),"MD")&amp;" Hari "</f>
        <v>0 Tahun 2 Bulan 6 Hari </v>
      </c>
      <c r="P717" s="132"/>
      <c r="Q717" s="132"/>
      <c r="R717" s="124"/>
      <c r="S717" s="124"/>
      <c r="T717" s="141"/>
    </row>
    <row r="718" spans="1:20" s="137" customFormat="1">
      <c r="A718" s="125" t="n">
        <v>715</v>
      </c>
      <c r="B718" s="126" t="s">
        <v>1846</v>
      </c>
      <c r="C718" s="127" t="s">
        <v>1847</v>
      </c>
      <c r="D718" s="128" t="n">
        <v>45870</v>
      </c>
      <c r="E718" s="125" t="s">
        <v>24</v>
      </c>
      <c r="F718" s="129" t="s">
        <v>1389</v>
      </c>
      <c r="G718" s="183" t="s">
        <v>1127</v>
      </c>
      <c r="H718" s="142" t="s">
        <v>1848</v>
      </c>
      <c r="I718" s="132"/>
      <c r="J718" s="132"/>
      <c r="K718" s="133" t="s">
        <v>1849</v>
      </c>
      <c r="L718" s="134" t="s">
        <v>1174</v>
      </c>
      <c r="M718" s="129">
        <f aca="1">DATEDIF(D718,TODAY(),"Y")</f>
        <v>0</v>
      </c>
      <c r="N718" s="129">
        <f aca="1">DATEDIF(D718,TODAY(),"YM")</f>
        <v>2</v>
      </c>
      <c r="O718" s="129" t="str">
        <f aca="1">DATEDIF(D718,NOW(),"Y")&amp;" Tahun "&amp;DATEDIF(D718,NOW(),"YM")&amp;" Bulan "&amp;DATEDIF(D718,NOW(),"MD")&amp;" Hari "</f>
        <v>0 Tahun 2 Bulan 6 Hari </v>
      </c>
      <c r="P718" s="132"/>
      <c r="Q718" s="132"/>
      <c r="R718" s="124"/>
      <c r="S718" s="124"/>
      <c r="T718" s="141"/>
    </row>
    <row r="719" spans="1:19" s="141" customFormat="1" ht="13.45">
      <c r="A719" s="125" t="n">
        <v>716</v>
      </c>
      <c r="B719" s="143" t="s">
        <v>1850</v>
      </c>
      <c r="C719" s="127" t="s">
        <v>1851</v>
      </c>
      <c r="D719" s="128" t="n">
        <v>45870</v>
      </c>
      <c r="E719" s="125" t="s">
        <v>33</v>
      </c>
      <c r="F719" s="129" t="s">
        <v>1389</v>
      </c>
      <c r="G719" s="183" t="s">
        <v>1127</v>
      </c>
      <c r="H719" s="142" t="s">
        <v>1848</v>
      </c>
      <c r="I719" s="132"/>
      <c r="J719" s="132"/>
      <c r="K719" s="133" t="s">
        <v>1849</v>
      </c>
      <c r="L719" s="134" t="s">
        <v>1174</v>
      </c>
      <c r="M719" s="129">
        <f aca="1">DATEDIF(D719,TODAY(),"Y")</f>
        <v>0</v>
      </c>
      <c r="N719" s="129">
        <f aca="1">DATEDIF(D719,TODAY(),"YM")</f>
        <v>2</v>
      </c>
      <c r="O719" s="129" t="str">
        <f aca="1">DATEDIF(D719,NOW(),"Y")&amp;" Tahun "&amp;DATEDIF(D719,NOW(),"YM")&amp;" Bulan "&amp;DATEDIF(D719,NOW(),"MD")&amp;" Hari "</f>
        <v>0 Tahun 2 Bulan 6 Hari </v>
      </c>
      <c r="P719" s="132"/>
      <c r="Q719" s="132"/>
      <c r="R719" s="124"/>
      <c r="S719" s="124"/>
    </row>
    <row r="720" spans="1:19" s="141" customFormat="1" ht="13.45">
      <c r="A720" s="125" t="n">
        <v>717</v>
      </c>
      <c r="B720" s="126" t="s">
        <v>1852</v>
      </c>
      <c r="C720" s="127" t="s">
        <v>1853</v>
      </c>
      <c r="D720" s="128" t="n">
        <v>45870</v>
      </c>
      <c r="E720" s="125" t="s">
        <v>24</v>
      </c>
      <c r="F720" s="129" t="s">
        <v>1389</v>
      </c>
      <c r="G720" s="183" t="s">
        <v>1127</v>
      </c>
      <c r="H720" s="142" t="s">
        <v>1774</v>
      </c>
      <c r="I720" s="132"/>
      <c r="J720" s="132"/>
      <c r="K720" s="133" t="s">
        <v>1854</v>
      </c>
      <c r="L720" s="134" t="s">
        <v>1174</v>
      </c>
      <c r="M720" s="129">
        <f aca="1">DATEDIF(D720,TODAY(),"Y")</f>
        <v>0</v>
      </c>
      <c r="N720" s="129">
        <f aca="1">DATEDIF(D720,TODAY(),"YM")</f>
        <v>2</v>
      </c>
      <c r="O720" s="129" t="str">
        <f aca="1">DATEDIF(D720,NOW(),"Y")&amp;" Tahun "&amp;DATEDIF(D720,NOW(),"YM")&amp;" Bulan "&amp;DATEDIF(D720,NOW(),"MD")&amp;" Hari "</f>
        <v>0 Tahun 2 Bulan 6 Hari </v>
      </c>
      <c r="P720" s="132"/>
      <c r="Q720" s="132"/>
      <c r="R720" s="124"/>
      <c r="S720" s="124"/>
    </row>
    <row r="721" spans="1:19" s="141" customFormat="1" ht="13.45">
      <c r="A721" s="125" t="n">
        <v>718</v>
      </c>
      <c r="B721" s="126" t="s">
        <v>1855</v>
      </c>
      <c r="C721" s="127" t="s">
        <v>1856</v>
      </c>
      <c r="D721" s="128" t="n">
        <v>45870</v>
      </c>
      <c r="E721" s="125" t="s">
        <v>24</v>
      </c>
      <c r="F721" s="129" t="s">
        <v>1389</v>
      </c>
      <c r="G721" s="183" t="s">
        <v>1127</v>
      </c>
      <c r="H721" s="142" t="s">
        <v>1857</v>
      </c>
      <c r="I721" s="132"/>
      <c r="J721" s="132"/>
      <c r="K721" s="133" t="s">
        <v>1858</v>
      </c>
      <c r="L721" s="134" t="s">
        <v>1174</v>
      </c>
      <c r="M721" s="129">
        <f aca="1">DATEDIF(D721,TODAY(),"Y")</f>
        <v>0</v>
      </c>
      <c r="N721" s="129">
        <f aca="1">DATEDIF(D721,TODAY(),"YM")</f>
        <v>2</v>
      </c>
      <c r="O721" s="129" t="str">
        <f aca="1">DATEDIF(D721,NOW(),"Y")&amp;" Tahun "&amp;DATEDIF(D721,NOW(),"YM")&amp;" Bulan "&amp;DATEDIF(D721,NOW(),"MD")&amp;" Hari "</f>
        <v>0 Tahun 2 Bulan 6 Hari </v>
      </c>
      <c r="P721" s="132"/>
      <c r="Q721" s="132"/>
      <c r="R721" s="124"/>
      <c r="S721" s="124"/>
    </row>
    <row r="722" spans="1:19" s="141" customFormat="1" ht="13.45">
      <c r="A722" s="144" t="n">
        <v>719</v>
      </c>
      <c r="B722" s="145" t="s">
        <v>1859</v>
      </c>
      <c r="C722" s="127" t="s">
        <v>1860</v>
      </c>
      <c r="D722" s="146" t="n">
        <v>45870</v>
      </c>
      <c r="E722" s="144" t="s">
        <v>24</v>
      </c>
      <c r="F722" s="147" t="s">
        <v>1389</v>
      </c>
      <c r="G722" s="184" t="s">
        <v>1127</v>
      </c>
      <c r="H722" s="148" t="s">
        <v>1861</v>
      </c>
      <c r="I722" s="132"/>
      <c r="J722" s="132"/>
      <c r="K722" s="149" t="s">
        <v>1862</v>
      </c>
      <c r="L722" s="134" t="s">
        <v>1174</v>
      </c>
      <c r="M722" s="129">
        <f aca="1">DATEDIF(D722,TODAY(),"Y")</f>
        <v>0</v>
      </c>
      <c r="N722" s="129">
        <f aca="1">DATEDIF(D722,TODAY(),"YM")</f>
        <v>2</v>
      </c>
      <c r="O722" s="129" t="str">
        <f aca="1">DATEDIF(D722,NOW(),"Y")&amp;" Tahun "&amp;DATEDIF(D722,NOW(),"YM")&amp;" Bulan "&amp;DATEDIF(D722,NOW(),"MD")&amp;" Hari "</f>
        <v>0 Tahun 2 Bulan 6 Hari </v>
      </c>
      <c r="P722" s="132"/>
      <c r="Q722" s="132"/>
      <c r="R722" s="124"/>
      <c r="S722" s="124"/>
    </row>
    <row r="723" spans="1:19" s="141" customFormat="1" ht="13.45">
      <c r="A723" s="125" t="n">
        <v>720</v>
      </c>
      <c r="B723" s="150" t="s">
        <v>1863</v>
      </c>
      <c r="C723" s="127" t="s">
        <v>1864</v>
      </c>
      <c r="D723" s="151" t="n">
        <v>45870</v>
      </c>
      <c r="E723" s="125" t="s">
        <v>33</v>
      </c>
      <c r="F723" s="129" t="s">
        <v>1389</v>
      </c>
      <c r="G723" s="183" t="s">
        <v>1127</v>
      </c>
      <c r="H723" s="152" t="s">
        <v>1865</v>
      </c>
      <c r="I723" s="153"/>
      <c r="J723" s="153"/>
      <c r="K723" s="154" t="s">
        <v>1866</v>
      </c>
      <c r="L723" s="155" t="s">
        <v>1174</v>
      </c>
      <c r="M723" s="129">
        <f aca="1">DATEDIF(D723,TODAY(),"Y")</f>
        <v>0</v>
      </c>
      <c r="N723" s="129">
        <f aca="1">DATEDIF(D723,TODAY(),"YM")</f>
        <v>2</v>
      </c>
      <c r="O723" s="129" t="str">
        <f aca="1">DATEDIF(D723,NOW(),"Y")&amp;" Tahun "&amp;DATEDIF(D723,NOW(),"YM")&amp;" Bulan "&amp;DATEDIF(D723,NOW(),"MD")&amp;" Hari "</f>
        <v>0 Tahun 2 Bulan 6 Hari </v>
      </c>
      <c r="P723" s="132"/>
      <c r="Q723" s="132"/>
      <c r="R723" s="124"/>
      <c r="S723" s="124"/>
    </row>
    <row r="724" spans="1:20" s="137" customFormat="1">
      <c r="A724" s="125" t="n">
        <v>721</v>
      </c>
      <c r="B724" s="156" t="s">
        <v>1867</v>
      </c>
      <c r="C724" s="157"/>
      <c r="D724" s="158" t="n">
        <v>45901</v>
      </c>
      <c r="E724" s="125" t="s">
        <v>33</v>
      </c>
      <c r="F724" s="129" t="s">
        <v>1389</v>
      </c>
      <c r="G724" s="183" t="s">
        <v>1127</v>
      </c>
      <c r="H724" s="152" t="s">
        <v>1868</v>
      </c>
      <c r="I724" s="153"/>
      <c r="J724" s="153"/>
      <c r="K724" s="131"/>
      <c r="L724" s="153"/>
      <c r="M724" s="129">
        <f aca="1">DATEDIF(D724,TODAY(),"Y")</f>
        <v>0</v>
      </c>
      <c r="N724" s="129">
        <f aca="1">DATEDIF(D724,TODAY(),"YM")</f>
        <v>1</v>
      </c>
      <c r="O724" s="129" t="str">
        <f aca="1">DATEDIF(D724,NOW(),"Y")&amp;" Tahun "&amp;DATEDIF(D724,NOW(),"YM")&amp;" Bulan "&amp;DATEDIF(D724,NOW(),"MD")&amp;" Hari "</f>
        <v>0 Tahun 1 Bulan 6 Hari </v>
      </c>
      <c r="P724" s="132"/>
      <c r="Q724" s="132"/>
      <c r="R724" s="124"/>
      <c r="S724" s="124"/>
      <c r="T724" s="141"/>
    </row>
    <row r="725" spans="1:20" s="137" customFormat="1">
      <c r="A725" s="125" t="n">
        <v>722</v>
      </c>
      <c r="B725" s="156" t="s">
        <v>1869</v>
      </c>
      <c r="C725" s="157"/>
      <c r="D725" s="158" t="n">
        <v>45901</v>
      </c>
      <c r="E725" s="125" t="s">
        <v>33</v>
      </c>
      <c r="F725" s="129" t="s">
        <v>1389</v>
      </c>
      <c r="G725" s="183" t="s">
        <v>1127</v>
      </c>
      <c r="H725" s="131" t="s">
        <v>1870</v>
      </c>
      <c r="I725" s="153"/>
      <c r="J725" s="153"/>
      <c r="K725" s="131"/>
      <c r="L725" s="153"/>
      <c r="M725" s="129">
        <f aca="1">DATEDIF(D725,TODAY(),"Y")</f>
        <v>0</v>
      </c>
      <c r="N725" s="129">
        <f aca="1">DATEDIF(D725,TODAY(),"YM")</f>
        <v>1</v>
      </c>
      <c r="O725" s="129" t="str">
        <f aca="1">DATEDIF(D725,NOW(),"Y")&amp;" Tahun "&amp;DATEDIF(D725,NOW(),"YM")&amp;" Bulan "&amp;DATEDIF(D725,NOW(),"MD")&amp;" Hari "</f>
        <v>0 Tahun 1 Bulan 6 Hari </v>
      </c>
      <c r="P725" s="132"/>
      <c r="Q725" s="132"/>
      <c r="R725" s="124"/>
      <c r="S725" s="124"/>
      <c r="T725" s="141"/>
    </row>
    <row r="726" spans="1:20" s="74" customFormat="1">
      <c r="A726" s="56"/>
      <c r="B726" s="102"/>
      <c r="C726" s="102"/>
      <c r="D726" s="56"/>
      <c r="E726" s="56"/>
      <c r="F726" s="56"/>
      <c r="G726" s="56"/>
      <c r="H726" s="75"/>
      <c r="I726" s="56"/>
      <c r="J726" s="56"/>
      <c r="K726" s="75"/>
      <c r="L726" s="56"/>
      <c r="M726" s="12"/>
      <c r="N726" s="12"/>
      <c r="O726" s="12"/>
      <c r="P726" s="56"/>
      <c r="Q726" s="56"/>
      <c r="R726" s="12"/>
      <c r="S726" s="12"/>
      <c r="T726" s="69"/>
    </row>
    <row r="727" spans="1:20" s="74" customFormat="1">
      <c r="A727" s="56"/>
      <c r="B727" s="102"/>
      <c r="C727" s="102"/>
      <c r="D727" s="56"/>
      <c r="E727" s="56"/>
      <c r="F727" s="56"/>
      <c r="G727" s="56"/>
      <c r="H727" s="75"/>
      <c r="I727" s="56"/>
      <c r="J727" s="56"/>
      <c r="K727" s="75"/>
      <c r="L727" s="56"/>
      <c r="M727" s="12"/>
      <c r="N727" s="12"/>
      <c r="O727" s="12"/>
      <c r="P727" s="56"/>
      <c r="Q727" s="56"/>
      <c r="R727" s="12"/>
      <c r="S727" s="12"/>
      <c r="T727" s="69"/>
    </row>
    <row r="738" spans="1:20" s="74" customFormat="1">
      <c r="A738" s="76" t="n">
        <v>2</v>
      </c>
      <c r="B738" s="123" t="s">
        <v>1871</v>
      </c>
      <c r="C738" s="123"/>
      <c r="D738" s="78" t="n">
        <v>43497</v>
      </c>
      <c r="E738" s="76" t="s">
        <v>1872</v>
      </c>
      <c r="F738" s="76" t="s">
        <v>374</v>
      </c>
      <c r="G738" s="185" t="s">
        <v>1127</v>
      </c>
      <c r="H738" s="79" t="s">
        <v>374</v>
      </c>
      <c r="I738" s="77"/>
      <c r="J738" s="77"/>
      <c r="K738" s="79" t="s">
        <v>40</v>
      </c>
      <c r="L738" s="79" t="s">
        <v>374</v>
      </c>
      <c r="M738" s="12"/>
      <c r="N738" s="12"/>
      <c r="O738" s="12"/>
      <c r="P738" s="56"/>
      <c r="Q738" s="56"/>
      <c r="R738" s="12"/>
      <c r="S738" s="12"/>
      <c r="T738" s="69"/>
    </row>
    <row r="739" spans="1:20" s="74" customFormat="1">
      <c r="A739" s="56"/>
      <c r="B739" s="102" t="s">
        <v>1873</v>
      </c>
      <c r="C739" s="102"/>
      <c r="D739" s="80" t="n">
        <v>44629</v>
      </c>
      <c r="E739" s="56"/>
      <c r="F739" s="56" t="s">
        <v>1874</v>
      </c>
      <c r="G739" s="56"/>
      <c r="H739" s="75"/>
      <c r="I739" s="56"/>
      <c r="J739" s="56"/>
      <c r="K739" s="75"/>
      <c r="L739" s="56"/>
      <c r="M739" s="12"/>
      <c r="N739" s="12"/>
      <c r="O739" s="12"/>
      <c r="P739" s="56"/>
      <c r="Q739" s="56"/>
      <c r="R739" s="12"/>
      <c r="S739" s="12"/>
      <c r="T739" s="69"/>
    </row>
  </sheetData>
  <autoFilter ref="A3:T725">
    <sortState ref="A4:A725">
      <sortCondition ref="A3:A725"/>
    </sortState>
  </autoFilter>
  <mergeCells count="2">
    <mergeCell ref="A1:N1"/>
    <mergeCell ref="A2:N2"/>
  </mergeCells>
  <printOptions>
    <extLst>
      <ext uri="smNativeData">
        <pm:pageFlags xmlns:pm="smNativeData" id="1759816862" printRowHead="0" printColHead="0" printHeadLine="0" printFootLine="0" autoHeightHeader="0" autoHeightFooter="0" fitToPageBoth="0"/>
      </ext>
    </extLst>
  </printOptions>
  <pageMargins left="0.708333" right="0.708333" top="0.747917" bottom="0.747917" header="0.315278" footer="0.315278"/>
  <pageSetup paperSize="5" scale="70" fitToWidth="0" fitToHeight="1" orientation="landscape"/>
  <headerFooter>
    <extLst>
      <ext uri="smNativeData">
        <pm:header xmlns:pm="smNativeData" id="1759816862" l="56" r="56" t="56" b="56" borderId="0" fillId="0" vertical="0"/>
        <pm:footer xmlns:pm="smNativeData" id="1759816862" l="56" r="56" t="56" b="56" borderId="0" fillId="0" vertical="2"/>
      </ext>
    </extLst>
  </headerFooter>
  <extLst>
    <ext uri="smNativeData">
      <pm:sheetPrefs xmlns:pm="smNativeData" day="1759816862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V739"/>
  <sheetViews>
    <sheetView view="normal" zoomScale="80" workbookViewId="0">
      <pane ySplit="3" topLeftCell="A716" activePane="bottomLeft" state="frozen"/>
      <selection pane="bottomLeft" activeCell="E441" sqref="E441"/>
    </sheetView>
  </sheetViews>
  <sheetFormatPr defaultRowHeight="16.60"/>
  <cols>
    <col min="1" max="1" width="6.288288" customWidth="1" style="56"/>
    <col min="2" max="2" width="35.792793" customWidth="1" style="56"/>
    <col min="3" max="3" width="29.936937" customWidth="1" style="56"/>
    <col min="4" max="4" width="57.423423" customWidth="1" style="56"/>
    <col min="5" max="5" width="36.144144" customWidth="1" style="56"/>
    <col min="6" max="6" width="23.711712" customWidth="1" style="56"/>
    <col min="7" max="7" width="17.855856" customWidth="1" style="56"/>
    <col min="8" max="8" width="12.144144" customWidth="1" style="56"/>
    <col min="9" max="9" width="11.711712" customWidth="1" style="56"/>
    <col min="10" max="10" width="34.000000" customWidth="1" style="75"/>
    <col min="11" max="12" width="29.144144" hidden="1" customWidth="1" style="56">
      <extLst>
        <ext uri="smNativeData">
          <pm:columnDef xmlns:pm="smNativeData" id="1759816862" min="11" max="12" hidden="1" collapsedDB="0" collapsedOL="0"/>
        </ext>
      </extLst>
    </col>
    <col min="13" max="13" width="23.000000" hidden="1" customWidth="1" style="75">
      <extLst>
        <ext uri="smNativeData">
          <pm:columnDef xmlns:pm="smNativeData" id="1759816862" min="13" max="13" hidden="1" collapsedDB="0" collapsedOL="0"/>
        </ext>
      </extLst>
    </col>
    <col min="14" max="14" width="43.144144" customWidth="1" style="56"/>
    <col min="15" max="16" width="9.855856" customWidth="1" style="12"/>
    <col min="17" max="17" width="27.144144" customWidth="1" style="12"/>
    <col min="18" max="18" width="11.711712" hidden="1" customWidth="1" style="56">
      <extLst>
        <ext uri="smNativeData">
          <pm:columnDef xmlns:pm="smNativeData" id="1759816862" min="18" max="18" hidden="1" collapsedDB="0" collapsedOL="0"/>
        </ext>
      </extLst>
    </col>
    <col min="19" max="19" width="18.144144" hidden="1" customWidth="1" style="56">
      <extLst>
        <ext uri="smNativeData">
          <pm:columnDef xmlns:pm="smNativeData" id="1759816862" min="19" max="19" hidden="1" collapsedDB="0" collapsedOL="0"/>
        </ext>
      </extLst>
    </col>
    <col min="20" max="20" width="15.288288" hidden="1" customWidth="1" style="12">
      <extLst>
        <ext uri="smNativeData">
          <pm:columnDef xmlns:pm="smNativeData" id="1759816862" min="20" max="20" hidden="1" collapsedDB="0" collapsedOL="0"/>
        </ext>
      </extLst>
    </col>
    <col min="21" max="21" width="15.288288" customWidth="1" style="12"/>
    <col min="22" max="22" width="9.567568" customWidth="1" style="69"/>
    <col min="23" max="16384" width="9.144144" customWidth="1" style="69"/>
  </cols>
  <sheetData>
    <row r="1" spans="1:16">
      <c r="A1" s="81" t="s">
        <v>0</v>
      </c>
      <c r="B1" s="81"/>
      <c r="C1" s="81"/>
      <c r="D1" s="81"/>
      <c r="E1" s="81"/>
      <c r="F1" s="81"/>
      <c r="G1" s="81"/>
      <c r="H1" s="81"/>
      <c r="I1" s="81"/>
      <c r="J1" s="82"/>
      <c r="K1" s="81"/>
      <c r="L1" s="81"/>
      <c r="M1" s="81"/>
      <c r="N1" s="81"/>
      <c r="O1" s="81"/>
      <c r="P1" s="81"/>
    </row>
    <row r="2" spans="1:16">
      <c r="A2" s="83" t="s">
        <v>1</v>
      </c>
      <c r="B2" s="83"/>
      <c r="C2" s="83"/>
      <c r="D2" s="83"/>
      <c r="E2" s="83"/>
      <c r="F2" s="83"/>
      <c r="G2" s="83"/>
      <c r="H2" s="83"/>
      <c r="I2" s="83"/>
      <c r="J2" s="84"/>
      <c r="K2" s="83"/>
      <c r="L2" s="83"/>
      <c r="M2" s="83"/>
      <c r="N2" s="83"/>
      <c r="O2" s="83"/>
      <c r="P2" s="83"/>
    </row>
    <row r="3" spans="1:22">
      <c r="A3" s="13" t="s">
        <v>2</v>
      </c>
      <c r="B3" s="13" t="s">
        <v>4</v>
      </c>
      <c r="C3" s="13" t="s">
        <v>1875</v>
      </c>
      <c r="D3" s="13" t="s">
        <v>3</v>
      </c>
      <c r="E3" s="13" t="s">
        <v>4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  <c r="K3" s="15" t="s">
        <v>10</v>
      </c>
      <c r="L3" s="16" t="s">
        <v>11</v>
      </c>
      <c r="M3" s="14" t="s">
        <v>12</v>
      </c>
      <c r="N3" s="17" t="s">
        <v>13</v>
      </c>
      <c r="O3" s="13" t="s">
        <v>14</v>
      </c>
      <c r="P3" s="13" t="s">
        <v>15</v>
      </c>
      <c r="Q3" s="13" t="s">
        <v>16</v>
      </c>
      <c r="R3" s="13" t="s">
        <v>17</v>
      </c>
      <c r="S3" s="18" t="s">
        <v>18</v>
      </c>
      <c r="T3" s="19" t="s">
        <v>19</v>
      </c>
      <c r="U3" s="19" t="s">
        <v>20</v>
      </c>
      <c r="V3" s="20" t="s">
        <v>21</v>
      </c>
    </row>
    <row r="4" spans="1:21">
      <c r="A4" s="21" t="n">
        <v>1</v>
      </c>
      <c r="B4" s="21">
        <f>E4</f>
        <v>0</v>
      </c>
      <c r="C4" s="21" t="str">
        <f>F4</f>
        <v>19760105 200312 2 007</v>
      </c>
      <c r="D4" s="22" t="s">
        <v>22</v>
      </c>
      <c r="E4" s="22"/>
      <c r="F4" s="21" t="s">
        <v>23</v>
      </c>
      <c r="G4" s="21" t="s">
        <v>24</v>
      </c>
      <c r="H4" s="21" t="s">
        <v>25</v>
      </c>
      <c r="I4" s="21" t="s">
        <v>26</v>
      </c>
      <c r="J4" s="22" t="s">
        <v>27</v>
      </c>
      <c r="K4" s="22" t="s">
        <v>28</v>
      </c>
      <c r="L4" s="22" t="s">
        <v>27</v>
      </c>
      <c r="M4" s="23" t="s">
        <v>29</v>
      </c>
      <c r="N4" s="23" t="s">
        <v>30</v>
      </c>
      <c r="O4" s="24"/>
      <c r="P4" s="24"/>
      <c r="Q4" s="24"/>
      <c r="R4" s="25"/>
      <c r="S4" s="25"/>
      <c r="T4" s="56"/>
      <c r="U4" s="56"/>
    </row>
    <row r="5" spans="1:21">
      <c r="A5" s="21" t="n">
        <v>2</v>
      </c>
      <c r="B5" s="21">
        <f>E5</f>
        <v>0</v>
      </c>
      <c r="C5" s="21" t="str">
        <f>F5</f>
        <v>197112131994021002</v>
      </c>
      <c r="D5" s="23" t="s">
        <v>31</v>
      </c>
      <c r="E5" s="23"/>
      <c r="F5" s="159" t="s">
        <v>32</v>
      </c>
      <c r="G5" s="21" t="s">
        <v>33</v>
      </c>
      <c r="H5" s="21" t="s">
        <v>25</v>
      </c>
      <c r="I5" s="21" t="s">
        <v>26</v>
      </c>
      <c r="J5" s="25" t="s">
        <v>34</v>
      </c>
      <c r="K5" s="22" t="s">
        <v>28</v>
      </c>
      <c r="L5" s="25" t="s">
        <v>34</v>
      </c>
      <c r="M5" s="23" t="s">
        <v>29</v>
      </c>
      <c r="N5" s="23" t="s">
        <v>35</v>
      </c>
      <c r="O5" s="24"/>
      <c r="P5" s="24"/>
      <c r="Q5" s="24"/>
      <c r="R5" s="25"/>
      <c r="S5" s="25"/>
      <c r="T5" s="56"/>
      <c r="U5" s="56"/>
    </row>
    <row r="6" spans="1:21">
      <c r="A6" s="21" t="n">
        <v>3</v>
      </c>
      <c r="B6" s="21">
        <f>E6</f>
        <v>0</v>
      </c>
      <c r="C6" s="21" t="str">
        <f>F6</f>
        <v>19681116 199903 2 003</v>
      </c>
      <c r="D6" s="22" t="s">
        <v>36</v>
      </c>
      <c r="E6" s="22"/>
      <c r="F6" s="159" t="s">
        <v>37</v>
      </c>
      <c r="G6" s="21" t="s">
        <v>24</v>
      </c>
      <c r="H6" s="21" t="s">
        <v>25</v>
      </c>
      <c r="I6" s="21" t="s">
        <v>38</v>
      </c>
      <c r="J6" s="22" t="s">
        <v>39</v>
      </c>
      <c r="K6" s="22" t="s">
        <v>28</v>
      </c>
      <c r="L6" s="22"/>
      <c r="M6" s="23" t="s">
        <v>40</v>
      </c>
      <c r="N6" s="23" t="s">
        <v>41</v>
      </c>
      <c r="O6" s="24"/>
      <c r="P6" s="24"/>
      <c r="Q6" s="24"/>
      <c r="R6" s="25"/>
      <c r="S6" s="25"/>
      <c r="T6" s="56"/>
      <c r="U6" s="56"/>
    </row>
    <row r="7" spans="1:21">
      <c r="A7" s="21" t="n">
        <v>4</v>
      </c>
      <c r="B7" s="21">
        <f>E7</f>
        <v>0</v>
      </c>
      <c r="C7" s="21" t="str">
        <f>F7</f>
        <v>19690421 199202 1 001</v>
      </c>
      <c r="D7" s="22" t="s">
        <v>42</v>
      </c>
      <c r="E7" s="22"/>
      <c r="F7" s="21" t="s">
        <v>43</v>
      </c>
      <c r="G7" s="21" t="s">
        <v>33</v>
      </c>
      <c r="H7" s="21" t="s">
        <v>25</v>
      </c>
      <c r="I7" s="21" t="s">
        <v>38</v>
      </c>
      <c r="J7" s="22" t="s">
        <v>44</v>
      </c>
      <c r="K7" s="22" t="s">
        <v>28</v>
      </c>
      <c r="L7" s="22"/>
      <c r="M7" s="23" t="s">
        <v>29</v>
      </c>
      <c r="N7" s="23" t="s">
        <v>45</v>
      </c>
      <c r="O7" s="24"/>
      <c r="P7" s="24"/>
      <c r="Q7" s="24"/>
      <c r="R7" s="25"/>
      <c r="S7" s="25"/>
      <c r="T7" s="56"/>
      <c r="U7" s="56"/>
    </row>
    <row r="8" spans="1:21">
      <c r="A8" s="21" t="n">
        <v>5</v>
      </c>
      <c r="B8" s="21">
        <f>E8</f>
        <v>0</v>
      </c>
      <c r="C8" s="21" t="str">
        <f>F8</f>
        <v>196804291993032002</v>
      </c>
      <c r="D8" s="26" t="s">
        <v>46</v>
      </c>
      <c r="E8" s="26"/>
      <c r="F8" s="160" t="s">
        <v>47</v>
      </c>
      <c r="G8" s="21" t="s">
        <v>24</v>
      </c>
      <c r="H8" s="21" t="s">
        <v>25</v>
      </c>
      <c r="I8" s="21" t="s">
        <v>38</v>
      </c>
      <c r="J8" s="22" t="s">
        <v>48</v>
      </c>
      <c r="K8" s="22" t="s">
        <v>28</v>
      </c>
      <c r="L8" s="22" t="s">
        <v>48</v>
      </c>
      <c r="M8" s="23" t="s">
        <v>29</v>
      </c>
      <c r="N8" s="23" t="s">
        <v>49</v>
      </c>
      <c r="O8" s="24"/>
      <c r="P8" s="24"/>
      <c r="Q8" s="24"/>
      <c r="R8" s="25"/>
      <c r="S8" s="25"/>
      <c r="T8" s="56"/>
      <c r="U8" s="56"/>
    </row>
    <row r="9" spans="1:21">
      <c r="A9" s="21" t="n">
        <v>6</v>
      </c>
      <c r="B9" s="21">
        <f>E9</f>
        <v>0</v>
      </c>
      <c r="C9" s="21" t="str">
        <f>F9</f>
        <v>19681212 199303 1 017</v>
      </c>
      <c r="D9" s="22" t="s">
        <v>50</v>
      </c>
      <c r="E9" s="22"/>
      <c r="F9" s="21" t="s">
        <v>51</v>
      </c>
      <c r="G9" s="21" t="s">
        <v>33</v>
      </c>
      <c r="H9" s="21" t="s">
        <v>25</v>
      </c>
      <c r="I9" s="21" t="s">
        <v>38</v>
      </c>
      <c r="J9" s="22" t="s">
        <v>52</v>
      </c>
      <c r="K9" s="22" t="s">
        <v>28</v>
      </c>
      <c r="L9" s="22"/>
      <c r="M9" s="23" t="s">
        <v>29</v>
      </c>
      <c r="N9" s="23" t="s">
        <v>53</v>
      </c>
      <c r="O9" s="24"/>
      <c r="P9" s="24"/>
      <c r="Q9" s="24"/>
      <c r="R9" s="25"/>
      <c r="S9" s="25"/>
      <c r="T9" s="56"/>
      <c r="U9" s="56"/>
    </row>
    <row r="10" spans="1:21">
      <c r="A10" s="21" t="n">
        <v>7</v>
      </c>
      <c r="B10" s="21">
        <f>E10</f>
        <v>0</v>
      </c>
      <c r="C10" s="21" t="str">
        <f>F10</f>
        <v>19690915 199003 2 009</v>
      </c>
      <c r="D10" s="22" t="s">
        <v>54</v>
      </c>
      <c r="E10" s="22"/>
      <c r="F10" s="21" t="s">
        <v>55</v>
      </c>
      <c r="G10" s="21" t="s">
        <v>24</v>
      </c>
      <c r="H10" s="21" t="s">
        <v>25</v>
      </c>
      <c r="I10" s="21" t="s">
        <v>38</v>
      </c>
      <c r="J10" s="22" t="s">
        <v>56</v>
      </c>
      <c r="K10" s="22" t="s">
        <v>28</v>
      </c>
      <c r="L10" s="22"/>
      <c r="M10" s="23" t="s">
        <v>29</v>
      </c>
      <c r="N10" s="23" t="s">
        <v>57</v>
      </c>
      <c r="O10" s="24"/>
      <c r="P10" s="24"/>
      <c r="Q10" s="24"/>
      <c r="R10" s="25"/>
      <c r="S10" s="25"/>
      <c r="T10" s="56"/>
      <c r="U10" s="56"/>
    </row>
    <row r="11" spans="1:21">
      <c r="A11" s="21" t="n">
        <v>8</v>
      </c>
      <c r="B11" s="21">
        <f>E11</f>
        <v>0</v>
      </c>
      <c r="C11" s="21" t="str">
        <f>F11</f>
        <v>19710121 199503 2 003</v>
      </c>
      <c r="D11" s="22" t="s">
        <v>58</v>
      </c>
      <c r="E11" s="22"/>
      <c r="F11" s="21" t="s">
        <v>59</v>
      </c>
      <c r="G11" s="21" t="s">
        <v>24</v>
      </c>
      <c r="H11" s="21" t="s">
        <v>25</v>
      </c>
      <c r="I11" s="21" t="s">
        <v>38</v>
      </c>
      <c r="J11" s="22" t="s">
        <v>60</v>
      </c>
      <c r="K11" s="22" t="s">
        <v>28</v>
      </c>
      <c r="L11" s="22"/>
      <c r="M11" s="23" t="s">
        <v>29</v>
      </c>
      <c r="N11" s="23" t="s">
        <v>61</v>
      </c>
      <c r="O11" s="24"/>
      <c r="P11" s="24"/>
      <c r="Q11" s="24"/>
      <c r="R11" s="25"/>
      <c r="S11" s="25"/>
      <c r="T11" s="56"/>
      <c r="U11" s="56"/>
    </row>
    <row r="12" spans="1:21">
      <c r="A12" s="21" t="n">
        <v>9</v>
      </c>
      <c r="B12" s="21">
        <f>E12</f>
        <v>0</v>
      </c>
      <c r="C12" s="21" t="str">
        <f>F12</f>
        <v>19740724 200701 2 006</v>
      </c>
      <c r="D12" s="22" t="s">
        <v>62</v>
      </c>
      <c r="E12" s="22"/>
      <c r="F12" s="21" t="s">
        <v>63</v>
      </c>
      <c r="G12" s="21" t="s">
        <v>24</v>
      </c>
      <c r="H12" s="21" t="s">
        <v>25</v>
      </c>
      <c r="I12" s="24" t="s">
        <v>64</v>
      </c>
      <c r="J12" s="22" t="s">
        <v>65</v>
      </c>
      <c r="K12" s="27" t="s">
        <v>66</v>
      </c>
      <c r="L12" s="22" t="s">
        <v>65</v>
      </c>
      <c r="M12" s="23" t="s">
        <v>67</v>
      </c>
      <c r="N12" s="23" t="s">
        <v>68</v>
      </c>
      <c r="O12" s="24"/>
      <c r="P12" s="24"/>
      <c r="Q12" s="24"/>
      <c r="R12" s="25"/>
      <c r="S12" s="25"/>
      <c r="T12" s="56"/>
      <c r="U12" s="56"/>
    </row>
    <row r="13" spans="1:21">
      <c r="A13" s="21" t="n">
        <v>10</v>
      </c>
      <c r="B13" s="21">
        <f>E13</f>
        <v>0</v>
      </c>
      <c r="C13" s="21" t="str">
        <f>F13</f>
        <v>19720505 200212 1 011</v>
      </c>
      <c r="D13" s="22" t="s">
        <v>69</v>
      </c>
      <c r="E13" s="22"/>
      <c r="F13" s="21" t="s">
        <v>70</v>
      </c>
      <c r="G13" s="21" t="s">
        <v>33</v>
      </c>
      <c r="H13" s="21" t="s">
        <v>25</v>
      </c>
      <c r="I13" s="24" t="s">
        <v>64</v>
      </c>
      <c r="J13" s="22" t="s">
        <v>71</v>
      </c>
      <c r="K13" s="27" t="s">
        <v>66</v>
      </c>
      <c r="L13" s="22" t="s">
        <v>71</v>
      </c>
      <c r="M13" s="23" t="s">
        <v>72</v>
      </c>
      <c r="N13" s="23" t="s">
        <v>73</v>
      </c>
      <c r="O13" s="24"/>
      <c r="P13" s="24"/>
      <c r="Q13" s="24"/>
      <c r="R13" s="25"/>
      <c r="S13" s="25"/>
      <c r="T13" s="56"/>
      <c r="U13" s="56"/>
    </row>
    <row r="14" spans="1:21">
      <c r="A14" s="21" t="n">
        <v>11</v>
      </c>
      <c r="B14" s="21">
        <f>E14</f>
        <v>0</v>
      </c>
      <c r="C14" s="21" t="str">
        <f>F14</f>
        <v>19680728 200212 2 004</v>
      </c>
      <c r="D14" s="22" t="s">
        <v>74</v>
      </c>
      <c r="E14" s="22"/>
      <c r="F14" s="21" t="s">
        <v>75</v>
      </c>
      <c r="G14" s="21" t="s">
        <v>24</v>
      </c>
      <c r="H14" s="21" t="s">
        <v>25</v>
      </c>
      <c r="I14" s="24" t="s">
        <v>64</v>
      </c>
      <c r="J14" s="22" t="s">
        <v>76</v>
      </c>
      <c r="K14" s="27" t="s">
        <v>66</v>
      </c>
      <c r="L14" s="22" t="s">
        <v>76</v>
      </c>
      <c r="M14" s="23" t="s">
        <v>72</v>
      </c>
      <c r="N14" s="23" t="s">
        <v>77</v>
      </c>
      <c r="O14" s="24"/>
      <c r="P14" s="24"/>
      <c r="Q14" s="24"/>
      <c r="R14" s="25"/>
      <c r="S14" s="25"/>
      <c r="T14" s="56"/>
      <c r="U14" s="56"/>
    </row>
    <row r="15" spans="1:21">
      <c r="A15" s="21" t="n">
        <v>12</v>
      </c>
      <c r="B15" s="21">
        <f>E15</f>
        <v>0</v>
      </c>
      <c r="C15" s="21" t="str">
        <f>F15</f>
        <v>19800527 201001 1 010</v>
      </c>
      <c r="D15" s="22" t="s">
        <v>78</v>
      </c>
      <c r="E15" s="22"/>
      <c r="F15" s="21" t="s">
        <v>79</v>
      </c>
      <c r="G15" s="21" t="s">
        <v>33</v>
      </c>
      <c r="H15" s="21" t="s">
        <v>25</v>
      </c>
      <c r="I15" s="21" t="s">
        <v>26</v>
      </c>
      <c r="J15" s="22" t="s">
        <v>65</v>
      </c>
      <c r="K15" s="27" t="s">
        <v>66</v>
      </c>
      <c r="L15" s="22" t="s">
        <v>65</v>
      </c>
      <c r="M15" s="23" t="s">
        <v>67</v>
      </c>
      <c r="N15" s="23" t="s">
        <v>68</v>
      </c>
      <c r="O15" s="24"/>
      <c r="P15" s="24"/>
      <c r="Q15" s="24"/>
      <c r="R15" s="25"/>
      <c r="S15" s="25"/>
      <c r="T15" s="56"/>
      <c r="U15" s="56"/>
    </row>
    <row r="16" spans="1:21">
      <c r="A16" s="21" t="n">
        <v>13</v>
      </c>
      <c r="B16" s="21">
        <f>E16</f>
        <v>0</v>
      </c>
      <c r="C16" s="21" t="str">
        <f>F16</f>
        <v>19711030 200212 2 003</v>
      </c>
      <c r="D16" s="22" t="s">
        <v>80</v>
      </c>
      <c r="E16" s="22"/>
      <c r="F16" s="21" t="s">
        <v>81</v>
      </c>
      <c r="G16" s="21" t="s">
        <v>24</v>
      </c>
      <c r="H16" s="21" t="s">
        <v>25</v>
      </c>
      <c r="I16" s="21" t="s">
        <v>26</v>
      </c>
      <c r="J16" s="22" t="s">
        <v>82</v>
      </c>
      <c r="K16" s="27" t="s">
        <v>66</v>
      </c>
      <c r="L16" s="22" t="s">
        <v>82</v>
      </c>
      <c r="M16" s="23" t="s">
        <v>72</v>
      </c>
      <c r="N16" s="23" t="s">
        <v>83</v>
      </c>
      <c r="O16" s="24"/>
      <c r="P16" s="24"/>
      <c r="Q16" s="24"/>
      <c r="R16" s="25"/>
      <c r="S16" s="25"/>
      <c r="T16" s="56"/>
      <c r="U16" s="56"/>
    </row>
    <row r="17" spans="1:21">
      <c r="A17" s="21" t="n">
        <v>14</v>
      </c>
      <c r="B17" s="21">
        <f>E17</f>
        <v>0</v>
      </c>
      <c r="C17" s="21" t="str">
        <f>F17</f>
        <v>19711201 200212 2 003</v>
      </c>
      <c r="D17" s="22" t="s">
        <v>84</v>
      </c>
      <c r="E17" s="22"/>
      <c r="F17" s="21" t="s">
        <v>85</v>
      </c>
      <c r="G17" s="21" t="s">
        <v>24</v>
      </c>
      <c r="H17" s="21" t="s">
        <v>25</v>
      </c>
      <c r="I17" s="21" t="s">
        <v>26</v>
      </c>
      <c r="J17" s="22" t="s">
        <v>86</v>
      </c>
      <c r="K17" s="27" t="s">
        <v>66</v>
      </c>
      <c r="L17" s="22" t="s">
        <v>86</v>
      </c>
      <c r="M17" s="23" t="s">
        <v>72</v>
      </c>
      <c r="N17" s="23" t="s">
        <v>87</v>
      </c>
      <c r="O17" s="24"/>
      <c r="P17" s="24"/>
      <c r="Q17" s="24"/>
      <c r="R17" s="25"/>
      <c r="S17" s="25"/>
      <c r="T17" s="56"/>
      <c r="U17" s="56"/>
    </row>
    <row r="18" spans="1:21">
      <c r="A18" s="21" t="n">
        <v>15</v>
      </c>
      <c r="B18" s="21">
        <f>E18</f>
        <v>0</v>
      </c>
      <c r="C18" s="21" t="str">
        <f>F18</f>
        <v>19780117 200212 2 001</v>
      </c>
      <c r="D18" s="22" t="s">
        <v>88</v>
      </c>
      <c r="E18" s="22"/>
      <c r="F18" s="21" t="s">
        <v>89</v>
      </c>
      <c r="G18" s="21" t="s">
        <v>24</v>
      </c>
      <c r="H18" s="21" t="s">
        <v>25</v>
      </c>
      <c r="I18" s="21" t="s">
        <v>38</v>
      </c>
      <c r="J18" s="22" t="s">
        <v>90</v>
      </c>
      <c r="K18" s="22" t="s">
        <v>91</v>
      </c>
      <c r="L18" s="22" t="s">
        <v>90</v>
      </c>
      <c r="M18" s="23" t="s">
        <v>29</v>
      </c>
      <c r="N18" s="23" t="s">
        <v>92</v>
      </c>
      <c r="O18" s="24"/>
      <c r="P18" s="24"/>
      <c r="Q18" s="24"/>
      <c r="R18" s="25"/>
      <c r="S18" s="25"/>
      <c r="T18" s="56"/>
      <c r="U18" s="56"/>
    </row>
    <row r="19" spans="1:21">
      <c r="A19" s="21" t="n">
        <v>16</v>
      </c>
      <c r="B19" s="21">
        <f>E19</f>
        <v>0</v>
      </c>
      <c r="C19" s="21" t="str">
        <f>F19</f>
        <v>19730906 199703 2 004</v>
      </c>
      <c r="D19" s="22" t="s">
        <v>93</v>
      </c>
      <c r="E19" s="22"/>
      <c r="F19" s="21" t="s">
        <v>94</v>
      </c>
      <c r="G19" s="21" t="s">
        <v>24</v>
      </c>
      <c r="H19" s="21" t="s">
        <v>25</v>
      </c>
      <c r="I19" s="21" t="s">
        <v>26</v>
      </c>
      <c r="J19" s="23" t="s">
        <v>95</v>
      </c>
      <c r="K19" s="27" t="s">
        <v>96</v>
      </c>
      <c r="L19" s="22" t="s">
        <v>95</v>
      </c>
      <c r="M19" s="23" t="s">
        <v>40</v>
      </c>
      <c r="N19" s="23" t="s">
        <v>97</v>
      </c>
      <c r="O19" s="24"/>
      <c r="P19" s="24"/>
      <c r="Q19" s="24"/>
      <c r="R19" s="25"/>
      <c r="S19" s="25"/>
      <c r="T19" s="56"/>
      <c r="U19" s="56"/>
    </row>
    <row r="20" spans="1:21">
      <c r="A20" s="21" t="n">
        <v>17</v>
      </c>
      <c r="B20" s="21">
        <f>E20</f>
        <v>0</v>
      </c>
      <c r="C20" s="21" t="str">
        <f>F20</f>
        <v>19820104 201001 2 008</v>
      </c>
      <c r="D20" s="22" t="s">
        <v>98</v>
      </c>
      <c r="E20" s="22"/>
      <c r="F20" s="21" t="s">
        <v>99</v>
      </c>
      <c r="G20" s="21" t="s">
        <v>24</v>
      </c>
      <c r="H20" s="21" t="s">
        <v>25</v>
      </c>
      <c r="I20" s="21" t="s">
        <v>26</v>
      </c>
      <c r="J20" s="22" t="s">
        <v>100</v>
      </c>
      <c r="K20" s="22" t="s">
        <v>101</v>
      </c>
      <c r="L20" s="22" t="s">
        <v>100</v>
      </c>
      <c r="M20" s="28" t="s">
        <v>102</v>
      </c>
      <c r="N20" s="23" t="s">
        <v>103</v>
      </c>
      <c r="O20" s="24"/>
      <c r="P20" s="24"/>
      <c r="Q20" s="24"/>
      <c r="R20" s="25"/>
      <c r="S20" s="25"/>
      <c r="T20" s="56"/>
      <c r="U20" s="56"/>
    </row>
    <row r="21" spans="1:21">
      <c r="A21" s="21" t="n">
        <v>18</v>
      </c>
      <c r="B21" s="21">
        <f>E21</f>
        <v>0</v>
      </c>
      <c r="C21" s="21" t="str">
        <f>F21</f>
        <v>19760802 201101 2 004</v>
      </c>
      <c r="D21" s="22" t="s">
        <v>104</v>
      </c>
      <c r="E21" s="22"/>
      <c r="F21" s="21" t="s">
        <v>105</v>
      </c>
      <c r="G21" s="21" t="s">
        <v>24</v>
      </c>
      <c r="H21" s="21" t="s">
        <v>25</v>
      </c>
      <c r="I21" s="21" t="s">
        <v>38</v>
      </c>
      <c r="J21" s="22" t="s">
        <v>100</v>
      </c>
      <c r="K21" s="22" t="s">
        <v>101</v>
      </c>
      <c r="L21" s="22" t="s">
        <v>100</v>
      </c>
      <c r="M21" s="28" t="s">
        <v>102</v>
      </c>
      <c r="N21" s="23" t="s">
        <v>103</v>
      </c>
      <c r="O21" s="24"/>
      <c r="P21" s="24"/>
      <c r="Q21" s="24"/>
      <c r="R21" s="25"/>
      <c r="S21" s="25"/>
      <c r="T21" s="56"/>
      <c r="U21" s="56"/>
    </row>
    <row r="22" spans="1:21">
      <c r="A22" s="21" t="n">
        <v>19</v>
      </c>
      <c r="B22" s="21">
        <f>E22</f>
        <v>0</v>
      </c>
      <c r="C22" s="21" t="str">
        <f>F22</f>
        <v>19850319 201101 1 013</v>
      </c>
      <c r="D22" s="22" t="s">
        <v>106</v>
      </c>
      <c r="E22" s="22"/>
      <c r="F22" s="21" t="s">
        <v>107</v>
      </c>
      <c r="G22" s="21" t="s">
        <v>33</v>
      </c>
      <c r="H22" s="21" t="s">
        <v>25</v>
      </c>
      <c r="I22" s="21" t="s">
        <v>38</v>
      </c>
      <c r="J22" s="22" t="s">
        <v>100</v>
      </c>
      <c r="K22" s="22" t="s">
        <v>101</v>
      </c>
      <c r="L22" s="22" t="s">
        <v>100</v>
      </c>
      <c r="M22" s="28" t="s">
        <v>102</v>
      </c>
      <c r="N22" s="23" t="s">
        <v>103</v>
      </c>
      <c r="O22" s="24"/>
      <c r="P22" s="24"/>
      <c r="Q22" s="24"/>
      <c r="R22" s="25"/>
      <c r="S22" s="25"/>
      <c r="T22" s="56"/>
      <c r="U22" s="56"/>
    </row>
    <row r="23" spans="1:21">
      <c r="A23" s="21" t="n">
        <v>20</v>
      </c>
      <c r="B23" s="21">
        <f>E23</f>
        <v>0</v>
      </c>
      <c r="C23" s="21" t="str">
        <f>F23</f>
        <v>19700327 199203 1 006</v>
      </c>
      <c r="D23" s="22" t="s">
        <v>108</v>
      </c>
      <c r="E23" s="22"/>
      <c r="F23" s="21" t="s">
        <v>109</v>
      </c>
      <c r="G23" s="21" t="s">
        <v>33</v>
      </c>
      <c r="H23" s="21" t="s">
        <v>25</v>
      </c>
      <c r="I23" s="21" t="s">
        <v>110</v>
      </c>
      <c r="J23" s="22" t="s">
        <v>111</v>
      </c>
      <c r="K23" s="22" t="s">
        <v>28</v>
      </c>
      <c r="L23" s="22" t="s">
        <v>111</v>
      </c>
      <c r="M23" s="23" t="s">
        <v>40</v>
      </c>
      <c r="N23" s="23" t="s">
        <v>112</v>
      </c>
      <c r="O23" s="24"/>
      <c r="P23" s="24"/>
      <c r="Q23" s="24"/>
      <c r="R23" s="25"/>
      <c r="S23" s="25"/>
      <c r="T23" s="56"/>
      <c r="U23" s="56"/>
    </row>
    <row r="24" spans="1:21">
      <c r="A24" s="21" t="n">
        <v>21</v>
      </c>
      <c r="B24" s="21">
        <f>E24</f>
        <v>0</v>
      </c>
      <c r="C24" s="21" t="str">
        <f>F24</f>
        <v>19680523 199409 1 001</v>
      </c>
      <c r="D24" s="22" t="s">
        <v>113</v>
      </c>
      <c r="E24" s="22"/>
      <c r="F24" s="21" t="s">
        <v>114</v>
      </c>
      <c r="G24" s="21" t="s">
        <v>33</v>
      </c>
      <c r="H24" s="21" t="s">
        <v>25</v>
      </c>
      <c r="I24" s="21" t="s">
        <v>38</v>
      </c>
      <c r="J24" s="22" t="s">
        <v>115</v>
      </c>
      <c r="K24" s="22" t="s">
        <v>28</v>
      </c>
      <c r="L24" s="22" t="s">
        <v>115</v>
      </c>
      <c r="M24" s="23" t="s">
        <v>29</v>
      </c>
      <c r="N24" s="23" t="s">
        <v>61</v>
      </c>
      <c r="O24" s="24"/>
      <c r="P24" s="24"/>
      <c r="Q24" s="24"/>
      <c r="R24" s="25"/>
      <c r="S24" s="25"/>
      <c r="T24" s="56"/>
      <c r="U24" s="56"/>
    </row>
    <row r="25" spans="1:21">
      <c r="A25" s="21" t="n">
        <v>22</v>
      </c>
      <c r="B25" s="21">
        <f>E25</f>
        <v>0</v>
      </c>
      <c r="C25" s="21" t="str">
        <f>F25</f>
        <v>19780818 201001 1 006</v>
      </c>
      <c r="D25" s="22" t="s">
        <v>116</v>
      </c>
      <c r="E25" s="22"/>
      <c r="F25" s="21" t="s">
        <v>117</v>
      </c>
      <c r="G25" s="21" t="s">
        <v>33</v>
      </c>
      <c r="H25" s="21" t="s">
        <v>25</v>
      </c>
      <c r="I25" s="21" t="s">
        <v>110</v>
      </c>
      <c r="J25" s="22" t="s">
        <v>118</v>
      </c>
      <c r="K25" s="22" t="s">
        <v>28</v>
      </c>
      <c r="L25" s="22" t="s">
        <v>118</v>
      </c>
      <c r="M25" s="23" t="s">
        <v>40</v>
      </c>
      <c r="N25" s="23" t="s">
        <v>119</v>
      </c>
      <c r="O25" s="24"/>
      <c r="P25" s="24"/>
      <c r="Q25" s="24"/>
      <c r="R25" s="25"/>
      <c r="S25" s="25"/>
      <c r="T25" s="56"/>
      <c r="U25" s="56"/>
    </row>
    <row r="26" spans="1:21">
      <c r="A26" s="21" t="n">
        <v>23</v>
      </c>
      <c r="B26" s="21">
        <f>E26</f>
        <v>0</v>
      </c>
      <c r="C26" s="21" t="str">
        <f>F26</f>
        <v>19790713 201001 2 002</v>
      </c>
      <c r="D26" s="22" t="s">
        <v>120</v>
      </c>
      <c r="E26" s="22"/>
      <c r="F26" s="21" t="s">
        <v>121</v>
      </c>
      <c r="G26" s="21" t="s">
        <v>24</v>
      </c>
      <c r="H26" s="21" t="s">
        <v>25</v>
      </c>
      <c r="I26" s="21" t="s">
        <v>110</v>
      </c>
      <c r="J26" s="22" t="s">
        <v>118</v>
      </c>
      <c r="K26" s="22" t="s">
        <v>28</v>
      </c>
      <c r="L26" s="22" t="s">
        <v>118</v>
      </c>
      <c r="M26" s="23" t="s">
        <v>40</v>
      </c>
      <c r="N26" s="23" t="s">
        <v>122</v>
      </c>
      <c r="O26" s="24"/>
      <c r="P26" s="24"/>
      <c r="Q26" s="24"/>
      <c r="R26" s="25"/>
      <c r="S26" s="25"/>
      <c r="T26" s="56"/>
      <c r="U26" s="56"/>
    </row>
    <row r="27" spans="1:21">
      <c r="A27" s="21" t="n">
        <v>24</v>
      </c>
      <c r="B27" s="21">
        <f>E27</f>
        <v>0</v>
      </c>
      <c r="C27" s="21" t="str">
        <f>F27</f>
        <v>19680314 198903 1 005</v>
      </c>
      <c r="D27" s="22" t="s">
        <v>123</v>
      </c>
      <c r="E27" s="22"/>
      <c r="F27" s="21" t="s">
        <v>124</v>
      </c>
      <c r="G27" s="21" t="s">
        <v>33</v>
      </c>
      <c r="H27" s="21" t="s">
        <v>25</v>
      </c>
      <c r="I27" s="21" t="s">
        <v>110</v>
      </c>
      <c r="J27" s="22" t="s">
        <v>125</v>
      </c>
      <c r="K27" s="22" t="s">
        <v>126</v>
      </c>
      <c r="L27" s="22" t="s">
        <v>125</v>
      </c>
      <c r="M27" s="23" t="s">
        <v>127</v>
      </c>
      <c r="N27" s="23" t="s">
        <v>128</v>
      </c>
      <c r="O27" s="24"/>
      <c r="P27" s="24"/>
      <c r="Q27" s="24"/>
      <c r="R27" s="25"/>
      <c r="S27" s="25"/>
      <c r="T27" s="56"/>
      <c r="U27" s="56"/>
    </row>
    <row r="28" spans="1:21">
      <c r="A28" s="21" t="n">
        <v>25</v>
      </c>
      <c r="B28" s="21">
        <f>E28</f>
        <v>0</v>
      </c>
      <c r="C28" s="21" t="str">
        <f>F28</f>
        <v>19670908 198811 1 001</v>
      </c>
      <c r="D28" s="22" t="s">
        <v>129</v>
      </c>
      <c r="E28" s="22"/>
      <c r="F28" s="21" t="s">
        <v>130</v>
      </c>
      <c r="G28" s="21" t="s">
        <v>33</v>
      </c>
      <c r="H28" s="21" t="s">
        <v>25</v>
      </c>
      <c r="I28" s="21" t="s">
        <v>38</v>
      </c>
      <c r="J28" s="22" t="s">
        <v>131</v>
      </c>
      <c r="K28" s="22" t="s">
        <v>132</v>
      </c>
      <c r="L28" s="22" t="s">
        <v>131</v>
      </c>
      <c r="M28" s="23" t="s">
        <v>133</v>
      </c>
      <c r="N28" s="23" t="s">
        <v>134</v>
      </c>
      <c r="O28" s="24"/>
      <c r="P28" s="24"/>
      <c r="Q28" s="24"/>
      <c r="R28" s="25"/>
      <c r="S28" s="25"/>
      <c r="T28" s="56"/>
      <c r="U28" s="56"/>
    </row>
    <row r="29" spans="1:21">
      <c r="A29" s="21" t="n">
        <v>26</v>
      </c>
      <c r="B29" s="21">
        <f>E29</f>
        <v>0</v>
      </c>
      <c r="C29" s="21" t="str">
        <f>F29</f>
        <v>19700626 199803 2 011</v>
      </c>
      <c r="D29" s="22" t="s">
        <v>135</v>
      </c>
      <c r="E29" s="22"/>
      <c r="F29" s="21" t="s">
        <v>136</v>
      </c>
      <c r="G29" s="21" t="s">
        <v>24</v>
      </c>
      <c r="H29" s="21" t="s">
        <v>25</v>
      </c>
      <c r="I29" s="21" t="s">
        <v>110</v>
      </c>
      <c r="J29" s="22" t="s">
        <v>137</v>
      </c>
      <c r="K29" s="22" t="s">
        <v>91</v>
      </c>
      <c r="L29" s="22" t="s">
        <v>137</v>
      </c>
      <c r="M29" s="23" t="s">
        <v>40</v>
      </c>
      <c r="N29" s="23" t="s">
        <v>92</v>
      </c>
      <c r="O29" s="24"/>
      <c r="P29" s="24"/>
      <c r="Q29" s="24"/>
      <c r="R29" s="25"/>
      <c r="S29" s="25"/>
      <c r="T29" s="56"/>
      <c r="U29" s="56"/>
    </row>
    <row r="30" spans="1:21">
      <c r="A30" s="21" t="n">
        <v>27</v>
      </c>
      <c r="B30" s="21">
        <f>E30</f>
        <v>0</v>
      </c>
      <c r="C30" s="21" t="str">
        <f>F30</f>
        <v>19720831 201001 1 006</v>
      </c>
      <c r="D30" s="22" t="s">
        <v>138</v>
      </c>
      <c r="E30" s="22"/>
      <c r="F30" s="21" t="s">
        <v>139</v>
      </c>
      <c r="G30" s="21" t="s">
        <v>33</v>
      </c>
      <c r="H30" s="21" t="s">
        <v>25</v>
      </c>
      <c r="I30" s="21" t="s">
        <v>38</v>
      </c>
      <c r="J30" s="22" t="s">
        <v>71</v>
      </c>
      <c r="K30" s="27" t="s">
        <v>66</v>
      </c>
      <c r="L30" s="22" t="s">
        <v>71</v>
      </c>
      <c r="M30" s="23" t="s">
        <v>72</v>
      </c>
      <c r="N30" s="23" t="s">
        <v>73</v>
      </c>
      <c r="O30" s="24"/>
      <c r="P30" s="24"/>
      <c r="Q30" s="24"/>
      <c r="R30" s="25"/>
      <c r="S30" s="25"/>
      <c r="T30" s="56"/>
      <c r="U30" s="56"/>
    </row>
    <row r="31" spans="1:21">
      <c r="A31" s="21" t="n">
        <v>28</v>
      </c>
      <c r="B31" s="21">
        <f>E31</f>
        <v>0</v>
      </c>
      <c r="C31" s="21" t="str">
        <f>F31</f>
        <v>19700319 199203 2 006</v>
      </c>
      <c r="D31" s="22" t="s">
        <v>140</v>
      </c>
      <c r="E31" s="22"/>
      <c r="F31" s="21" t="s">
        <v>141</v>
      </c>
      <c r="G31" s="21" t="s">
        <v>24</v>
      </c>
      <c r="H31" s="21" t="s">
        <v>25</v>
      </c>
      <c r="I31" s="21" t="s">
        <v>110</v>
      </c>
      <c r="J31" s="22" t="s">
        <v>142</v>
      </c>
      <c r="K31" s="22" t="s">
        <v>101</v>
      </c>
      <c r="L31" s="22" t="s">
        <v>142</v>
      </c>
      <c r="M31" s="23" t="s">
        <v>143</v>
      </c>
      <c r="N31" s="23" t="s">
        <v>103</v>
      </c>
      <c r="O31" s="24"/>
      <c r="P31" s="24"/>
      <c r="Q31" s="24"/>
      <c r="R31" s="25"/>
      <c r="S31" s="25"/>
      <c r="T31" s="56"/>
      <c r="U31" s="56"/>
    </row>
    <row r="32" spans="1:21">
      <c r="A32" s="21" t="n">
        <v>29</v>
      </c>
      <c r="B32" s="21">
        <f>E32</f>
        <v>0</v>
      </c>
      <c r="C32" s="21" t="str">
        <f>F32</f>
        <v>19820524 200903 2 005</v>
      </c>
      <c r="D32" s="22" t="s">
        <v>144</v>
      </c>
      <c r="E32" s="22"/>
      <c r="F32" s="21" t="s">
        <v>145</v>
      </c>
      <c r="G32" s="21" t="s">
        <v>24</v>
      </c>
      <c r="H32" s="21" t="s">
        <v>25</v>
      </c>
      <c r="I32" s="21" t="s">
        <v>26</v>
      </c>
      <c r="J32" s="22" t="s">
        <v>146</v>
      </c>
      <c r="K32" s="27" t="s">
        <v>66</v>
      </c>
      <c r="L32" s="22" t="s">
        <v>146</v>
      </c>
      <c r="M32" s="23" t="s">
        <v>40</v>
      </c>
      <c r="N32" s="23" t="s">
        <v>77</v>
      </c>
      <c r="O32" s="24"/>
      <c r="P32" s="24"/>
      <c r="Q32" s="24"/>
      <c r="R32" s="25"/>
      <c r="S32" s="25"/>
      <c r="T32" s="56"/>
      <c r="U32" s="56"/>
    </row>
    <row r="33" spans="1:21">
      <c r="A33" s="21" t="n">
        <v>30</v>
      </c>
      <c r="B33" s="21">
        <f>E33</f>
        <v>0</v>
      </c>
      <c r="C33" s="21" t="str">
        <f>F33</f>
        <v>19700301 201001 1 006</v>
      </c>
      <c r="D33" s="22" t="s">
        <v>147</v>
      </c>
      <c r="E33" s="22"/>
      <c r="F33" s="21" t="s">
        <v>148</v>
      </c>
      <c r="G33" s="21" t="s">
        <v>33</v>
      </c>
      <c r="H33" s="21" t="s">
        <v>25</v>
      </c>
      <c r="I33" s="21" t="s">
        <v>38</v>
      </c>
      <c r="J33" s="22" t="s">
        <v>149</v>
      </c>
      <c r="K33" s="27" t="s">
        <v>66</v>
      </c>
      <c r="L33" s="22" t="s">
        <v>149</v>
      </c>
      <c r="M33" s="23" t="s">
        <v>72</v>
      </c>
      <c r="N33" s="23" t="s">
        <v>150</v>
      </c>
      <c r="O33" s="24"/>
      <c r="P33" s="24"/>
      <c r="Q33" s="24"/>
      <c r="R33" s="25"/>
      <c r="S33" s="25"/>
      <c r="T33" s="56"/>
      <c r="U33" s="56"/>
    </row>
    <row r="34" spans="1:21">
      <c r="A34" s="21" t="n">
        <v>31</v>
      </c>
      <c r="B34" s="21">
        <f>E34</f>
        <v>0</v>
      </c>
      <c r="C34" s="21" t="str">
        <f>F34</f>
        <v>19730901 199803 2 005</v>
      </c>
      <c r="D34" s="22" t="s">
        <v>151</v>
      </c>
      <c r="E34" s="22"/>
      <c r="F34" s="21" t="s">
        <v>152</v>
      </c>
      <c r="G34" s="21" t="s">
        <v>24</v>
      </c>
      <c r="H34" s="21" t="s">
        <v>25</v>
      </c>
      <c r="I34" s="21" t="s">
        <v>110</v>
      </c>
      <c r="J34" s="22" t="s">
        <v>125</v>
      </c>
      <c r="K34" s="22" t="s">
        <v>126</v>
      </c>
      <c r="L34" s="22" t="s">
        <v>125</v>
      </c>
      <c r="M34" s="23" t="s">
        <v>153</v>
      </c>
      <c r="N34" s="23" t="s">
        <v>128</v>
      </c>
      <c r="O34" s="24"/>
      <c r="P34" s="24"/>
      <c r="Q34" s="24"/>
      <c r="R34" s="25"/>
      <c r="S34" s="25"/>
      <c r="T34" s="56"/>
      <c r="U34" s="56"/>
    </row>
    <row r="35" spans="1:21">
      <c r="A35" s="21" t="n">
        <v>32</v>
      </c>
      <c r="B35" s="21">
        <f>E35</f>
        <v>0</v>
      </c>
      <c r="C35" s="21" t="str">
        <f>F35</f>
        <v>19690826 199403 2 004</v>
      </c>
      <c r="D35" s="22" t="s">
        <v>154</v>
      </c>
      <c r="E35" s="22"/>
      <c r="F35" s="21" t="s">
        <v>155</v>
      </c>
      <c r="G35" s="21" t="s">
        <v>24</v>
      </c>
      <c r="H35" s="21" t="s">
        <v>25</v>
      </c>
      <c r="I35" s="21" t="s">
        <v>110</v>
      </c>
      <c r="J35" s="23" t="s">
        <v>156</v>
      </c>
      <c r="K35" s="27" t="s">
        <v>96</v>
      </c>
      <c r="L35" s="22" t="s">
        <v>156</v>
      </c>
      <c r="M35" s="23" t="s">
        <v>157</v>
      </c>
      <c r="N35" s="29" t="s">
        <v>158</v>
      </c>
      <c r="O35" s="24"/>
      <c r="P35" s="24"/>
      <c r="Q35" s="24"/>
      <c r="R35" s="25"/>
      <c r="S35" s="25"/>
      <c r="T35" s="56"/>
      <c r="U35" s="56"/>
    </row>
    <row r="36" spans="1:21">
      <c r="A36" s="21" t="n">
        <v>33</v>
      </c>
      <c r="B36" s="21">
        <f>E36</f>
        <v>0</v>
      </c>
      <c r="C36" s="21" t="str">
        <f>F36</f>
        <v>19720125 199603 1 003</v>
      </c>
      <c r="D36" s="22" t="s">
        <v>159</v>
      </c>
      <c r="E36" s="22"/>
      <c r="F36" s="21" t="s">
        <v>160</v>
      </c>
      <c r="G36" s="21" t="s">
        <v>33</v>
      </c>
      <c r="H36" s="21" t="s">
        <v>25</v>
      </c>
      <c r="I36" s="21" t="s">
        <v>110</v>
      </c>
      <c r="J36" s="23" t="s">
        <v>156</v>
      </c>
      <c r="K36" s="27" t="s">
        <v>96</v>
      </c>
      <c r="L36" s="22" t="s">
        <v>156</v>
      </c>
      <c r="M36" s="23" t="s">
        <v>161</v>
      </c>
      <c r="N36" s="23" t="s">
        <v>162</v>
      </c>
      <c r="O36" s="24"/>
      <c r="P36" s="24"/>
      <c r="Q36" s="24"/>
      <c r="R36" s="25"/>
      <c r="S36" s="25"/>
      <c r="T36" s="56"/>
      <c r="U36" s="56"/>
    </row>
    <row r="37" spans="1:21">
      <c r="A37" s="21" t="n">
        <v>34</v>
      </c>
      <c r="B37" s="21">
        <f>E37</f>
        <v>0</v>
      </c>
      <c r="C37" s="21" t="str">
        <f>F37</f>
        <v>19671003 199403 2 006</v>
      </c>
      <c r="D37" s="22" t="s">
        <v>163</v>
      </c>
      <c r="E37" s="22"/>
      <c r="F37" s="21" t="s">
        <v>164</v>
      </c>
      <c r="G37" s="21" t="s">
        <v>24</v>
      </c>
      <c r="H37" s="21" t="s">
        <v>25</v>
      </c>
      <c r="I37" s="21" t="s">
        <v>110</v>
      </c>
      <c r="J37" s="23" t="s">
        <v>156</v>
      </c>
      <c r="K37" s="27" t="s">
        <v>96</v>
      </c>
      <c r="L37" s="22" t="s">
        <v>156</v>
      </c>
      <c r="M37" s="23" t="s">
        <v>157</v>
      </c>
      <c r="N37" s="23" t="s">
        <v>165</v>
      </c>
      <c r="O37" s="24"/>
      <c r="P37" s="24"/>
      <c r="Q37" s="24"/>
      <c r="R37" s="25"/>
      <c r="S37" s="25"/>
      <c r="T37" s="56"/>
      <c r="U37" s="56"/>
    </row>
    <row r="38" spans="1:21">
      <c r="A38" s="21" t="n">
        <v>35</v>
      </c>
      <c r="B38" s="21">
        <f>E38</f>
        <v>0</v>
      </c>
      <c r="C38" s="21" t="str">
        <f>F38</f>
        <v>19740324 199903 2 004</v>
      </c>
      <c r="D38" s="22" t="s">
        <v>166</v>
      </c>
      <c r="E38" s="22"/>
      <c r="F38" s="21" t="s">
        <v>167</v>
      </c>
      <c r="G38" s="21" t="s">
        <v>24</v>
      </c>
      <c r="H38" s="21" t="s">
        <v>25</v>
      </c>
      <c r="I38" s="21" t="s">
        <v>110</v>
      </c>
      <c r="J38" s="23" t="s">
        <v>156</v>
      </c>
      <c r="K38" s="27" t="s">
        <v>96</v>
      </c>
      <c r="L38" s="22" t="s">
        <v>156</v>
      </c>
      <c r="M38" s="23" t="s">
        <v>161</v>
      </c>
      <c r="N38" s="23" t="s">
        <v>168</v>
      </c>
      <c r="O38" s="24"/>
      <c r="P38" s="24"/>
      <c r="Q38" s="24"/>
      <c r="R38" s="25"/>
      <c r="S38" s="25"/>
      <c r="T38" s="56"/>
      <c r="U38" s="56"/>
    </row>
    <row r="39" spans="1:21">
      <c r="A39" s="21" t="n">
        <v>36</v>
      </c>
      <c r="B39" s="21">
        <f>E39</f>
        <v>0</v>
      </c>
      <c r="C39" s="21" t="str">
        <f>F39</f>
        <v>19740127 199403 2 004</v>
      </c>
      <c r="D39" s="22" t="s">
        <v>169</v>
      </c>
      <c r="E39" s="22"/>
      <c r="F39" s="21" t="s">
        <v>170</v>
      </c>
      <c r="G39" s="21" t="s">
        <v>24</v>
      </c>
      <c r="H39" s="21" t="s">
        <v>25</v>
      </c>
      <c r="I39" s="21" t="s">
        <v>110</v>
      </c>
      <c r="J39" s="22" t="s">
        <v>171</v>
      </c>
      <c r="K39" s="22" t="s">
        <v>132</v>
      </c>
      <c r="L39" s="22" t="s">
        <v>171</v>
      </c>
      <c r="M39" s="23" t="s">
        <v>172</v>
      </c>
      <c r="N39" s="23" t="s">
        <v>173</v>
      </c>
      <c r="O39" s="24"/>
      <c r="P39" s="24"/>
      <c r="Q39" s="24"/>
      <c r="R39" s="25"/>
      <c r="S39" s="25"/>
      <c r="T39" s="56"/>
      <c r="U39" s="56"/>
    </row>
    <row r="40" spans="1:21">
      <c r="A40" s="21" t="n">
        <v>37</v>
      </c>
      <c r="B40" s="21">
        <f>E40</f>
        <v>0</v>
      </c>
      <c r="C40" s="21" t="str">
        <f>F40</f>
        <v>19700402 199803 2 003</v>
      </c>
      <c r="D40" s="22" t="s">
        <v>174</v>
      </c>
      <c r="E40" s="22"/>
      <c r="F40" s="21" t="s">
        <v>175</v>
      </c>
      <c r="G40" s="21" t="s">
        <v>24</v>
      </c>
      <c r="H40" s="21" t="s">
        <v>25</v>
      </c>
      <c r="I40" s="21" t="s">
        <v>110</v>
      </c>
      <c r="J40" s="23" t="s">
        <v>156</v>
      </c>
      <c r="K40" s="27" t="s">
        <v>96</v>
      </c>
      <c r="L40" s="22" t="s">
        <v>156</v>
      </c>
      <c r="M40" s="23" t="s">
        <v>161</v>
      </c>
      <c r="N40" s="23" t="s">
        <v>176</v>
      </c>
      <c r="O40" s="24"/>
      <c r="P40" s="24"/>
      <c r="Q40" s="24"/>
      <c r="R40" s="25"/>
      <c r="S40" s="25"/>
      <c r="T40" s="56"/>
      <c r="U40" s="56"/>
    </row>
    <row r="41" spans="1:21">
      <c r="A41" s="21" t="n">
        <v>38</v>
      </c>
      <c r="B41" s="21">
        <f>E41</f>
        <v>0</v>
      </c>
      <c r="C41" s="21" t="str">
        <f>F41</f>
        <v>19730617 199503 1 001</v>
      </c>
      <c r="D41" s="22" t="s">
        <v>177</v>
      </c>
      <c r="E41" s="22"/>
      <c r="F41" s="21" t="s">
        <v>178</v>
      </c>
      <c r="G41" s="21" t="s">
        <v>33</v>
      </c>
      <c r="H41" s="21" t="s">
        <v>25</v>
      </c>
      <c r="I41" s="21" t="s">
        <v>110</v>
      </c>
      <c r="J41" s="23" t="s">
        <v>156</v>
      </c>
      <c r="K41" s="27" t="s">
        <v>96</v>
      </c>
      <c r="L41" s="22" t="s">
        <v>156</v>
      </c>
      <c r="M41" s="23" t="s">
        <v>40</v>
      </c>
      <c r="N41" s="23" t="s">
        <v>168</v>
      </c>
      <c r="O41" s="24"/>
      <c r="P41" s="24"/>
      <c r="Q41" s="24"/>
      <c r="R41" s="25"/>
      <c r="S41" s="25"/>
      <c r="T41" s="56"/>
      <c r="U41" s="56"/>
    </row>
    <row r="42" spans="1:21">
      <c r="A42" s="21" t="n">
        <v>39</v>
      </c>
      <c r="B42" s="21">
        <f>E42</f>
        <v>0</v>
      </c>
      <c r="C42" s="21" t="str">
        <f>F42</f>
        <v>19680315 199103 1 021</v>
      </c>
      <c r="D42" s="22" t="s">
        <v>179</v>
      </c>
      <c r="E42" s="22"/>
      <c r="F42" s="21" t="s">
        <v>180</v>
      </c>
      <c r="G42" s="21" t="s">
        <v>33</v>
      </c>
      <c r="H42" s="21" t="s">
        <v>25</v>
      </c>
      <c r="I42" s="21" t="s">
        <v>110</v>
      </c>
      <c r="J42" s="23" t="s">
        <v>156</v>
      </c>
      <c r="K42" s="27" t="s">
        <v>96</v>
      </c>
      <c r="L42" s="22" t="s">
        <v>156</v>
      </c>
      <c r="M42" s="28" t="s">
        <v>181</v>
      </c>
      <c r="N42" s="23" t="s">
        <v>182</v>
      </c>
      <c r="O42" s="24"/>
      <c r="P42" s="24"/>
      <c r="Q42" s="24"/>
      <c r="R42" s="25"/>
      <c r="S42" s="25"/>
      <c r="T42" s="56"/>
      <c r="U42" s="56"/>
    </row>
    <row r="43" spans="1:21">
      <c r="A43" s="21" t="n">
        <v>40</v>
      </c>
      <c r="B43" s="21">
        <f>E43</f>
        <v>0</v>
      </c>
      <c r="C43" s="21" t="str">
        <f>F43</f>
        <v>19840114 201001 2 007</v>
      </c>
      <c r="D43" s="22" t="s">
        <v>183</v>
      </c>
      <c r="E43" s="22"/>
      <c r="F43" s="21" t="s">
        <v>184</v>
      </c>
      <c r="G43" s="21" t="s">
        <v>24</v>
      </c>
      <c r="H43" s="21" t="s">
        <v>25</v>
      </c>
      <c r="I43" s="21" t="s">
        <v>38</v>
      </c>
      <c r="J43" s="22" t="s">
        <v>65</v>
      </c>
      <c r="K43" s="27" t="s">
        <v>66</v>
      </c>
      <c r="L43" s="22" t="s">
        <v>65</v>
      </c>
      <c r="M43" s="23" t="s">
        <v>67</v>
      </c>
      <c r="N43" s="23" t="s">
        <v>68</v>
      </c>
      <c r="O43" s="24"/>
      <c r="P43" s="24"/>
      <c r="Q43" s="24"/>
      <c r="R43" s="25"/>
      <c r="S43" s="25"/>
      <c r="T43" s="56"/>
      <c r="U43" s="56"/>
    </row>
    <row r="44" spans="1:21">
      <c r="A44" s="21" t="n">
        <v>41</v>
      </c>
      <c r="B44" s="21">
        <f>E44</f>
        <v>0</v>
      </c>
      <c r="C44" s="21" t="str">
        <f>F44</f>
        <v>19840729 201001 1 013</v>
      </c>
      <c r="D44" s="22" t="s">
        <v>185</v>
      </c>
      <c r="E44" s="22"/>
      <c r="F44" s="21" t="s">
        <v>186</v>
      </c>
      <c r="G44" s="21" t="s">
        <v>33</v>
      </c>
      <c r="H44" s="21" t="s">
        <v>25</v>
      </c>
      <c r="I44" s="21" t="s">
        <v>110</v>
      </c>
      <c r="J44" s="22" t="s">
        <v>187</v>
      </c>
      <c r="K44" s="27" t="s">
        <v>66</v>
      </c>
      <c r="L44" s="22" t="s">
        <v>187</v>
      </c>
      <c r="M44" s="23" t="s">
        <v>72</v>
      </c>
      <c r="N44" s="23" t="s">
        <v>188</v>
      </c>
      <c r="O44" s="24"/>
      <c r="P44" s="24"/>
      <c r="Q44" s="24"/>
      <c r="R44" s="25"/>
      <c r="S44" s="25"/>
      <c r="T44" s="56"/>
      <c r="U44" s="56"/>
    </row>
    <row r="45" spans="1:21">
      <c r="A45" s="21" t="n">
        <v>42</v>
      </c>
      <c r="B45" s="21">
        <f>E45</f>
        <v>0</v>
      </c>
      <c r="C45" s="21" t="str">
        <f>F45</f>
        <v>19760304 199703 1 005</v>
      </c>
      <c r="D45" s="22" t="s">
        <v>189</v>
      </c>
      <c r="E45" s="22"/>
      <c r="F45" s="21" t="s">
        <v>190</v>
      </c>
      <c r="G45" s="21" t="s">
        <v>33</v>
      </c>
      <c r="H45" s="21" t="s">
        <v>25</v>
      </c>
      <c r="I45" s="21" t="s">
        <v>38</v>
      </c>
      <c r="J45" s="23" t="s">
        <v>95</v>
      </c>
      <c r="K45" s="27" t="s">
        <v>96</v>
      </c>
      <c r="L45" s="22" t="s">
        <v>95</v>
      </c>
      <c r="M45" s="23" t="s">
        <v>40</v>
      </c>
      <c r="N45" s="23" t="s">
        <v>168</v>
      </c>
      <c r="O45" s="24"/>
      <c r="P45" s="24"/>
      <c r="Q45" s="24"/>
      <c r="R45" s="25"/>
      <c r="S45" s="25"/>
      <c r="T45" s="56"/>
      <c r="U45" s="56"/>
    </row>
    <row r="46" spans="1:21">
      <c r="A46" s="21" t="n">
        <v>43</v>
      </c>
      <c r="B46" s="21">
        <f>E46</f>
        <v>0</v>
      </c>
      <c r="C46" s="21" t="str">
        <f>F46</f>
        <v>19781101 200701 2 011</v>
      </c>
      <c r="D46" s="22" t="s">
        <v>191</v>
      </c>
      <c r="E46" s="22"/>
      <c r="F46" s="21" t="s">
        <v>192</v>
      </c>
      <c r="G46" s="21" t="s">
        <v>24</v>
      </c>
      <c r="H46" s="21" t="s">
        <v>25</v>
      </c>
      <c r="I46" s="21" t="s">
        <v>110</v>
      </c>
      <c r="J46" s="22" t="s">
        <v>193</v>
      </c>
      <c r="K46" s="27" t="s">
        <v>66</v>
      </c>
      <c r="L46" s="22" t="s">
        <v>194</v>
      </c>
      <c r="M46" s="23" t="s">
        <v>72</v>
      </c>
      <c r="N46" s="23" t="s">
        <v>173</v>
      </c>
      <c r="O46" s="24"/>
      <c r="P46" s="24"/>
      <c r="Q46" s="24"/>
      <c r="R46" s="25"/>
      <c r="S46" s="25"/>
      <c r="T46" s="56"/>
      <c r="U46" s="56"/>
    </row>
    <row r="47" spans="1:21">
      <c r="A47" s="21" t="n">
        <v>44</v>
      </c>
      <c r="B47" s="21">
        <f>E47</f>
        <v>0</v>
      </c>
      <c r="C47" s="21" t="str">
        <f>F47</f>
        <v>19770413 199703 1 002</v>
      </c>
      <c r="D47" s="22" t="s">
        <v>195</v>
      </c>
      <c r="E47" s="22"/>
      <c r="F47" s="21" t="s">
        <v>196</v>
      </c>
      <c r="G47" s="21" t="s">
        <v>33</v>
      </c>
      <c r="H47" s="21" t="s">
        <v>25</v>
      </c>
      <c r="I47" s="21" t="s">
        <v>38</v>
      </c>
      <c r="J47" s="23" t="s">
        <v>95</v>
      </c>
      <c r="K47" s="27" t="s">
        <v>96</v>
      </c>
      <c r="L47" s="22" t="s">
        <v>95</v>
      </c>
      <c r="M47" s="23" t="s">
        <v>40</v>
      </c>
      <c r="N47" s="30" t="s">
        <v>197</v>
      </c>
      <c r="O47" s="24"/>
      <c r="P47" s="24"/>
      <c r="Q47" s="24"/>
      <c r="R47" s="25"/>
      <c r="S47" s="25"/>
      <c r="T47" s="56"/>
      <c r="U47" s="56"/>
    </row>
    <row r="48" spans="1:21">
      <c r="A48" s="21" t="n">
        <v>45</v>
      </c>
      <c r="B48" s="21">
        <f>E48</f>
        <v>0</v>
      </c>
      <c r="C48" s="21" t="str">
        <f>F48</f>
        <v>19740510 199302 2 001</v>
      </c>
      <c r="D48" s="22" t="s">
        <v>198</v>
      </c>
      <c r="E48" s="22"/>
      <c r="F48" s="21" t="s">
        <v>199</v>
      </c>
      <c r="G48" s="21" t="s">
        <v>24</v>
      </c>
      <c r="H48" s="21" t="s">
        <v>25</v>
      </c>
      <c r="I48" s="21" t="s">
        <v>38</v>
      </c>
      <c r="J48" s="22" t="s">
        <v>200</v>
      </c>
      <c r="K48" s="27" t="s">
        <v>201</v>
      </c>
      <c r="L48" s="22" t="s">
        <v>200</v>
      </c>
      <c r="M48" s="28" t="s">
        <v>202</v>
      </c>
      <c r="N48" s="23" t="s">
        <v>203</v>
      </c>
      <c r="O48" s="24"/>
      <c r="P48" s="24"/>
      <c r="Q48" s="24"/>
      <c r="R48" s="25"/>
      <c r="S48" s="25"/>
      <c r="T48" s="56"/>
      <c r="U48" s="56"/>
    </row>
    <row r="49" spans="1:21">
      <c r="A49" s="21" t="n">
        <v>46</v>
      </c>
      <c r="B49" s="21">
        <f>E49</f>
        <v>0</v>
      </c>
      <c r="C49" s="21" t="str">
        <f>F49</f>
        <v>19741111 199703 1 004</v>
      </c>
      <c r="D49" s="22" t="s">
        <v>204</v>
      </c>
      <c r="E49" s="22"/>
      <c r="F49" s="21" t="s">
        <v>205</v>
      </c>
      <c r="G49" s="21" t="s">
        <v>33</v>
      </c>
      <c r="H49" s="21" t="s">
        <v>25</v>
      </c>
      <c r="I49" s="21" t="s">
        <v>110</v>
      </c>
      <c r="J49" s="23" t="s">
        <v>156</v>
      </c>
      <c r="K49" s="27" t="s">
        <v>96</v>
      </c>
      <c r="L49" s="22" t="s">
        <v>156</v>
      </c>
      <c r="M49" s="23" t="s">
        <v>40</v>
      </c>
      <c r="N49" s="23" t="s">
        <v>168</v>
      </c>
      <c r="O49" s="24"/>
      <c r="P49" s="24"/>
      <c r="Q49" s="24"/>
      <c r="R49" s="25"/>
      <c r="S49" s="25"/>
      <c r="T49" s="56"/>
      <c r="U49" s="56"/>
    </row>
    <row r="50" spans="1:21">
      <c r="A50" s="21" t="n">
        <v>47</v>
      </c>
      <c r="B50" s="21">
        <f>E50</f>
        <v>0</v>
      </c>
      <c r="C50" s="21" t="str">
        <f>F50</f>
        <v>19700322 199203 2 007</v>
      </c>
      <c r="D50" s="22" t="s">
        <v>206</v>
      </c>
      <c r="E50" s="22"/>
      <c r="F50" s="21" t="s">
        <v>207</v>
      </c>
      <c r="G50" s="21" t="s">
        <v>24</v>
      </c>
      <c r="H50" s="21" t="s">
        <v>25</v>
      </c>
      <c r="I50" s="21" t="s">
        <v>110</v>
      </c>
      <c r="J50" s="22" t="s">
        <v>208</v>
      </c>
      <c r="K50" s="27" t="s">
        <v>201</v>
      </c>
      <c r="L50" s="22" t="s">
        <v>208</v>
      </c>
      <c r="M50" s="23" t="s">
        <v>209</v>
      </c>
      <c r="N50" s="23" t="s">
        <v>210</v>
      </c>
      <c r="O50" s="24"/>
      <c r="P50" s="24"/>
      <c r="Q50" s="24"/>
      <c r="R50" s="25"/>
      <c r="S50" s="25"/>
      <c r="T50" s="56"/>
      <c r="U50" s="56"/>
    </row>
    <row r="51" spans="1:21">
      <c r="A51" s="21" t="n">
        <v>48</v>
      </c>
      <c r="B51" s="21">
        <f>E51</f>
        <v>0</v>
      </c>
      <c r="C51" s="21" t="str">
        <f>F51</f>
        <v>19700330 199803 1 008</v>
      </c>
      <c r="D51" s="22" t="s">
        <v>211</v>
      </c>
      <c r="E51" s="22"/>
      <c r="F51" s="21" t="s">
        <v>212</v>
      </c>
      <c r="G51" s="21" t="s">
        <v>33</v>
      </c>
      <c r="H51" s="21" t="s">
        <v>25</v>
      </c>
      <c r="I51" s="21" t="s">
        <v>110</v>
      </c>
      <c r="J51" s="22" t="s">
        <v>213</v>
      </c>
      <c r="K51" s="22" t="s">
        <v>132</v>
      </c>
      <c r="L51" s="22" t="s">
        <v>213</v>
      </c>
      <c r="M51" s="23" t="s">
        <v>214</v>
      </c>
      <c r="N51" s="23" t="s">
        <v>134</v>
      </c>
      <c r="O51" s="24"/>
      <c r="P51" s="24"/>
      <c r="Q51" s="24"/>
      <c r="R51" s="25"/>
      <c r="S51" s="25"/>
      <c r="T51" s="56"/>
      <c r="U51" s="56"/>
    </row>
    <row r="52" spans="1:21">
      <c r="A52" s="21" t="n">
        <v>49</v>
      </c>
      <c r="B52" s="21">
        <f>E52</f>
        <v>0</v>
      </c>
      <c r="C52" s="21" t="str">
        <f>F52</f>
        <v>19800725 200903 2 002</v>
      </c>
      <c r="D52" s="22" t="s">
        <v>215</v>
      </c>
      <c r="E52" s="22"/>
      <c r="F52" s="21" t="s">
        <v>216</v>
      </c>
      <c r="G52" s="21" t="s">
        <v>24</v>
      </c>
      <c r="H52" s="21" t="s">
        <v>25</v>
      </c>
      <c r="I52" s="21" t="s">
        <v>110</v>
      </c>
      <c r="J52" s="22" t="s">
        <v>217</v>
      </c>
      <c r="K52" s="27" t="s">
        <v>66</v>
      </c>
      <c r="L52" s="22" t="s">
        <v>217</v>
      </c>
      <c r="M52" s="23" t="s">
        <v>72</v>
      </c>
      <c r="N52" s="23" t="s">
        <v>218</v>
      </c>
      <c r="O52" s="24"/>
      <c r="P52" s="24"/>
      <c r="Q52" s="24"/>
      <c r="R52" s="25"/>
      <c r="S52" s="25"/>
      <c r="T52" s="56"/>
      <c r="U52" s="56"/>
    </row>
    <row r="53" spans="1:21">
      <c r="A53" s="21" t="n">
        <v>50</v>
      </c>
      <c r="B53" s="21">
        <f>E53</f>
        <v>0</v>
      </c>
      <c r="C53" s="21" t="str">
        <f>F53</f>
        <v>19780416 200604 2 017</v>
      </c>
      <c r="D53" s="22" t="s">
        <v>219</v>
      </c>
      <c r="E53" s="22"/>
      <c r="F53" s="21" t="s">
        <v>220</v>
      </c>
      <c r="G53" s="21" t="s">
        <v>24</v>
      </c>
      <c r="H53" s="21" t="s">
        <v>25</v>
      </c>
      <c r="I53" s="21" t="s">
        <v>110</v>
      </c>
      <c r="J53" s="23" t="s">
        <v>221</v>
      </c>
      <c r="K53" s="27" t="s">
        <v>96</v>
      </c>
      <c r="L53" s="22" t="s">
        <v>221</v>
      </c>
      <c r="M53" s="23" t="s">
        <v>40</v>
      </c>
      <c r="N53" s="23" t="s">
        <v>222</v>
      </c>
      <c r="O53" s="24"/>
      <c r="P53" s="24"/>
      <c r="Q53" s="24"/>
      <c r="R53" s="25"/>
      <c r="S53" s="25"/>
      <c r="T53" s="56"/>
      <c r="U53" s="56"/>
    </row>
    <row r="54" spans="1:21">
      <c r="A54" s="21" t="n">
        <v>51</v>
      </c>
      <c r="B54" s="21">
        <f>E54</f>
        <v>0</v>
      </c>
      <c r="C54" s="21" t="str">
        <f>F54</f>
        <v>19761209 200604 2 022</v>
      </c>
      <c r="D54" s="22" t="s">
        <v>223</v>
      </c>
      <c r="E54" s="22"/>
      <c r="F54" s="21" t="s">
        <v>224</v>
      </c>
      <c r="G54" s="21" t="s">
        <v>24</v>
      </c>
      <c r="H54" s="21" t="s">
        <v>25</v>
      </c>
      <c r="I54" s="21" t="s">
        <v>110</v>
      </c>
      <c r="J54" s="23" t="s">
        <v>221</v>
      </c>
      <c r="K54" s="27" t="s">
        <v>96</v>
      </c>
      <c r="L54" s="22" t="s">
        <v>221</v>
      </c>
      <c r="M54" s="23" t="s">
        <v>40</v>
      </c>
      <c r="N54" s="23" t="s">
        <v>225</v>
      </c>
      <c r="O54" s="24"/>
      <c r="P54" s="24"/>
      <c r="Q54" s="24"/>
      <c r="R54" s="25"/>
      <c r="S54" s="25"/>
      <c r="T54" s="56"/>
      <c r="U54" s="56"/>
    </row>
    <row r="55" spans="1:21">
      <c r="A55" s="21" t="n">
        <v>52</v>
      </c>
      <c r="B55" s="21">
        <f>E55</f>
        <v>0</v>
      </c>
      <c r="C55" s="21" t="str">
        <f>F55</f>
        <v>19761226 200903 1 003</v>
      </c>
      <c r="D55" s="22" t="s">
        <v>226</v>
      </c>
      <c r="E55" s="22"/>
      <c r="F55" s="21" t="s">
        <v>227</v>
      </c>
      <c r="G55" s="21" t="s">
        <v>33</v>
      </c>
      <c r="H55" s="21" t="s">
        <v>25</v>
      </c>
      <c r="I55" s="21" t="s">
        <v>110</v>
      </c>
      <c r="J55" s="22" t="s">
        <v>228</v>
      </c>
      <c r="K55" s="27" t="s">
        <v>66</v>
      </c>
      <c r="L55" s="22" t="s">
        <v>187</v>
      </c>
      <c r="M55" s="23" t="s">
        <v>72</v>
      </c>
      <c r="N55" s="23" t="s">
        <v>188</v>
      </c>
      <c r="O55" s="24"/>
      <c r="P55" s="24"/>
      <c r="Q55" s="24"/>
      <c r="R55" s="25"/>
      <c r="S55" s="25"/>
      <c r="T55" s="56"/>
      <c r="U55" s="56"/>
    </row>
    <row r="56" spans="1:21">
      <c r="A56" s="21" t="n">
        <v>53</v>
      </c>
      <c r="B56" s="21">
        <f>E56</f>
        <v>0</v>
      </c>
      <c r="C56" s="21" t="str">
        <f>F56</f>
        <v>19760808 201001 2 009</v>
      </c>
      <c r="D56" s="22" t="s">
        <v>229</v>
      </c>
      <c r="E56" s="22"/>
      <c r="F56" s="21" t="s">
        <v>230</v>
      </c>
      <c r="G56" s="21" t="s">
        <v>24</v>
      </c>
      <c r="H56" s="21" t="s">
        <v>25</v>
      </c>
      <c r="I56" s="21" t="s">
        <v>231</v>
      </c>
      <c r="J56" s="22" t="s">
        <v>232</v>
      </c>
      <c r="K56" s="27" t="s">
        <v>66</v>
      </c>
      <c r="L56" s="22" t="s">
        <v>232</v>
      </c>
      <c r="M56" s="23" t="s">
        <v>72</v>
      </c>
      <c r="N56" s="23" t="s">
        <v>134</v>
      </c>
      <c r="O56" s="24"/>
      <c r="P56" s="24"/>
      <c r="Q56" s="24"/>
      <c r="R56" s="25"/>
      <c r="S56" s="25"/>
      <c r="T56" s="56"/>
      <c r="U56" s="56"/>
    </row>
    <row r="57" spans="1:21">
      <c r="A57" s="21" t="n">
        <v>54</v>
      </c>
      <c r="B57" s="21">
        <f>E57</f>
        <v>0</v>
      </c>
      <c r="C57" s="21" t="str">
        <f>F57</f>
        <v>19760327 200003 1 001</v>
      </c>
      <c r="D57" s="22" t="s">
        <v>233</v>
      </c>
      <c r="E57" s="22"/>
      <c r="F57" s="21" t="s">
        <v>234</v>
      </c>
      <c r="G57" s="21" t="s">
        <v>33</v>
      </c>
      <c r="H57" s="21" t="s">
        <v>25</v>
      </c>
      <c r="I57" s="21" t="s">
        <v>110</v>
      </c>
      <c r="J57" s="23" t="s">
        <v>156</v>
      </c>
      <c r="K57" s="27" t="s">
        <v>96</v>
      </c>
      <c r="L57" s="22" t="s">
        <v>156</v>
      </c>
      <c r="M57" s="23" t="s">
        <v>40</v>
      </c>
      <c r="N57" s="23" t="s">
        <v>235</v>
      </c>
      <c r="O57" s="24"/>
      <c r="P57" s="24"/>
      <c r="Q57" s="24"/>
      <c r="R57" s="25"/>
      <c r="S57" s="25"/>
      <c r="T57" s="56"/>
      <c r="U57" s="56"/>
    </row>
    <row r="58" spans="1:21">
      <c r="A58" s="21" t="n">
        <v>55</v>
      </c>
      <c r="B58" s="21">
        <f>E58</f>
        <v>0</v>
      </c>
      <c r="C58" s="21" t="str">
        <f>F58</f>
        <v>19830715 201001 1 022</v>
      </c>
      <c r="D58" s="22" t="s">
        <v>236</v>
      </c>
      <c r="E58" s="22"/>
      <c r="F58" s="21" t="s">
        <v>237</v>
      </c>
      <c r="G58" s="21" t="s">
        <v>33</v>
      </c>
      <c r="H58" s="21" t="s">
        <v>25</v>
      </c>
      <c r="I58" s="21" t="s">
        <v>110</v>
      </c>
      <c r="J58" s="22" t="s">
        <v>238</v>
      </c>
      <c r="K58" s="27" t="s">
        <v>66</v>
      </c>
      <c r="L58" s="22" t="s">
        <v>238</v>
      </c>
      <c r="M58" s="23" t="s">
        <v>67</v>
      </c>
      <c r="N58" s="23" t="s">
        <v>68</v>
      </c>
      <c r="O58" s="24"/>
      <c r="P58" s="24"/>
      <c r="Q58" s="24"/>
      <c r="R58" s="25"/>
      <c r="S58" s="25"/>
      <c r="T58" s="56"/>
      <c r="U58" s="56"/>
    </row>
    <row r="59" spans="1:21">
      <c r="A59" s="21" t="n">
        <v>56</v>
      </c>
      <c r="B59" s="21">
        <f>E59</f>
        <v>0</v>
      </c>
      <c r="C59" s="21" t="str">
        <f>F59</f>
        <v>19671015 198901 1 003</v>
      </c>
      <c r="D59" s="22" t="s">
        <v>239</v>
      </c>
      <c r="E59" s="22"/>
      <c r="F59" s="21" t="s">
        <v>240</v>
      </c>
      <c r="G59" s="21" t="s">
        <v>33</v>
      </c>
      <c r="H59" s="21" t="s">
        <v>25</v>
      </c>
      <c r="I59" s="21" t="s">
        <v>231</v>
      </c>
      <c r="J59" s="22" t="s">
        <v>241</v>
      </c>
      <c r="K59" s="22" t="s">
        <v>242</v>
      </c>
      <c r="L59" s="22" t="s">
        <v>243</v>
      </c>
      <c r="M59" s="23" t="s">
        <v>244</v>
      </c>
      <c r="N59" s="23" t="s">
        <v>245</v>
      </c>
      <c r="O59" s="24"/>
      <c r="P59" s="24"/>
      <c r="Q59" s="24"/>
      <c r="R59" s="25"/>
      <c r="S59" s="25"/>
      <c r="T59" s="56"/>
      <c r="U59" s="56"/>
    </row>
    <row r="60" spans="1:21">
      <c r="A60" s="21" t="n">
        <v>57</v>
      </c>
      <c r="B60" s="21">
        <f>E60</f>
        <v>0</v>
      </c>
      <c r="C60" s="21" t="str">
        <f>F60</f>
        <v>19700423 199503 2 006</v>
      </c>
      <c r="D60" s="22" t="s">
        <v>246</v>
      </c>
      <c r="E60" s="22"/>
      <c r="F60" s="21" t="s">
        <v>247</v>
      </c>
      <c r="G60" s="21" t="s">
        <v>24</v>
      </c>
      <c r="H60" s="21" t="s">
        <v>25</v>
      </c>
      <c r="I60" s="24" t="s">
        <v>110</v>
      </c>
      <c r="J60" s="23" t="s">
        <v>156</v>
      </c>
      <c r="K60" s="27" t="s">
        <v>96</v>
      </c>
      <c r="L60" s="22" t="s">
        <v>156</v>
      </c>
      <c r="M60" s="28" t="s">
        <v>181</v>
      </c>
      <c r="N60" s="23" t="s">
        <v>83</v>
      </c>
      <c r="O60" s="24"/>
      <c r="P60" s="24"/>
      <c r="Q60" s="24"/>
      <c r="R60" s="25"/>
      <c r="S60" s="25"/>
      <c r="T60" s="56"/>
      <c r="U60" s="56"/>
    </row>
    <row r="61" spans="1:21">
      <c r="A61" s="21" t="n">
        <v>58</v>
      </c>
      <c r="B61" s="21">
        <f>E61</f>
        <v>0</v>
      </c>
      <c r="C61" s="21" t="str">
        <f>F61</f>
        <v>19850707 201101 2 026</v>
      </c>
      <c r="D61" s="22" t="s">
        <v>248</v>
      </c>
      <c r="E61" s="22"/>
      <c r="F61" s="21" t="s">
        <v>249</v>
      </c>
      <c r="G61" s="21" t="s">
        <v>24</v>
      </c>
      <c r="H61" s="21" t="s">
        <v>25</v>
      </c>
      <c r="I61" s="21" t="s">
        <v>110</v>
      </c>
      <c r="J61" s="23" t="s">
        <v>221</v>
      </c>
      <c r="K61" s="27" t="s">
        <v>96</v>
      </c>
      <c r="L61" s="22" t="s">
        <v>221</v>
      </c>
      <c r="M61" s="23" t="s">
        <v>40</v>
      </c>
      <c r="N61" s="29" t="s">
        <v>250</v>
      </c>
      <c r="O61" s="24"/>
      <c r="P61" s="24"/>
      <c r="Q61" s="24"/>
      <c r="R61" s="25"/>
      <c r="S61" s="25"/>
      <c r="T61" s="56"/>
      <c r="U61" s="56"/>
    </row>
    <row r="62" spans="1:21">
      <c r="A62" s="21" t="n">
        <v>59</v>
      </c>
      <c r="B62" s="21">
        <f>E62</f>
        <v>0</v>
      </c>
      <c r="C62" s="21" t="str">
        <f>F62</f>
        <v>19850523 201001 2 013</v>
      </c>
      <c r="D62" s="22" t="s">
        <v>251</v>
      </c>
      <c r="E62" s="22"/>
      <c r="F62" s="21" t="s">
        <v>252</v>
      </c>
      <c r="G62" s="21" t="s">
        <v>24</v>
      </c>
      <c r="H62" s="21" t="s">
        <v>25</v>
      </c>
      <c r="I62" s="24" t="s">
        <v>110</v>
      </c>
      <c r="J62" s="22" t="s">
        <v>253</v>
      </c>
      <c r="K62" s="22" t="s">
        <v>254</v>
      </c>
      <c r="L62" s="22" t="s">
        <v>253</v>
      </c>
      <c r="M62" s="23" t="s">
        <v>40</v>
      </c>
      <c r="N62" s="23" t="s">
        <v>61</v>
      </c>
      <c r="O62" s="24"/>
      <c r="P62" s="24"/>
      <c r="Q62" s="24"/>
      <c r="R62" s="25"/>
      <c r="S62" s="25"/>
      <c r="T62" s="56"/>
      <c r="U62" s="56"/>
    </row>
    <row r="63" spans="1:21">
      <c r="A63" s="21" t="n">
        <v>60</v>
      </c>
      <c r="B63" s="21">
        <f>E63</f>
        <v>0</v>
      </c>
      <c r="C63" s="21" t="str">
        <f>F63</f>
        <v>19840507 201101 2 012</v>
      </c>
      <c r="D63" s="22" t="s">
        <v>255</v>
      </c>
      <c r="E63" s="22"/>
      <c r="F63" s="21" t="s">
        <v>256</v>
      </c>
      <c r="G63" s="21" t="s">
        <v>24</v>
      </c>
      <c r="H63" s="21" t="s">
        <v>25</v>
      </c>
      <c r="I63" s="21" t="s">
        <v>110</v>
      </c>
      <c r="J63" s="23" t="s">
        <v>221</v>
      </c>
      <c r="K63" s="27" t="s">
        <v>96</v>
      </c>
      <c r="L63" s="22" t="s">
        <v>221</v>
      </c>
      <c r="M63" s="23" t="s">
        <v>40</v>
      </c>
      <c r="N63" s="29" t="s">
        <v>162</v>
      </c>
      <c r="O63" s="24"/>
      <c r="P63" s="24"/>
      <c r="Q63" s="24"/>
      <c r="R63" s="25"/>
      <c r="S63" s="25"/>
      <c r="T63" s="56"/>
      <c r="U63" s="56"/>
    </row>
    <row r="64" spans="1:21">
      <c r="A64" s="21" t="n">
        <v>61</v>
      </c>
      <c r="B64" s="21">
        <f>E64</f>
        <v>0</v>
      </c>
      <c r="C64" s="21" t="str">
        <f>F64</f>
        <v>19860422 201101 2 014</v>
      </c>
      <c r="D64" s="22" t="s">
        <v>257</v>
      </c>
      <c r="E64" s="22"/>
      <c r="F64" s="21" t="s">
        <v>258</v>
      </c>
      <c r="G64" s="21" t="s">
        <v>24</v>
      </c>
      <c r="H64" s="21" t="s">
        <v>25</v>
      </c>
      <c r="I64" s="24" t="s">
        <v>110</v>
      </c>
      <c r="J64" s="22" t="s">
        <v>253</v>
      </c>
      <c r="K64" s="22" t="s">
        <v>254</v>
      </c>
      <c r="L64" s="22" t="s">
        <v>253</v>
      </c>
      <c r="M64" s="23" t="s">
        <v>40</v>
      </c>
      <c r="N64" s="23" t="s">
        <v>112</v>
      </c>
      <c r="O64" s="24"/>
      <c r="P64" s="24"/>
      <c r="Q64" s="24"/>
      <c r="R64" s="25"/>
      <c r="S64" s="25"/>
      <c r="T64" s="56"/>
      <c r="U64" s="56"/>
    </row>
    <row r="65" spans="1:21">
      <c r="A65" s="21" t="n">
        <v>62</v>
      </c>
      <c r="B65" s="21">
        <f>E65</f>
        <v>0</v>
      </c>
      <c r="C65" s="21" t="str">
        <f>F65</f>
        <v>19790616 201001 2 011</v>
      </c>
      <c r="D65" s="22" t="s">
        <v>259</v>
      </c>
      <c r="E65" s="22"/>
      <c r="F65" s="21" t="s">
        <v>260</v>
      </c>
      <c r="G65" s="21" t="s">
        <v>24</v>
      </c>
      <c r="H65" s="21" t="s">
        <v>25</v>
      </c>
      <c r="I65" s="24" t="s">
        <v>110</v>
      </c>
      <c r="J65" s="22" t="s">
        <v>261</v>
      </c>
      <c r="K65" s="22" t="s">
        <v>28</v>
      </c>
      <c r="L65" s="25" t="s">
        <v>262</v>
      </c>
      <c r="M65" s="23" t="s">
        <v>40</v>
      </c>
      <c r="N65" s="23" t="s">
        <v>61</v>
      </c>
      <c r="O65" s="24"/>
      <c r="P65" s="24"/>
      <c r="Q65" s="24"/>
      <c r="R65" s="25"/>
      <c r="S65" s="25"/>
      <c r="T65" s="56"/>
      <c r="U65" s="56"/>
    </row>
    <row r="66" spans="1:21">
      <c r="A66" s="21" t="n">
        <v>63</v>
      </c>
      <c r="B66" s="21">
        <f>E66</f>
        <v>0</v>
      </c>
      <c r="C66" s="21" t="str">
        <f>F66</f>
        <v>19760422 200604 2 016</v>
      </c>
      <c r="D66" s="22" t="s">
        <v>263</v>
      </c>
      <c r="E66" s="22"/>
      <c r="F66" s="21" t="s">
        <v>264</v>
      </c>
      <c r="G66" s="21" t="s">
        <v>24</v>
      </c>
      <c r="H66" s="21" t="s">
        <v>25</v>
      </c>
      <c r="I66" s="21" t="s">
        <v>110</v>
      </c>
      <c r="J66" s="23" t="s">
        <v>221</v>
      </c>
      <c r="K66" s="27" t="s">
        <v>96</v>
      </c>
      <c r="L66" s="22" t="s">
        <v>221</v>
      </c>
      <c r="M66" s="23" t="s">
        <v>40</v>
      </c>
      <c r="N66" s="23" t="s">
        <v>162</v>
      </c>
      <c r="O66" s="24"/>
      <c r="P66" s="24"/>
      <c r="Q66" s="24"/>
      <c r="R66" s="25"/>
      <c r="S66" s="25"/>
      <c r="T66" s="56"/>
      <c r="U66" s="56"/>
    </row>
    <row r="67" spans="1:21">
      <c r="A67" s="21" t="n">
        <v>64</v>
      </c>
      <c r="B67" s="21">
        <f>E67</f>
        <v>0</v>
      </c>
      <c r="C67" s="21" t="str">
        <f>F67</f>
        <v>19760404 201001 2 001</v>
      </c>
      <c r="D67" s="22" t="s">
        <v>265</v>
      </c>
      <c r="E67" s="22"/>
      <c r="F67" s="21" t="s">
        <v>266</v>
      </c>
      <c r="G67" s="21" t="s">
        <v>24</v>
      </c>
      <c r="H67" s="21" t="s">
        <v>25</v>
      </c>
      <c r="I67" s="21" t="s">
        <v>231</v>
      </c>
      <c r="J67" s="22" t="s">
        <v>267</v>
      </c>
      <c r="K67" s="22" t="s">
        <v>28</v>
      </c>
      <c r="L67" s="25" t="s">
        <v>262</v>
      </c>
      <c r="M67" s="23" t="s">
        <v>29</v>
      </c>
      <c r="N67" s="23" t="s">
        <v>268</v>
      </c>
      <c r="O67" s="24"/>
      <c r="P67" s="24"/>
      <c r="Q67" s="24"/>
      <c r="R67" s="25"/>
      <c r="S67" s="25"/>
      <c r="T67" s="56"/>
      <c r="U67" s="56"/>
    </row>
    <row r="68" spans="1:21">
      <c r="A68" s="21" t="n">
        <v>65</v>
      </c>
      <c r="B68" s="21">
        <f>E68</f>
        <v>0</v>
      </c>
      <c r="C68" s="21" t="str">
        <f>F68</f>
        <v>19770817 199803 2 004</v>
      </c>
      <c r="D68" s="22" t="s">
        <v>269</v>
      </c>
      <c r="E68" s="22"/>
      <c r="F68" s="21" t="s">
        <v>270</v>
      </c>
      <c r="G68" s="21" t="s">
        <v>24</v>
      </c>
      <c r="H68" s="21" t="s">
        <v>25</v>
      </c>
      <c r="I68" s="24" t="s">
        <v>110</v>
      </c>
      <c r="J68" s="23" t="s">
        <v>156</v>
      </c>
      <c r="K68" s="27" t="s">
        <v>96</v>
      </c>
      <c r="L68" s="22" t="s">
        <v>156</v>
      </c>
      <c r="M68" s="23" t="s">
        <v>157</v>
      </c>
      <c r="N68" s="23" t="s">
        <v>271</v>
      </c>
      <c r="O68" s="24"/>
      <c r="P68" s="24"/>
      <c r="Q68" s="24"/>
      <c r="R68" s="25"/>
      <c r="S68" s="25"/>
      <c r="T68" s="56"/>
      <c r="U68" s="56"/>
    </row>
    <row r="69" spans="1:21">
      <c r="A69" s="21" t="n">
        <v>66</v>
      </c>
      <c r="B69" s="21">
        <f>E69</f>
        <v>0</v>
      </c>
      <c r="C69" s="21" t="str">
        <f>F69</f>
        <v>19801130 200312 2 002</v>
      </c>
      <c r="D69" s="22" t="s">
        <v>272</v>
      </c>
      <c r="E69" s="22"/>
      <c r="F69" s="21" t="s">
        <v>273</v>
      </c>
      <c r="G69" s="21" t="s">
        <v>24</v>
      </c>
      <c r="H69" s="21" t="s">
        <v>25</v>
      </c>
      <c r="I69" s="21" t="s">
        <v>110</v>
      </c>
      <c r="J69" s="23" t="s">
        <v>156</v>
      </c>
      <c r="K69" s="27" t="s">
        <v>96</v>
      </c>
      <c r="L69" s="22" t="s">
        <v>156</v>
      </c>
      <c r="M69" s="28" t="s">
        <v>274</v>
      </c>
      <c r="N69" s="23" t="s">
        <v>275</v>
      </c>
      <c r="O69" s="24"/>
      <c r="P69" s="24"/>
      <c r="Q69" s="24"/>
      <c r="R69" s="25"/>
      <c r="S69" s="25"/>
      <c r="T69" s="56"/>
      <c r="U69" s="56"/>
    </row>
    <row r="70" spans="1:21">
      <c r="A70" s="21" t="n">
        <v>67</v>
      </c>
      <c r="B70" s="21">
        <f>E70</f>
        <v>0</v>
      </c>
      <c r="C70" s="21" t="str">
        <f>F70</f>
        <v>19811011 200801 2 013</v>
      </c>
      <c r="D70" s="22" t="s">
        <v>276</v>
      </c>
      <c r="E70" s="22"/>
      <c r="F70" s="21" t="s">
        <v>277</v>
      </c>
      <c r="G70" s="21" t="s">
        <v>24</v>
      </c>
      <c r="H70" s="21" t="s">
        <v>25</v>
      </c>
      <c r="I70" s="21" t="s">
        <v>110</v>
      </c>
      <c r="J70" s="23" t="s">
        <v>221</v>
      </c>
      <c r="K70" s="27" t="s">
        <v>96</v>
      </c>
      <c r="L70" s="22" t="s">
        <v>221</v>
      </c>
      <c r="M70" s="23" t="s">
        <v>274</v>
      </c>
      <c r="N70" s="29" t="s">
        <v>278</v>
      </c>
      <c r="O70" s="24"/>
      <c r="P70" s="24"/>
      <c r="Q70" s="24"/>
      <c r="R70" s="25"/>
      <c r="S70" s="25"/>
      <c r="T70" s="56"/>
      <c r="U70" s="56"/>
    </row>
    <row r="71" spans="1:21">
      <c r="A71" s="21" t="n">
        <v>68</v>
      </c>
      <c r="B71" s="21">
        <f>E71</f>
        <v>0</v>
      </c>
      <c r="C71" s="21" t="str">
        <f>F71</f>
        <v>19811109 200903 1 002</v>
      </c>
      <c r="D71" s="22" t="s">
        <v>279</v>
      </c>
      <c r="E71" s="22"/>
      <c r="F71" s="21" t="s">
        <v>280</v>
      </c>
      <c r="G71" s="21" t="s">
        <v>33</v>
      </c>
      <c r="H71" s="21" t="s">
        <v>25</v>
      </c>
      <c r="I71" s="21" t="s">
        <v>110</v>
      </c>
      <c r="J71" s="22" t="s">
        <v>281</v>
      </c>
      <c r="K71" s="27" t="s">
        <v>66</v>
      </c>
      <c r="L71" s="22" t="s">
        <v>281</v>
      </c>
      <c r="M71" s="23" t="s">
        <v>282</v>
      </c>
      <c r="N71" s="23" t="s">
        <v>271</v>
      </c>
      <c r="O71" s="24"/>
      <c r="P71" s="24"/>
      <c r="Q71" s="24"/>
      <c r="R71" s="25"/>
      <c r="S71" s="25"/>
      <c r="T71" s="56"/>
      <c r="U71" s="56"/>
    </row>
    <row r="72" spans="1:21">
      <c r="A72" s="21" t="n">
        <v>69</v>
      </c>
      <c r="B72" s="21">
        <f>E72</f>
        <v>0</v>
      </c>
      <c r="C72" s="21" t="str">
        <f>F72</f>
        <v>19830412 200801 2 012</v>
      </c>
      <c r="D72" s="22" t="s">
        <v>283</v>
      </c>
      <c r="E72" s="22"/>
      <c r="F72" s="21" t="s">
        <v>284</v>
      </c>
      <c r="G72" s="21" t="s">
        <v>24</v>
      </c>
      <c r="H72" s="21" t="s">
        <v>25</v>
      </c>
      <c r="I72" s="21" t="s">
        <v>110</v>
      </c>
      <c r="J72" s="23" t="s">
        <v>221</v>
      </c>
      <c r="K72" s="27" t="s">
        <v>96</v>
      </c>
      <c r="L72" s="22" t="s">
        <v>221</v>
      </c>
      <c r="M72" s="23" t="s">
        <v>161</v>
      </c>
      <c r="N72" s="23" t="s">
        <v>162</v>
      </c>
      <c r="O72" s="24"/>
      <c r="P72" s="24"/>
      <c r="Q72" s="24"/>
      <c r="R72" s="25"/>
      <c r="S72" s="25"/>
      <c r="T72" s="56"/>
      <c r="U72" s="56"/>
    </row>
    <row r="73" spans="1:21">
      <c r="A73" s="21" t="n">
        <v>70</v>
      </c>
      <c r="B73" s="21">
        <f>E73</f>
        <v>0</v>
      </c>
      <c r="C73" s="21" t="str">
        <f>F73</f>
        <v>19790121 201101 2 005</v>
      </c>
      <c r="D73" s="22" t="s">
        <v>285</v>
      </c>
      <c r="E73" s="22"/>
      <c r="F73" s="21" t="s">
        <v>286</v>
      </c>
      <c r="G73" s="21" t="s">
        <v>24</v>
      </c>
      <c r="H73" s="21" t="s">
        <v>25</v>
      </c>
      <c r="I73" s="21" t="s">
        <v>110</v>
      </c>
      <c r="J73" s="22" t="s">
        <v>287</v>
      </c>
      <c r="K73" s="22" t="s">
        <v>28</v>
      </c>
      <c r="L73" s="22" t="s">
        <v>288</v>
      </c>
      <c r="M73" s="23" t="s">
        <v>29</v>
      </c>
      <c r="N73" s="23" t="s">
        <v>268</v>
      </c>
      <c r="O73" s="24"/>
      <c r="P73" s="24"/>
      <c r="Q73" s="24"/>
      <c r="R73" s="25"/>
      <c r="S73" s="25"/>
      <c r="T73" s="56"/>
      <c r="U73" s="56"/>
    </row>
    <row r="74" spans="1:21">
      <c r="A74" s="21" t="n">
        <v>71</v>
      </c>
      <c r="B74" s="21">
        <f>E74</f>
        <v>0</v>
      </c>
      <c r="C74" s="21" t="str">
        <f>F74</f>
        <v>19861212 201101 2 018</v>
      </c>
      <c r="D74" s="22" t="s">
        <v>289</v>
      </c>
      <c r="E74" s="22"/>
      <c r="F74" s="21" t="s">
        <v>290</v>
      </c>
      <c r="G74" s="21" t="s">
        <v>24</v>
      </c>
      <c r="H74" s="21" t="s">
        <v>25</v>
      </c>
      <c r="I74" s="21" t="s">
        <v>231</v>
      </c>
      <c r="J74" s="23" t="s">
        <v>291</v>
      </c>
      <c r="K74" s="27" t="s">
        <v>96</v>
      </c>
      <c r="L74" s="23" t="s">
        <v>291</v>
      </c>
      <c r="M74" s="23" t="s">
        <v>29</v>
      </c>
      <c r="N74" s="23" t="s">
        <v>57</v>
      </c>
      <c r="O74" s="24"/>
      <c r="P74" s="24"/>
      <c r="Q74" s="24"/>
      <c r="R74" s="25"/>
      <c r="S74" s="25"/>
      <c r="T74" s="56"/>
      <c r="U74" s="56"/>
    </row>
    <row r="75" spans="1:21">
      <c r="A75" s="21" t="n">
        <v>72</v>
      </c>
      <c r="B75" s="21">
        <f>E75</f>
        <v>0</v>
      </c>
      <c r="C75" s="21" t="str">
        <f>F75</f>
        <v>19761126 200604 2 015</v>
      </c>
      <c r="D75" s="22" t="s">
        <v>292</v>
      </c>
      <c r="E75" s="22"/>
      <c r="F75" s="21" t="s">
        <v>293</v>
      </c>
      <c r="G75" s="21" t="s">
        <v>24</v>
      </c>
      <c r="H75" s="21" t="s">
        <v>25</v>
      </c>
      <c r="I75" s="21" t="s">
        <v>110</v>
      </c>
      <c r="J75" s="23" t="s">
        <v>156</v>
      </c>
      <c r="K75" s="27" t="s">
        <v>96</v>
      </c>
      <c r="L75" s="22" t="s">
        <v>156</v>
      </c>
      <c r="M75" s="23" t="s">
        <v>40</v>
      </c>
      <c r="N75" s="29" t="s">
        <v>275</v>
      </c>
      <c r="O75" s="24"/>
      <c r="P75" s="24"/>
      <c r="Q75" s="24"/>
      <c r="R75" s="25"/>
      <c r="S75" s="25"/>
      <c r="T75" s="56"/>
      <c r="U75" s="56"/>
    </row>
    <row r="76" spans="1:21">
      <c r="A76" s="21" t="n">
        <v>73</v>
      </c>
      <c r="B76" s="21">
        <f>E76</f>
        <v>0</v>
      </c>
      <c r="C76" s="21" t="str">
        <f>F76</f>
        <v>19770412 200604 2 018</v>
      </c>
      <c r="D76" s="22" t="s">
        <v>294</v>
      </c>
      <c r="E76" s="22"/>
      <c r="F76" s="21" t="s">
        <v>295</v>
      </c>
      <c r="G76" s="21" t="s">
        <v>24</v>
      </c>
      <c r="H76" s="21" t="s">
        <v>25</v>
      </c>
      <c r="I76" s="21" t="s">
        <v>110</v>
      </c>
      <c r="J76" s="22" t="s">
        <v>296</v>
      </c>
      <c r="K76" s="22" t="s">
        <v>28</v>
      </c>
      <c r="L76" s="25" t="s">
        <v>262</v>
      </c>
      <c r="M76" s="23" t="s">
        <v>29</v>
      </c>
      <c r="N76" s="23" t="s">
        <v>297</v>
      </c>
      <c r="O76" s="24"/>
      <c r="P76" s="24"/>
      <c r="Q76" s="24"/>
      <c r="R76" s="25"/>
      <c r="S76" s="25"/>
      <c r="T76" s="56"/>
      <c r="U76" s="56"/>
    </row>
    <row r="77" spans="1:21">
      <c r="A77" s="21" t="n">
        <v>74</v>
      </c>
      <c r="B77" s="21">
        <f>E77</f>
        <v>0</v>
      </c>
      <c r="C77" s="21" t="str">
        <f>F77</f>
        <v>19780210 200604 2 018</v>
      </c>
      <c r="D77" s="22" t="s">
        <v>298</v>
      </c>
      <c r="E77" s="22"/>
      <c r="F77" s="21" t="s">
        <v>299</v>
      </c>
      <c r="G77" s="21" t="s">
        <v>24</v>
      </c>
      <c r="H77" s="21" t="s">
        <v>25</v>
      </c>
      <c r="I77" s="21" t="s">
        <v>110</v>
      </c>
      <c r="J77" s="22" t="s">
        <v>137</v>
      </c>
      <c r="K77" s="22" t="s">
        <v>91</v>
      </c>
      <c r="L77" s="22" t="s">
        <v>137</v>
      </c>
      <c r="M77" s="23" t="s">
        <v>300</v>
      </c>
      <c r="N77" s="23" t="s">
        <v>92</v>
      </c>
      <c r="O77" s="24"/>
      <c r="P77" s="24"/>
      <c r="Q77" s="24"/>
      <c r="R77" s="25"/>
      <c r="S77" s="25"/>
      <c r="T77" s="56"/>
      <c r="U77" s="56"/>
    </row>
    <row r="78" spans="1:21">
      <c r="A78" s="21" t="n">
        <v>75</v>
      </c>
      <c r="B78" s="21">
        <f>E78</f>
        <v>0</v>
      </c>
      <c r="C78" s="21" t="str">
        <f>F78</f>
        <v>19831220 201411 1 001</v>
      </c>
      <c r="D78" s="22" t="s">
        <v>301</v>
      </c>
      <c r="E78" s="22"/>
      <c r="F78" s="21" t="s">
        <v>302</v>
      </c>
      <c r="G78" s="21" t="s">
        <v>33</v>
      </c>
      <c r="H78" s="21" t="s">
        <v>25</v>
      </c>
      <c r="I78" s="21" t="s">
        <v>231</v>
      </c>
      <c r="J78" s="22" t="s">
        <v>303</v>
      </c>
      <c r="K78" s="27" t="s">
        <v>66</v>
      </c>
      <c r="L78" s="22" t="s">
        <v>303</v>
      </c>
      <c r="M78" s="23" t="s">
        <v>72</v>
      </c>
      <c r="N78" s="23" t="s">
        <v>304</v>
      </c>
      <c r="O78" s="24"/>
      <c r="P78" s="24"/>
      <c r="Q78" s="24"/>
      <c r="R78" s="25"/>
      <c r="S78" s="25"/>
      <c r="T78" s="56"/>
      <c r="U78" s="56"/>
    </row>
    <row r="79" spans="1:21">
      <c r="A79" s="21" t="n">
        <v>76</v>
      </c>
      <c r="B79" s="21">
        <f>E79</f>
        <v>0</v>
      </c>
      <c r="C79" s="21" t="str">
        <f>F79</f>
        <v>19770508 200604 2 018</v>
      </c>
      <c r="D79" s="22" t="s">
        <v>305</v>
      </c>
      <c r="E79" s="22"/>
      <c r="F79" s="21" t="s">
        <v>306</v>
      </c>
      <c r="G79" s="21" t="s">
        <v>24</v>
      </c>
      <c r="H79" s="21" t="s">
        <v>25</v>
      </c>
      <c r="I79" s="21" t="s">
        <v>110</v>
      </c>
      <c r="J79" s="23" t="s">
        <v>156</v>
      </c>
      <c r="K79" s="27" t="s">
        <v>96</v>
      </c>
      <c r="L79" s="22" t="s">
        <v>156</v>
      </c>
      <c r="M79" s="23" t="s">
        <v>161</v>
      </c>
      <c r="N79" s="23" t="s">
        <v>218</v>
      </c>
      <c r="O79" s="24"/>
      <c r="P79" s="24"/>
      <c r="Q79" s="24"/>
      <c r="R79" s="25"/>
      <c r="S79" s="25"/>
      <c r="T79" s="56"/>
      <c r="U79" s="56"/>
    </row>
    <row r="80" spans="1:21">
      <c r="A80" s="21" t="n">
        <v>77</v>
      </c>
      <c r="B80" s="21">
        <f>E80</f>
        <v>0</v>
      </c>
      <c r="C80" s="21" t="str">
        <f>F80</f>
        <v>19810406 200604 2 025</v>
      </c>
      <c r="D80" s="22" t="s">
        <v>307</v>
      </c>
      <c r="E80" s="22"/>
      <c r="F80" s="21" t="s">
        <v>308</v>
      </c>
      <c r="G80" s="21" t="s">
        <v>24</v>
      </c>
      <c r="H80" s="21" t="s">
        <v>25</v>
      </c>
      <c r="I80" s="21" t="s">
        <v>110</v>
      </c>
      <c r="J80" s="22" t="s">
        <v>171</v>
      </c>
      <c r="K80" s="22" t="s">
        <v>132</v>
      </c>
      <c r="L80" s="22" t="s">
        <v>171</v>
      </c>
      <c r="M80" s="23" t="s">
        <v>172</v>
      </c>
      <c r="N80" s="23" t="s">
        <v>173</v>
      </c>
      <c r="O80" s="24"/>
      <c r="P80" s="24"/>
      <c r="Q80" s="24"/>
      <c r="R80" s="25"/>
      <c r="S80" s="25"/>
      <c r="T80" s="56"/>
      <c r="U80" s="56"/>
    </row>
    <row r="81" spans="1:21">
      <c r="A81" s="21" t="n">
        <v>78</v>
      </c>
      <c r="B81" s="21">
        <f>E81</f>
        <v>0</v>
      </c>
      <c r="C81" s="21" t="str">
        <f>F81</f>
        <v>19790309 200604 2 019</v>
      </c>
      <c r="D81" s="22" t="s">
        <v>309</v>
      </c>
      <c r="E81" s="22"/>
      <c r="F81" s="21" t="s">
        <v>310</v>
      </c>
      <c r="G81" s="21" t="s">
        <v>24</v>
      </c>
      <c r="H81" s="21" t="s">
        <v>25</v>
      </c>
      <c r="I81" s="21" t="s">
        <v>231</v>
      </c>
      <c r="J81" s="23" t="s">
        <v>156</v>
      </c>
      <c r="K81" s="27" t="s">
        <v>96</v>
      </c>
      <c r="L81" s="22" t="s">
        <v>156</v>
      </c>
      <c r="M81" s="28" t="s">
        <v>181</v>
      </c>
      <c r="N81" s="23" t="s">
        <v>68</v>
      </c>
      <c r="O81" s="24"/>
      <c r="P81" s="24"/>
      <c r="Q81" s="24"/>
      <c r="R81" s="25"/>
      <c r="S81" s="25"/>
      <c r="T81" s="56"/>
      <c r="U81" s="56"/>
    </row>
    <row r="82" spans="1:21">
      <c r="A82" s="21" t="n">
        <v>79</v>
      </c>
      <c r="B82" s="21">
        <f>E82</f>
        <v>0</v>
      </c>
      <c r="C82" s="21" t="str">
        <f>F82</f>
        <v>19780331 200604 2 021</v>
      </c>
      <c r="D82" s="22" t="s">
        <v>311</v>
      </c>
      <c r="E82" s="22"/>
      <c r="F82" s="21" t="s">
        <v>312</v>
      </c>
      <c r="G82" s="21" t="s">
        <v>24</v>
      </c>
      <c r="H82" s="21" t="s">
        <v>25</v>
      </c>
      <c r="I82" s="21" t="s">
        <v>110</v>
      </c>
      <c r="J82" s="23" t="s">
        <v>156</v>
      </c>
      <c r="K82" s="27" t="s">
        <v>96</v>
      </c>
      <c r="L82" s="22" t="s">
        <v>156</v>
      </c>
      <c r="M82" s="23" t="s">
        <v>40</v>
      </c>
      <c r="N82" s="23" t="s">
        <v>165</v>
      </c>
      <c r="O82" s="24"/>
      <c r="P82" s="24"/>
      <c r="Q82" s="24"/>
      <c r="R82" s="25"/>
      <c r="S82" s="25"/>
      <c r="T82" s="56"/>
      <c r="U82" s="56"/>
    </row>
    <row r="83" spans="1:21">
      <c r="A83" s="21" t="n">
        <v>80</v>
      </c>
      <c r="B83" s="21">
        <f>E83</f>
        <v>0</v>
      </c>
      <c r="C83" s="21" t="str">
        <f>F83</f>
        <v>19770318 200604 2 012</v>
      </c>
      <c r="D83" s="22" t="s">
        <v>313</v>
      </c>
      <c r="E83" s="22"/>
      <c r="F83" s="21" t="s">
        <v>314</v>
      </c>
      <c r="G83" s="21" t="s">
        <v>24</v>
      </c>
      <c r="H83" s="21" t="s">
        <v>25</v>
      </c>
      <c r="I83" s="21" t="s">
        <v>231</v>
      </c>
      <c r="J83" s="23" t="s">
        <v>156</v>
      </c>
      <c r="K83" s="27" t="s">
        <v>96</v>
      </c>
      <c r="L83" s="22" t="s">
        <v>156</v>
      </c>
      <c r="M83" s="23" t="s">
        <v>40</v>
      </c>
      <c r="N83" s="23" t="s">
        <v>165</v>
      </c>
      <c r="O83" s="24"/>
      <c r="P83" s="24"/>
      <c r="Q83" s="24"/>
      <c r="R83" s="25"/>
      <c r="S83" s="25"/>
      <c r="T83" s="56"/>
      <c r="U83" s="56"/>
    </row>
    <row r="84" spans="1:21">
      <c r="A84" s="21" t="n">
        <v>81</v>
      </c>
      <c r="B84" s="21">
        <f>E84</f>
        <v>0</v>
      </c>
      <c r="C84" s="21" t="str">
        <f>F84</f>
        <v>19830812 201101 1 006</v>
      </c>
      <c r="D84" s="22" t="s">
        <v>315</v>
      </c>
      <c r="E84" s="22"/>
      <c r="F84" s="21" t="s">
        <v>316</v>
      </c>
      <c r="G84" s="21" t="s">
        <v>33</v>
      </c>
      <c r="H84" s="21" t="s">
        <v>25</v>
      </c>
      <c r="I84" s="21" t="s">
        <v>231</v>
      </c>
      <c r="J84" s="22" t="s">
        <v>317</v>
      </c>
      <c r="K84" s="27" t="s">
        <v>66</v>
      </c>
      <c r="L84" s="22" t="s">
        <v>317</v>
      </c>
      <c r="M84" s="23" t="s">
        <v>318</v>
      </c>
      <c r="N84" s="23" t="s">
        <v>319</v>
      </c>
      <c r="O84" s="24"/>
      <c r="P84" s="24"/>
      <c r="Q84" s="24"/>
      <c r="R84" s="25"/>
      <c r="S84" s="25"/>
      <c r="T84" s="56"/>
      <c r="U84" s="56"/>
    </row>
    <row r="85" spans="1:21">
      <c r="A85" s="21" t="n">
        <v>82</v>
      </c>
      <c r="B85" s="21">
        <f>E85</f>
        <v>0</v>
      </c>
      <c r="C85" s="21" t="str">
        <f>F85</f>
        <v>198708312014111001</v>
      </c>
      <c r="D85" s="22" t="s">
        <v>320</v>
      </c>
      <c r="E85" s="22"/>
      <c r="F85" s="161" t="s">
        <v>321</v>
      </c>
      <c r="G85" s="21" t="s">
        <v>33</v>
      </c>
      <c r="H85" s="21" t="s">
        <v>25</v>
      </c>
      <c r="I85" s="21" t="s">
        <v>322</v>
      </c>
      <c r="J85" s="22" t="s">
        <v>323</v>
      </c>
      <c r="K85" s="27" t="s">
        <v>66</v>
      </c>
      <c r="L85" s="22" t="s">
        <v>323</v>
      </c>
      <c r="M85" s="23" t="s">
        <v>324</v>
      </c>
      <c r="N85" s="23" t="s">
        <v>325</v>
      </c>
      <c r="O85" s="24"/>
      <c r="P85" s="24"/>
      <c r="Q85" s="24"/>
      <c r="R85" s="25"/>
      <c r="S85" s="25"/>
      <c r="T85" s="56"/>
      <c r="U85" s="56"/>
    </row>
    <row r="86" spans="1:21">
      <c r="A86" s="21" t="n">
        <v>83</v>
      </c>
      <c r="B86" s="21">
        <f>E86</f>
        <v>0</v>
      </c>
      <c r="C86" s="21" t="str">
        <f>F86</f>
        <v>19761214 200604 2 013</v>
      </c>
      <c r="D86" s="22" t="s">
        <v>326</v>
      </c>
      <c r="E86" s="22"/>
      <c r="F86" s="21" t="s">
        <v>327</v>
      </c>
      <c r="G86" s="21" t="s">
        <v>24</v>
      </c>
      <c r="H86" s="21" t="s">
        <v>25</v>
      </c>
      <c r="I86" s="21" t="s">
        <v>110</v>
      </c>
      <c r="J86" s="23" t="s">
        <v>156</v>
      </c>
      <c r="K86" s="27" t="s">
        <v>96</v>
      </c>
      <c r="L86" s="22" t="s">
        <v>156</v>
      </c>
      <c r="M86" s="28" t="s">
        <v>274</v>
      </c>
      <c r="N86" s="29" t="s">
        <v>328</v>
      </c>
      <c r="O86" s="24"/>
      <c r="P86" s="24"/>
      <c r="Q86" s="24"/>
      <c r="R86" s="25"/>
      <c r="S86" s="25"/>
      <c r="T86" s="56"/>
      <c r="U86" s="56"/>
    </row>
    <row r="87" spans="1:21">
      <c r="A87" s="21" t="n">
        <v>84</v>
      </c>
      <c r="B87" s="21">
        <f>E87</f>
        <v>0</v>
      </c>
      <c r="C87" s="21" t="str">
        <f>F87</f>
        <v>19831201 200701 2 002</v>
      </c>
      <c r="D87" s="22" t="s">
        <v>329</v>
      </c>
      <c r="E87" s="22"/>
      <c r="F87" s="21" t="s">
        <v>330</v>
      </c>
      <c r="G87" s="21" t="s">
        <v>24</v>
      </c>
      <c r="H87" s="21" t="s">
        <v>25</v>
      </c>
      <c r="I87" s="21" t="s">
        <v>231</v>
      </c>
      <c r="J87" s="23" t="s">
        <v>221</v>
      </c>
      <c r="K87" s="27" t="s">
        <v>96</v>
      </c>
      <c r="L87" s="22" t="s">
        <v>221</v>
      </c>
      <c r="M87" s="23" t="s">
        <v>40</v>
      </c>
      <c r="N87" s="23" t="s">
        <v>331</v>
      </c>
      <c r="O87" s="24"/>
      <c r="P87" s="24"/>
      <c r="Q87" s="24"/>
      <c r="R87" s="25"/>
      <c r="S87" s="25"/>
      <c r="T87" s="56"/>
      <c r="U87" s="56"/>
    </row>
    <row r="88" spans="1:21">
      <c r="A88" s="21" t="n">
        <v>85</v>
      </c>
      <c r="B88" s="21">
        <f>E88</f>
        <v>0</v>
      </c>
      <c r="C88" s="21" t="str">
        <f>F88</f>
        <v>19870818 200903 2 001</v>
      </c>
      <c r="D88" s="22" t="s">
        <v>332</v>
      </c>
      <c r="E88" s="22"/>
      <c r="F88" s="21" t="s">
        <v>333</v>
      </c>
      <c r="G88" s="21" t="s">
        <v>24</v>
      </c>
      <c r="H88" s="21" t="s">
        <v>25</v>
      </c>
      <c r="I88" s="21" t="s">
        <v>110</v>
      </c>
      <c r="J88" s="22" t="s">
        <v>137</v>
      </c>
      <c r="K88" s="22" t="s">
        <v>91</v>
      </c>
      <c r="L88" s="22" t="s">
        <v>137</v>
      </c>
      <c r="M88" s="23" t="s">
        <v>40</v>
      </c>
      <c r="N88" s="23" t="s">
        <v>92</v>
      </c>
      <c r="O88" s="24"/>
      <c r="P88" s="24"/>
      <c r="Q88" s="24"/>
      <c r="R88" s="25"/>
      <c r="S88" s="25"/>
      <c r="T88" s="56"/>
      <c r="U88" s="56"/>
    </row>
    <row r="89" spans="1:21">
      <c r="A89" s="21" t="n">
        <v>86</v>
      </c>
      <c r="B89" s="21">
        <f>E89</f>
        <v>0</v>
      </c>
      <c r="C89" s="21" t="str">
        <f>F89</f>
        <v>19810519 200604 1 015</v>
      </c>
      <c r="D89" s="22" t="s">
        <v>334</v>
      </c>
      <c r="E89" s="22"/>
      <c r="F89" s="21" t="s">
        <v>335</v>
      </c>
      <c r="G89" s="21" t="s">
        <v>33</v>
      </c>
      <c r="H89" s="21" t="s">
        <v>25</v>
      </c>
      <c r="I89" s="21" t="s">
        <v>110</v>
      </c>
      <c r="J89" s="22" t="s">
        <v>336</v>
      </c>
      <c r="K89" s="22" t="s">
        <v>132</v>
      </c>
      <c r="L89" s="22" t="s">
        <v>336</v>
      </c>
      <c r="M89" s="23" t="s">
        <v>40</v>
      </c>
      <c r="N89" s="23" t="s">
        <v>128</v>
      </c>
      <c r="O89" s="24"/>
      <c r="P89" s="24"/>
      <c r="Q89" s="24"/>
      <c r="R89" s="25"/>
      <c r="S89" s="25"/>
      <c r="T89" s="56"/>
      <c r="U89" s="56"/>
    </row>
    <row r="90" spans="1:21">
      <c r="A90" s="21" t="n">
        <v>87</v>
      </c>
      <c r="B90" s="21">
        <f>E90</f>
        <v>0</v>
      </c>
      <c r="C90" s="21" t="str">
        <f>F90</f>
        <v>19770504 200604 2 029</v>
      </c>
      <c r="D90" s="22" t="s">
        <v>337</v>
      </c>
      <c r="E90" s="22"/>
      <c r="F90" s="21" t="s">
        <v>338</v>
      </c>
      <c r="G90" s="21" t="s">
        <v>24</v>
      </c>
      <c r="H90" s="21" t="s">
        <v>25</v>
      </c>
      <c r="I90" s="21" t="s">
        <v>110</v>
      </c>
      <c r="J90" s="22" t="s">
        <v>142</v>
      </c>
      <c r="K90" s="22" t="s">
        <v>101</v>
      </c>
      <c r="L90" s="22" t="s">
        <v>142</v>
      </c>
      <c r="M90" s="23" t="s">
        <v>339</v>
      </c>
      <c r="N90" s="23" t="s">
        <v>103</v>
      </c>
      <c r="O90" s="24"/>
      <c r="P90" s="24"/>
      <c r="Q90" s="24"/>
      <c r="R90" s="25"/>
      <c r="S90" s="25"/>
      <c r="T90" s="56"/>
      <c r="U90" s="56"/>
    </row>
    <row r="91" spans="1:21">
      <c r="A91" s="21" t="n">
        <v>88</v>
      </c>
      <c r="B91" s="21">
        <f>E91</f>
        <v>0</v>
      </c>
      <c r="C91" s="21" t="str">
        <f>F91</f>
        <v>19760704 200604 2 032</v>
      </c>
      <c r="D91" s="22" t="s">
        <v>340</v>
      </c>
      <c r="E91" s="22"/>
      <c r="F91" s="21" t="s">
        <v>341</v>
      </c>
      <c r="G91" s="21" t="s">
        <v>24</v>
      </c>
      <c r="H91" s="21" t="s">
        <v>25</v>
      </c>
      <c r="I91" s="21" t="s">
        <v>231</v>
      </c>
      <c r="J91" s="22" t="s">
        <v>213</v>
      </c>
      <c r="K91" s="22" t="s">
        <v>132</v>
      </c>
      <c r="L91" s="22" t="s">
        <v>213</v>
      </c>
      <c r="M91" s="23" t="s">
        <v>214</v>
      </c>
      <c r="N91" s="23" t="s">
        <v>134</v>
      </c>
      <c r="O91" s="24"/>
      <c r="P91" s="24"/>
      <c r="Q91" s="24"/>
      <c r="R91" s="25"/>
      <c r="S91" s="25"/>
      <c r="T91" s="56"/>
      <c r="U91" s="56"/>
    </row>
    <row r="92" spans="1:21">
      <c r="A92" s="21" t="n">
        <v>89</v>
      </c>
      <c r="B92" s="21">
        <f>E92</f>
        <v>0</v>
      </c>
      <c r="C92" s="21" t="str">
        <f>F92</f>
        <v>19810306 200604 2 027</v>
      </c>
      <c r="D92" s="22" t="s">
        <v>342</v>
      </c>
      <c r="E92" s="22"/>
      <c r="F92" s="21" t="s">
        <v>343</v>
      </c>
      <c r="G92" s="21" t="s">
        <v>24</v>
      </c>
      <c r="H92" s="21" t="s">
        <v>25</v>
      </c>
      <c r="I92" s="21" t="s">
        <v>231</v>
      </c>
      <c r="J92" s="22" t="s">
        <v>213</v>
      </c>
      <c r="K92" s="22" t="s">
        <v>132</v>
      </c>
      <c r="L92" s="22" t="s">
        <v>213</v>
      </c>
      <c r="M92" s="23" t="s">
        <v>214</v>
      </c>
      <c r="N92" s="23" t="s">
        <v>134</v>
      </c>
      <c r="O92" s="24"/>
      <c r="P92" s="24"/>
      <c r="Q92" s="24"/>
      <c r="R92" s="25"/>
      <c r="S92" s="25"/>
      <c r="T92" s="56"/>
      <c r="U92" s="56"/>
    </row>
    <row r="93" spans="1:21">
      <c r="A93" s="21" t="n">
        <v>90</v>
      </c>
      <c r="B93" s="21">
        <f>E93</f>
        <v>0</v>
      </c>
      <c r="C93" s="21" t="str">
        <f>F93</f>
        <v>19750512 200312 1 007</v>
      </c>
      <c r="D93" s="22" t="s">
        <v>344</v>
      </c>
      <c r="E93" s="22"/>
      <c r="F93" s="21" t="s">
        <v>345</v>
      </c>
      <c r="G93" s="21" t="s">
        <v>33</v>
      </c>
      <c r="H93" s="21" t="s">
        <v>25</v>
      </c>
      <c r="I93" s="21" t="s">
        <v>231</v>
      </c>
      <c r="J93" s="22" t="s">
        <v>346</v>
      </c>
      <c r="K93" s="22" t="s">
        <v>28</v>
      </c>
      <c r="L93" s="25" t="s">
        <v>347</v>
      </c>
      <c r="M93" s="23" t="s">
        <v>244</v>
      </c>
      <c r="N93" s="23" t="s">
        <v>128</v>
      </c>
      <c r="O93" s="24"/>
      <c r="P93" s="24"/>
      <c r="Q93" s="24"/>
      <c r="R93" s="25"/>
      <c r="S93" s="25"/>
      <c r="T93" s="56"/>
      <c r="U93" s="56"/>
    </row>
    <row r="94" spans="1:21">
      <c r="A94" s="21" t="n">
        <v>91</v>
      </c>
      <c r="B94" s="21">
        <f>E94</f>
        <v>0</v>
      </c>
      <c r="C94" s="21" t="str">
        <f>F94</f>
        <v>19710125 200701 2 012</v>
      </c>
      <c r="D94" s="22" t="s">
        <v>348</v>
      </c>
      <c r="E94" s="22"/>
      <c r="F94" s="21" t="s">
        <v>349</v>
      </c>
      <c r="G94" s="21" t="s">
        <v>24</v>
      </c>
      <c r="H94" s="21" t="s">
        <v>25</v>
      </c>
      <c r="I94" s="21" t="s">
        <v>231</v>
      </c>
      <c r="J94" s="25" t="s">
        <v>350</v>
      </c>
      <c r="K94" s="22" t="s">
        <v>28</v>
      </c>
      <c r="L94" s="25" t="s">
        <v>262</v>
      </c>
      <c r="M94" s="23" t="s">
        <v>40</v>
      </c>
      <c r="N94" s="23" t="s">
        <v>351</v>
      </c>
      <c r="O94" s="24"/>
      <c r="P94" s="24"/>
      <c r="Q94" s="24"/>
      <c r="R94" s="25"/>
      <c r="S94" s="25"/>
      <c r="T94" s="56"/>
      <c r="U94" s="56"/>
    </row>
    <row r="95" spans="1:21">
      <c r="A95" s="21" t="n">
        <v>92</v>
      </c>
      <c r="B95" s="21">
        <f>E95</f>
        <v>0</v>
      </c>
      <c r="C95" s="21" t="str">
        <f>F95</f>
        <v>19730715 200604 2 031</v>
      </c>
      <c r="D95" s="22" t="s">
        <v>352</v>
      </c>
      <c r="E95" s="22"/>
      <c r="F95" s="21" t="s">
        <v>353</v>
      </c>
      <c r="G95" s="21" t="s">
        <v>24</v>
      </c>
      <c r="H95" s="21" t="s">
        <v>25</v>
      </c>
      <c r="I95" s="21" t="s">
        <v>231</v>
      </c>
      <c r="J95" s="22" t="s">
        <v>354</v>
      </c>
      <c r="K95" s="22" t="s">
        <v>242</v>
      </c>
      <c r="L95" s="22" t="s">
        <v>354</v>
      </c>
      <c r="M95" s="23" t="s">
        <v>355</v>
      </c>
      <c r="N95" s="23" t="s">
        <v>304</v>
      </c>
      <c r="O95" s="24"/>
      <c r="P95" s="24"/>
      <c r="Q95" s="24"/>
      <c r="R95" s="25"/>
      <c r="S95" s="25"/>
      <c r="T95" s="56"/>
      <c r="U95" s="56"/>
    </row>
    <row r="96" spans="1:21">
      <c r="A96" s="21" t="n">
        <v>93</v>
      </c>
      <c r="B96" s="21">
        <f>E96</f>
        <v>0</v>
      </c>
      <c r="C96" s="21" t="str">
        <f>F96</f>
        <v>19830628 201411 1 001</v>
      </c>
      <c r="D96" s="22" t="s">
        <v>356</v>
      </c>
      <c r="E96" s="22"/>
      <c r="F96" s="21" t="s">
        <v>357</v>
      </c>
      <c r="G96" s="21" t="s">
        <v>33</v>
      </c>
      <c r="H96" s="21" t="s">
        <v>25</v>
      </c>
      <c r="I96" s="21" t="s">
        <v>110</v>
      </c>
      <c r="J96" s="22" t="s">
        <v>358</v>
      </c>
      <c r="K96" s="27" t="s">
        <v>66</v>
      </c>
      <c r="L96" s="22" t="s">
        <v>358</v>
      </c>
      <c r="M96" s="23" t="s">
        <v>72</v>
      </c>
      <c r="N96" s="23" t="s">
        <v>359</v>
      </c>
      <c r="O96" s="24"/>
      <c r="P96" s="24"/>
      <c r="Q96" s="24"/>
      <c r="R96" s="25"/>
      <c r="S96" s="25"/>
      <c r="T96" s="56"/>
      <c r="U96" s="56"/>
    </row>
    <row r="97" spans="1:21">
      <c r="A97" s="21" t="n">
        <v>94</v>
      </c>
      <c r="B97" s="21">
        <f>E97</f>
        <v>0</v>
      </c>
      <c r="C97" s="21" t="str">
        <f>F97</f>
        <v>19740105 200604 1 014</v>
      </c>
      <c r="D97" s="22" t="s">
        <v>360</v>
      </c>
      <c r="E97" s="22"/>
      <c r="F97" s="21" t="s">
        <v>361</v>
      </c>
      <c r="G97" s="21" t="s">
        <v>33</v>
      </c>
      <c r="H97" s="21" t="s">
        <v>25</v>
      </c>
      <c r="I97" s="21" t="s">
        <v>231</v>
      </c>
      <c r="J97" s="22" t="s">
        <v>362</v>
      </c>
      <c r="K97" s="27" t="s">
        <v>66</v>
      </c>
      <c r="L97" s="22" t="s">
        <v>362</v>
      </c>
      <c r="M97" s="23" t="s">
        <v>72</v>
      </c>
      <c r="N97" s="23" t="s">
        <v>168</v>
      </c>
      <c r="O97" s="24"/>
      <c r="P97" s="24"/>
      <c r="Q97" s="24"/>
      <c r="R97" s="25"/>
      <c r="S97" s="25"/>
      <c r="T97" s="56"/>
      <c r="U97" s="56"/>
    </row>
    <row r="98" spans="1:21">
      <c r="A98" s="21" t="n">
        <v>95</v>
      </c>
      <c r="B98" s="21">
        <f>E98</f>
        <v>0</v>
      </c>
      <c r="C98" s="21" t="str">
        <f>F98</f>
        <v>19810428 200604 2 019</v>
      </c>
      <c r="D98" s="22" t="s">
        <v>363</v>
      </c>
      <c r="E98" s="22"/>
      <c r="F98" s="21" t="s">
        <v>364</v>
      </c>
      <c r="G98" s="21" t="s">
        <v>24</v>
      </c>
      <c r="H98" s="21" t="s">
        <v>25</v>
      </c>
      <c r="I98" s="21" t="s">
        <v>231</v>
      </c>
      <c r="J98" s="22" t="s">
        <v>208</v>
      </c>
      <c r="K98" s="27" t="s">
        <v>201</v>
      </c>
      <c r="L98" s="22" t="s">
        <v>208</v>
      </c>
      <c r="M98" s="28" t="s">
        <v>202</v>
      </c>
      <c r="N98" s="23" t="s">
        <v>271</v>
      </c>
      <c r="O98" s="24"/>
      <c r="P98" s="24"/>
      <c r="Q98" s="24"/>
      <c r="R98" s="25"/>
      <c r="S98" s="25"/>
      <c r="T98" s="56"/>
      <c r="U98" s="56"/>
    </row>
    <row r="99" spans="1:21">
      <c r="A99" s="21" t="n">
        <v>96</v>
      </c>
      <c r="B99" s="21">
        <f>E99</f>
        <v>0</v>
      </c>
      <c r="C99" s="21" t="str">
        <f>F99</f>
        <v>19801116 200701 1 002</v>
      </c>
      <c r="D99" s="22" t="s">
        <v>365</v>
      </c>
      <c r="E99" s="22"/>
      <c r="F99" s="21" t="s">
        <v>366</v>
      </c>
      <c r="G99" s="21" t="s">
        <v>33</v>
      </c>
      <c r="H99" s="21" t="s">
        <v>25</v>
      </c>
      <c r="I99" s="21" t="s">
        <v>231</v>
      </c>
      <c r="J99" s="23" t="s">
        <v>221</v>
      </c>
      <c r="K99" s="27" t="s">
        <v>96</v>
      </c>
      <c r="L99" s="22" t="s">
        <v>221</v>
      </c>
      <c r="M99" s="23" t="s">
        <v>161</v>
      </c>
      <c r="N99" s="23" t="s">
        <v>331</v>
      </c>
      <c r="O99" s="24"/>
      <c r="P99" s="24"/>
      <c r="Q99" s="24"/>
      <c r="R99" s="25"/>
      <c r="S99" s="25"/>
      <c r="T99" s="56"/>
      <c r="U99" s="56"/>
    </row>
    <row r="100" spans="1:21">
      <c r="A100" s="21" t="n">
        <v>97</v>
      </c>
      <c r="B100" s="21">
        <f>E100</f>
        <v>0</v>
      </c>
      <c r="C100" s="21" t="str">
        <f>F100</f>
        <v>19790907 200801 2 015</v>
      </c>
      <c r="D100" s="22" t="s">
        <v>367</v>
      </c>
      <c r="E100" s="22"/>
      <c r="F100" s="21" t="s">
        <v>368</v>
      </c>
      <c r="G100" s="21" t="s">
        <v>24</v>
      </c>
      <c r="H100" s="21" t="s">
        <v>25</v>
      </c>
      <c r="I100" s="21" t="s">
        <v>369</v>
      </c>
      <c r="J100" s="23" t="s">
        <v>156</v>
      </c>
      <c r="K100" s="27" t="s">
        <v>96</v>
      </c>
      <c r="L100" s="22" t="s">
        <v>156</v>
      </c>
      <c r="M100" s="23" t="s">
        <v>40</v>
      </c>
      <c r="N100" s="23" t="s">
        <v>278</v>
      </c>
      <c r="O100" s="24"/>
      <c r="P100" s="24"/>
      <c r="Q100" s="24"/>
      <c r="R100" s="25"/>
      <c r="S100" s="25"/>
      <c r="T100" s="56"/>
      <c r="U100" s="56"/>
    </row>
    <row r="101" spans="1:21">
      <c r="A101" s="21" t="n">
        <v>98</v>
      </c>
      <c r="B101" s="21">
        <f>E101</f>
        <v>0</v>
      </c>
      <c r="C101" s="21" t="str">
        <f>F101</f>
        <v>19820408 200701 2 009</v>
      </c>
      <c r="D101" s="22" t="s">
        <v>370</v>
      </c>
      <c r="E101" s="22"/>
      <c r="F101" s="21" t="s">
        <v>371</v>
      </c>
      <c r="G101" s="21" t="s">
        <v>24</v>
      </c>
      <c r="H101" s="21" t="s">
        <v>25</v>
      </c>
      <c r="I101" s="21" t="s">
        <v>231</v>
      </c>
      <c r="J101" s="23" t="s">
        <v>156</v>
      </c>
      <c r="K101" s="27" t="s">
        <v>96</v>
      </c>
      <c r="L101" s="22" t="s">
        <v>156</v>
      </c>
      <c r="M101" s="23" t="s">
        <v>40</v>
      </c>
      <c r="N101" s="23" t="s">
        <v>319</v>
      </c>
      <c r="O101" s="24"/>
      <c r="P101" s="24"/>
      <c r="Q101" s="24"/>
      <c r="R101" s="25"/>
      <c r="S101" s="25"/>
      <c r="T101" s="56"/>
      <c r="U101" s="56"/>
    </row>
    <row r="102" spans="1:21">
      <c r="A102" s="21" t="n">
        <v>99</v>
      </c>
      <c r="B102" s="21">
        <f>E102</f>
        <v>0</v>
      </c>
      <c r="C102" s="21" t="str">
        <f>F102</f>
        <v>19820521 200801 2 014</v>
      </c>
      <c r="D102" s="22" t="s">
        <v>372</v>
      </c>
      <c r="E102" s="22"/>
      <c r="F102" s="21" t="s">
        <v>373</v>
      </c>
      <c r="G102" s="21" t="s">
        <v>24</v>
      </c>
      <c r="H102" s="21" t="s">
        <v>25</v>
      </c>
      <c r="I102" s="21" t="s">
        <v>231</v>
      </c>
      <c r="J102" s="23" t="s">
        <v>156</v>
      </c>
      <c r="K102" s="27" t="s">
        <v>96</v>
      </c>
      <c r="L102" s="22" t="s">
        <v>156</v>
      </c>
      <c r="M102" s="23" t="s">
        <v>40</v>
      </c>
      <c r="N102" s="23" t="s">
        <v>374</v>
      </c>
      <c r="O102" s="24"/>
      <c r="P102" s="24"/>
      <c r="Q102" s="24"/>
      <c r="R102" s="25"/>
      <c r="S102" s="25"/>
      <c r="T102" s="56"/>
      <c r="U102" s="56"/>
    </row>
    <row r="103" spans="1:21">
      <c r="A103" s="21" t="n">
        <v>100</v>
      </c>
      <c r="B103" s="21">
        <f>E103</f>
        <v>0</v>
      </c>
      <c r="C103" s="21" t="str">
        <f>F103</f>
        <v>19830324 200801 2 011</v>
      </c>
      <c r="D103" s="22" t="s">
        <v>375</v>
      </c>
      <c r="E103" s="22"/>
      <c r="F103" s="21" t="s">
        <v>376</v>
      </c>
      <c r="G103" s="21" t="s">
        <v>24</v>
      </c>
      <c r="H103" s="21" t="s">
        <v>25</v>
      </c>
      <c r="I103" s="21" t="s">
        <v>231</v>
      </c>
      <c r="J103" s="23" t="s">
        <v>156</v>
      </c>
      <c r="K103" s="27" t="s">
        <v>96</v>
      </c>
      <c r="L103" s="22" t="s">
        <v>156</v>
      </c>
      <c r="M103" s="28" t="s">
        <v>181</v>
      </c>
      <c r="N103" s="29" t="s">
        <v>235</v>
      </c>
      <c r="O103" s="24"/>
      <c r="P103" s="24"/>
      <c r="Q103" s="24"/>
      <c r="R103" s="25"/>
      <c r="S103" s="25"/>
      <c r="T103" s="56"/>
      <c r="U103" s="56"/>
    </row>
    <row r="104" spans="1:21">
      <c r="A104" s="21" t="n">
        <v>101</v>
      </c>
      <c r="B104" s="21">
        <f>E104</f>
        <v>0</v>
      </c>
      <c r="C104" s="21" t="str">
        <f>F104</f>
        <v>19810222 200801 2 018</v>
      </c>
      <c r="D104" s="22" t="s">
        <v>377</v>
      </c>
      <c r="E104" s="22"/>
      <c r="F104" s="21" t="s">
        <v>378</v>
      </c>
      <c r="G104" s="21" t="s">
        <v>24</v>
      </c>
      <c r="H104" s="21" t="s">
        <v>25</v>
      </c>
      <c r="I104" s="21" t="s">
        <v>231</v>
      </c>
      <c r="J104" s="23" t="s">
        <v>156</v>
      </c>
      <c r="K104" s="27" t="s">
        <v>96</v>
      </c>
      <c r="L104" s="22" t="s">
        <v>156</v>
      </c>
      <c r="M104" s="28" t="s">
        <v>181</v>
      </c>
      <c r="N104" s="23" t="s">
        <v>379</v>
      </c>
      <c r="O104" s="24"/>
      <c r="P104" s="24"/>
      <c r="Q104" s="24"/>
      <c r="R104" s="25"/>
      <c r="S104" s="25"/>
      <c r="T104" s="56"/>
      <c r="U104" s="56"/>
    </row>
    <row r="105" spans="1:21">
      <c r="A105" s="21" t="n">
        <v>102</v>
      </c>
      <c r="B105" s="21">
        <f>E105</f>
        <v>0</v>
      </c>
      <c r="C105" s="21" t="str">
        <f>F105</f>
        <v>19811023 200801 2 013</v>
      </c>
      <c r="D105" s="22" t="s">
        <v>380</v>
      </c>
      <c r="E105" s="22"/>
      <c r="F105" s="21" t="s">
        <v>381</v>
      </c>
      <c r="G105" s="21" t="s">
        <v>24</v>
      </c>
      <c r="H105" s="21" t="s">
        <v>25</v>
      </c>
      <c r="I105" s="21" t="s">
        <v>369</v>
      </c>
      <c r="J105" s="23" t="s">
        <v>156</v>
      </c>
      <c r="K105" s="27" t="s">
        <v>96</v>
      </c>
      <c r="L105" s="22" t="s">
        <v>156</v>
      </c>
      <c r="M105" s="28" t="s">
        <v>181</v>
      </c>
      <c r="N105" s="23" t="s">
        <v>382</v>
      </c>
      <c r="O105" s="24"/>
      <c r="P105" s="24"/>
      <c r="Q105" s="24"/>
      <c r="R105" s="25"/>
      <c r="S105" s="25"/>
      <c r="T105" s="56"/>
      <c r="U105" s="56"/>
    </row>
    <row r="106" spans="1:21">
      <c r="A106" s="21" t="n">
        <v>103</v>
      </c>
      <c r="B106" s="21">
        <f>E106</f>
        <v>0</v>
      </c>
      <c r="C106" s="21" t="str">
        <f>F106</f>
        <v>19830327 200801 2 012</v>
      </c>
      <c r="D106" s="22" t="s">
        <v>383</v>
      </c>
      <c r="E106" s="22"/>
      <c r="F106" s="21" t="s">
        <v>384</v>
      </c>
      <c r="G106" s="21" t="s">
        <v>24</v>
      </c>
      <c r="H106" s="21" t="s">
        <v>25</v>
      </c>
      <c r="I106" s="21" t="s">
        <v>369</v>
      </c>
      <c r="J106" s="23" t="s">
        <v>156</v>
      </c>
      <c r="K106" s="27" t="s">
        <v>96</v>
      </c>
      <c r="L106" s="22" t="s">
        <v>156</v>
      </c>
      <c r="M106" s="23" t="s">
        <v>40</v>
      </c>
      <c r="N106" s="29" t="s">
        <v>385</v>
      </c>
      <c r="O106" s="24"/>
      <c r="P106" s="24"/>
      <c r="Q106" s="24"/>
      <c r="R106" s="25"/>
      <c r="S106" s="25"/>
      <c r="T106" s="56"/>
      <c r="U106" s="56"/>
    </row>
    <row r="107" spans="1:21">
      <c r="A107" s="21" t="n">
        <v>104</v>
      </c>
      <c r="B107" s="21">
        <f>E107</f>
        <v>0</v>
      </c>
      <c r="C107" s="21" t="str">
        <f>F107</f>
        <v>19820122 200701 1 002</v>
      </c>
      <c r="D107" s="22" t="s">
        <v>386</v>
      </c>
      <c r="E107" s="22"/>
      <c r="F107" s="21" t="s">
        <v>387</v>
      </c>
      <c r="G107" s="21" t="s">
        <v>33</v>
      </c>
      <c r="H107" s="21" t="s">
        <v>25</v>
      </c>
      <c r="I107" s="21" t="s">
        <v>231</v>
      </c>
      <c r="J107" s="23" t="s">
        <v>156</v>
      </c>
      <c r="K107" s="27" t="s">
        <v>96</v>
      </c>
      <c r="L107" s="22" t="s">
        <v>156</v>
      </c>
      <c r="M107" s="23" t="s">
        <v>40</v>
      </c>
      <c r="N107" s="23" t="s">
        <v>68</v>
      </c>
      <c r="O107" s="24"/>
      <c r="P107" s="24"/>
      <c r="Q107" s="24"/>
      <c r="R107" s="25"/>
      <c r="S107" s="25"/>
      <c r="T107" s="56"/>
      <c r="U107" s="56"/>
    </row>
    <row r="108" spans="1:21">
      <c r="A108" s="21" t="n">
        <v>105</v>
      </c>
      <c r="B108" s="21">
        <f>E108</f>
        <v>0</v>
      </c>
      <c r="C108" s="21" t="str">
        <f>F108</f>
        <v>19800918 200701 1 004</v>
      </c>
      <c r="D108" s="22" t="s">
        <v>388</v>
      </c>
      <c r="E108" s="22"/>
      <c r="F108" s="21" t="s">
        <v>389</v>
      </c>
      <c r="G108" s="21" t="s">
        <v>33</v>
      </c>
      <c r="H108" s="21" t="s">
        <v>25</v>
      </c>
      <c r="I108" s="21" t="s">
        <v>369</v>
      </c>
      <c r="J108" s="23" t="s">
        <v>156</v>
      </c>
      <c r="K108" s="27" t="s">
        <v>96</v>
      </c>
      <c r="L108" s="22" t="s">
        <v>156</v>
      </c>
      <c r="M108" s="23" t="s">
        <v>40</v>
      </c>
      <c r="N108" s="23" t="s">
        <v>382</v>
      </c>
      <c r="O108" s="24"/>
      <c r="P108" s="24"/>
      <c r="Q108" s="24"/>
      <c r="R108" s="25"/>
      <c r="S108" s="25"/>
      <c r="T108" s="56"/>
      <c r="U108" s="56"/>
    </row>
    <row r="109" spans="1:21">
      <c r="A109" s="21" t="n">
        <v>106</v>
      </c>
      <c r="B109" s="21">
        <f>E109</f>
        <v>0</v>
      </c>
      <c r="C109" s="21" t="str">
        <f>F109</f>
        <v>19760723 200604 1 015</v>
      </c>
      <c r="D109" s="22" t="s">
        <v>390</v>
      </c>
      <c r="E109" s="22"/>
      <c r="F109" s="21" t="s">
        <v>391</v>
      </c>
      <c r="G109" s="21" t="s">
        <v>33</v>
      </c>
      <c r="H109" s="21" t="s">
        <v>25</v>
      </c>
      <c r="I109" s="21" t="s">
        <v>231</v>
      </c>
      <c r="J109" s="22" t="s">
        <v>392</v>
      </c>
      <c r="K109" s="22" t="s">
        <v>28</v>
      </c>
      <c r="L109" s="25" t="s">
        <v>262</v>
      </c>
      <c r="M109" s="23" t="s">
        <v>274</v>
      </c>
      <c r="N109" s="31" t="s">
        <v>393</v>
      </c>
      <c r="O109" s="24"/>
      <c r="P109" s="24"/>
      <c r="Q109" s="24"/>
      <c r="R109" s="25"/>
      <c r="S109" s="25"/>
      <c r="T109" s="56"/>
      <c r="U109" s="56"/>
    </row>
    <row r="110" spans="1:21">
      <c r="A110" s="21" t="n">
        <v>107</v>
      </c>
      <c r="B110" s="21">
        <f>E110</f>
        <v>0</v>
      </c>
      <c r="C110" s="21" t="str">
        <f>F110</f>
        <v>19811028 200701 2 008</v>
      </c>
      <c r="D110" s="22" t="s">
        <v>394</v>
      </c>
      <c r="E110" s="22"/>
      <c r="F110" s="21" t="s">
        <v>395</v>
      </c>
      <c r="G110" s="21" t="s">
        <v>24</v>
      </c>
      <c r="H110" s="21" t="s">
        <v>25</v>
      </c>
      <c r="I110" s="21" t="s">
        <v>231</v>
      </c>
      <c r="J110" s="23" t="s">
        <v>156</v>
      </c>
      <c r="K110" s="27" t="s">
        <v>96</v>
      </c>
      <c r="L110" s="22" t="s">
        <v>156</v>
      </c>
      <c r="M110" s="23" t="s">
        <v>161</v>
      </c>
      <c r="N110" s="23" t="s">
        <v>396</v>
      </c>
      <c r="O110" s="24"/>
      <c r="P110" s="24"/>
      <c r="Q110" s="24"/>
      <c r="R110" s="25"/>
      <c r="S110" s="25"/>
      <c r="T110" s="56"/>
      <c r="U110" s="56"/>
    </row>
    <row r="111" spans="1:21">
      <c r="A111" s="21" t="n">
        <v>108</v>
      </c>
      <c r="B111" s="21">
        <f>E111</f>
        <v>0</v>
      </c>
      <c r="C111" s="21" t="str">
        <f>F111</f>
        <v>19821010 200701 1 009</v>
      </c>
      <c r="D111" s="22" t="s">
        <v>397</v>
      </c>
      <c r="E111" s="22"/>
      <c r="F111" s="21" t="s">
        <v>398</v>
      </c>
      <c r="G111" s="21" t="s">
        <v>33</v>
      </c>
      <c r="H111" s="21" t="s">
        <v>25</v>
      </c>
      <c r="I111" s="21" t="s">
        <v>369</v>
      </c>
      <c r="J111" s="23" t="s">
        <v>156</v>
      </c>
      <c r="K111" s="27" t="s">
        <v>96</v>
      </c>
      <c r="L111" s="22" t="s">
        <v>156</v>
      </c>
      <c r="M111" s="23" t="s">
        <v>40</v>
      </c>
      <c r="N111" s="29" t="s">
        <v>278</v>
      </c>
      <c r="O111" s="24"/>
      <c r="P111" s="24"/>
      <c r="Q111" s="24"/>
      <c r="R111" s="25"/>
      <c r="S111" s="25"/>
      <c r="T111" s="56"/>
      <c r="U111" s="56"/>
    </row>
    <row r="112" spans="1:21">
      <c r="A112" s="21" t="n">
        <v>109</v>
      </c>
      <c r="B112" s="21">
        <f>E112</f>
        <v>0</v>
      </c>
      <c r="C112" s="21" t="str">
        <f>F112</f>
        <v>19821007 200801 2 016</v>
      </c>
      <c r="D112" s="22" t="s">
        <v>399</v>
      </c>
      <c r="E112" s="22"/>
      <c r="F112" s="21" t="s">
        <v>400</v>
      </c>
      <c r="G112" s="21" t="s">
        <v>24</v>
      </c>
      <c r="H112" s="21" t="s">
        <v>25</v>
      </c>
      <c r="I112" s="21" t="s">
        <v>231</v>
      </c>
      <c r="J112" s="23" t="s">
        <v>156</v>
      </c>
      <c r="K112" s="27" t="s">
        <v>96</v>
      </c>
      <c r="L112" s="22" t="s">
        <v>156</v>
      </c>
      <c r="M112" s="28" t="s">
        <v>181</v>
      </c>
      <c r="N112" s="23" t="s">
        <v>401</v>
      </c>
      <c r="O112" s="24"/>
      <c r="P112" s="24"/>
      <c r="Q112" s="24"/>
      <c r="R112" s="25"/>
      <c r="S112" s="25"/>
      <c r="T112" s="56"/>
      <c r="U112" s="56"/>
    </row>
    <row r="113" spans="1:21">
      <c r="A113" s="21" t="n">
        <v>110</v>
      </c>
      <c r="B113" s="21">
        <f>E113</f>
        <v>0</v>
      </c>
      <c r="C113" s="21" t="str">
        <f>F113</f>
        <v>19811023 200701 2 005</v>
      </c>
      <c r="D113" s="22" t="s">
        <v>402</v>
      </c>
      <c r="E113" s="22"/>
      <c r="F113" s="21" t="s">
        <v>403</v>
      </c>
      <c r="G113" s="21" t="s">
        <v>24</v>
      </c>
      <c r="H113" s="21" t="s">
        <v>25</v>
      </c>
      <c r="I113" s="21" t="s">
        <v>369</v>
      </c>
      <c r="J113" s="23" t="s">
        <v>156</v>
      </c>
      <c r="K113" s="27" t="s">
        <v>96</v>
      </c>
      <c r="L113" s="22" t="s">
        <v>156</v>
      </c>
      <c r="M113" s="28" t="s">
        <v>181</v>
      </c>
      <c r="N113" s="30" t="s">
        <v>197</v>
      </c>
      <c r="O113" s="24"/>
      <c r="P113" s="24"/>
      <c r="Q113" s="24"/>
      <c r="R113" s="25"/>
      <c r="S113" s="25"/>
      <c r="T113" s="56"/>
      <c r="U113" s="56"/>
    </row>
    <row r="114" spans="1:21">
      <c r="A114" s="21" t="n">
        <v>111</v>
      </c>
      <c r="B114" s="21">
        <f>E114</f>
        <v>0</v>
      </c>
      <c r="C114" s="21" t="str">
        <f>F114</f>
        <v>19850514 200903 2 007</v>
      </c>
      <c r="D114" s="22" t="s">
        <v>404</v>
      </c>
      <c r="E114" s="22"/>
      <c r="F114" s="21" t="s">
        <v>405</v>
      </c>
      <c r="G114" s="21" t="s">
        <v>24</v>
      </c>
      <c r="H114" s="21" t="s">
        <v>25</v>
      </c>
      <c r="I114" s="21" t="s">
        <v>369</v>
      </c>
      <c r="J114" s="23" t="s">
        <v>156</v>
      </c>
      <c r="K114" s="27" t="s">
        <v>96</v>
      </c>
      <c r="L114" s="22" t="s">
        <v>156</v>
      </c>
      <c r="M114" s="23" t="s">
        <v>40</v>
      </c>
      <c r="N114" s="29" t="s">
        <v>406</v>
      </c>
      <c r="O114" s="24"/>
      <c r="P114" s="24"/>
      <c r="Q114" s="24"/>
      <c r="R114" s="25"/>
      <c r="S114" s="25"/>
      <c r="T114" s="56"/>
      <c r="U114" s="56"/>
    </row>
    <row r="115" spans="1:21">
      <c r="A115" s="21" t="n">
        <v>112</v>
      </c>
      <c r="B115" s="21">
        <f>E115</f>
        <v>0</v>
      </c>
      <c r="C115" s="21" t="str">
        <f>F115</f>
        <v>19820605 200801 2 025</v>
      </c>
      <c r="D115" s="22" t="s">
        <v>407</v>
      </c>
      <c r="E115" s="22"/>
      <c r="F115" s="21" t="s">
        <v>408</v>
      </c>
      <c r="G115" s="21" t="s">
        <v>24</v>
      </c>
      <c r="H115" s="21" t="s">
        <v>25</v>
      </c>
      <c r="I115" s="21" t="s">
        <v>231</v>
      </c>
      <c r="J115" s="22" t="s">
        <v>409</v>
      </c>
      <c r="K115" s="22" t="s">
        <v>132</v>
      </c>
      <c r="L115" s="22" t="s">
        <v>409</v>
      </c>
      <c r="M115" s="23" t="s">
        <v>172</v>
      </c>
      <c r="N115" s="23" t="s">
        <v>173</v>
      </c>
      <c r="O115" s="24"/>
      <c r="P115" s="24"/>
      <c r="Q115" s="24"/>
      <c r="R115" s="25"/>
      <c r="S115" s="25"/>
      <c r="T115" s="56"/>
      <c r="U115" s="56"/>
    </row>
    <row r="116" spans="1:21">
      <c r="A116" s="21" t="n">
        <v>113</v>
      </c>
      <c r="B116" s="21">
        <f>E116</f>
        <v>0</v>
      </c>
      <c r="C116" s="21" t="str">
        <f>F116</f>
        <v>19740428 200701 2 013</v>
      </c>
      <c r="D116" s="22" t="s">
        <v>410</v>
      </c>
      <c r="E116" s="22"/>
      <c r="F116" s="21" t="s">
        <v>411</v>
      </c>
      <c r="G116" s="21" t="s">
        <v>24</v>
      </c>
      <c r="H116" s="21" t="s">
        <v>25</v>
      </c>
      <c r="I116" s="21" t="s">
        <v>369</v>
      </c>
      <c r="J116" s="22" t="s">
        <v>392</v>
      </c>
      <c r="K116" s="22" t="s">
        <v>28</v>
      </c>
      <c r="L116" s="25" t="s">
        <v>262</v>
      </c>
      <c r="M116" s="23" t="s">
        <v>40</v>
      </c>
      <c r="N116" s="23" t="s">
        <v>158</v>
      </c>
      <c r="O116" s="24"/>
      <c r="P116" s="24"/>
      <c r="Q116" s="24"/>
      <c r="R116" s="25"/>
      <c r="S116" s="25"/>
      <c r="T116" s="56"/>
      <c r="U116" s="56"/>
    </row>
    <row r="117" spans="1:21">
      <c r="A117" s="21" t="n">
        <v>114</v>
      </c>
      <c r="B117" s="21">
        <f>E117</f>
        <v>0</v>
      </c>
      <c r="C117" s="21" t="str">
        <f>F117</f>
        <v>19710919 200701 2 016</v>
      </c>
      <c r="D117" s="22" t="s">
        <v>412</v>
      </c>
      <c r="E117" s="22"/>
      <c r="F117" s="21" t="s">
        <v>413</v>
      </c>
      <c r="G117" s="21" t="s">
        <v>24</v>
      </c>
      <c r="H117" s="21" t="s">
        <v>25</v>
      </c>
      <c r="I117" s="21" t="s">
        <v>231</v>
      </c>
      <c r="J117" s="22" t="s">
        <v>392</v>
      </c>
      <c r="K117" s="22" t="s">
        <v>28</v>
      </c>
      <c r="L117" s="25" t="s">
        <v>262</v>
      </c>
      <c r="M117" s="23" t="s">
        <v>40</v>
      </c>
      <c r="N117" s="23" t="s">
        <v>396</v>
      </c>
      <c r="O117" s="24"/>
      <c r="P117" s="24"/>
      <c r="Q117" s="24"/>
      <c r="R117" s="25"/>
      <c r="S117" s="25"/>
      <c r="T117" s="56"/>
      <c r="U117" s="56"/>
    </row>
    <row r="118" spans="1:21">
      <c r="A118" s="21" t="n">
        <v>115</v>
      </c>
      <c r="B118" s="21">
        <f>E118</f>
        <v>0</v>
      </c>
      <c r="C118" s="21" t="str">
        <f>F118</f>
        <v>19821027 200604 1 011</v>
      </c>
      <c r="D118" s="22" t="s">
        <v>414</v>
      </c>
      <c r="E118" s="22"/>
      <c r="F118" s="21" t="s">
        <v>415</v>
      </c>
      <c r="G118" s="21" t="s">
        <v>33</v>
      </c>
      <c r="H118" s="21" t="s">
        <v>25</v>
      </c>
      <c r="I118" s="21" t="s">
        <v>231</v>
      </c>
      <c r="J118" s="23" t="s">
        <v>156</v>
      </c>
      <c r="K118" s="27" t="s">
        <v>96</v>
      </c>
      <c r="L118" s="22" t="s">
        <v>156</v>
      </c>
      <c r="M118" s="28" t="s">
        <v>181</v>
      </c>
      <c r="N118" s="23" t="s">
        <v>275</v>
      </c>
      <c r="O118" s="24"/>
      <c r="P118" s="24"/>
      <c r="Q118" s="24"/>
      <c r="R118" s="25"/>
      <c r="S118" s="25"/>
      <c r="T118" s="56"/>
      <c r="U118" s="56"/>
    </row>
    <row r="119" spans="1:21">
      <c r="A119" s="21" t="n">
        <v>116</v>
      </c>
      <c r="B119" s="21">
        <f>E119</f>
        <v>0</v>
      </c>
      <c r="C119" s="21" t="str">
        <f>F119</f>
        <v>19820810 200801 2 021</v>
      </c>
      <c r="D119" s="22" t="s">
        <v>416</v>
      </c>
      <c r="E119" s="22"/>
      <c r="F119" s="21" t="s">
        <v>417</v>
      </c>
      <c r="G119" s="21" t="s">
        <v>24</v>
      </c>
      <c r="H119" s="21" t="s">
        <v>25</v>
      </c>
      <c r="I119" s="21" t="s">
        <v>110</v>
      </c>
      <c r="J119" s="23" t="s">
        <v>156</v>
      </c>
      <c r="K119" s="27" t="s">
        <v>96</v>
      </c>
      <c r="L119" s="22" t="s">
        <v>156</v>
      </c>
      <c r="M119" s="28" t="s">
        <v>274</v>
      </c>
      <c r="N119" s="23" t="s">
        <v>97</v>
      </c>
      <c r="O119" s="24"/>
      <c r="P119" s="24"/>
      <c r="Q119" s="24"/>
      <c r="R119" s="25"/>
      <c r="S119" s="25"/>
      <c r="T119" s="56"/>
      <c r="U119" s="56"/>
    </row>
    <row r="120" spans="1:21">
      <c r="A120" s="21" t="n">
        <v>117</v>
      </c>
      <c r="B120" s="21">
        <f>E120</f>
        <v>0</v>
      </c>
      <c r="C120" s="21" t="str">
        <f>F120</f>
        <v>19710225 200604 2 027</v>
      </c>
      <c r="D120" s="22" t="s">
        <v>418</v>
      </c>
      <c r="E120" s="22"/>
      <c r="F120" s="21" t="s">
        <v>419</v>
      </c>
      <c r="G120" s="21" t="s">
        <v>24</v>
      </c>
      <c r="H120" s="21" t="s">
        <v>25</v>
      </c>
      <c r="I120" s="21" t="s">
        <v>231</v>
      </c>
      <c r="J120" s="22" t="s">
        <v>420</v>
      </c>
      <c r="K120" s="27" t="s">
        <v>201</v>
      </c>
      <c r="L120" s="22" t="s">
        <v>420</v>
      </c>
      <c r="M120" s="28" t="s">
        <v>202</v>
      </c>
      <c r="N120" s="23" t="s">
        <v>210</v>
      </c>
      <c r="O120" s="24"/>
      <c r="P120" s="24"/>
      <c r="Q120" s="24"/>
      <c r="R120" s="25"/>
      <c r="S120" s="25"/>
      <c r="T120" s="56"/>
      <c r="U120" s="56"/>
    </row>
    <row r="121" spans="1:21">
      <c r="A121" s="21" t="n">
        <v>118</v>
      </c>
      <c r="B121" s="21">
        <f>E121</f>
        <v>0</v>
      </c>
      <c r="C121" s="21" t="str">
        <f>F121</f>
        <v>19771212 200604 2 019</v>
      </c>
      <c r="D121" s="22" t="s">
        <v>421</v>
      </c>
      <c r="E121" s="22"/>
      <c r="F121" s="21" t="s">
        <v>422</v>
      </c>
      <c r="G121" s="21" t="s">
        <v>24</v>
      </c>
      <c r="H121" s="21" t="s">
        <v>25</v>
      </c>
      <c r="I121" s="21" t="s">
        <v>110</v>
      </c>
      <c r="J121" s="22" t="s">
        <v>208</v>
      </c>
      <c r="K121" s="27" t="s">
        <v>201</v>
      </c>
      <c r="L121" s="22" t="s">
        <v>208</v>
      </c>
      <c r="M121" s="28" t="s">
        <v>423</v>
      </c>
      <c r="N121" s="23" t="s">
        <v>210</v>
      </c>
      <c r="O121" s="24"/>
      <c r="P121" s="24"/>
      <c r="Q121" s="24"/>
      <c r="R121" s="25"/>
      <c r="S121" s="25"/>
      <c r="T121" s="56"/>
      <c r="U121" s="56"/>
    </row>
    <row r="122" spans="1:21">
      <c r="A122" s="21" t="n">
        <v>119</v>
      </c>
      <c r="B122" s="21">
        <f>E122</f>
        <v>0</v>
      </c>
      <c r="C122" s="21" t="str">
        <f>F122</f>
        <v>19780718 200003 1 001</v>
      </c>
      <c r="D122" s="22" t="s">
        <v>424</v>
      </c>
      <c r="E122" s="22"/>
      <c r="F122" s="21" t="s">
        <v>425</v>
      </c>
      <c r="G122" s="21" t="s">
        <v>33</v>
      </c>
      <c r="H122" s="21" t="s">
        <v>25</v>
      </c>
      <c r="I122" s="21" t="s">
        <v>231</v>
      </c>
      <c r="J122" s="23" t="s">
        <v>156</v>
      </c>
      <c r="K122" s="27" t="s">
        <v>96</v>
      </c>
      <c r="L122" s="22" t="s">
        <v>156</v>
      </c>
      <c r="M122" s="23" t="s">
        <v>40</v>
      </c>
      <c r="N122" s="23" t="s">
        <v>325</v>
      </c>
      <c r="O122" s="24"/>
      <c r="P122" s="24"/>
      <c r="Q122" s="24"/>
      <c r="R122" s="25"/>
      <c r="S122" s="25"/>
      <c r="T122" s="56"/>
      <c r="U122" s="56"/>
    </row>
    <row r="123" spans="1:21">
      <c r="A123" s="21" t="n">
        <v>120</v>
      </c>
      <c r="B123" s="21">
        <f>E123</f>
        <v>0</v>
      </c>
      <c r="C123" s="21" t="str">
        <f>F123</f>
        <v>19790605 200501 2 016</v>
      </c>
      <c r="D123" s="22" t="s">
        <v>426</v>
      </c>
      <c r="E123" s="22"/>
      <c r="F123" s="21" t="s">
        <v>427</v>
      </c>
      <c r="G123" s="21" t="s">
        <v>24</v>
      </c>
      <c r="H123" s="21" t="s">
        <v>25</v>
      </c>
      <c r="I123" s="21" t="s">
        <v>231</v>
      </c>
      <c r="J123" s="22" t="s">
        <v>392</v>
      </c>
      <c r="K123" s="22" t="s">
        <v>28</v>
      </c>
      <c r="L123" s="25" t="s">
        <v>262</v>
      </c>
      <c r="M123" s="23" t="s">
        <v>29</v>
      </c>
      <c r="N123" s="23" t="s">
        <v>41</v>
      </c>
      <c r="O123" s="24"/>
      <c r="P123" s="24"/>
      <c r="Q123" s="24"/>
      <c r="R123" s="25"/>
      <c r="S123" s="25"/>
      <c r="T123" s="56"/>
      <c r="U123" s="56"/>
    </row>
    <row r="124" spans="1:21">
      <c r="A124" s="21" t="n">
        <v>121</v>
      </c>
      <c r="B124" s="21">
        <f>E124</f>
        <v>0</v>
      </c>
      <c r="C124" s="21" t="str">
        <f>F124</f>
        <v>19800907 200701 2 015</v>
      </c>
      <c r="D124" s="22" t="s">
        <v>428</v>
      </c>
      <c r="E124" s="22"/>
      <c r="F124" s="21" t="s">
        <v>429</v>
      </c>
      <c r="G124" s="21" t="s">
        <v>24</v>
      </c>
      <c r="H124" s="21" t="s">
        <v>25</v>
      </c>
      <c r="I124" s="21" t="s">
        <v>231</v>
      </c>
      <c r="J124" s="23" t="s">
        <v>156</v>
      </c>
      <c r="K124" s="27" t="s">
        <v>96</v>
      </c>
      <c r="L124" s="22" t="s">
        <v>156</v>
      </c>
      <c r="M124" s="23" t="s">
        <v>274</v>
      </c>
      <c r="N124" s="29" t="s">
        <v>430</v>
      </c>
      <c r="O124" s="24"/>
      <c r="P124" s="24"/>
      <c r="Q124" s="24"/>
      <c r="R124" s="25"/>
      <c r="S124" s="25"/>
      <c r="T124" s="56"/>
      <c r="U124" s="56"/>
    </row>
    <row r="125" spans="1:21">
      <c r="A125" s="21" t="n">
        <v>122</v>
      </c>
      <c r="B125" s="21">
        <f>E125</f>
        <v>0</v>
      </c>
      <c r="C125" s="21" t="str">
        <f>F125</f>
        <v>19790809 200801 1 010</v>
      </c>
      <c r="D125" s="22" t="s">
        <v>431</v>
      </c>
      <c r="E125" s="22"/>
      <c r="F125" s="21" t="s">
        <v>432</v>
      </c>
      <c r="G125" s="21" t="s">
        <v>33</v>
      </c>
      <c r="H125" s="21" t="s">
        <v>25</v>
      </c>
      <c r="I125" s="21" t="s">
        <v>231</v>
      </c>
      <c r="J125" s="22" t="s">
        <v>433</v>
      </c>
      <c r="K125" s="22" t="s">
        <v>28</v>
      </c>
      <c r="L125" s="25" t="s">
        <v>262</v>
      </c>
      <c r="M125" s="23" t="s">
        <v>29</v>
      </c>
      <c r="N125" s="23" t="s">
        <v>112</v>
      </c>
      <c r="O125" s="24"/>
      <c r="P125" s="24"/>
      <c r="Q125" s="24"/>
      <c r="R125" s="25"/>
      <c r="S125" s="25"/>
      <c r="T125" s="56"/>
      <c r="U125" s="56"/>
    </row>
    <row r="126" spans="1:21">
      <c r="A126" s="21" t="n">
        <v>123</v>
      </c>
      <c r="B126" s="21">
        <f>E126</f>
        <v>0</v>
      </c>
      <c r="C126" s="21" t="str">
        <f>F126</f>
        <v>19720514 200701 2 016</v>
      </c>
      <c r="D126" s="22" t="s">
        <v>434</v>
      </c>
      <c r="E126" s="22"/>
      <c r="F126" s="21" t="s">
        <v>435</v>
      </c>
      <c r="G126" s="21" t="s">
        <v>24</v>
      </c>
      <c r="H126" s="21" t="s">
        <v>25</v>
      </c>
      <c r="I126" s="21" t="s">
        <v>231</v>
      </c>
      <c r="J126" s="22" t="s">
        <v>392</v>
      </c>
      <c r="K126" s="22" t="s">
        <v>28</v>
      </c>
      <c r="L126" s="25" t="s">
        <v>262</v>
      </c>
      <c r="M126" s="23" t="s">
        <v>40</v>
      </c>
      <c r="N126" s="23" t="s">
        <v>150</v>
      </c>
      <c r="O126" s="24"/>
      <c r="P126" s="24"/>
      <c r="Q126" s="24"/>
      <c r="R126" s="25"/>
      <c r="S126" s="25"/>
      <c r="T126" s="56"/>
      <c r="U126" s="56"/>
    </row>
    <row r="127" spans="1:21">
      <c r="A127" s="21" t="n">
        <v>124</v>
      </c>
      <c r="B127" s="21">
        <f>E127</f>
        <v>0</v>
      </c>
      <c r="C127" s="21" t="str">
        <f>F127</f>
        <v>19790802 200701 1 010</v>
      </c>
      <c r="D127" s="22" t="s">
        <v>436</v>
      </c>
      <c r="E127" s="22"/>
      <c r="F127" s="21" t="s">
        <v>437</v>
      </c>
      <c r="G127" s="21" t="s">
        <v>33</v>
      </c>
      <c r="H127" s="21" t="s">
        <v>25</v>
      </c>
      <c r="I127" s="21" t="s">
        <v>231</v>
      </c>
      <c r="J127" s="23" t="s">
        <v>156</v>
      </c>
      <c r="K127" s="27" t="s">
        <v>96</v>
      </c>
      <c r="L127" s="22" t="s">
        <v>156</v>
      </c>
      <c r="M127" s="28" t="s">
        <v>274</v>
      </c>
      <c r="N127" s="23" t="s">
        <v>68</v>
      </c>
      <c r="O127" s="24"/>
      <c r="P127" s="24"/>
      <c r="Q127" s="24"/>
      <c r="R127" s="25"/>
      <c r="S127" s="25"/>
      <c r="T127" s="56"/>
      <c r="U127" s="56"/>
    </row>
    <row r="128" spans="1:21">
      <c r="A128" s="21" t="n">
        <v>125</v>
      </c>
      <c r="B128" s="21">
        <f>E128</f>
        <v>0</v>
      </c>
      <c r="C128" s="21" t="str">
        <f>F128</f>
        <v>19860409 200903 2 003</v>
      </c>
      <c r="D128" s="22" t="s">
        <v>438</v>
      </c>
      <c r="E128" s="22"/>
      <c r="F128" s="21" t="s">
        <v>439</v>
      </c>
      <c r="G128" s="21" t="s">
        <v>24</v>
      </c>
      <c r="H128" s="21" t="s">
        <v>25</v>
      </c>
      <c r="I128" s="21" t="s">
        <v>231</v>
      </c>
      <c r="J128" s="23" t="s">
        <v>156</v>
      </c>
      <c r="K128" s="27" t="s">
        <v>96</v>
      </c>
      <c r="L128" s="22" t="s">
        <v>156</v>
      </c>
      <c r="M128" s="28" t="s">
        <v>181</v>
      </c>
      <c r="N128" s="23" t="s">
        <v>245</v>
      </c>
      <c r="O128" s="24"/>
      <c r="P128" s="24"/>
      <c r="Q128" s="24"/>
      <c r="R128" s="25"/>
      <c r="S128" s="25"/>
      <c r="T128" s="56"/>
      <c r="U128" s="56"/>
    </row>
    <row r="129" spans="1:21">
      <c r="A129" s="21" t="n">
        <v>126</v>
      </c>
      <c r="B129" s="21">
        <f>E129</f>
        <v>0</v>
      </c>
      <c r="C129" s="21" t="str">
        <f>F129</f>
        <v>19860317 200903 2 004</v>
      </c>
      <c r="D129" s="22" t="s">
        <v>440</v>
      </c>
      <c r="E129" s="22"/>
      <c r="F129" s="21" t="s">
        <v>441</v>
      </c>
      <c r="G129" s="21" t="s">
        <v>24</v>
      </c>
      <c r="H129" s="21" t="s">
        <v>25</v>
      </c>
      <c r="I129" s="21" t="s">
        <v>231</v>
      </c>
      <c r="J129" s="22" t="s">
        <v>208</v>
      </c>
      <c r="K129" s="27" t="s">
        <v>201</v>
      </c>
      <c r="L129" s="22" t="s">
        <v>208</v>
      </c>
      <c r="M129" s="23" t="s">
        <v>209</v>
      </c>
      <c r="N129" s="23" t="s">
        <v>210</v>
      </c>
      <c r="O129" s="24"/>
      <c r="P129" s="24"/>
      <c r="Q129" s="24"/>
      <c r="R129" s="25"/>
      <c r="S129" s="25"/>
      <c r="T129" s="56"/>
      <c r="U129" s="56"/>
    </row>
    <row r="130" spans="1:21">
      <c r="A130" s="21" t="n">
        <v>127</v>
      </c>
      <c r="B130" s="21">
        <f>E130</f>
        <v>0</v>
      </c>
      <c r="C130" s="21" t="str">
        <f>F130</f>
        <v>19781127 200903 2 004</v>
      </c>
      <c r="D130" s="22" t="s">
        <v>442</v>
      </c>
      <c r="E130" s="22"/>
      <c r="F130" s="21" t="s">
        <v>443</v>
      </c>
      <c r="G130" s="21" t="s">
        <v>24</v>
      </c>
      <c r="H130" s="21" t="s">
        <v>25</v>
      </c>
      <c r="I130" s="21" t="s">
        <v>231</v>
      </c>
      <c r="J130" s="22" t="s">
        <v>171</v>
      </c>
      <c r="K130" s="22" t="s">
        <v>132</v>
      </c>
      <c r="L130" s="22" t="s">
        <v>171</v>
      </c>
      <c r="M130" s="23" t="s">
        <v>444</v>
      </c>
      <c r="N130" s="23" t="s">
        <v>173</v>
      </c>
      <c r="O130" s="24"/>
      <c r="P130" s="24"/>
      <c r="Q130" s="24"/>
      <c r="R130" s="25"/>
      <c r="S130" s="25"/>
      <c r="T130" s="56"/>
      <c r="U130" s="56"/>
    </row>
    <row r="131" spans="1:21">
      <c r="A131" s="21" t="n">
        <v>128</v>
      </c>
      <c r="B131" s="21">
        <f>E131</f>
        <v>0</v>
      </c>
      <c r="C131" s="21" t="str">
        <f>F131</f>
        <v>19860604 200903 1 001</v>
      </c>
      <c r="D131" s="22" t="s">
        <v>445</v>
      </c>
      <c r="E131" s="22"/>
      <c r="F131" s="21" t="s">
        <v>446</v>
      </c>
      <c r="G131" s="21" t="s">
        <v>33</v>
      </c>
      <c r="H131" s="21" t="s">
        <v>25</v>
      </c>
      <c r="I131" s="21" t="s">
        <v>369</v>
      </c>
      <c r="J131" s="22" t="s">
        <v>171</v>
      </c>
      <c r="K131" s="22" t="s">
        <v>132</v>
      </c>
      <c r="L131" s="22" t="s">
        <v>171</v>
      </c>
      <c r="M131" s="23" t="s">
        <v>172</v>
      </c>
      <c r="N131" s="23" t="s">
        <v>173</v>
      </c>
      <c r="O131" s="24"/>
      <c r="P131" s="24"/>
      <c r="Q131" s="24"/>
      <c r="R131" s="25"/>
      <c r="S131" s="25"/>
      <c r="T131" s="56"/>
      <c r="U131" s="56"/>
    </row>
    <row r="132" spans="1:21">
      <c r="A132" s="21" t="n">
        <v>129</v>
      </c>
      <c r="B132" s="21">
        <f>E132</f>
        <v>0</v>
      </c>
      <c r="C132" s="21" t="str">
        <f>F132</f>
        <v>19850714 200903 1 002</v>
      </c>
      <c r="D132" s="22" t="s">
        <v>447</v>
      </c>
      <c r="E132" s="22"/>
      <c r="F132" s="21" t="s">
        <v>448</v>
      </c>
      <c r="G132" s="21" t="s">
        <v>33</v>
      </c>
      <c r="H132" s="21" t="s">
        <v>25</v>
      </c>
      <c r="I132" s="21" t="s">
        <v>231</v>
      </c>
      <c r="J132" s="23" t="s">
        <v>156</v>
      </c>
      <c r="K132" s="27" t="s">
        <v>96</v>
      </c>
      <c r="L132" s="22" t="s">
        <v>156</v>
      </c>
      <c r="M132" s="23" t="s">
        <v>40</v>
      </c>
      <c r="N132" s="23" t="s">
        <v>331</v>
      </c>
      <c r="O132" s="24"/>
      <c r="P132" s="24"/>
      <c r="Q132" s="24"/>
      <c r="R132" s="25"/>
      <c r="S132" s="25"/>
      <c r="T132" s="56"/>
      <c r="U132" s="56"/>
    </row>
    <row r="133" spans="1:21">
      <c r="A133" s="21" t="n">
        <v>130</v>
      </c>
      <c r="B133" s="21">
        <f>E133</f>
        <v>0</v>
      </c>
      <c r="C133" s="21" t="str">
        <f>F133</f>
        <v>19860618 200903 2 004</v>
      </c>
      <c r="D133" s="22" t="s">
        <v>449</v>
      </c>
      <c r="E133" s="22"/>
      <c r="F133" s="21" t="s">
        <v>450</v>
      </c>
      <c r="G133" s="21" t="s">
        <v>24</v>
      </c>
      <c r="H133" s="21" t="s">
        <v>25</v>
      </c>
      <c r="I133" s="21" t="s">
        <v>231</v>
      </c>
      <c r="J133" s="22" t="s">
        <v>208</v>
      </c>
      <c r="K133" s="27" t="s">
        <v>201</v>
      </c>
      <c r="L133" s="22" t="s">
        <v>208</v>
      </c>
      <c r="M133" s="23" t="s">
        <v>202</v>
      </c>
      <c r="N133" s="23" t="s">
        <v>210</v>
      </c>
      <c r="O133" s="24"/>
      <c r="P133" s="24"/>
      <c r="Q133" s="24"/>
      <c r="R133" s="25"/>
      <c r="S133" s="25"/>
      <c r="T133" s="56"/>
      <c r="U133" s="56"/>
    </row>
    <row r="134" spans="1:19" s="71" customFormat="1">
      <c r="A134" s="21" t="n">
        <v>131</v>
      </c>
      <c r="B134" s="21">
        <f>E134</f>
        <v>0</v>
      </c>
      <c r="C134" s="21" t="str">
        <f>F134</f>
        <v>19850505 200903 2 007</v>
      </c>
      <c r="D134" s="22" t="s">
        <v>451</v>
      </c>
      <c r="E134" s="22"/>
      <c r="F134" s="21" t="s">
        <v>452</v>
      </c>
      <c r="G134" s="21" t="s">
        <v>24</v>
      </c>
      <c r="H134" s="21" t="s">
        <v>25</v>
      </c>
      <c r="I134" s="21" t="s">
        <v>231</v>
      </c>
      <c r="J134" s="22" t="s">
        <v>208</v>
      </c>
      <c r="K134" s="27" t="s">
        <v>201</v>
      </c>
      <c r="L134" s="22" t="s">
        <v>208</v>
      </c>
      <c r="M134" s="23" t="s">
        <v>209</v>
      </c>
      <c r="N134" s="23" t="s">
        <v>210</v>
      </c>
      <c r="O134" s="24"/>
      <c r="P134" s="24"/>
      <c r="Q134" s="24"/>
      <c r="R134" s="70"/>
      <c r="S134" s="70"/>
    </row>
    <row r="135" spans="1:21">
      <c r="A135" s="21" t="n">
        <v>132</v>
      </c>
      <c r="B135" s="21">
        <f>E135</f>
        <v>0</v>
      </c>
      <c r="C135" s="21" t="str">
        <f>F135</f>
        <v>19850813 200903 1 002</v>
      </c>
      <c r="D135" s="22" t="s">
        <v>453</v>
      </c>
      <c r="E135" s="22"/>
      <c r="F135" s="21" t="s">
        <v>454</v>
      </c>
      <c r="G135" s="21" t="s">
        <v>33</v>
      </c>
      <c r="H135" s="21" t="s">
        <v>25</v>
      </c>
      <c r="I135" s="21" t="s">
        <v>231</v>
      </c>
      <c r="J135" s="23" t="s">
        <v>156</v>
      </c>
      <c r="K135" s="27" t="s">
        <v>96</v>
      </c>
      <c r="L135" s="22" t="s">
        <v>156</v>
      </c>
      <c r="M135" s="23" t="s">
        <v>40</v>
      </c>
      <c r="N135" s="23" t="s">
        <v>331</v>
      </c>
      <c r="O135" s="24"/>
      <c r="P135" s="24"/>
      <c r="Q135" s="24"/>
      <c r="R135" s="25"/>
      <c r="S135" s="25"/>
      <c r="T135" s="56"/>
      <c r="U135" s="56"/>
    </row>
    <row r="136" spans="1:19" s="71" customFormat="1">
      <c r="A136" s="21" t="n">
        <v>133</v>
      </c>
      <c r="B136" s="21">
        <f>E136</f>
        <v>0</v>
      </c>
      <c r="C136" s="21" t="str">
        <f>F136</f>
        <v>19801007 200903 2 003</v>
      </c>
      <c r="D136" s="22" t="s">
        <v>455</v>
      </c>
      <c r="E136" s="22"/>
      <c r="F136" s="21" t="s">
        <v>456</v>
      </c>
      <c r="G136" s="21" t="s">
        <v>24</v>
      </c>
      <c r="H136" s="21" t="s">
        <v>25</v>
      </c>
      <c r="I136" s="21" t="s">
        <v>369</v>
      </c>
      <c r="J136" s="22" t="s">
        <v>457</v>
      </c>
      <c r="K136" s="27" t="s">
        <v>201</v>
      </c>
      <c r="L136" s="22" t="s">
        <v>457</v>
      </c>
      <c r="M136" s="23" t="s">
        <v>209</v>
      </c>
      <c r="N136" s="23" t="s">
        <v>458</v>
      </c>
      <c r="O136" s="24"/>
      <c r="P136" s="24"/>
      <c r="Q136" s="24"/>
      <c r="R136" s="70"/>
      <c r="S136" s="70"/>
    </row>
    <row r="137" spans="1:21">
      <c r="A137" s="21" t="n">
        <v>134</v>
      </c>
      <c r="B137" s="21">
        <f>E137</f>
        <v>0</v>
      </c>
      <c r="C137" s="21" t="str">
        <f>F137</f>
        <v>19811023 200801 2 014</v>
      </c>
      <c r="D137" s="22" t="s">
        <v>459</v>
      </c>
      <c r="E137" s="22"/>
      <c r="F137" s="21" t="s">
        <v>460</v>
      </c>
      <c r="G137" s="21" t="s">
        <v>24</v>
      </c>
      <c r="H137" s="21" t="s">
        <v>25</v>
      </c>
      <c r="I137" s="21" t="s">
        <v>231</v>
      </c>
      <c r="J137" s="23" t="s">
        <v>156</v>
      </c>
      <c r="K137" s="27" t="s">
        <v>96</v>
      </c>
      <c r="L137" s="22" t="s">
        <v>156</v>
      </c>
      <c r="M137" s="28" t="s">
        <v>181</v>
      </c>
      <c r="N137" s="23" t="s">
        <v>461</v>
      </c>
      <c r="O137" s="24"/>
      <c r="P137" s="24"/>
      <c r="Q137" s="24"/>
      <c r="R137" s="25"/>
      <c r="S137" s="25"/>
      <c r="T137" s="56"/>
      <c r="U137" s="56"/>
    </row>
    <row r="138" spans="1:21">
      <c r="A138" s="21" t="n">
        <v>135</v>
      </c>
      <c r="B138" s="21">
        <f>E138</f>
        <v>0</v>
      </c>
      <c r="C138" s="21" t="str">
        <f>F138</f>
        <v>19910908 201903 1 003</v>
      </c>
      <c r="D138" s="22" t="s">
        <v>462</v>
      </c>
      <c r="E138" s="22"/>
      <c r="F138" s="21" t="s">
        <v>463</v>
      </c>
      <c r="G138" s="21" t="s">
        <v>33</v>
      </c>
      <c r="H138" s="21" t="s">
        <v>25</v>
      </c>
      <c r="I138" s="21" t="s">
        <v>369</v>
      </c>
      <c r="J138" s="22" t="s">
        <v>464</v>
      </c>
      <c r="K138" s="27" t="s">
        <v>66</v>
      </c>
      <c r="L138" s="22" t="s">
        <v>464</v>
      </c>
      <c r="M138" s="23" t="s">
        <v>67</v>
      </c>
      <c r="N138" s="23" t="s">
        <v>68</v>
      </c>
      <c r="O138" s="24"/>
      <c r="P138" s="24"/>
      <c r="Q138" s="24"/>
      <c r="R138" s="25"/>
      <c r="S138" s="25"/>
      <c r="T138" s="56"/>
      <c r="U138" s="56"/>
    </row>
    <row r="139" spans="1:21">
      <c r="A139" s="21" t="n">
        <v>136</v>
      </c>
      <c r="B139" s="21">
        <f>E139</f>
        <v>0</v>
      </c>
      <c r="C139" s="21" t="str">
        <f>F139</f>
        <v>19860509 200903 2 002</v>
      </c>
      <c r="D139" s="22" t="s">
        <v>465</v>
      </c>
      <c r="E139" s="22"/>
      <c r="F139" s="21" t="s">
        <v>466</v>
      </c>
      <c r="G139" s="21" t="s">
        <v>24</v>
      </c>
      <c r="H139" s="21" t="s">
        <v>25</v>
      </c>
      <c r="I139" s="21" t="s">
        <v>369</v>
      </c>
      <c r="J139" s="22" t="s">
        <v>467</v>
      </c>
      <c r="K139" s="22" t="s">
        <v>28</v>
      </c>
      <c r="L139" s="25" t="s">
        <v>262</v>
      </c>
      <c r="M139" s="23" t="s">
        <v>40</v>
      </c>
      <c r="N139" s="23" t="s">
        <v>458</v>
      </c>
      <c r="O139" s="24"/>
      <c r="P139" s="24"/>
      <c r="Q139" s="24"/>
      <c r="R139" s="25"/>
      <c r="S139" s="25"/>
      <c r="T139" s="56"/>
      <c r="U139" s="56"/>
    </row>
    <row r="140" spans="1:21">
      <c r="A140" s="21" t="n">
        <v>137</v>
      </c>
      <c r="B140" s="21">
        <f>E140</f>
        <v>0</v>
      </c>
      <c r="C140" s="21" t="str">
        <f>F140</f>
        <v>19820412 201001 2 004</v>
      </c>
      <c r="D140" s="22" t="s">
        <v>468</v>
      </c>
      <c r="E140" s="22"/>
      <c r="F140" s="21" t="s">
        <v>469</v>
      </c>
      <c r="G140" s="21" t="s">
        <v>24</v>
      </c>
      <c r="H140" s="21" t="s">
        <v>25</v>
      </c>
      <c r="I140" s="21" t="s">
        <v>231</v>
      </c>
      <c r="J140" s="22" t="s">
        <v>392</v>
      </c>
      <c r="K140" s="22" t="s">
        <v>28</v>
      </c>
      <c r="L140" s="25" t="s">
        <v>262</v>
      </c>
      <c r="M140" s="23" t="s">
        <v>40</v>
      </c>
      <c r="N140" s="23" t="s">
        <v>77</v>
      </c>
      <c r="O140" s="24"/>
      <c r="P140" s="24"/>
      <c r="Q140" s="24"/>
      <c r="R140" s="25"/>
      <c r="S140" s="25"/>
      <c r="T140" s="56"/>
      <c r="U140" s="56"/>
    </row>
    <row r="141" spans="1:21">
      <c r="A141" s="21" t="n">
        <v>138</v>
      </c>
      <c r="B141" s="21">
        <f>E141</f>
        <v>0</v>
      </c>
      <c r="C141" s="21" t="str">
        <f>F141</f>
        <v>19870411 201001 2 009</v>
      </c>
      <c r="D141" s="22" t="s">
        <v>470</v>
      </c>
      <c r="E141" s="22"/>
      <c r="F141" s="21" t="s">
        <v>471</v>
      </c>
      <c r="G141" s="21" t="s">
        <v>24</v>
      </c>
      <c r="H141" s="21" t="s">
        <v>25</v>
      </c>
      <c r="I141" s="21" t="s">
        <v>231</v>
      </c>
      <c r="J141" s="22" t="s">
        <v>208</v>
      </c>
      <c r="K141" s="27" t="s">
        <v>201</v>
      </c>
      <c r="L141" s="22" t="s">
        <v>208</v>
      </c>
      <c r="M141" s="23" t="s">
        <v>209</v>
      </c>
      <c r="N141" s="23" t="s">
        <v>210</v>
      </c>
      <c r="O141" s="24"/>
      <c r="P141" s="24"/>
      <c r="Q141" s="24"/>
      <c r="R141" s="25"/>
      <c r="S141" s="25"/>
      <c r="T141" s="56"/>
      <c r="U141" s="56"/>
    </row>
    <row r="142" spans="1:21">
      <c r="A142" s="21" t="n">
        <v>139</v>
      </c>
      <c r="B142" s="21">
        <f>E142</f>
        <v>0</v>
      </c>
      <c r="C142" s="21" t="str">
        <f>F142</f>
        <v>19870312 201001 2 011</v>
      </c>
      <c r="D142" s="22" t="s">
        <v>472</v>
      </c>
      <c r="E142" s="22"/>
      <c r="F142" s="21" t="s">
        <v>473</v>
      </c>
      <c r="G142" s="21" t="s">
        <v>24</v>
      </c>
      <c r="H142" s="21" t="s">
        <v>25</v>
      </c>
      <c r="I142" s="21" t="s">
        <v>231</v>
      </c>
      <c r="J142" s="22" t="s">
        <v>208</v>
      </c>
      <c r="K142" s="27" t="s">
        <v>201</v>
      </c>
      <c r="L142" s="22" t="s">
        <v>208</v>
      </c>
      <c r="M142" s="23" t="s">
        <v>209</v>
      </c>
      <c r="N142" s="23" t="s">
        <v>210</v>
      </c>
      <c r="O142" s="24"/>
      <c r="P142" s="24"/>
      <c r="Q142" s="24"/>
      <c r="R142" s="25"/>
      <c r="S142" s="25"/>
      <c r="T142" s="56"/>
      <c r="U142" s="56"/>
    </row>
    <row r="143" spans="1:21">
      <c r="A143" s="21" t="n">
        <v>140</v>
      </c>
      <c r="B143" s="21">
        <f>E143</f>
        <v>0</v>
      </c>
      <c r="C143" s="21" t="str">
        <f>F143</f>
        <v>19851205 201001 1 008</v>
      </c>
      <c r="D143" s="22" t="s">
        <v>474</v>
      </c>
      <c r="E143" s="22"/>
      <c r="F143" s="21" t="s">
        <v>475</v>
      </c>
      <c r="G143" s="21" t="s">
        <v>33</v>
      </c>
      <c r="H143" s="21" t="s">
        <v>25</v>
      </c>
      <c r="I143" s="21" t="s">
        <v>231</v>
      </c>
      <c r="J143" s="22" t="s">
        <v>142</v>
      </c>
      <c r="K143" s="22" t="s">
        <v>101</v>
      </c>
      <c r="L143" s="22" t="s">
        <v>142</v>
      </c>
      <c r="M143" s="23" t="s">
        <v>143</v>
      </c>
      <c r="N143" s="23" t="s">
        <v>103</v>
      </c>
      <c r="O143" s="24"/>
      <c r="P143" s="24"/>
      <c r="Q143" s="24"/>
      <c r="R143" s="25"/>
      <c r="S143" s="25"/>
      <c r="T143" s="56"/>
      <c r="U143" s="56"/>
    </row>
    <row r="144" spans="1:21">
      <c r="A144" s="21" t="n">
        <v>141</v>
      </c>
      <c r="B144" s="21">
        <f>E144</f>
        <v>0</v>
      </c>
      <c r="C144" s="21" t="str">
        <f>F144</f>
        <v>19860601 201001 2 016</v>
      </c>
      <c r="D144" s="22" t="s">
        <v>476</v>
      </c>
      <c r="E144" s="22"/>
      <c r="F144" s="21" t="s">
        <v>477</v>
      </c>
      <c r="G144" s="21" t="s">
        <v>24</v>
      </c>
      <c r="H144" s="21" t="s">
        <v>25</v>
      </c>
      <c r="I144" s="21" t="s">
        <v>231</v>
      </c>
      <c r="J144" s="22" t="s">
        <v>208</v>
      </c>
      <c r="K144" s="27" t="s">
        <v>201</v>
      </c>
      <c r="L144" s="22" t="s">
        <v>208</v>
      </c>
      <c r="M144" s="23" t="s">
        <v>209</v>
      </c>
      <c r="N144" s="23" t="s">
        <v>210</v>
      </c>
      <c r="O144" s="24"/>
      <c r="P144" s="24"/>
      <c r="Q144" s="24"/>
      <c r="R144" s="25"/>
      <c r="S144" s="25"/>
      <c r="T144" s="56"/>
      <c r="U144" s="56"/>
    </row>
    <row r="145" spans="1:21">
      <c r="A145" s="21" t="n">
        <v>142</v>
      </c>
      <c r="B145" s="21">
        <f>E145</f>
        <v>0</v>
      </c>
      <c r="C145" s="21" t="str">
        <f>F145</f>
        <v>19810523 201001 2 010</v>
      </c>
      <c r="D145" s="22" t="s">
        <v>478</v>
      </c>
      <c r="E145" s="22"/>
      <c r="F145" s="21" t="s">
        <v>479</v>
      </c>
      <c r="G145" s="21" t="s">
        <v>24</v>
      </c>
      <c r="H145" s="21" t="s">
        <v>25</v>
      </c>
      <c r="I145" s="21" t="s">
        <v>231</v>
      </c>
      <c r="J145" s="22" t="s">
        <v>125</v>
      </c>
      <c r="K145" s="22" t="s">
        <v>126</v>
      </c>
      <c r="L145" s="22" t="s">
        <v>125</v>
      </c>
      <c r="M145" s="23" t="s">
        <v>40</v>
      </c>
      <c r="N145" s="23" t="s">
        <v>480</v>
      </c>
      <c r="O145" s="24"/>
      <c r="P145" s="24"/>
      <c r="Q145" s="24"/>
      <c r="R145" s="25"/>
      <c r="S145" s="25"/>
      <c r="T145" s="56"/>
      <c r="U145" s="56"/>
    </row>
    <row r="146" spans="1:21">
      <c r="A146" s="21" t="n">
        <v>143</v>
      </c>
      <c r="B146" s="21">
        <f>E146</f>
        <v>0</v>
      </c>
      <c r="C146" s="21" t="str">
        <f>F146</f>
        <v>19760823 201001 2 006</v>
      </c>
      <c r="D146" s="22" t="s">
        <v>481</v>
      </c>
      <c r="E146" s="22"/>
      <c r="F146" s="21" t="s">
        <v>482</v>
      </c>
      <c r="G146" s="21" t="s">
        <v>24</v>
      </c>
      <c r="H146" s="21" t="s">
        <v>25</v>
      </c>
      <c r="I146" s="21" t="s">
        <v>369</v>
      </c>
      <c r="J146" s="22" t="s">
        <v>409</v>
      </c>
      <c r="K146" s="22" t="s">
        <v>132</v>
      </c>
      <c r="L146" s="22" t="s">
        <v>409</v>
      </c>
      <c r="M146" s="23" t="s">
        <v>172</v>
      </c>
      <c r="N146" s="23" t="s">
        <v>173</v>
      </c>
      <c r="O146" s="24"/>
      <c r="P146" s="24"/>
      <c r="Q146" s="24"/>
      <c r="R146" s="25"/>
      <c r="S146" s="25"/>
      <c r="T146" s="56"/>
      <c r="U146" s="56"/>
    </row>
    <row r="147" spans="1:21">
      <c r="A147" s="21" t="n">
        <v>144</v>
      </c>
      <c r="B147" s="21">
        <f>E147</f>
        <v>0</v>
      </c>
      <c r="C147" s="21" t="str">
        <f>F147</f>
        <v>19750415 200212 1 009</v>
      </c>
      <c r="D147" s="22" t="s">
        <v>483</v>
      </c>
      <c r="E147" s="22"/>
      <c r="F147" s="21" t="s">
        <v>484</v>
      </c>
      <c r="G147" s="21" t="s">
        <v>33</v>
      </c>
      <c r="H147" s="21" t="s">
        <v>25</v>
      </c>
      <c r="I147" s="21" t="s">
        <v>231</v>
      </c>
      <c r="J147" s="22" t="s">
        <v>287</v>
      </c>
      <c r="K147" s="22" t="s">
        <v>28</v>
      </c>
      <c r="L147" s="22" t="s">
        <v>288</v>
      </c>
      <c r="M147" s="23" t="s">
        <v>40</v>
      </c>
      <c r="N147" s="23" t="s">
        <v>122</v>
      </c>
      <c r="O147" s="24"/>
      <c r="P147" s="24"/>
      <c r="Q147" s="24"/>
      <c r="R147" s="25"/>
      <c r="S147" s="25"/>
      <c r="T147" s="56"/>
      <c r="U147" s="56"/>
    </row>
    <row r="148" spans="1:21">
      <c r="A148" s="21" t="n">
        <v>145</v>
      </c>
      <c r="B148" s="21">
        <f>E148</f>
        <v>0</v>
      </c>
      <c r="C148" s="21" t="str">
        <f>F148</f>
        <v>19840504 201001 2 008</v>
      </c>
      <c r="D148" s="22" t="s">
        <v>485</v>
      </c>
      <c r="E148" s="22"/>
      <c r="F148" s="21" t="s">
        <v>486</v>
      </c>
      <c r="G148" s="21" t="s">
        <v>24</v>
      </c>
      <c r="H148" s="21" t="s">
        <v>25</v>
      </c>
      <c r="I148" s="21" t="s">
        <v>231</v>
      </c>
      <c r="J148" s="22" t="s">
        <v>125</v>
      </c>
      <c r="K148" s="22" t="s">
        <v>126</v>
      </c>
      <c r="L148" s="22" t="s">
        <v>125</v>
      </c>
      <c r="M148" s="23" t="s">
        <v>487</v>
      </c>
      <c r="N148" s="23" t="s">
        <v>61</v>
      </c>
      <c r="O148" s="24"/>
      <c r="P148" s="24"/>
      <c r="Q148" s="24"/>
      <c r="R148" s="25"/>
      <c r="S148" s="25"/>
      <c r="T148" s="56"/>
      <c r="U148" s="56"/>
    </row>
    <row r="149" spans="1:21">
      <c r="A149" s="21" t="n">
        <v>146</v>
      </c>
      <c r="B149" s="21">
        <f>E149</f>
        <v>0</v>
      </c>
      <c r="C149" s="21" t="str">
        <f>F149</f>
        <v>19830707 201001 2 014</v>
      </c>
      <c r="D149" s="22" t="s">
        <v>488</v>
      </c>
      <c r="E149" s="22"/>
      <c r="F149" s="21" t="s">
        <v>489</v>
      </c>
      <c r="G149" s="21" t="s">
        <v>24</v>
      </c>
      <c r="H149" s="21" t="s">
        <v>25</v>
      </c>
      <c r="I149" s="21" t="s">
        <v>231</v>
      </c>
      <c r="J149" s="22" t="s">
        <v>137</v>
      </c>
      <c r="K149" s="22" t="s">
        <v>91</v>
      </c>
      <c r="L149" s="22" t="s">
        <v>137</v>
      </c>
      <c r="M149" s="23" t="s">
        <v>490</v>
      </c>
      <c r="N149" s="23" t="s">
        <v>92</v>
      </c>
      <c r="O149" s="24"/>
      <c r="P149" s="24"/>
      <c r="Q149" s="24"/>
      <c r="R149" s="25"/>
      <c r="S149" s="25"/>
      <c r="T149" s="56"/>
      <c r="U149" s="56"/>
    </row>
    <row r="150" spans="1:21">
      <c r="A150" s="21" t="n">
        <v>147</v>
      </c>
      <c r="B150" s="21">
        <f>E150</f>
        <v>0</v>
      </c>
      <c r="C150" s="21" t="str">
        <f>F150</f>
        <v>19840107 201001 2 001</v>
      </c>
      <c r="D150" s="22" t="s">
        <v>491</v>
      </c>
      <c r="E150" s="22"/>
      <c r="F150" s="21" t="s">
        <v>492</v>
      </c>
      <c r="G150" s="21" t="s">
        <v>24</v>
      </c>
      <c r="H150" s="21" t="s">
        <v>25</v>
      </c>
      <c r="I150" s="21" t="s">
        <v>231</v>
      </c>
      <c r="J150" s="22" t="s">
        <v>296</v>
      </c>
      <c r="K150" s="22" t="s">
        <v>28</v>
      </c>
      <c r="L150" s="25" t="s">
        <v>262</v>
      </c>
      <c r="M150" s="23" t="s">
        <v>29</v>
      </c>
      <c r="N150" s="23" t="s">
        <v>53</v>
      </c>
      <c r="O150" s="24"/>
      <c r="P150" s="24"/>
      <c r="Q150" s="24"/>
      <c r="R150" s="25"/>
      <c r="S150" s="25"/>
      <c r="T150" s="56"/>
      <c r="U150" s="56"/>
    </row>
    <row r="151" spans="1:21">
      <c r="A151" s="21" t="n">
        <v>148</v>
      </c>
      <c r="B151" s="21">
        <f>E151</f>
        <v>0</v>
      </c>
      <c r="C151" s="21" t="str">
        <f>F151</f>
        <v>19810415 200801 1 011</v>
      </c>
      <c r="D151" s="22" t="s">
        <v>493</v>
      </c>
      <c r="E151" s="22"/>
      <c r="F151" s="21" t="s">
        <v>494</v>
      </c>
      <c r="G151" s="21" t="s">
        <v>33</v>
      </c>
      <c r="H151" s="21" t="s">
        <v>25</v>
      </c>
      <c r="I151" s="21" t="s">
        <v>231</v>
      </c>
      <c r="J151" s="25" t="s">
        <v>495</v>
      </c>
      <c r="K151" s="22" t="s">
        <v>28</v>
      </c>
      <c r="L151" s="25" t="s">
        <v>262</v>
      </c>
      <c r="M151" s="23" t="s">
        <v>29</v>
      </c>
      <c r="N151" s="23" t="s">
        <v>496</v>
      </c>
      <c r="O151" s="24"/>
      <c r="P151" s="24"/>
      <c r="Q151" s="24"/>
      <c r="R151" s="25"/>
      <c r="S151" s="25"/>
      <c r="T151" s="56"/>
      <c r="U151" s="56"/>
    </row>
    <row r="152" spans="1:21">
      <c r="A152" s="21" t="n">
        <v>149</v>
      </c>
      <c r="B152" s="21">
        <f>E152</f>
        <v>0</v>
      </c>
      <c r="C152" s="21" t="str">
        <f>F152</f>
        <v>19841202 201001 2 001</v>
      </c>
      <c r="D152" s="22" t="s">
        <v>497</v>
      </c>
      <c r="E152" s="22"/>
      <c r="F152" s="21" t="s">
        <v>498</v>
      </c>
      <c r="G152" s="21" t="s">
        <v>24</v>
      </c>
      <c r="H152" s="21" t="s">
        <v>25</v>
      </c>
      <c r="I152" s="21" t="s">
        <v>231</v>
      </c>
      <c r="J152" s="23" t="s">
        <v>499</v>
      </c>
      <c r="K152" s="22" t="s">
        <v>28</v>
      </c>
      <c r="L152" s="25" t="s">
        <v>262</v>
      </c>
      <c r="M152" s="23" t="s">
        <v>40</v>
      </c>
      <c r="N152" s="23" t="s">
        <v>92</v>
      </c>
      <c r="O152" s="24"/>
      <c r="P152" s="24"/>
      <c r="Q152" s="24"/>
      <c r="R152" s="25"/>
      <c r="S152" s="25"/>
      <c r="T152" s="56"/>
      <c r="U152" s="56"/>
    </row>
    <row r="153" spans="1:21">
      <c r="A153" s="21" t="n">
        <v>150</v>
      </c>
      <c r="B153" s="21">
        <f>E153</f>
        <v>0</v>
      </c>
      <c r="C153" s="21" t="str">
        <f>F153</f>
        <v>19810826 201001 1 004</v>
      </c>
      <c r="D153" s="22" t="s">
        <v>500</v>
      </c>
      <c r="E153" s="22"/>
      <c r="F153" s="21" t="s">
        <v>501</v>
      </c>
      <c r="G153" s="21" t="s">
        <v>33</v>
      </c>
      <c r="H153" s="21" t="s">
        <v>25</v>
      </c>
      <c r="I153" s="21" t="s">
        <v>231</v>
      </c>
      <c r="J153" s="22" t="s">
        <v>502</v>
      </c>
      <c r="K153" s="22" t="s">
        <v>28</v>
      </c>
      <c r="L153" s="25" t="s">
        <v>262</v>
      </c>
      <c r="M153" s="23" t="s">
        <v>40</v>
      </c>
      <c r="N153" s="23" t="s">
        <v>268</v>
      </c>
      <c r="O153" s="24"/>
      <c r="P153" s="24"/>
      <c r="Q153" s="24"/>
      <c r="R153" s="25"/>
      <c r="S153" s="25"/>
      <c r="T153" s="56"/>
      <c r="U153" s="56"/>
    </row>
    <row r="154" spans="1:21">
      <c r="A154" s="21" t="n">
        <v>151</v>
      </c>
      <c r="B154" s="21">
        <f>E154</f>
        <v>0</v>
      </c>
      <c r="C154" s="21" t="str">
        <f>F154</f>
        <v>19780812 201601 1 001</v>
      </c>
      <c r="D154" s="22" t="s">
        <v>503</v>
      </c>
      <c r="E154" s="22"/>
      <c r="F154" s="21" t="s">
        <v>504</v>
      </c>
      <c r="G154" s="21" t="s">
        <v>33</v>
      </c>
      <c r="H154" s="21" t="s">
        <v>25</v>
      </c>
      <c r="I154" s="21" t="s">
        <v>231</v>
      </c>
      <c r="J154" s="22" t="s">
        <v>505</v>
      </c>
      <c r="K154" s="22" t="s">
        <v>28</v>
      </c>
      <c r="L154" s="25" t="s">
        <v>262</v>
      </c>
      <c r="M154" s="23" t="s">
        <v>40</v>
      </c>
      <c r="N154" s="23" t="s">
        <v>112</v>
      </c>
      <c r="O154" s="24"/>
      <c r="P154" s="24"/>
      <c r="Q154" s="24"/>
      <c r="R154" s="25"/>
      <c r="S154" s="25"/>
      <c r="T154" s="56"/>
      <c r="U154" s="56"/>
    </row>
    <row r="155" spans="1:21">
      <c r="A155" s="21" t="n">
        <v>152</v>
      </c>
      <c r="B155" s="21">
        <f>E155</f>
        <v>0</v>
      </c>
      <c r="C155" s="21" t="str">
        <f>F155</f>
        <v>19830419 200903 2 002</v>
      </c>
      <c r="D155" s="22" t="s">
        <v>506</v>
      </c>
      <c r="E155" s="22"/>
      <c r="F155" s="21" t="s">
        <v>507</v>
      </c>
      <c r="G155" s="21" t="s">
        <v>24</v>
      </c>
      <c r="H155" s="21" t="s">
        <v>25</v>
      </c>
      <c r="I155" s="21" t="s">
        <v>369</v>
      </c>
      <c r="J155" s="23" t="s">
        <v>508</v>
      </c>
      <c r="K155" s="27" t="s">
        <v>96</v>
      </c>
      <c r="L155" s="22" t="s">
        <v>508</v>
      </c>
      <c r="M155" s="23" t="s">
        <v>40</v>
      </c>
      <c r="N155" s="23" t="s">
        <v>158</v>
      </c>
      <c r="O155" s="24"/>
      <c r="P155" s="24"/>
      <c r="Q155" s="24"/>
      <c r="R155" s="25"/>
      <c r="S155" s="25"/>
      <c r="T155" s="56"/>
      <c r="U155" s="56"/>
    </row>
    <row r="156" spans="1:21">
      <c r="A156" s="21" t="n">
        <v>153</v>
      </c>
      <c r="B156" s="21">
        <f>E156</f>
        <v>0</v>
      </c>
      <c r="C156" s="21" t="str">
        <f>F156</f>
        <v>19830627 200701 1 003</v>
      </c>
      <c r="D156" s="22" t="s">
        <v>509</v>
      </c>
      <c r="E156" s="22"/>
      <c r="F156" s="21" t="s">
        <v>510</v>
      </c>
      <c r="G156" s="21" t="s">
        <v>33</v>
      </c>
      <c r="H156" s="21" t="s">
        <v>25</v>
      </c>
      <c r="I156" s="21" t="s">
        <v>369</v>
      </c>
      <c r="J156" s="23" t="s">
        <v>508</v>
      </c>
      <c r="K156" s="27" t="s">
        <v>96</v>
      </c>
      <c r="L156" s="22" t="s">
        <v>508</v>
      </c>
      <c r="M156" s="23" t="s">
        <v>181</v>
      </c>
      <c r="N156" s="23" t="s">
        <v>222</v>
      </c>
      <c r="O156" s="24"/>
      <c r="P156" s="24"/>
      <c r="Q156" s="24"/>
      <c r="R156" s="25"/>
      <c r="S156" s="25"/>
      <c r="T156" s="56"/>
      <c r="U156" s="56"/>
    </row>
    <row r="157" spans="1:21">
      <c r="A157" s="21" t="n">
        <v>154</v>
      </c>
      <c r="B157" s="21">
        <f>E157</f>
        <v>0</v>
      </c>
      <c r="C157" s="21" t="str">
        <f>F157</f>
        <v>19820801 201001 2 014</v>
      </c>
      <c r="D157" s="22" t="s">
        <v>511</v>
      </c>
      <c r="E157" s="22"/>
      <c r="F157" s="21" t="s">
        <v>512</v>
      </c>
      <c r="G157" s="21" t="s">
        <v>24</v>
      </c>
      <c r="H157" s="21" t="s">
        <v>25</v>
      </c>
      <c r="I157" s="21" t="s">
        <v>369</v>
      </c>
      <c r="J157" s="22" t="s">
        <v>213</v>
      </c>
      <c r="K157" s="22" t="s">
        <v>132</v>
      </c>
      <c r="L157" s="22" t="s">
        <v>213</v>
      </c>
      <c r="M157" s="23" t="s">
        <v>214</v>
      </c>
      <c r="N157" s="23" t="s">
        <v>134</v>
      </c>
      <c r="O157" s="24"/>
      <c r="P157" s="24"/>
      <c r="Q157" s="24"/>
      <c r="R157" s="25"/>
      <c r="S157" s="25"/>
      <c r="T157" s="56"/>
      <c r="U157" s="56"/>
    </row>
    <row r="158" spans="1:21">
      <c r="A158" s="21" t="n">
        <v>155</v>
      </c>
      <c r="B158" s="21">
        <f>E158</f>
        <v>0</v>
      </c>
      <c r="C158" s="21" t="str">
        <f>F158</f>
        <v>19870317 201001 2 005</v>
      </c>
      <c r="D158" s="22" t="s">
        <v>513</v>
      </c>
      <c r="E158" s="22"/>
      <c r="F158" s="21" t="s">
        <v>514</v>
      </c>
      <c r="G158" s="21" t="s">
        <v>24</v>
      </c>
      <c r="H158" s="21" t="s">
        <v>25</v>
      </c>
      <c r="I158" s="21" t="s">
        <v>369</v>
      </c>
      <c r="J158" s="22" t="s">
        <v>213</v>
      </c>
      <c r="K158" s="22" t="s">
        <v>132</v>
      </c>
      <c r="L158" s="22" t="s">
        <v>213</v>
      </c>
      <c r="M158" s="23" t="s">
        <v>214</v>
      </c>
      <c r="N158" s="23" t="s">
        <v>134</v>
      </c>
      <c r="O158" s="24"/>
      <c r="P158" s="24"/>
      <c r="Q158" s="24"/>
      <c r="R158" s="25"/>
      <c r="S158" s="25"/>
      <c r="T158" s="56"/>
      <c r="U158" s="56"/>
    </row>
    <row r="159" spans="1:21">
      <c r="A159" s="21" t="n">
        <v>156</v>
      </c>
      <c r="B159" s="21">
        <f>E159</f>
        <v>0</v>
      </c>
      <c r="C159" s="21" t="str">
        <f>F159</f>
        <v>19851231 201001 1 018</v>
      </c>
      <c r="D159" s="22" t="s">
        <v>515</v>
      </c>
      <c r="E159" s="22"/>
      <c r="F159" s="21" t="s">
        <v>516</v>
      </c>
      <c r="G159" s="21" t="s">
        <v>33</v>
      </c>
      <c r="H159" s="21" t="s">
        <v>25</v>
      </c>
      <c r="I159" s="21" t="s">
        <v>231</v>
      </c>
      <c r="J159" s="23" t="s">
        <v>156</v>
      </c>
      <c r="K159" s="27" t="s">
        <v>96</v>
      </c>
      <c r="L159" s="22" t="s">
        <v>156</v>
      </c>
      <c r="M159" s="23" t="s">
        <v>40</v>
      </c>
      <c r="N159" s="23" t="s">
        <v>222</v>
      </c>
      <c r="O159" s="24"/>
      <c r="P159" s="24"/>
      <c r="Q159" s="24"/>
      <c r="R159" s="25"/>
      <c r="S159" s="25"/>
      <c r="T159" s="56"/>
      <c r="U159" s="56"/>
    </row>
    <row r="160" spans="1:21">
      <c r="A160" s="21" t="n">
        <v>157</v>
      </c>
      <c r="B160" s="21">
        <f>E160</f>
        <v>0</v>
      </c>
      <c r="C160" s="21" t="str">
        <f>F160</f>
        <v>19780811 201001 2 001</v>
      </c>
      <c r="D160" s="22" t="s">
        <v>517</v>
      </c>
      <c r="E160" s="22"/>
      <c r="F160" s="21" t="s">
        <v>518</v>
      </c>
      <c r="G160" s="21" t="s">
        <v>24</v>
      </c>
      <c r="H160" s="21" t="s">
        <v>25</v>
      </c>
      <c r="I160" s="21" t="s">
        <v>231</v>
      </c>
      <c r="J160" s="22" t="s">
        <v>519</v>
      </c>
      <c r="K160" s="22" t="s">
        <v>28</v>
      </c>
      <c r="L160" s="25" t="s">
        <v>262</v>
      </c>
      <c r="M160" s="23" t="s">
        <v>29</v>
      </c>
      <c r="N160" s="23" t="s">
        <v>520</v>
      </c>
      <c r="O160" s="24"/>
      <c r="P160" s="24"/>
      <c r="Q160" s="24"/>
      <c r="R160" s="25"/>
      <c r="S160" s="25"/>
      <c r="T160" s="56"/>
      <c r="U160" s="56"/>
    </row>
    <row r="161" spans="1:21">
      <c r="A161" s="21" t="n">
        <v>158</v>
      </c>
      <c r="B161" s="21">
        <f>E161</f>
        <v>0</v>
      </c>
      <c r="C161" s="21" t="str">
        <f>F161</f>
        <v>19790209 201001 2 001</v>
      </c>
      <c r="D161" s="22" t="s">
        <v>521</v>
      </c>
      <c r="E161" s="22"/>
      <c r="F161" s="21" t="s">
        <v>522</v>
      </c>
      <c r="G161" s="21" t="s">
        <v>24</v>
      </c>
      <c r="H161" s="21" t="s">
        <v>25</v>
      </c>
      <c r="I161" s="21" t="s">
        <v>231</v>
      </c>
      <c r="J161" s="22" t="s">
        <v>502</v>
      </c>
      <c r="K161" s="22" t="s">
        <v>28</v>
      </c>
      <c r="L161" s="25" t="s">
        <v>262</v>
      </c>
      <c r="M161" s="23" t="s">
        <v>40</v>
      </c>
      <c r="N161" s="23" t="s">
        <v>523</v>
      </c>
      <c r="O161" s="24"/>
      <c r="P161" s="24"/>
      <c r="Q161" s="24"/>
      <c r="R161" s="25"/>
      <c r="S161" s="25"/>
      <c r="T161" s="56"/>
      <c r="U161" s="56"/>
    </row>
    <row r="162" spans="1:21">
      <c r="A162" s="21" t="n">
        <v>159</v>
      </c>
      <c r="B162" s="21">
        <f>E162</f>
        <v>0</v>
      </c>
      <c r="C162" s="21" t="str">
        <f>F162</f>
        <v>19710509 200701 2 012</v>
      </c>
      <c r="D162" s="22" t="s">
        <v>524</v>
      </c>
      <c r="E162" s="22"/>
      <c r="F162" s="21" t="s">
        <v>525</v>
      </c>
      <c r="G162" s="21" t="s">
        <v>24</v>
      </c>
      <c r="H162" s="21" t="s">
        <v>25</v>
      </c>
      <c r="I162" s="21" t="s">
        <v>231</v>
      </c>
      <c r="J162" s="22" t="s">
        <v>296</v>
      </c>
      <c r="K162" s="22" t="s">
        <v>28</v>
      </c>
      <c r="L162" s="25" t="s">
        <v>262</v>
      </c>
      <c r="M162" s="23" t="s">
        <v>40</v>
      </c>
      <c r="N162" s="23" t="s">
        <v>103</v>
      </c>
      <c r="O162" s="24"/>
      <c r="P162" s="24"/>
      <c r="Q162" s="24"/>
      <c r="R162" s="25"/>
      <c r="S162" s="25"/>
      <c r="T162" s="56"/>
      <c r="U162" s="56"/>
    </row>
    <row r="163" spans="1:21">
      <c r="A163" s="21" t="n">
        <v>160</v>
      </c>
      <c r="B163" s="21">
        <f>E163</f>
        <v>0</v>
      </c>
      <c r="C163" s="21" t="str">
        <f>F163</f>
        <v>19860723 201001 1 006</v>
      </c>
      <c r="D163" s="22" t="s">
        <v>526</v>
      </c>
      <c r="E163" s="22"/>
      <c r="F163" s="21" t="s">
        <v>527</v>
      </c>
      <c r="G163" s="21" t="s">
        <v>33</v>
      </c>
      <c r="H163" s="21" t="s">
        <v>25</v>
      </c>
      <c r="I163" s="21" t="s">
        <v>369</v>
      </c>
      <c r="J163" s="23" t="s">
        <v>528</v>
      </c>
      <c r="K163" s="27" t="s">
        <v>96</v>
      </c>
      <c r="L163" s="22" t="s">
        <v>528</v>
      </c>
      <c r="M163" s="23" t="s">
        <v>181</v>
      </c>
      <c r="N163" s="23" t="s">
        <v>168</v>
      </c>
      <c r="O163" s="24"/>
      <c r="P163" s="24"/>
      <c r="Q163" s="24"/>
      <c r="R163" s="25"/>
      <c r="S163" s="25"/>
      <c r="T163" s="56"/>
      <c r="U163" s="56"/>
    </row>
    <row r="164" spans="1:21">
      <c r="A164" s="21" t="n">
        <v>161</v>
      </c>
      <c r="B164" s="21">
        <f>E164</f>
        <v>0</v>
      </c>
      <c r="C164" s="21" t="str">
        <f>F164</f>
        <v>19771002 200801 2 012</v>
      </c>
      <c r="D164" s="22" t="s">
        <v>529</v>
      </c>
      <c r="E164" s="22"/>
      <c r="F164" s="21" t="s">
        <v>530</v>
      </c>
      <c r="G164" s="21" t="s">
        <v>24</v>
      </c>
      <c r="H164" s="21" t="s">
        <v>25</v>
      </c>
      <c r="I164" s="21" t="s">
        <v>231</v>
      </c>
      <c r="J164" s="22" t="s">
        <v>502</v>
      </c>
      <c r="K164" s="22" t="s">
        <v>28</v>
      </c>
      <c r="L164" s="25" t="s">
        <v>262</v>
      </c>
      <c r="M164" s="23" t="s">
        <v>40</v>
      </c>
      <c r="N164" s="23" t="s">
        <v>531</v>
      </c>
      <c r="O164" s="24"/>
      <c r="P164" s="24"/>
      <c r="Q164" s="24"/>
      <c r="R164" s="25"/>
      <c r="S164" s="25"/>
      <c r="T164" s="56"/>
      <c r="U164" s="56"/>
    </row>
    <row r="165" spans="1:21">
      <c r="A165" s="21" t="n">
        <v>162</v>
      </c>
      <c r="B165" s="21">
        <f>E165</f>
        <v>0</v>
      </c>
      <c r="C165" s="21" t="str">
        <f>F165</f>
        <v>19800917 201001 2 001</v>
      </c>
      <c r="D165" s="22" t="s">
        <v>532</v>
      </c>
      <c r="E165" s="22"/>
      <c r="F165" s="21" t="s">
        <v>533</v>
      </c>
      <c r="G165" s="21" t="s">
        <v>24</v>
      </c>
      <c r="H165" s="21" t="s">
        <v>25</v>
      </c>
      <c r="I165" s="21" t="s">
        <v>231</v>
      </c>
      <c r="J165" s="22" t="s">
        <v>392</v>
      </c>
      <c r="K165" s="22" t="s">
        <v>28</v>
      </c>
      <c r="L165" s="25" t="s">
        <v>262</v>
      </c>
      <c r="M165" s="23" t="s">
        <v>40</v>
      </c>
      <c r="N165" s="23" t="s">
        <v>210</v>
      </c>
      <c r="O165" s="24"/>
      <c r="P165" s="24"/>
      <c r="Q165" s="24"/>
      <c r="R165" s="25"/>
      <c r="S165" s="25"/>
      <c r="T165" s="56"/>
      <c r="U165" s="56"/>
    </row>
    <row r="166" spans="1:21">
      <c r="A166" s="21" t="n">
        <v>163</v>
      </c>
      <c r="B166" s="21">
        <f>E166</f>
        <v>0</v>
      </c>
      <c r="C166" s="21" t="str">
        <f>F166</f>
        <v>19730604 200701 1 017</v>
      </c>
      <c r="D166" s="22" t="s">
        <v>534</v>
      </c>
      <c r="E166" s="22"/>
      <c r="F166" s="21" t="s">
        <v>535</v>
      </c>
      <c r="G166" s="21" t="s">
        <v>33</v>
      </c>
      <c r="H166" s="21" t="s">
        <v>25</v>
      </c>
      <c r="I166" s="21" t="s">
        <v>369</v>
      </c>
      <c r="J166" s="22" t="s">
        <v>536</v>
      </c>
      <c r="K166" s="22" t="s">
        <v>28</v>
      </c>
      <c r="L166" s="25" t="s">
        <v>262</v>
      </c>
      <c r="M166" s="23" t="s">
        <v>40</v>
      </c>
      <c r="N166" s="23" t="s">
        <v>245</v>
      </c>
      <c r="O166" s="24"/>
      <c r="P166" s="24"/>
      <c r="Q166" s="24"/>
      <c r="R166" s="25"/>
      <c r="S166" s="25"/>
      <c r="T166" s="56"/>
      <c r="U166" s="56"/>
    </row>
    <row r="167" spans="1:21">
      <c r="A167" s="21" t="n">
        <v>164</v>
      </c>
      <c r="B167" s="21">
        <f>E167</f>
        <v>0</v>
      </c>
      <c r="C167" s="21" t="str">
        <f>F167</f>
        <v>19851129 201001 2 010</v>
      </c>
      <c r="D167" s="22" t="s">
        <v>537</v>
      </c>
      <c r="E167" s="22"/>
      <c r="F167" s="21" t="s">
        <v>538</v>
      </c>
      <c r="G167" s="21" t="s">
        <v>24</v>
      </c>
      <c r="H167" s="21" t="s">
        <v>25</v>
      </c>
      <c r="I167" s="21" t="s">
        <v>369</v>
      </c>
      <c r="J167" s="23" t="s">
        <v>528</v>
      </c>
      <c r="K167" s="27" t="s">
        <v>96</v>
      </c>
      <c r="L167" s="22" t="s">
        <v>528</v>
      </c>
      <c r="M167" s="23" t="s">
        <v>181</v>
      </c>
      <c r="N167" s="23" t="s">
        <v>168</v>
      </c>
      <c r="O167" s="24"/>
      <c r="P167" s="24"/>
      <c r="Q167" s="24"/>
      <c r="R167" s="25"/>
      <c r="S167" s="25"/>
      <c r="T167" s="56"/>
      <c r="U167" s="56"/>
    </row>
    <row r="168" spans="1:21">
      <c r="A168" s="21" t="n">
        <v>165</v>
      </c>
      <c r="B168" s="21">
        <f>E168</f>
        <v>0</v>
      </c>
      <c r="C168" s="21" t="str">
        <f>F168</f>
        <v>19830728 201001 2 020</v>
      </c>
      <c r="D168" s="22" t="s">
        <v>539</v>
      </c>
      <c r="E168" s="22"/>
      <c r="F168" s="21" t="s">
        <v>540</v>
      </c>
      <c r="G168" s="21" t="s">
        <v>24</v>
      </c>
      <c r="H168" s="21" t="s">
        <v>25</v>
      </c>
      <c r="I168" s="21" t="s">
        <v>369</v>
      </c>
      <c r="J168" s="23" t="s">
        <v>528</v>
      </c>
      <c r="K168" s="27" t="s">
        <v>96</v>
      </c>
      <c r="L168" s="22" t="s">
        <v>528</v>
      </c>
      <c r="M168" s="23" t="s">
        <v>40</v>
      </c>
      <c r="N168" s="23" t="s">
        <v>325</v>
      </c>
      <c r="O168" s="24"/>
      <c r="P168" s="24"/>
      <c r="Q168" s="24"/>
      <c r="R168" s="25"/>
      <c r="S168" s="25"/>
      <c r="T168" s="56"/>
      <c r="U168" s="56"/>
    </row>
    <row r="169" spans="1:21">
      <c r="A169" s="21" t="n">
        <v>166</v>
      </c>
      <c r="B169" s="21">
        <f>E169</f>
        <v>0</v>
      </c>
      <c r="C169" s="21" t="str">
        <f>F169</f>
        <v>19821108 201001 2 012</v>
      </c>
      <c r="D169" s="22" t="s">
        <v>541</v>
      </c>
      <c r="E169" s="22"/>
      <c r="F169" s="21" t="s">
        <v>542</v>
      </c>
      <c r="G169" s="21" t="s">
        <v>24</v>
      </c>
      <c r="H169" s="21" t="s">
        <v>25</v>
      </c>
      <c r="I169" s="21" t="s">
        <v>231</v>
      </c>
      <c r="J169" s="23" t="s">
        <v>156</v>
      </c>
      <c r="K169" s="27" t="s">
        <v>96</v>
      </c>
      <c r="L169" s="22" t="s">
        <v>156</v>
      </c>
      <c r="M169" s="23" t="s">
        <v>181</v>
      </c>
      <c r="N169" s="23" t="s">
        <v>158</v>
      </c>
      <c r="O169" s="24"/>
      <c r="P169" s="24"/>
      <c r="Q169" s="24"/>
      <c r="R169" s="25"/>
      <c r="S169" s="25"/>
      <c r="T169" s="56"/>
      <c r="U169" s="56"/>
    </row>
    <row r="170" spans="1:21">
      <c r="A170" s="21" t="n">
        <v>167</v>
      </c>
      <c r="B170" s="21">
        <f>E170</f>
        <v>0</v>
      </c>
      <c r="C170" s="21" t="str">
        <f>F170</f>
        <v>19820709 200801 1 009</v>
      </c>
      <c r="D170" s="22" t="s">
        <v>543</v>
      </c>
      <c r="E170" s="22"/>
      <c r="F170" s="21" t="s">
        <v>544</v>
      </c>
      <c r="G170" s="21" t="s">
        <v>33</v>
      </c>
      <c r="H170" s="21" t="s">
        <v>25</v>
      </c>
      <c r="I170" s="21" t="s">
        <v>369</v>
      </c>
      <c r="J170" s="23" t="s">
        <v>528</v>
      </c>
      <c r="K170" s="27" t="s">
        <v>96</v>
      </c>
      <c r="L170" s="22" t="s">
        <v>528</v>
      </c>
      <c r="M170" s="23" t="s">
        <v>181</v>
      </c>
      <c r="N170" s="23" t="s">
        <v>168</v>
      </c>
      <c r="O170" s="24"/>
      <c r="P170" s="24"/>
      <c r="Q170" s="24"/>
      <c r="R170" s="25"/>
      <c r="S170" s="25"/>
      <c r="T170" s="56"/>
      <c r="U170" s="56"/>
    </row>
    <row r="171" spans="1:21">
      <c r="A171" s="21" t="n">
        <v>168</v>
      </c>
      <c r="B171" s="21">
        <f>E171</f>
        <v>0</v>
      </c>
      <c r="C171" s="21" t="str">
        <f>F171</f>
        <v>19800915 200903 1 001</v>
      </c>
      <c r="D171" s="22" t="s">
        <v>545</v>
      </c>
      <c r="E171" s="22"/>
      <c r="F171" s="21" t="s">
        <v>546</v>
      </c>
      <c r="G171" s="21" t="s">
        <v>33</v>
      </c>
      <c r="H171" s="21" t="s">
        <v>25</v>
      </c>
      <c r="I171" s="21" t="s">
        <v>231</v>
      </c>
      <c r="J171" s="22" t="s">
        <v>267</v>
      </c>
      <c r="K171" s="22" t="s">
        <v>28</v>
      </c>
      <c r="L171" s="25" t="s">
        <v>262</v>
      </c>
      <c r="M171" s="23" t="s">
        <v>40</v>
      </c>
      <c r="N171" s="23" t="s">
        <v>268</v>
      </c>
      <c r="O171" s="24"/>
      <c r="P171" s="24"/>
      <c r="Q171" s="24"/>
      <c r="R171" s="25"/>
      <c r="S171" s="25"/>
      <c r="T171" s="56"/>
      <c r="U171" s="56"/>
    </row>
    <row r="172" spans="1:21">
      <c r="A172" s="21" t="n">
        <v>169</v>
      </c>
      <c r="B172" s="21">
        <f>E172</f>
        <v>0</v>
      </c>
      <c r="C172" s="21" t="str">
        <f>F172</f>
        <v>19871112 201101 2 015</v>
      </c>
      <c r="D172" s="22" t="s">
        <v>547</v>
      </c>
      <c r="E172" s="22"/>
      <c r="F172" s="21" t="s">
        <v>548</v>
      </c>
      <c r="G172" s="21" t="s">
        <v>24</v>
      </c>
      <c r="H172" s="21" t="s">
        <v>25</v>
      </c>
      <c r="I172" s="21" t="s">
        <v>231</v>
      </c>
      <c r="J172" s="23" t="s">
        <v>156</v>
      </c>
      <c r="K172" s="27" t="s">
        <v>96</v>
      </c>
      <c r="L172" s="22" t="s">
        <v>156</v>
      </c>
      <c r="M172" s="23" t="s">
        <v>40</v>
      </c>
      <c r="N172" s="23" t="s">
        <v>549</v>
      </c>
      <c r="O172" s="24"/>
      <c r="P172" s="24"/>
      <c r="Q172" s="24"/>
      <c r="R172" s="25"/>
      <c r="S172" s="25"/>
      <c r="T172" s="56"/>
      <c r="U172" s="56"/>
    </row>
    <row r="173" spans="1:21">
      <c r="A173" s="21" t="n">
        <v>170</v>
      </c>
      <c r="B173" s="21">
        <f>E173</f>
        <v>0</v>
      </c>
      <c r="C173" s="21" t="str">
        <f>F173</f>
        <v>19880504 201001 2 005</v>
      </c>
      <c r="D173" s="22" t="s">
        <v>550</v>
      </c>
      <c r="E173" s="22"/>
      <c r="F173" s="21" t="s">
        <v>551</v>
      </c>
      <c r="G173" s="21" t="s">
        <v>24</v>
      </c>
      <c r="H173" s="21" t="s">
        <v>25</v>
      </c>
      <c r="I173" s="21" t="s">
        <v>231</v>
      </c>
      <c r="J173" s="23" t="s">
        <v>156</v>
      </c>
      <c r="K173" s="27" t="s">
        <v>96</v>
      </c>
      <c r="L173" s="22" t="s">
        <v>156</v>
      </c>
      <c r="M173" s="23" t="s">
        <v>181</v>
      </c>
      <c r="N173" s="23" t="s">
        <v>331</v>
      </c>
      <c r="O173" s="24"/>
      <c r="P173" s="24"/>
      <c r="Q173" s="24"/>
      <c r="R173" s="25"/>
      <c r="S173" s="25"/>
      <c r="T173" s="56"/>
      <c r="U173" s="56"/>
    </row>
    <row r="174" spans="1:21">
      <c r="A174" s="21" t="n">
        <v>171</v>
      </c>
      <c r="B174" s="21">
        <f>E174</f>
        <v>0</v>
      </c>
      <c r="C174" s="21" t="str">
        <f>F174</f>
        <v>19840421 201101 2 020</v>
      </c>
      <c r="D174" s="22" t="s">
        <v>552</v>
      </c>
      <c r="E174" s="22"/>
      <c r="F174" s="21" t="s">
        <v>553</v>
      </c>
      <c r="G174" s="21" t="s">
        <v>24</v>
      </c>
      <c r="H174" s="21" t="s">
        <v>25</v>
      </c>
      <c r="I174" s="21" t="s">
        <v>231</v>
      </c>
      <c r="J174" s="23" t="s">
        <v>156</v>
      </c>
      <c r="K174" s="27" t="s">
        <v>96</v>
      </c>
      <c r="L174" s="22" t="s">
        <v>156</v>
      </c>
      <c r="M174" s="28" t="s">
        <v>274</v>
      </c>
      <c r="N174" s="23" t="s">
        <v>382</v>
      </c>
      <c r="O174" s="24"/>
      <c r="P174" s="24"/>
      <c r="Q174" s="24"/>
      <c r="R174" s="25"/>
      <c r="S174" s="25"/>
      <c r="T174" s="56"/>
      <c r="U174" s="56"/>
    </row>
    <row r="175" spans="1:21">
      <c r="A175" s="21" t="n">
        <v>172</v>
      </c>
      <c r="B175" s="21">
        <f>E175</f>
        <v>0</v>
      </c>
      <c r="C175" s="21" t="str">
        <f>F175</f>
        <v>19840609 201101 2 010</v>
      </c>
      <c r="D175" s="22" t="s">
        <v>554</v>
      </c>
      <c r="E175" s="22"/>
      <c r="F175" s="21" t="s">
        <v>555</v>
      </c>
      <c r="G175" s="21" t="s">
        <v>24</v>
      </c>
      <c r="H175" s="21" t="s">
        <v>25</v>
      </c>
      <c r="I175" s="21" t="s">
        <v>231</v>
      </c>
      <c r="J175" s="23" t="s">
        <v>156</v>
      </c>
      <c r="K175" s="27" t="s">
        <v>96</v>
      </c>
      <c r="L175" s="22" t="s">
        <v>156</v>
      </c>
      <c r="M175" s="23" t="s">
        <v>161</v>
      </c>
      <c r="N175" s="23" t="s">
        <v>331</v>
      </c>
      <c r="O175" s="24"/>
      <c r="P175" s="24"/>
      <c r="Q175" s="24"/>
      <c r="R175" s="25"/>
      <c r="S175" s="25"/>
      <c r="T175" s="56"/>
      <c r="U175" s="56"/>
    </row>
    <row r="176" spans="1:21">
      <c r="A176" s="21" t="n">
        <v>173</v>
      </c>
      <c r="B176" s="21">
        <f>E176</f>
        <v>0</v>
      </c>
      <c r="C176" s="21" t="str">
        <f>F176</f>
        <v>19880412 201001 2 003</v>
      </c>
      <c r="D176" s="22" t="s">
        <v>556</v>
      </c>
      <c r="E176" s="22"/>
      <c r="F176" s="21" t="s">
        <v>557</v>
      </c>
      <c r="G176" s="21" t="s">
        <v>24</v>
      </c>
      <c r="H176" s="21" t="s">
        <v>25</v>
      </c>
      <c r="I176" s="21" t="s">
        <v>369</v>
      </c>
      <c r="J176" s="22" t="s">
        <v>243</v>
      </c>
      <c r="K176" s="22" t="s">
        <v>242</v>
      </c>
      <c r="L176" s="22" t="s">
        <v>243</v>
      </c>
      <c r="M176" s="23" t="s">
        <v>244</v>
      </c>
      <c r="N176" s="23" t="s">
        <v>77</v>
      </c>
      <c r="O176" s="24"/>
      <c r="P176" s="24"/>
      <c r="Q176" s="24"/>
      <c r="R176" s="25"/>
      <c r="S176" s="25"/>
      <c r="T176" s="56"/>
      <c r="U176" s="56"/>
    </row>
    <row r="177" spans="1:21">
      <c r="A177" s="21" t="n">
        <v>174</v>
      </c>
      <c r="B177" s="21">
        <f>E177</f>
        <v>0</v>
      </c>
      <c r="C177" s="21" t="str">
        <f>F177</f>
        <v>19791231 201001 2 015</v>
      </c>
      <c r="D177" s="22" t="s">
        <v>558</v>
      </c>
      <c r="E177" s="22"/>
      <c r="F177" s="21" t="s">
        <v>559</v>
      </c>
      <c r="G177" s="21" t="s">
        <v>24</v>
      </c>
      <c r="H177" s="21" t="s">
        <v>25</v>
      </c>
      <c r="I177" s="21" t="s">
        <v>231</v>
      </c>
      <c r="J177" s="23" t="s">
        <v>156</v>
      </c>
      <c r="K177" s="27" t="s">
        <v>96</v>
      </c>
      <c r="L177" s="22" t="s">
        <v>156</v>
      </c>
      <c r="M177" s="23" t="s">
        <v>40</v>
      </c>
      <c r="N177" s="23" t="s">
        <v>158</v>
      </c>
      <c r="O177" s="24"/>
      <c r="P177" s="24"/>
      <c r="Q177" s="24"/>
      <c r="R177" s="25"/>
      <c r="S177" s="25"/>
      <c r="T177" s="56"/>
      <c r="U177" s="56"/>
    </row>
    <row r="178" spans="1:21">
      <c r="A178" s="21" t="n">
        <v>175</v>
      </c>
      <c r="B178" s="21">
        <f>E178</f>
        <v>0</v>
      </c>
      <c r="C178" s="21" t="str">
        <f>F178</f>
        <v>19931212 202012 1 016</v>
      </c>
      <c r="D178" s="22" t="s">
        <v>560</v>
      </c>
      <c r="E178" s="22"/>
      <c r="F178" s="21" t="s">
        <v>561</v>
      </c>
      <c r="G178" s="21" t="s">
        <v>33</v>
      </c>
      <c r="H178" s="21" t="s">
        <v>25</v>
      </c>
      <c r="I178" s="21" t="s">
        <v>369</v>
      </c>
      <c r="J178" s="22" t="s">
        <v>464</v>
      </c>
      <c r="K178" s="27" t="s">
        <v>66</v>
      </c>
      <c r="L178" s="22" t="s">
        <v>464</v>
      </c>
      <c r="M178" s="23" t="s">
        <v>67</v>
      </c>
      <c r="N178" s="23" t="s">
        <v>68</v>
      </c>
      <c r="O178" s="24"/>
      <c r="P178" s="24"/>
      <c r="Q178" s="24"/>
      <c r="R178" s="25"/>
      <c r="S178" s="25"/>
      <c r="T178" s="56"/>
      <c r="U178" s="56"/>
    </row>
    <row r="179" spans="1:21">
      <c r="A179" s="21" t="n">
        <v>176</v>
      </c>
      <c r="B179" s="21">
        <f>E179</f>
        <v>0</v>
      </c>
      <c r="C179" s="21" t="str">
        <f>F179</f>
        <v>19850504 202012 2 009</v>
      </c>
      <c r="D179" s="22" t="s">
        <v>562</v>
      </c>
      <c r="E179" s="22"/>
      <c r="F179" s="21" t="s">
        <v>563</v>
      </c>
      <c r="G179" s="21" t="s">
        <v>24</v>
      </c>
      <c r="H179" s="21" t="s">
        <v>25</v>
      </c>
      <c r="I179" s="21" t="s">
        <v>369</v>
      </c>
      <c r="J179" s="23" t="s">
        <v>564</v>
      </c>
      <c r="K179" s="22" t="s">
        <v>101</v>
      </c>
      <c r="L179" s="23" t="s">
        <v>564</v>
      </c>
      <c r="M179" s="28" t="s">
        <v>102</v>
      </c>
      <c r="N179" s="23" t="s">
        <v>103</v>
      </c>
      <c r="O179" s="24"/>
      <c r="P179" s="24"/>
      <c r="Q179" s="24"/>
      <c r="R179" s="25"/>
      <c r="S179" s="25"/>
      <c r="T179" s="56"/>
      <c r="U179" s="56"/>
    </row>
    <row r="180" spans="1:21">
      <c r="A180" s="21" t="n">
        <v>177</v>
      </c>
      <c r="B180" s="21">
        <f>E180</f>
        <v>0</v>
      </c>
      <c r="C180" s="21" t="str">
        <f>F180</f>
        <v>19880820 202012 1 009</v>
      </c>
      <c r="D180" s="22" t="s">
        <v>565</v>
      </c>
      <c r="E180" s="22"/>
      <c r="F180" s="21" t="s">
        <v>566</v>
      </c>
      <c r="G180" s="21" t="s">
        <v>33</v>
      </c>
      <c r="H180" s="21" t="s">
        <v>25</v>
      </c>
      <c r="I180" s="21" t="s">
        <v>369</v>
      </c>
      <c r="J180" s="22" t="s">
        <v>464</v>
      </c>
      <c r="K180" s="27" t="s">
        <v>66</v>
      </c>
      <c r="L180" s="22" t="s">
        <v>464</v>
      </c>
      <c r="M180" s="23" t="s">
        <v>67</v>
      </c>
      <c r="N180" s="23" t="s">
        <v>68</v>
      </c>
      <c r="O180" s="24"/>
      <c r="P180" s="24"/>
      <c r="Q180" s="24"/>
      <c r="R180" s="25"/>
      <c r="S180" s="25"/>
      <c r="T180" s="56"/>
      <c r="U180" s="56"/>
    </row>
    <row r="181" spans="1:21">
      <c r="A181" s="21" t="n">
        <v>178</v>
      </c>
      <c r="B181" s="21">
        <f>E181</f>
        <v>0</v>
      </c>
      <c r="C181" s="21" t="str">
        <f>F181</f>
        <v>19950704 202012 2 019</v>
      </c>
      <c r="D181" s="22" t="s">
        <v>567</v>
      </c>
      <c r="E181" s="22"/>
      <c r="F181" s="21" t="s">
        <v>568</v>
      </c>
      <c r="G181" s="21" t="s">
        <v>24</v>
      </c>
      <c r="H181" s="21" t="s">
        <v>25</v>
      </c>
      <c r="I181" s="21" t="s">
        <v>369</v>
      </c>
      <c r="J181" s="23" t="s">
        <v>564</v>
      </c>
      <c r="K181" s="22" t="s">
        <v>101</v>
      </c>
      <c r="L181" s="23" t="s">
        <v>564</v>
      </c>
      <c r="M181" s="28" t="s">
        <v>102</v>
      </c>
      <c r="N181" s="23" t="s">
        <v>103</v>
      </c>
      <c r="O181" s="24"/>
      <c r="P181" s="24"/>
      <c r="Q181" s="24"/>
      <c r="R181" s="25"/>
      <c r="S181" s="25"/>
      <c r="T181" s="56"/>
      <c r="U181" s="56"/>
    </row>
    <row r="182" spans="1:21">
      <c r="A182" s="21" t="n">
        <v>179</v>
      </c>
      <c r="B182" s="21">
        <f>E182</f>
        <v>0</v>
      </c>
      <c r="C182" s="21" t="str">
        <f>F182</f>
        <v>19970518 202012 2 020</v>
      </c>
      <c r="D182" s="22" t="s">
        <v>569</v>
      </c>
      <c r="E182" s="22"/>
      <c r="F182" s="21" t="s">
        <v>570</v>
      </c>
      <c r="G182" s="21" t="s">
        <v>24</v>
      </c>
      <c r="H182" s="21" t="s">
        <v>25</v>
      </c>
      <c r="I182" s="21" t="s">
        <v>369</v>
      </c>
      <c r="J182" s="23" t="s">
        <v>564</v>
      </c>
      <c r="K182" s="22" t="s">
        <v>101</v>
      </c>
      <c r="L182" s="23" t="s">
        <v>564</v>
      </c>
      <c r="M182" s="28" t="s">
        <v>102</v>
      </c>
      <c r="N182" s="23" t="s">
        <v>103</v>
      </c>
      <c r="O182" s="24"/>
      <c r="P182" s="24"/>
      <c r="Q182" s="24"/>
      <c r="R182" s="25"/>
      <c r="S182" s="25"/>
      <c r="T182" s="56"/>
      <c r="U182" s="56"/>
    </row>
    <row r="183" spans="1:21">
      <c r="A183" s="21" t="n">
        <v>180</v>
      </c>
      <c r="B183" s="21">
        <f>E183</f>
        <v>0</v>
      </c>
      <c r="C183" s="21" t="str">
        <f>F183</f>
        <v>19950413 202012 2 028</v>
      </c>
      <c r="D183" s="22" t="s">
        <v>571</v>
      </c>
      <c r="E183" s="22"/>
      <c r="F183" s="21" t="s">
        <v>572</v>
      </c>
      <c r="G183" s="21" t="s">
        <v>24</v>
      </c>
      <c r="H183" s="21" t="s">
        <v>25</v>
      </c>
      <c r="I183" s="21" t="s">
        <v>369</v>
      </c>
      <c r="J183" s="23" t="s">
        <v>564</v>
      </c>
      <c r="K183" s="22" t="s">
        <v>101</v>
      </c>
      <c r="L183" s="23" t="s">
        <v>564</v>
      </c>
      <c r="M183" s="28" t="s">
        <v>102</v>
      </c>
      <c r="N183" s="23" t="s">
        <v>103</v>
      </c>
      <c r="O183" s="24"/>
      <c r="P183" s="24"/>
      <c r="Q183" s="24"/>
      <c r="R183" s="25"/>
      <c r="S183" s="25"/>
      <c r="T183" s="56"/>
      <c r="U183" s="56"/>
    </row>
    <row r="184" spans="1:21">
      <c r="A184" s="21" t="n">
        <v>181</v>
      </c>
      <c r="B184" s="21">
        <f>E184</f>
        <v>0</v>
      </c>
      <c r="C184" s="21" t="str">
        <f>F184</f>
        <v>19950917 202012 2 019</v>
      </c>
      <c r="D184" s="22" t="s">
        <v>573</v>
      </c>
      <c r="E184" s="22"/>
      <c r="F184" s="21" t="s">
        <v>574</v>
      </c>
      <c r="G184" s="21" t="s">
        <v>24</v>
      </c>
      <c r="H184" s="21" t="s">
        <v>25</v>
      </c>
      <c r="I184" s="21" t="s">
        <v>369</v>
      </c>
      <c r="J184" s="23" t="s">
        <v>564</v>
      </c>
      <c r="K184" s="22" t="s">
        <v>101</v>
      </c>
      <c r="L184" s="23" t="s">
        <v>564</v>
      </c>
      <c r="M184" s="28" t="s">
        <v>102</v>
      </c>
      <c r="N184" s="23" t="s">
        <v>103</v>
      </c>
      <c r="O184" s="24"/>
      <c r="P184" s="24"/>
      <c r="Q184" s="24"/>
      <c r="R184" s="25"/>
      <c r="S184" s="25"/>
      <c r="T184" s="56"/>
      <c r="U184" s="56"/>
    </row>
    <row r="185" spans="1:21">
      <c r="A185" s="21" t="n">
        <v>182</v>
      </c>
      <c r="B185" s="21">
        <f>E185</f>
        <v>0</v>
      </c>
      <c r="C185" s="21" t="str">
        <f>F185</f>
        <v>19860401 200903 2 002</v>
      </c>
      <c r="D185" s="22" t="s">
        <v>575</v>
      </c>
      <c r="E185" s="22"/>
      <c r="F185" s="21" t="s">
        <v>576</v>
      </c>
      <c r="G185" s="21" t="s">
        <v>24</v>
      </c>
      <c r="H185" s="21" t="s">
        <v>25</v>
      </c>
      <c r="I185" s="21" t="s">
        <v>369</v>
      </c>
      <c r="J185" s="23" t="s">
        <v>528</v>
      </c>
      <c r="K185" s="27" t="s">
        <v>96</v>
      </c>
      <c r="L185" s="22" t="s">
        <v>528</v>
      </c>
      <c r="M185" s="23" t="s">
        <v>181</v>
      </c>
      <c r="N185" s="23" t="s">
        <v>68</v>
      </c>
      <c r="O185" s="24"/>
      <c r="P185" s="24"/>
      <c r="Q185" s="24"/>
      <c r="R185" s="25"/>
      <c r="S185" s="25"/>
      <c r="T185" s="56"/>
      <c r="U185" s="56"/>
    </row>
    <row r="186" spans="1:21">
      <c r="A186" s="21" t="n">
        <v>183</v>
      </c>
      <c r="B186" s="21">
        <f>E186</f>
        <v>0</v>
      </c>
      <c r="C186" s="21" t="str">
        <f>F186</f>
        <v>19860724 201001 1 007</v>
      </c>
      <c r="D186" s="22" t="s">
        <v>577</v>
      </c>
      <c r="E186" s="22"/>
      <c r="F186" s="21" t="s">
        <v>578</v>
      </c>
      <c r="G186" s="21" t="s">
        <v>33</v>
      </c>
      <c r="H186" s="21" t="s">
        <v>25</v>
      </c>
      <c r="I186" s="21" t="s">
        <v>369</v>
      </c>
      <c r="J186" s="23" t="s">
        <v>528</v>
      </c>
      <c r="K186" s="27" t="s">
        <v>96</v>
      </c>
      <c r="L186" s="22" t="s">
        <v>528</v>
      </c>
      <c r="M186" s="23" t="s">
        <v>181</v>
      </c>
      <c r="N186" s="23" t="s">
        <v>222</v>
      </c>
      <c r="O186" s="24"/>
      <c r="P186" s="24"/>
      <c r="Q186" s="24"/>
      <c r="R186" s="25"/>
      <c r="S186" s="25"/>
      <c r="T186" s="56"/>
      <c r="U186" s="56"/>
    </row>
    <row r="187" spans="1:21">
      <c r="A187" s="21" t="n">
        <v>184</v>
      </c>
      <c r="B187" s="21">
        <f>E187</f>
        <v>0</v>
      </c>
      <c r="C187" s="21" t="str">
        <f>F187</f>
        <v>19790717 200312 2 007</v>
      </c>
      <c r="D187" s="22" t="s">
        <v>579</v>
      </c>
      <c r="E187" s="22"/>
      <c r="F187" s="21" t="s">
        <v>580</v>
      </c>
      <c r="G187" s="21" t="s">
        <v>24</v>
      </c>
      <c r="H187" s="21" t="s">
        <v>25</v>
      </c>
      <c r="I187" s="21" t="s">
        <v>369</v>
      </c>
      <c r="J187" s="22" t="s">
        <v>142</v>
      </c>
      <c r="K187" s="22" t="s">
        <v>101</v>
      </c>
      <c r="L187" s="22" t="s">
        <v>142</v>
      </c>
      <c r="M187" s="23" t="s">
        <v>143</v>
      </c>
      <c r="N187" s="23" t="s">
        <v>103</v>
      </c>
      <c r="O187" s="24"/>
      <c r="P187" s="24"/>
      <c r="Q187" s="24"/>
      <c r="R187" s="25"/>
      <c r="S187" s="25"/>
      <c r="T187" s="56"/>
      <c r="U187" s="56"/>
    </row>
    <row r="188" spans="1:21">
      <c r="A188" s="21" t="n">
        <v>185</v>
      </c>
      <c r="B188" s="21">
        <f>E188</f>
        <v>0</v>
      </c>
      <c r="C188" s="21" t="str">
        <f>F188</f>
        <v>19830324 200903 2 001</v>
      </c>
      <c r="D188" s="22" t="s">
        <v>581</v>
      </c>
      <c r="E188" s="22"/>
      <c r="F188" s="21" t="s">
        <v>582</v>
      </c>
      <c r="G188" s="21" t="s">
        <v>24</v>
      </c>
      <c r="H188" s="21" t="s">
        <v>25</v>
      </c>
      <c r="I188" s="21" t="s">
        <v>369</v>
      </c>
      <c r="J188" s="22" t="s">
        <v>583</v>
      </c>
      <c r="K188" s="22" t="s">
        <v>28</v>
      </c>
      <c r="L188" s="25" t="s">
        <v>347</v>
      </c>
      <c r="M188" s="23" t="s">
        <v>244</v>
      </c>
      <c r="N188" s="23" t="s">
        <v>122</v>
      </c>
      <c r="O188" s="24"/>
      <c r="P188" s="24"/>
      <c r="Q188" s="24"/>
      <c r="R188" s="25"/>
      <c r="S188" s="25"/>
      <c r="T188" s="56"/>
      <c r="U188" s="56"/>
    </row>
    <row r="189" spans="1:21">
      <c r="A189" s="21" t="n">
        <v>186</v>
      </c>
      <c r="B189" s="21">
        <f>E189</f>
        <v>0</v>
      </c>
      <c r="C189" s="21" t="str">
        <f>F189</f>
        <v>19681005 200312 1 004</v>
      </c>
      <c r="D189" s="22" t="s">
        <v>584</v>
      </c>
      <c r="E189" s="22"/>
      <c r="F189" s="21" t="s">
        <v>585</v>
      </c>
      <c r="G189" s="21" t="s">
        <v>33</v>
      </c>
      <c r="H189" s="21" t="s">
        <v>25</v>
      </c>
      <c r="I189" s="21" t="s">
        <v>369</v>
      </c>
      <c r="J189" s="22" t="s">
        <v>392</v>
      </c>
      <c r="K189" s="22" t="s">
        <v>28</v>
      </c>
      <c r="L189" s="25" t="s">
        <v>262</v>
      </c>
      <c r="M189" s="23" t="s">
        <v>40</v>
      </c>
      <c r="N189" s="23" t="s">
        <v>275</v>
      </c>
      <c r="O189" s="24"/>
      <c r="P189" s="24"/>
      <c r="Q189" s="24"/>
      <c r="R189" s="25"/>
      <c r="S189" s="25"/>
      <c r="T189" s="56"/>
      <c r="U189" s="56"/>
    </row>
    <row r="190" spans="1:21">
      <c r="A190" s="21" t="n">
        <v>187</v>
      </c>
      <c r="B190" s="21">
        <f>E190</f>
        <v>0</v>
      </c>
      <c r="C190" s="21" t="str">
        <f>F190</f>
        <v>19871231 200903 2 001</v>
      </c>
      <c r="D190" s="22" t="s">
        <v>586</v>
      </c>
      <c r="E190" s="22"/>
      <c r="F190" s="21" t="s">
        <v>587</v>
      </c>
      <c r="G190" s="21" t="s">
        <v>24</v>
      </c>
      <c r="H190" s="21" t="s">
        <v>25</v>
      </c>
      <c r="I190" s="21" t="s">
        <v>369</v>
      </c>
      <c r="J190" s="22" t="s">
        <v>457</v>
      </c>
      <c r="K190" s="27" t="s">
        <v>201</v>
      </c>
      <c r="L190" s="22" t="s">
        <v>457</v>
      </c>
      <c r="M190" s="23" t="s">
        <v>588</v>
      </c>
      <c r="N190" s="23" t="s">
        <v>406</v>
      </c>
      <c r="O190" s="24"/>
      <c r="P190" s="24"/>
      <c r="Q190" s="24"/>
      <c r="R190" s="25"/>
      <c r="S190" s="25"/>
      <c r="T190" s="56"/>
      <c r="U190" s="56"/>
    </row>
    <row r="191" spans="1:21">
      <c r="A191" s="21" t="n">
        <v>188</v>
      </c>
      <c r="B191" s="21">
        <f>E191</f>
        <v>0</v>
      </c>
      <c r="C191" s="21" t="str">
        <f>F191</f>
        <v>19840927 200903 1 001</v>
      </c>
      <c r="D191" s="22" t="s">
        <v>589</v>
      </c>
      <c r="E191" s="22"/>
      <c r="F191" s="21" t="s">
        <v>590</v>
      </c>
      <c r="G191" s="21" t="s">
        <v>33</v>
      </c>
      <c r="H191" s="21" t="s">
        <v>25</v>
      </c>
      <c r="I191" s="21" t="s">
        <v>369</v>
      </c>
      <c r="J191" s="23" t="s">
        <v>528</v>
      </c>
      <c r="K191" s="27" t="s">
        <v>96</v>
      </c>
      <c r="L191" s="22" t="s">
        <v>528</v>
      </c>
      <c r="M191" s="23" t="s">
        <v>40</v>
      </c>
      <c r="N191" s="23" t="s">
        <v>168</v>
      </c>
      <c r="O191" s="24"/>
      <c r="P191" s="24"/>
      <c r="Q191" s="24"/>
      <c r="R191" s="25"/>
      <c r="S191" s="25"/>
      <c r="T191" s="56"/>
      <c r="U191" s="56"/>
    </row>
    <row r="192" spans="1:21">
      <c r="A192" s="21" t="n">
        <v>189</v>
      </c>
      <c r="B192" s="21">
        <f>E192</f>
        <v>0</v>
      </c>
      <c r="C192" s="21" t="str">
        <f>F192</f>
        <v>19860718 201101 2 017</v>
      </c>
      <c r="D192" s="22" t="s">
        <v>591</v>
      </c>
      <c r="E192" s="22"/>
      <c r="F192" s="21" t="s">
        <v>592</v>
      </c>
      <c r="G192" s="21" t="s">
        <v>24</v>
      </c>
      <c r="H192" s="21" t="s">
        <v>25</v>
      </c>
      <c r="I192" s="21" t="s">
        <v>369</v>
      </c>
      <c r="J192" s="22" t="s">
        <v>593</v>
      </c>
      <c r="K192" s="22" t="s">
        <v>594</v>
      </c>
      <c r="L192" s="22" t="s">
        <v>593</v>
      </c>
      <c r="M192" s="28" t="s">
        <v>595</v>
      </c>
      <c r="N192" s="23" t="s">
        <v>87</v>
      </c>
      <c r="O192" s="24"/>
      <c r="P192" s="24"/>
      <c r="Q192" s="24"/>
      <c r="R192" s="25"/>
      <c r="S192" s="25"/>
      <c r="T192" s="56"/>
      <c r="U192" s="56"/>
    </row>
    <row r="193" spans="1:21">
      <c r="A193" s="21" t="n">
        <v>190</v>
      </c>
      <c r="B193" s="21">
        <f>E193</f>
        <v>0</v>
      </c>
      <c r="C193" s="21" t="str">
        <f>F193</f>
        <v>19850415 201101 2 017</v>
      </c>
      <c r="D193" s="22" t="s">
        <v>596</v>
      </c>
      <c r="E193" s="22"/>
      <c r="F193" s="21" t="s">
        <v>597</v>
      </c>
      <c r="G193" s="21" t="s">
        <v>24</v>
      </c>
      <c r="H193" s="21" t="s">
        <v>25</v>
      </c>
      <c r="I193" s="21" t="s">
        <v>369</v>
      </c>
      <c r="J193" s="23" t="s">
        <v>528</v>
      </c>
      <c r="K193" s="27" t="s">
        <v>96</v>
      </c>
      <c r="L193" s="22" t="s">
        <v>528</v>
      </c>
      <c r="M193" s="23" t="s">
        <v>181</v>
      </c>
      <c r="N193" s="23" t="s">
        <v>97</v>
      </c>
      <c r="O193" s="24"/>
      <c r="P193" s="24"/>
      <c r="Q193" s="24"/>
      <c r="R193" s="25"/>
      <c r="S193" s="25"/>
      <c r="T193" s="56"/>
      <c r="U193" s="56"/>
    </row>
    <row r="194" spans="1:21">
      <c r="A194" s="21" t="n">
        <v>191</v>
      </c>
      <c r="B194" s="21">
        <f>E194</f>
        <v>0</v>
      </c>
      <c r="C194" s="21" t="str">
        <f>F194</f>
        <v>19830508 201001 2 001</v>
      </c>
      <c r="D194" s="22" t="s">
        <v>598</v>
      </c>
      <c r="E194" s="22"/>
      <c r="F194" s="21" t="s">
        <v>599</v>
      </c>
      <c r="G194" s="21" t="s">
        <v>24</v>
      </c>
      <c r="H194" s="21" t="s">
        <v>25</v>
      </c>
      <c r="I194" s="21" t="s">
        <v>369</v>
      </c>
      <c r="J194" s="22" t="s">
        <v>392</v>
      </c>
      <c r="K194" s="22" t="s">
        <v>28</v>
      </c>
      <c r="L194" s="25" t="s">
        <v>600</v>
      </c>
      <c r="M194" s="23" t="s">
        <v>601</v>
      </c>
      <c r="N194" s="23" t="s">
        <v>41</v>
      </c>
      <c r="O194" s="24"/>
      <c r="P194" s="24"/>
      <c r="Q194" s="24"/>
      <c r="R194" s="25"/>
      <c r="S194" s="25"/>
      <c r="T194" s="56"/>
      <c r="U194" s="56"/>
    </row>
    <row r="195" spans="1:21">
      <c r="A195" s="21" t="n">
        <v>192</v>
      </c>
      <c r="B195" s="21">
        <f>E195</f>
        <v>0</v>
      </c>
      <c r="C195" s="21" t="str">
        <f>F195</f>
        <v>19910408 201101 2 001</v>
      </c>
      <c r="D195" s="22" t="s">
        <v>602</v>
      </c>
      <c r="E195" s="22"/>
      <c r="F195" s="21" t="s">
        <v>603</v>
      </c>
      <c r="G195" s="21" t="s">
        <v>24</v>
      </c>
      <c r="H195" s="21" t="s">
        <v>25</v>
      </c>
      <c r="I195" s="21" t="s">
        <v>369</v>
      </c>
      <c r="J195" s="23" t="s">
        <v>528</v>
      </c>
      <c r="K195" s="27" t="s">
        <v>96</v>
      </c>
      <c r="L195" s="22" t="s">
        <v>528</v>
      </c>
      <c r="M195" s="23" t="s">
        <v>181</v>
      </c>
      <c r="N195" s="23" t="s">
        <v>275</v>
      </c>
      <c r="O195" s="24"/>
      <c r="P195" s="24"/>
      <c r="Q195" s="24"/>
      <c r="R195" s="25"/>
      <c r="S195" s="25"/>
      <c r="T195" s="56"/>
      <c r="U195" s="56"/>
    </row>
    <row r="196" spans="1:21">
      <c r="A196" s="21" t="n">
        <v>193</v>
      </c>
      <c r="B196" s="21">
        <f>E196</f>
        <v>0</v>
      </c>
      <c r="C196" s="21" t="str">
        <f>F196</f>
        <v>19870912 201001 1 002</v>
      </c>
      <c r="D196" s="22" t="s">
        <v>604</v>
      </c>
      <c r="E196" s="22"/>
      <c r="F196" s="21" t="s">
        <v>605</v>
      </c>
      <c r="G196" s="21" t="s">
        <v>33</v>
      </c>
      <c r="H196" s="21" t="s">
        <v>25</v>
      </c>
      <c r="I196" s="21" t="s">
        <v>369</v>
      </c>
      <c r="J196" s="22" t="s">
        <v>409</v>
      </c>
      <c r="K196" s="22" t="s">
        <v>132</v>
      </c>
      <c r="L196" s="22" t="s">
        <v>409</v>
      </c>
      <c r="M196" s="23" t="s">
        <v>444</v>
      </c>
      <c r="N196" s="23" t="s">
        <v>606</v>
      </c>
      <c r="O196" s="24"/>
      <c r="P196" s="24"/>
      <c r="Q196" s="24"/>
      <c r="R196" s="25"/>
      <c r="S196" s="25"/>
      <c r="T196" s="56"/>
      <c r="U196" s="56"/>
    </row>
    <row r="197" spans="1:21">
      <c r="A197" s="21" t="n">
        <v>194</v>
      </c>
      <c r="B197" s="21">
        <f>E197</f>
        <v>0</v>
      </c>
      <c r="C197" s="21" t="str">
        <f>F197</f>
        <v>19821212 200903 2 011</v>
      </c>
      <c r="D197" s="22" t="s">
        <v>607</v>
      </c>
      <c r="E197" s="22"/>
      <c r="F197" s="21" t="s">
        <v>608</v>
      </c>
      <c r="G197" s="21" t="s">
        <v>24</v>
      </c>
      <c r="H197" s="21" t="s">
        <v>25</v>
      </c>
      <c r="I197" s="21" t="s">
        <v>369</v>
      </c>
      <c r="J197" s="23" t="s">
        <v>508</v>
      </c>
      <c r="K197" s="27" t="s">
        <v>96</v>
      </c>
      <c r="L197" s="22" t="s">
        <v>508</v>
      </c>
      <c r="M197" s="23" t="s">
        <v>181</v>
      </c>
      <c r="N197" s="23" t="s">
        <v>168</v>
      </c>
      <c r="O197" s="24"/>
      <c r="P197" s="24"/>
      <c r="Q197" s="24"/>
      <c r="R197" s="25"/>
      <c r="S197" s="25"/>
      <c r="T197" s="56"/>
      <c r="U197" s="56"/>
    </row>
    <row r="198" spans="1:21">
      <c r="A198" s="21" t="n">
        <v>195</v>
      </c>
      <c r="B198" s="21">
        <f>E198</f>
        <v>0</v>
      </c>
      <c r="C198" s="21" t="str">
        <f>F198</f>
        <v>19880901 201001 2 004</v>
      </c>
      <c r="D198" s="22" t="s">
        <v>609</v>
      </c>
      <c r="E198" s="22"/>
      <c r="F198" s="21" t="s">
        <v>610</v>
      </c>
      <c r="G198" s="21" t="s">
        <v>24</v>
      </c>
      <c r="H198" s="21" t="s">
        <v>25</v>
      </c>
      <c r="I198" s="21" t="s">
        <v>369</v>
      </c>
      <c r="J198" s="22" t="s">
        <v>593</v>
      </c>
      <c r="K198" s="22" t="s">
        <v>594</v>
      </c>
      <c r="L198" s="22" t="s">
        <v>593</v>
      </c>
      <c r="M198" s="28" t="s">
        <v>595</v>
      </c>
      <c r="N198" s="23" t="s">
        <v>87</v>
      </c>
      <c r="O198" s="24"/>
      <c r="P198" s="24"/>
      <c r="Q198" s="24"/>
      <c r="R198" s="25"/>
      <c r="S198" s="25"/>
      <c r="T198" s="56"/>
      <c r="U198" s="56"/>
    </row>
    <row r="199" spans="1:21">
      <c r="A199" s="21" t="n">
        <v>196</v>
      </c>
      <c r="B199" s="21">
        <f>E199</f>
        <v>0</v>
      </c>
      <c r="C199" s="21" t="str">
        <f>F199</f>
        <v>19770907 201001 2 007</v>
      </c>
      <c r="D199" s="22" t="s">
        <v>611</v>
      </c>
      <c r="E199" s="22"/>
      <c r="F199" s="21" t="s">
        <v>612</v>
      </c>
      <c r="G199" s="21" t="s">
        <v>24</v>
      </c>
      <c r="H199" s="21" t="s">
        <v>25</v>
      </c>
      <c r="I199" s="21" t="s">
        <v>369</v>
      </c>
      <c r="J199" s="23" t="s">
        <v>528</v>
      </c>
      <c r="K199" s="27" t="s">
        <v>96</v>
      </c>
      <c r="L199" s="22" t="s">
        <v>528</v>
      </c>
      <c r="M199" s="23" t="s">
        <v>40</v>
      </c>
      <c r="N199" s="23" t="s">
        <v>162</v>
      </c>
      <c r="O199" s="24"/>
      <c r="P199" s="24"/>
      <c r="Q199" s="24"/>
      <c r="R199" s="25"/>
      <c r="S199" s="25"/>
      <c r="T199" s="56"/>
      <c r="U199" s="56"/>
    </row>
    <row r="200" spans="1:21">
      <c r="A200" s="21" t="n">
        <v>197</v>
      </c>
      <c r="B200" s="21">
        <f>E200</f>
        <v>0</v>
      </c>
      <c r="C200" s="21" t="str">
        <f>F200</f>
        <v>19841229 201101 1 012</v>
      </c>
      <c r="D200" s="22" t="s">
        <v>613</v>
      </c>
      <c r="E200" s="22"/>
      <c r="F200" s="21" t="s">
        <v>614</v>
      </c>
      <c r="G200" s="21" t="s">
        <v>33</v>
      </c>
      <c r="H200" s="21" t="s">
        <v>25</v>
      </c>
      <c r="I200" s="21" t="s">
        <v>369</v>
      </c>
      <c r="J200" s="23" t="s">
        <v>508</v>
      </c>
      <c r="K200" s="27" t="s">
        <v>96</v>
      </c>
      <c r="L200" s="22" t="s">
        <v>508</v>
      </c>
      <c r="M200" s="23" t="s">
        <v>40</v>
      </c>
      <c r="N200" s="29" t="s">
        <v>615</v>
      </c>
      <c r="O200" s="24"/>
      <c r="P200" s="24"/>
      <c r="Q200" s="24"/>
      <c r="R200" s="25"/>
      <c r="S200" s="25"/>
      <c r="T200" s="56"/>
      <c r="U200" s="56"/>
    </row>
    <row r="201" spans="1:21">
      <c r="A201" s="21" t="n">
        <v>198</v>
      </c>
      <c r="B201" s="21">
        <f>E201</f>
        <v>0</v>
      </c>
      <c r="C201" s="21" t="str">
        <f>F201</f>
        <v>19850707 201101 1 014</v>
      </c>
      <c r="D201" s="22" t="s">
        <v>616</v>
      </c>
      <c r="E201" s="22"/>
      <c r="F201" s="21" t="s">
        <v>617</v>
      </c>
      <c r="G201" s="21" t="s">
        <v>33</v>
      </c>
      <c r="H201" s="21" t="s">
        <v>25</v>
      </c>
      <c r="I201" s="21" t="s">
        <v>369</v>
      </c>
      <c r="J201" s="22" t="s">
        <v>409</v>
      </c>
      <c r="K201" s="22" t="s">
        <v>132</v>
      </c>
      <c r="L201" s="22" t="s">
        <v>409</v>
      </c>
      <c r="M201" s="23" t="s">
        <v>444</v>
      </c>
      <c r="N201" s="23" t="s">
        <v>173</v>
      </c>
      <c r="O201" s="24"/>
      <c r="P201" s="24"/>
      <c r="Q201" s="24"/>
      <c r="R201" s="25"/>
      <c r="S201" s="25"/>
      <c r="T201" s="56"/>
      <c r="U201" s="56"/>
    </row>
    <row r="202" spans="1:21">
      <c r="A202" s="21" t="n">
        <v>199</v>
      </c>
      <c r="B202" s="21">
        <f>E202</f>
        <v>0</v>
      </c>
      <c r="C202" s="21" t="str">
        <f>F202</f>
        <v>19871027 201101 2 018</v>
      </c>
      <c r="D202" s="22" t="s">
        <v>618</v>
      </c>
      <c r="E202" s="22"/>
      <c r="F202" s="21" t="s">
        <v>619</v>
      </c>
      <c r="G202" s="21" t="s">
        <v>24</v>
      </c>
      <c r="H202" s="21" t="s">
        <v>25</v>
      </c>
      <c r="I202" s="21" t="s">
        <v>369</v>
      </c>
      <c r="J202" s="22" t="s">
        <v>583</v>
      </c>
      <c r="K202" s="22" t="s">
        <v>28</v>
      </c>
      <c r="L202" s="25" t="s">
        <v>347</v>
      </c>
      <c r="M202" s="23" t="s">
        <v>244</v>
      </c>
      <c r="N202" s="23" t="s">
        <v>122</v>
      </c>
      <c r="O202" s="24"/>
      <c r="P202" s="24"/>
      <c r="Q202" s="24"/>
      <c r="R202" s="25"/>
      <c r="S202" s="25"/>
      <c r="T202" s="56"/>
      <c r="U202" s="56"/>
    </row>
    <row r="203" spans="1:21">
      <c r="A203" s="21" t="n">
        <v>200</v>
      </c>
      <c r="B203" s="21">
        <f>E203</f>
        <v>0</v>
      </c>
      <c r="C203" s="21" t="str">
        <f>F203</f>
        <v>19891004 201101 2 008</v>
      </c>
      <c r="D203" s="22" t="s">
        <v>620</v>
      </c>
      <c r="E203" s="22"/>
      <c r="F203" s="21" t="s">
        <v>621</v>
      </c>
      <c r="G203" s="21" t="s">
        <v>24</v>
      </c>
      <c r="H203" s="21" t="s">
        <v>25</v>
      </c>
      <c r="I203" s="21" t="s">
        <v>369</v>
      </c>
      <c r="J203" s="22" t="s">
        <v>457</v>
      </c>
      <c r="K203" s="27" t="s">
        <v>201</v>
      </c>
      <c r="L203" s="22" t="s">
        <v>457</v>
      </c>
      <c r="M203" s="23" t="s">
        <v>209</v>
      </c>
      <c r="N203" s="23" t="s">
        <v>622</v>
      </c>
      <c r="O203" s="24"/>
      <c r="P203" s="24"/>
      <c r="Q203" s="24"/>
      <c r="R203" s="25"/>
      <c r="S203" s="25"/>
      <c r="T203" s="56"/>
      <c r="U203" s="56"/>
    </row>
    <row r="204" spans="1:21">
      <c r="A204" s="21" t="n">
        <v>201</v>
      </c>
      <c r="B204" s="21">
        <f>E204</f>
        <v>0</v>
      </c>
      <c r="C204" s="21" t="str">
        <f>F204</f>
        <v>19921219 202203 1 006</v>
      </c>
      <c r="D204" s="22" t="s">
        <v>623</v>
      </c>
      <c r="E204" s="22"/>
      <c r="F204" s="21" t="s">
        <v>624</v>
      </c>
      <c r="G204" s="21" t="s">
        <v>33</v>
      </c>
      <c r="H204" s="21" t="s">
        <v>25</v>
      </c>
      <c r="I204" s="21" t="s">
        <v>369</v>
      </c>
      <c r="J204" s="22" t="s">
        <v>464</v>
      </c>
      <c r="K204" s="27" t="s">
        <v>66</v>
      </c>
      <c r="L204" s="22" t="s">
        <v>464</v>
      </c>
      <c r="M204" s="23" t="s">
        <v>67</v>
      </c>
      <c r="N204" s="23" t="s">
        <v>68</v>
      </c>
      <c r="O204" s="24"/>
      <c r="P204" s="24"/>
      <c r="Q204" s="24"/>
      <c r="R204" s="25"/>
      <c r="S204" s="25"/>
      <c r="T204" s="56"/>
      <c r="U204" s="56"/>
    </row>
    <row r="205" spans="1:21">
      <c r="A205" s="21" t="n">
        <v>202</v>
      </c>
      <c r="B205" s="21">
        <f>E205</f>
        <v>0</v>
      </c>
      <c r="C205" s="21" t="str">
        <f>F205</f>
        <v>19771123 201001 1 009</v>
      </c>
      <c r="D205" s="22" t="s">
        <v>625</v>
      </c>
      <c r="E205" s="22"/>
      <c r="F205" s="21" t="s">
        <v>626</v>
      </c>
      <c r="G205" s="21" t="s">
        <v>33</v>
      </c>
      <c r="H205" s="21" t="s">
        <v>25</v>
      </c>
      <c r="I205" s="21" t="s">
        <v>627</v>
      </c>
      <c r="J205" s="22" t="s">
        <v>628</v>
      </c>
      <c r="K205" s="22" t="s">
        <v>242</v>
      </c>
      <c r="L205" s="22" t="s">
        <v>628</v>
      </c>
      <c r="M205" s="23" t="s">
        <v>244</v>
      </c>
      <c r="N205" s="23" t="s">
        <v>304</v>
      </c>
      <c r="O205" s="24"/>
      <c r="P205" s="24"/>
      <c r="Q205" s="24"/>
      <c r="R205" s="25"/>
      <c r="S205" s="25"/>
      <c r="T205" s="56"/>
      <c r="U205" s="56"/>
    </row>
    <row r="206" spans="1:21">
      <c r="A206" s="21" t="n">
        <v>203</v>
      </c>
      <c r="B206" s="21">
        <f>E206</f>
        <v>0</v>
      </c>
      <c r="C206" s="21" t="str">
        <f>F206</f>
        <v>19901027 201903 2 002</v>
      </c>
      <c r="D206" s="22" t="s">
        <v>629</v>
      </c>
      <c r="E206" s="22"/>
      <c r="F206" s="21" t="s">
        <v>630</v>
      </c>
      <c r="G206" s="21" t="s">
        <v>24</v>
      </c>
      <c r="H206" s="21" t="s">
        <v>25</v>
      </c>
      <c r="I206" s="21" t="s">
        <v>369</v>
      </c>
      <c r="J206" s="22" t="s">
        <v>631</v>
      </c>
      <c r="K206" s="27" t="s">
        <v>201</v>
      </c>
      <c r="L206" s="22" t="s">
        <v>631</v>
      </c>
      <c r="M206" s="23" t="s">
        <v>40</v>
      </c>
      <c r="N206" s="23" t="s">
        <v>632</v>
      </c>
      <c r="O206" s="24"/>
      <c r="P206" s="24"/>
      <c r="Q206" s="24"/>
      <c r="R206" s="25"/>
      <c r="S206" s="25"/>
      <c r="T206" s="56"/>
      <c r="U206" s="56"/>
    </row>
    <row r="207" spans="1:21">
      <c r="A207" s="21" t="n">
        <v>204</v>
      </c>
      <c r="B207" s="21">
        <f>E207</f>
        <v>0</v>
      </c>
      <c r="C207" s="21" t="str">
        <f>F207</f>
        <v>19920221 201903 2 007</v>
      </c>
      <c r="D207" s="22" t="s">
        <v>633</v>
      </c>
      <c r="E207" s="22"/>
      <c r="F207" s="21" t="s">
        <v>634</v>
      </c>
      <c r="G207" s="21" t="s">
        <v>24</v>
      </c>
      <c r="H207" s="21" t="s">
        <v>25</v>
      </c>
      <c r="I207" s="21" t="s">
        <v>369</v>
      </c>
      <c r="J207" s="23" t="s">
        <v>291</v>
      </c>
      <c r="K207" s="27" t="s">
        <v>96</v>
      </c>
      <c r="L207" s="23" t="s">
        <v>291</v>
      </c>
      <c r="M207" s="23" t="s">
        <v>161</v>
      </c>
      <c r="N207" s="30" t="s">
        <v>197</v>
      </c>
      <c r="O207" s="24"/>
      <c r="P207" s="24"/>
      <c r="Q207" s="24"/>
      <c r="R207" s="25"/>
      <c r="S207" s="25"/>
      <c r="T207" s="56"/>
      <c r="U207" s="56"/>
    </row>
    <row r="208" spans="1:21">
      <c r="A208" s="21" t="n">
        <v>205</v>
      </c>
      <c r="B208" s="21">
        <f>E208</f>
        <v>0</v>
      </c>
      <c r="C208" s="21" t="str">
        <f>F208</f>
        <v>19940509 201903 2 005</v>
      </c>
      <c r="D208" s="22" t="s">
        <v>635</v>
      </c>
      <c r="E208" s="22"/>
      <c r="F208" s="21" t="s">
        <v>636</v>
      </c>
      <c r="G208" s="21" t="s">
        <v>24</v>
      </c>
      <c r="H208" s="21" t="s">
        <v>25</v>
      </c>
      <c r="I208" s="21" t="s">
        <v>369</v>
      </c>
      <c r="J208" s="23" t="s">
        <v>291</v>
      </c>
      <c r="K208" s="27" t="s">
        <v>96</v>
      </c>
      <c r="L208" s="23" t="s">
        <v>291</v>
      </c>
      <c r="M208" s="23" t="s">
        <v>161</v>
      </c>
      <c r="N208" s="23" t="s">
        <v>382</v>
      </c>
      <c r="O208" s="24"/>
      <c r="P208" s="24"/>
      <c r="Q208" s="24"/>
      <c r="R208" s="25"/>
      <c r="S208" s="25"/>
      <c r="T208" s="56"/>
      <c r="U208" s="56"/>
    </row>
    <row r="209" spans="1:21">
      <c r="A209" s="21" t="n">
        <v>206</v>
      </c>
      <c r="B209" s="21">
        <f>E209</f>
        <v>0</v>
      </c>
      <c r="C209" s="21" t="str">
        <f>F209</f>
        <v>19870406 201903 1 004</v>
      </c>
      <c r="D209" s="22" t="s">
        <v>637</v>
      </c>
      <c r="E209" s="22"/>
      <c r="F209" s="21" t="s">
        <v>638</v>
      </c>
      <c r="G209" s="21" t="s">
        <v>33</v>
      </c>
      <c r="H209" s="21" t="s">
        <v>25</v>
      </c>
      <c r="I209" s="21" t="s">
        <v>369</v>
      </c>
      <c r="J209" s="23" t="s">
        <v>291</v>
      </c>
      <c r="K209" s="27" t="s">
        <v>96</v>
      </c>
      <c r="L209" s="23" t="s">
        <v>291</v>
      </c>
      <c r="M209" s="23" t="s">
        <v>161</v>
      </c>
      <c r="N209" s="23" t="s">
        <v>225</v>
      </c>
      <c r="O209" s="24"/>
      <c r="P209" s="24"/>
      <c r="Q209" s="24"/>
      <c r="R209" s="25"/>
      <c r="S209" s="25"/>
      <c r="T209" s="56"/>
      <c r="U209" s="56"/>
    </row>
    <row r="210" spans="1:21">
      <c r="A210" s="21" t="n">
        <v>207</v>
      </c>
      <c r="B210" s="21">
        <f>E210</f>
        <v>0</v>
      </c>
      <c r="C210" s="21" t="str">
        <f>F210</f>
        <v>19940625 201903 2 006</v>
      </c>
      <c r="D210" s="22" t="s">
        <v>639</v>
      </c>
      <c r="E210" s="22"/>
      <c r="F210" s="21" t="s">
        <v>640</v>
      </c>
      <c r="G210" s="21" t="s">
        <v>24</v>
      </c>
      <c r="H210" s="21" t="s">
        <v>25</v>
      </c>
      <c r="I210" s="21" t="s">
        <v>369</v>
      </c>
      <c r="J210" s="22" t="s">
        <v>631</v>
      </c>
      <c r="K210" s="27" t="s">
        <v>201</v>
      </c>
      <c r="L210" s="22" t="s">
        <v>631</v>
      </c>
      <c r="M210" s="23" t="s">
        <v>40</v>
      </c>
      <c r="N210" s="23" t="s">
        <v>622</v>
      </c>
      <c r="O210" s="24"/>
      <c r="P210" s="24"/>
      <c r="Q210" s="24"/>
      <c r="R210" s="25"/>
      <c r="S210" s="25"/>
      <c r="T210" s="56"/>
      <c r="U210" s="56"/>
    </row>
    <row r="211" spans="1:21">
      <c r="A211" s="21" t="n">
        <v>208</v>
      </c>
      <c r="B211" s="21">
        <f>E211</f>
        <v>0</v>
      </c>
      <c r="C211" s="21" t="str">
        <f>F211</f>
        <v>19910201 201903 2 008</v>
      </c>
      <c r="D211" s="22" t="s">
        <v>641</v>
      </c>
      <c r="E211" s="22"/>
      <c r="F211" s="21" t="s">
        <v>642</v>
      </c>
      <c r="G211" s="21" t="s">
        <v>24</v>
      </c>
      <c r="H211" s="21" t="s">
        <v>25</v>
      </c>
      <c r="I211" s="21" t="s">
        <v>369</v>
      </c>
      <c r="J211" s="22" t="s">
        <v>631</v>
      </c>
      <c r="K211" s="27" t="s">
        <v>201</v>
      </c>
      <c r="L211" s="22" t="s">
        <v>631</v>
      </c>
      <c r="M211" s="23" t="s">
        <v>40</v>
      </c>
      <c r="N211" s="23" t="s">
        <v>210</v>
      </c>
      <c r="O211" s="24"/>
      <c r="P211" s="24"/>
      <c r="Q211" s="24"/>
      <c r="R211" s="25"/>
      <c r="S211" s="25"/>
      <c r="T211" s="56"/>
      <c r="U211" s="56"/>
    </row>
    <row r="212" spans="1:21">
      <c r="A212" s="21" t="n">
        <v>209</v>
      </c>
      <c r="B212" s="21">
        <f>E212</f>
        <v>0</v>
      </c>
      <c r="C212" s="21" t="str">
        <f>F212</f>
        <v>19860530 201001 1 009</v>
      </c>
      <c r="D212" s="22" t="s">
        <v>643</v>
      </c>
      <c r="E212" s="22"/>
      <c r="F212" s="21" t="s">
        <v>644</v>
      </c>
      <c r="G212" s="21" t="s">
        <v>33</v>
      </c>
      <c r="H212" s="21" t="s">
        <v>25</v>
      </c>
      <c r="I212" s="21" t="s">
        <v>369</v>
      </c>
      <c r="J212" s="22" t="s">
        <v>467</v>
      </c>
      <c r="K212" s="22" t="s">
        <v>28</v>
      </c>
      <c r="L212" s="25" t="s">
        <v>262</v>
      </c>
      <c r="M212" s="28" t="s">
        <v>423</v>
      </c>
      <c r="N212" s="23" t="s">
        <v>458</v>
      </c>
      <c r="O212" s="24"/>
      <c r="P212" s="24"/>
      <c r="Q212" s="24"/>
      <c r="R212" s="25"/>
      <c r="S212" s="25"/>
      <c r="T212" s="56"/>
      <c r="U212" s="56"/>
    </row>
    <row r="213" spans="1:21">
      <c r="A213" s="21" t="n">
        <v>210</v>
      </c>
      <c r="B213" s="21">
        <f>E213</f>
        <v>0</v>
      </c>
      <c r="C213" s="21" t="str">
        <f>F213</f>
        <v>19920517 202012 1 009</v>
      </c>
      <c r="D213" s="22" t="s">
        <v>645</v>
      </c>
      <c r="E213" s="22"/>
      <c r="F213" s="21" t="s">
        <v>646</v>
      </c>
      <c r="G213" s="21" t="s">
        <v>33</v>
      </c>
      <c r="H213" s="21" t="s">
        <v>25</v>
      </c>
      <c r="I213" s="21" t="s">
        <v>627</v>
      </c>
      <c r="J213" s="22" t="s">
        <v>647</v>
      </c>
      <c r="K213" s="22" t="s">
        <v>28</v>
      </c>
      <c r="L213" s="25" t="s">
        <v>262</v>
      </c>
      <c r="M213" s="23" t="s">
        <v>40</v>
      </c>
      <c r="N213" s="23" t="s">
        <v>648</v>
      </c>
      <c r="O213" s="24"/>
      <c r="P213" s="24"/>
      <c r="Q213" s="24"/>
      <c r="R213" s="25"/>
      <c r="S213" s="25"/>
      <c r="T213" s="56"/>
      <c r="U213" s="56"/>
    </row>
    <row r="214" spans="1:21">
      <c r="A214" s="21" t="n">
        <v>211</v>
      </c>
      <c r="B214" s="21">
        <f>E214</f>
        <v>0</v>
      </c>
      <c r="C214" s="21" t="str">
        <f>F214</f>
        <v>19820108 201101 1 005</v>
      </c>
      <c r="D214" s="22" t="s">
        <v>649</v>
      </c>
      <c r="E214" s="22"/>
      <c r="F214" s="21" t="s">
        <v>650</v>
      </c>
      <c r="G214" s="21" t="s">
        <v>33</v>
      </c>
      <c r="H214" s="21" t="s">
        <v>25</v>
      </c>
      <c r="I214" s="21" t="s">
        <v>627</v>
      </c>
      <c r="J214" s="23" t="s">
        <v>508</v>
      </c>
      <c r="K214" s="27" t="s">
        <v>96</v>
      </c>
      <c r="L214" s="22" t="s">
        <v>508</v>
      </c>
      <c r="M214" s="23" t="s">
        <v>181</v>
      </c>
      <c r="N214" s="23" t="s">
        <v>225</v>
      </c>
      <c r="O214" s="24"/>
      <c r="P214" s="24"/>
      <c r="Q214" s="24"/>
      <c r="R214" s="25"/>
      <c r="S214" s="25"/>
      <c r="T214" s="56"/>
      <c r="U214" s="56"/>
    </row>
    <row r="215" spans="1:21">
      <c r="A215" s="21" t="n">
        <v>212</v>
      </c>
      <c r="B215" s="21">
        <f>E215</f>
        <v>0</v>
      </c>
      <c r="C215" s="21" t="str">
        <f>F215</f>
        <v>19861107 201001 1 003</v>
      </c>
      <c r="D215" s="22" t="s">
        <v>651</v>
      </c>
      <c r="E215" s="22"/>
      <c r="F215" s="21" t="s">
        <v>652</v>
      </c>
      <c r="G215" s="21" t="s">
        <v>33</v>
      </c>
      <c r="H215" s="21" t="s">
        <v>25</v>
      </c>
      <c r="I215" s="21" t="s">
        <v>627</v>
      </c>
      <c r="J215" s="22" t="s">
        <v>653</v>
      </c>
      <c r="K215" s="22" t="s">
        <v>132</v>
      </c>
      <c r="L215" s="22" t="s">
        <v>653</v>
      </c>
      <c r="M215" s="23" t="s">
        <v>214</v>
      </c>
      <c r="N215" s="23" t="s">
        <v>134</v>
      </c>
      <c r="O215" s="24"/>
      <c r="P215" s="24"/>
      <c r="Q215" s="24"/>
      <c r="R215" s="25"/>
      <c r="S215" s="25"/>
      <c r="T215" s="56"/>
      <c r="U215" s="56"/>
    </row>
    <row r="216" spans="1:21">
      <c r="A216" s="21" t="n">
        <v>213</v>
      </c>
      <c r="B216" s="21">
        <f>E216</f>
        <v>0</v>
      </c>
      <c r="C216" s="21" t="str">
        <f>F216</f>
        <v>19860520 200701 2 001</v>
      </c>
      <c r="D216" s="22" t="s">
        <v>654</v>
      </c>
      <c r="E216" s="22"/>
      <c r="F216" s="21" t="s">
        <v>655</v>
      </c>
      <c r="G216" s="21" t="s">
        <v>24</v>
      </c>
      <c r="H216" s="21" t="s">
        <v>25</v>
      </c>
      <c r="I216" s="21" t="s">
        <v>369</v>
      </c>
      <c r="J216" s="22" t="s">
        <v>656</v>
      </c>
      <c r="K216" s="22" t="s">
        <v>101</v>
      </c>
      <c r="L216" s="22" t="s">
        <v>656</v>
      </c>
      <c r="M216" s="23" t="s">
        <v>143</v>
      </c>
      <c r="N216" s="23" t="s">
        <v>103</v>
      </c>
      <c r="O216" s="24"/>
      <c r="P216" s="24"/>
      <c r="Q216" s="24"/>
      <c r="R216" s="25"/>
      <c r="S216" s="25"/>
      <c r="T216" s="56"/>
      <c r="U216" s="56"/>
    </row>
    <row r="217" spans="1:21">
      <c r="A217" s="21" t="n">
        <v>214</v>
      </c>
      <c r="B217" s="21">
        <f>E217</f>
        <v>0</v>
      </c>
      <c r="C217" s="21" t="str">
        <f>F217</f>
        <v>19820814 200801 1 021</v>
      </c>
      <c r="D217" s="22" t="s">
        <v>657</v>
      </c>
      <c r="E217" s="22"/>
      <c r="F217" s="21" t="s">
        <v>658</v>
      </c>
      <c r="G217" s="21" t="s">
        <v>33</v>
      </c>
      <c r="H217" s="21" t="s">
        <v>25</v>
      </c>
      <c r="I217" s="21" t="s">
        <v>659</v>
      </c>
      <c r="J217" s="23" t="s">
        <v>660</v>
      </c>
      <c r="K217" s="22" t="s">
        <v>132</v>
      </c>
      <c r="L217" s="23" t="s">
        <v>660</v>
      </c>
      <c r="M217" s="23" t="s">
        <v>444</v>
      </c>
      <c r="N217" s="23" t="s">
        <v>606</v>
      </c>
      <c r="O217" s="24"/>
      <c r="P217" s="24"/>
      <c r="Q217" s="24"/>
      <c r="R217" s="25"/>
      <c r="S217" s="25"/>
      <c r="T217" s="56"/>
      <c r="U217" s="56"/>
    </row>
    <row r="218" spans="1:19" s="71" customFormat="1">
      <c r="A218" s="21" t="n">
        <v>215</v>
      </c>
      <c r="B218" s="21">
        <f>E218</f>
        <v>0</v>
      </c>
      <c r="C218" s="21" t="str">
        <f>F218</f>
        <v>19700814 200604 2 013</v>
      </c>
      <c r="D218" s="22" t="s">
        <v>661</v>
      </c>
      <c r="E218" s="22"/>
      <c r="F218" s="21" t="s">
        <v>662</v>
      </c>
      <c r="G218" s="21" t="s">
        <v>24</v>
      </c>
      <c r="H218" s="21" t="s">
        <v>25</v>
      </c>
      <c r="I218" s="21" t="s">
        <v>659</v>
      </c>
      <c r="J218" s="22" t="s">
        <v>663</v>
      </c>
      <c r="K218" s="27" t="s">
        <v>201</v>
      </c>
      <c r="L218" s="22" t="s">
        <v>663</v>
      </c>
      <c r="M218" s="23" t="s">
        <v>209</v>
      </c>
      <c r="N218" s="23" t="s">
        <v>664</v>
      </c>
      <c r="O218" s="24"/>
      <c r="P218" s="24"/>
      <c r="Q218" s="24"/>
      <c r="R218" s="70"/>
      <c r="S218" s="70"/>
    </row>
    <row r="219" spans="1:21">
      <c r="A219" s="21" t="n">
        <v>216</v>
      </c>
      <c r="B219" s="21">
        <f>E219</f>
        <v>0</v>
      </c>
      <c r="C219" s="21" t="str">
        <f>F219</f>
        <v>19870917 201101 2 013</v>
      </c>
      <c r="D219" s="22" t="s">
        <v>665</v>
      </c>
      <c r="E219" s="22"/>
      <c r="F219" s="21" t="s">
        <v>666</v>
      </c>
      <c r="G219" s="21" t="s">
        <v>24</v>
      </c>
      <c r="H219" s="21" t="s">
        <v>25</v>
      </c>
      <c r="I219" s="21" t="s">
        <v>659</v>
      </c>
      <c r="J219" s="22" t="s">
        <v>663</v>
      </c>
      <c r="K219" s="27" t="s">
        <v>201</v>
      </c>
      <c r="L219" s="22" t="s">
        <v>663</v>
      </c>
      <c r="M219" s="23" t="s">
        <v>209</v>
      </c>
      <c r="N219" s="29" t="s">
        <v>667</v>
      </c>
      <c r="O219" s="24"/>
      <c r="P219" s="24"/>
      <c r="Q219" s="24"/>
      <c r="R219" s="25"/>
      <c r="S219" s="25"/>
      <c r="T219" s="56"/>
      <c r="U219" s="56"/>
    </row>
    <row r="220" spans="1:21">
      <c r="A220" s="21" t="n">
        <v>217</v>
      </c>
      <c r="B220" s="21">
        <f>E220</f>
        <v>0</v>
      </c>
      <c r="C220" s="21" t="str">
        <f>F220</f>
        <v>19810627 200801 2 020</v>
      </c>
      <c r="D220" s="22" t="s">
        <v>668</v>
      </c>
      <c r="E220" s="22"/>
      <c r="F220" s="21" t="s">
        <v>669</v>
      </c>
      <c r="G220" s="21" t="s">
        <v>24</v>
      </c>
      <c r="H220" s="21" t="s">
        <v>25</v>
      </c>
      <c r="I220" s="21" t="s">
        <v>627</v>
      </c>
      <c r="J220" s="22" t="s">
        <v>457</v>
      </c>
      <c r="K220" s="27" t="s">
        <v>201</v>
      </c>
      <c r="L220" s="22" t="s">
        <v>457</v>
      </c>
      <c r="M220" s="23" t="s">
        <v>209</v>
      </c>
      <c r="N220" s="29" t="s">
        <v>461</v>
      </c>
      <c r="O220" s="24"/>
      <c r="P220" s="24"/>
      <c r="Q220" s="24"/>
      <c r="R220" s="25"/>
      <c r="S220" s="25"/>
      <c r="T220" s="56"/>
      <c r="U220" s="56"/>
    </row>
    <row r="221" spans="1:21">
      <c r="A221" s="21" t="n">
        <v>218</v>
      </c>
      <c r="B221" s="21">
        <f>E221</f>
        <v>0</v>
      </c>
      <c r="C221" s="21" t="str">
        <f>F221</f>
        <v>19750812 200801 1 015</v>
      </c>
      <c r="D221" s="22" t="s">
        <v>670</v>
      </c>
      <c r="E221" s="22"/>
      <c r="F221" s="21" t="s">
        <v>671</v>
      </c>
      <c r="G221" s="21" t="s">
        <v>33</v>
      </c>
      <c r="H221" s="21" t="s">
        <v>25</v>
      </c>
      <c r="I221" s="21" t="s">
        <v>659</v>
      </c>
      <c r="J221" s="22" t="s">
        <v>672</v>
      </c>
      <c r="K221" s="22" t="s">
        <v>28</v>
      </c>
      <c r="L221" s="25" t="s">
        <v>673</v>
      </c>
      <c r="M221" s="23" t="s">
        <v>157</v>
      </c>
      <c r="N221" s="23" t="s">
        <v>103</v>
      </c>
      <c r="O221" s="24"/>
      <c r="P221" s="24"/>
      <c r="Q221" s="24"/>
      <c r="R221" s="25"/>
      <c r="S221" s="25"/>
      <c r="T221" s="56"/>
      <c r="U221" s="56"/>
    </row>
    <row r="222" spans="1:21">
      <c r="A222" s="21" t="n">
        <v>219</v>
      </c>
      <c r="B222" s="21">
        <f>E222</f>
        <v>0</v>
      </c>
      <c r="C222" s="21" t="str">
        <f>F222</f>
        <v>19820226 200801 2 017</v>
      </c>
      <c r="D222" s="22" t="s">
        <v>674</v>
      </c>
      <c r="E222" s="22"/>
      <c r="F222" s="21" t="s">
        <v>675</v>
      </c>
      <c r="G222" s="21" t="s">
        <v>24</v>
      </c>
      <c r="H222" s="21" t="s">
        <v>25</v>
      </c>
      <c r="I222" s="32" t="s">
        <v>627</v>
      </c>
      <c r="J222" s="22" t="s">
        <v>392</v>
      </c>
      <c r="K222" s="22" t="s">
        <v>28</v>
      </c>
      <c r="L222" s="25" t="s">
        <v>676</v>
      </c>
      <c r="M222" s="23" t="s">
        <v>157</v>
      </c>
      <c r="N222" s="23" t="s">
        <v>168</v>
      </c>
      <c r="O222" s="24"/>
      <c r="P222" s="24"/>
      <c r="Q222" s="24"/>
      <c r="R222" s="25"/>
      <c r="S222" s="25"/>
      <c r="T222" s="56"/>
      <c r="U222" s="56"/>
    </row>
    <row r="223" spans="1:21">
      <c r="A223" s="21" t="n">
        <v>220</v>
      </c>
      <c r="B223" s="21">
        <f>E223</f>
        <v>0</v>
      </c>
      <c r="C223" s="21" t="str">
        <f>F223</f>
        <v>19841022 201502 1 001</v>
      </c>
      <c r="D223" s="22" t="s">
        <v>677</v>
      </c>
      <c r="E223" s="22"/>
      <c r="F223" s="21" t="s">
        <v>678</v>
      </c>
      <c r="G223" s="21" t="s">
        <v>33</v>
      </c>
      <c r="H223" s="21" t="s">
        <v>25</v>
      </c>
      <c r="I223" s="21" t="s">
        <v>627</v>
      </c>
      <c r="J223" s="23" t="s">
        <v>508</v>
      </c>
      <c r="K223" s="27" t="s">
        <v>96</v>
      </c>
      <c r="L223" s="22" t="s">
        <v>508</v>
      </c>
      <c r="M223" s="23" t="s">
        <v>181</v>
      </c>
      <c r="N223" s="23" t="s">
        <v>168</v>
      </c>
      <c r="O223" s="24"/>
      <c r="P223" s="24"/>
      <c r="Q223" s="24"/>
      <c r="R223" s="25"/>
      <c r="S223" s="25"/>
      <c r="T223" s="56"/>
      <c r="U223" s="56"/>
    </row>
    <row r="224" spans="1:21">
      <c r="A224" s="21" t="n">
        <v>221</v>
      </c>
      <c r="B224" s="21">
        <f>E224</f>
        <v>0</v>
      </c>
      <c r="C224" s="21" t="str">
        <f>F224</f>
        <v>19710531 200801 1 005</v>
      </c>
      <c r="D224" s="22" t="s">
        <v>679</v>
      </c>
      <c r="E224" s="22"/>
      <c r="F224" s="21" t="s">
        <v>680</v>
      </c>
      <c r="G224" s="21" t="s">
        <v>33</v>
      </c>
      <c r="H224" s="21" t="s">
        <v>25</v>
      </c>
      <c r="I224" s="21" t="s">
        <v>659</v>
      </c>
      <c r="J224" s="22" t="s">
        <v>502</v>
      </c>
      <c r="K224" s="22" t="s">
        <v>28</v>
      </c>
      <c r="L224" s="25" t="s">
        <v>673</v>
      </c>
      <c r="M224" s="23" t="s">
        <v>157</v>
      </c>
      <c r="N224" s="23" t="s">
        <v>523</v>
      </c>
      <c r="O224" s="24"/>
      <c r="P224" s="24"/>
      <c r="Q224" s="24"/>
      <c r="R224" s="25"/>
      <c r="S224" s="25"/>
      <c r="T224" s="56"/>
      <c r="U224" s="56"/>
    </row>
    <row r="225" spans="1:21">
      <c r="A225" s="21" t="n">
        <v>222</v>
      </c>
      <c r="B225" s="21">
        <f>E225</f>
        <v>0</v>
      </c>
      <c r="C225" s="21" t="str">
        <f>F225</f>
        <v>19811004 200903 1 001</v>
      </c>
      <c r="D225" s="22" t="s">
        <v>681</v>
      </c>
      <c r="E225" s="22"/>
      <c r="F225" s="21" t="s">
        <v>682</v>
      </c>
      <c r="G225" s="21" t="s">
        <v>33</v>
      </c>
      <c r="H225" s="21" t="s">
        <v>25</v>
      </c>
      <c r="I225" s="32" t="s">
        <v>627</v>
      </c>
      <c r="J225" s="22" t="s">
        <v>467</v>
      </c>
      <c r="K225" s="22" t="s">
        <v>28</v>
      </c>
      <c r="L225" s="25" t="s">
        <v>676</v>
      </c>
      <c r="M225" s="23" t="s">
        <v>157</v>
      </c>
      <c r="N225" s="23" t="s">
        <v>122</v>
      </c>
      <c r="O225" s="24"/>
      <c r="P225" s="24"/>
      <c r="Q225" s="24"/>
      <c r="R225" s="25"/>
      <c r="S225" s="25"/>
      <c r="T225" s="56"/>
      <c r="U225" s="56"/>
    </row>
    <row r="226" spans="1:21">
      <c r="A226" s="21" t="n">
        <v>223</v>
      </c>
      <c r="B226" s="21">
        <f>E226</f>
        <v>0</v>
      </c>
      <c r="C226" s="21" t="str">
        <f>F226</f>
        <v>19780827 200903 2 001</v>
      </c>
      <c r="D226" s="22" t="s">
        <v>683</v>
      </c>
      <c r="E226" s="22"/>
      <c r="F226" s="21" t="s">
        <v>684</v>
      </c>
      <c r="G226" s="21" t="s">
        <v>24</v>
      </c>
      <c r="H226" s="21" t="s">
        <v>25</v>
      </c>
      <c r="I226" s="32" t="s">
        <v>627</v>
      </c>
      <c r="J226" s="22" t="s">
        <v>296</v>
      </c>
      <c r="K226" s="22" t="s">
        <v>28</v>
      </c>
      <c r="L226" s="25" t="s">
        <v>673</v>
      </c>
      <c r="M226" s="23" t="s">
        <v>157</v>
      </c>
      <c r="N226" s="23" t="s">
        <v>103</v>
      </c>
      <c r="O226" s="24"/>
      <c r="P226" s="24"/>
      <c r="Q226" s="24"/>
      <c r="R226" s="25"/>
      <c r="S226" s="25"/>
      <c r="T226" s="56"/>
      <c r="U226" s="56"/>
    </row>
    <row r="227" spans="1:21">
      <c r="A227" s="21" t="n">
        <v>224</v>
      </c>
      <c r="B227" s="21">
        <f>E227</f>
        <v>0</v>
      </c>
      <c r="C227" s="21" t="str">
        <f>F227</f>
        <v>19780812 200903 2 001</v>
      </c>
      <c r="D227" s="22" t="s">
        <v>685</v>
      </c>
      <c r="E227" s="22"/>
      <c r="F227" s="21" t="s">
        <v>686</v>
      </c>
      <c r="G227" s="21" t="s">
        <v>24</v>
      </c>
      <c r="H227" s="21" t="s">
        <v>25</v>
      </c>
      <c r="I227" s="32" t="s">
        <v>627</v>
      </c>
      <c r="J227" s="22" t="s">
        <v>392</v>
      </c>
      <c r="K227" s="22" t="s">
        <v>28</v>
      </c>
      <c r="L227" s="25" t="s">
        <v>676</v>
      </c>
      <c r="M227" s="23" t="s">
        <v>157</v>
      </c>
      <c r="N227" s="23" t="s">
        <v>168</v>
      </c>
      <c r="O227" s="24"/>
      <c r="P227" s="24"/>
      <c r="Q227" s="24"/>
      <c r="R227" s="25"/>
      <c r="S227" s="25"/>
      <c r="T227" s="56"/>
      <c r="U227" s="56"/>
    </row>
    <row r="228" spans="1:21">
      <c r="A228" s="21" t="n">
        <v>225</v>
      </c>
      <c r="B228" s="21">
        <f>E228</f>
        <v>0</v>
      </c>
      <c r="C228" s="21" t="str">
        <f>F228</f>
        <v>19790402 200903 2 001</v>
      </c>
      <c r="D228" s="22" t="s">
        <v>687</v>
      </c>
      <c r="E228" s="22"/>
      <c r="F228" s="21" t="s">
        <v>688</v>
      </c>
      <c r="G228" s="21" t="s">
        <v>24</v>
      </c>
      <c r="H228" s="21" t="s">
        <v>25</v>
      </c>
      <c r="I228" s="32" t="s">
        <v>627</v>
      </c>
      <c r="J228" s="22" t="s">
        <v>689</v>
      </c>
      <c r="K228" s="22" t="s">
        <v>28</v>
      </c>
      <c r="L228" s="25" t="s">
        <v>673</v>
      </c>
      <c r="M228" s="23" t="s">
        <v>157</v>
      </c>
      <c r="N228" s="23" t="s">
        <v>112</v>
      </c>
      <c r="O228" s="24"/>
      <c r="P228" s="24"/>
      <c r="Q228" s="24"/>
      <c r="R228" s="25"/>
      <c r="S228" s="25"/>
      <c r="T228" s="56"/>
      <c r="U228" s="56"/>
    </row>
    <row r="229" spans="1:21">
      <c r="A229" s="21" t="n">
        <v>226</v>
      </c>
      <c r="B229" s="21">
        <f>E229</f>
        <v>0</v>
      </c>
      <c r="C229" s="21" t="str">
        <f>F229</f>
        <v>19730314 200801 2 008</v>
      </c>
      <c r="D229" s="22" t="s">
        <v>690</v>
      </c>
      <c r="E229" s="22"/>
      <c r="F229" s="21" t="s">
        <v>691</v>
      </c>
      <c r="G229" s="21" t="s">
        <v>24</v>
      </c>
      <c r="H229" s="21" t="s">
        <v>25</v>
      </c>
      <c r="I229" s="21" t="s">
        <v>659</v>
      </c>
      <c r="J229" s="23" t="s">
        <v>499</v>
      </c>
      <c r="K229" s="22" t="s">
        <v>28</v>
      </c>
      <c r="L229" s="25" t="s">
        <v>673</v>
      </c>
      <c r="M229" s="23" t="s">
        <v>157</v>
      </c>
      <c r="N229" s="23" t="s">
        <v>92</v>
      </c>
      <c r="O229" s="24"/>
      <c r="P229" s="24"/>
      <c r="Q229" s="24"/>
      <c r="R229" s="25"/>
      <c r="S229" s="25"/>
      <c r="T229" s="56"/>
      <c r="U229" s="56"/>
    </row>
    <row r="230" spans="1:21">
      <c r="A230" s="21" t="n">
        <v>227</v>
      </c>
      <c r="B230" s="21">
        <f>E230</f>
        <v>0</v>
      </c>
      <c r="C230" s="21" t="str">
        <f>F230</f>
        <v>19710502 199703 1 004</v>
      </c>
      <c r="D230" s="22" t="s">
        <v>692</v>
      </c>
      <c r="E230" s="22"/>
      <c r="F230" s="21" t="s">
        <v>693</v>
      </c>
      <c r="G230" s="21" t="s">
        <v>33</v>
      </c>
      <c r="H230" s="21" t="s">
        <v>25</v>
      </c>
      <c r="I230" s="21" t="s">
        <v>659</v>
      </c>
      <c r="J230" s="31" t="s">
        <v>694</v>
      </c>
      <c r="K230" s="27" t="s">
        <v>96</v>
      </c>
      <c r="L230" s="27" t="s">
        <v>695</v>
      </c>
      <c r="M230" s="23" t="s">
        <v>157</v>
      </c>
      <c r="N230" s="23" t="s">
        <v>696</v>
      </c>
      <c r="O230" s="24"/>
      <c r="P230" s="24"/>
      <c r="Q230" s="24"/>
      <c r="R230" s="25"/>
      <c r="S230" s="25"/>
      <c r="T230" s="56"/>
      <c r="U230" s="56"/>
    </row>
    <row r="231" spans="1:21">
      <c r="A231" s="21" t="n">
        <v>228</v>
      </c>
      <c r="B231" s="21">
        <f>E231</f>
        <v>0</v>
      </c>
      <c r="C231" s="21" t="str">
        <f>F231</f>
        <v>19810906 201001 2 001</v>
      </c>
      <c r="D231" s="22" t="s">
        <v>697</v>
      </c>
      <c r="E231" s="22"/>
      <c r="F231" s="21" t="s">
        <v>698</v>
      </c>
      <c r="G231" s="21" t="s">
        <v>24</v>
      </c>
      <c r="H231" s="21" t="s">
        <v>25</v>
      </c>
      <c r="I231" s="21" t="s">
        <v>699</v>
      </c>
      <c r="J231" s="22" t="s">
        <v>392</v>
      </c>
      <c r="K231" s="22" t="s">
        <v>28</v>
      </c>
      <c r="L231" s="25" t="s">
        <v>676</v>
      </c>
      <c r="M231" s="23" t="s">
        <v>157</v>
      </c>
      <c r="N231" s="23" t="s">
        <v>235</v>
      </c>
      <c r="O231" s="24"/>
      <c r="P231" s="24"/>
      <c r="Q231" s="24"/>
      <c r="R231" s="25"/>
      <c r="S231" s="25"/>
      <c r="T231" s="56"/>
      <c r="U231" s="56"/>
    </row>
    <row r="232" spans="1:21">
      <c r="A232" s="21" t="n">
        <v>229</v>
      </c>
      <c r="B232" s="21">
        <f>E232</f>
        <v>0</v>
      </c>
      <c r="C232" s="21" t="str">
        <f>F232</f>
        <v>19810403 201001 2 001</v>
      </c>
      <c r="D232" s="22" t="s">
        <v>700</v>
      </c>
      <c r="E232" s="22"/>
      <c r="F232" s="21" t="s">
        <v>701</v>
      </c>
      <c r="G232" s="21" t="s">
        <v>24</v>
      </c>
      <c r="H232" s="21" t="s">
        <v>25</v>
      </c>
      <c r="I232" s="21" t="s">
        <v>699</v>
      </c>
      <c r="J232" s="22" t="s">
        <v>392</v>
      </c>
      <c r="K232" s="22" t="s">
        <v>28</v>
      </c>
      <c r="L232" s="25" t="s">
        <v>673</v>
      </c>
      <c r="M232" s="23" t="s">
        <v>40</v>
      </c>
      <c r="N232" s="23" t="s">
        <v>57</v>
      </c>
      <c r="O232" s="24"/>
      <c r="P232" s="24"/>
      <c r="Q232" s="24"/>
      <c r="R232" s="25"/>
      <c r="S232" s="25"/>
      <c r="T232" s="56"/>
      <c r="U232" s="56"/>
    </row>
    <row r="233" spans="1:21">
      <c r="A233" s="21" t="n">
        <v>230</v>
      </c>
      <c r="B233" s="21">
        <f>E233</f>
        <v>0</v>
      </c>
      <c r="C233" s="21" t="str">
        <f>F233</f>
        <v>19780705 201001 2 002</v>
      </c>
      <c r="D233" s="22" t="s">
        <v>702</v>
      </c>
      <c r="E233" s="22"/>
      <c r="F233" s="21" t="s">
        <v>703</v>
      </c>
      <c r="G233" s="21" t="s">
        <v>24</v>
      </c>
      <c r="H233" s="21" t="s">
        <v>25</v>
      </c>
      <c r="I233" s="21" t="s">
        <v>699</v>
      </c>
      <c r="J233" s="22" t="s">
        <v>392</v>
      </c>
      <c r="K233" s="22" t="s">
        <v>28</v>
      </c>
      <c r="L233" s="25" t="s">
        <v>676</v>
      </c>
      <c r="M233" s="23" t="s">
        <v>157</v>
      </c>
      <c r="N233" s="23" t="s">
        <v>168</v>
      </c>
      <c r="O233" s="24"/>
      <c r="P233" s="24"/>
      <c r="Q233" s="24"/>
      <c r="R233" s="25"/>
      <c r="S233" s="25"/>
      <c r="T233" s="56"/>
      <c r="U233" s="56"/>
    </row>
    <row r="234" spans="1:21">
      <c r="A234" s="21" t="n">
        <v>231</v>
      </c>
      <c r="B234" s="21">
        <f>E234</f>
        <v>0</v>
      </c>
      <c r="C234" s="21" t="str">
        <f>F234</f>
        <v>19820129 201001 1 001</v>
      </c>
      <c r="D234" s="22" t="s">
        <v>704</v>
      </c>
      <c r="E234" s="22"/>
      <c r="F234" s="21" t="s">
        <v>705</v>
      </c>
      <c r="G234" s="21" t="s">
        <v>33</v>
      </c>
      <c r="H234" s="21" t="s">
        <v>25</v>
      </c>
      <c r="I234" s="21" t="s">
        <v>659</v>
      </c>
      <c r="J234" s="22" t="s">
        <v>267</v>
      </c>
      <c r="K234" s="22" t="s">
        <v>28</v>
      </c>
      <c r="L234" s="25" t="s">
        <v>676</v>
      </c>
      <c r="M234" s="23" t="s">
        <v>157</v>
      </c>
      <c r="N234" s="23" t="s">
        <v>268</v>
      </c>
      <c r="O234" s="24"/>
      <c r="P234" s="24"/>
      <c r="Q234" s="24"/>
      <c r="R234" s="25"/>
      <c r="S234" s="25"/>
      <c r="T234" s="56"/>
      <c r="U234" s="56"/>
    </row>
    <row r="235" spans="1:21">
      <c r="A235" s="21" t="n">
        <v>232</v>
      </c>
      <c r="B235" s="21">
        <f>E235</f>
        <v>0</v>
      </c>
      <c r="C235" s="21" t="str">
        <f>F235</f>
        <v>19820505 201001 2 001</v>
      </c>
      <c r="D235" s="22" t="s">
        <v>706</v>
      </c>
      <c r="E235" s="22"/>
      <c r="F235" s="21" t="s">
        <v>707</v>
      </c>
      <c r="G235" s="21" t="s">
        <v>24</v>
      </c>
      <c r="H235" s="21" t="s">
        <v>25</v>
      </c>
      <c r="I235" s="21" t="s">
        <v>659</v>
      </c>
      <c r="J235" s="22" t="s">
        <v>392</v>
      </c>
      <c r="K235" s="22" t="s">
        <v>28</v>
      </c>
      <c r="L235" s="25" t="s">
        <v>676</v>
      </c>
      <c r="M235" s="23" t="s">
        <v>157</v>
      </c>
      <c r="N235" s="23" t="s">
        <v>278</v>
      </c>
      <c r="O235" s="24"/>
      <c r="P235" s="24"/>
      <c r="Q235" s="24"/>
      <c r="R235" s="25"/>
      <c r="S235" s="25"/>
      <c r="T235" s="56"/>
      <c r="U235" s="56"/>
    </row>
    <row r="236" spans="1:21">
      <c r="A236" s="21" t="n">
        <v>233</v>
      </c>
      <c r="B236" s="21">
        <f>E236</f>
        <v>0</v>
      </c>
      <c r="C236" s="21" t="str">
        <f>F236</f>
        <v>19780403 201001 2 004</v>
      </c>
      <c r="D236" s="22" t="s">
        <v>708</v>
      </c>
      <c r="E236" s="22"/>
      <c r="F236" s="21" t="s">
        <v>709</v>
      </c>
      <c r="G236" s="21" t="s">
        <v>24</v>
      </c>
      <c r="H236" s="21" t="s">
        <v>25</v>
      </c>
      <c r="I236" s="21" t="s">
        <v>699</v>
      </c>
      <c r="J236" s="22" t="s">
        <v>467</v>
      </c>
      <c r="K236" s="22" t="s">
        <v>28</v>
      </c>
      <c r="L236" s="25" t="s">
        <v>676</v>
      </c>
      <c r="M236" s="23" t="s">
        <v>157</v>
      </c>
      <c r="N236" s="23" t="s">
        <v>458</v>
      </c>
      <c r="O236" s="24"/>
      <c r="P236" s="24"/>
      <c r="Q236" s="24"/>
      <c r="R236" s="25"/>
      <c r="S236" s="25"/>
      <c r="T236" s="56"/>
      <c r="U236" s="56"/>
    </row>
    <row r="237" spans="1:21">
      <c r="A237" s="21" t="n">
        <v>234</v>
      </c>
      <c r="B237" s="21">
        <f>E237</f>
        <v>0</v>
      </c>
      <c r="C237" s="21" t="str">
        <f>F237</f>
        <v>19800502 201001 2 003</v>
      </c>
      <c r="D237" s="22" t="s">
        <v>710</v>
      </c>
      <c r="E237" s="22"/>
      <c r="F237" s="21" t="s">
        <v>711</v>
      </c>
      <c r="G237" s="21" t="s">
        <v>24</v>
      </c>
      <c r="H237" s="21" t="s">
        <v>25</v>
      </c>
      <c r="I237" s="21" t="s">
        <v>699</v>
      </c>
      <c r="J237" s="22" t="s">
        <v>392</v>
      </c>
      <c r="K237" s="22" t="s">
        <v>28</v>
      </c>
      <c r="L237" s="25" t="s">
        <v>676</v>
      </c>
      <c r="M237" s="23" t="s">
        <v>157</v>
      </c>
      <c r="N237" s="23" t="s">
        <v>461</v>
      </c>
      <c r="O237" s="24"/>
      <c r="P237" s="24"/>
      <c r="Q237" s="24"/>
      <c r="R237" s="25"/>
      <c r="S237" s="25"/>
      <c r="T237" s="56"/>
      <c r="U237" s="56"/>
    </row>
    <row r="238" spans="1:21">
      <c r="A238" s="21" t="n">
        <v>235</v>
      </c>
      <c r="B238" s="21">
        <f>E238</f>
        <v>0</v>
      </c>
      <c r="C238" s="21" t="str">
        <f>F238</f>
        <v>19830516 201001 2 001</v>
      </c>
      <c r="D238" s="22" t="s">
        <v>712</v>
      </c>
      <c r="E238" s="22"/>
      <c r="F238" s="21" t="s">
        <v>713</v>
      </c>
      <c r="G238" s="21" t="s">
        <v>24</v>
      </c>
      <c r="H238" s="21" t="s">
        <v>25</v>
      </c>
      <c r="I238" s="21" t="s">
        <v>699</v>
      </c>
      <c r="J238" s="22" t="s">
        <v>392</v>
      </c>
      <c r="K238" s="22" t="s">
        <v>28</v>
      </c>
      <c r="L238" s="25" t="s">
        <v>676</v>
      </c>
      <c r="M238" s="23" t="s">
        <v>127</v>
      </c>
      <c r="N238" s="23" t="s">
        <v>173</v>
      </c>
      <c r="O238" s="24"/>
      <c r="P238" s="24"/>
      <c r="Q238" s="24"/>
      <c r="R238" s="25"/>
      <c r="S238" s="25"/>
      <c r="T238" s="56"/>
      <c r="U238" s="56"/>
    </row>
    <row r="239" spans="1:21">
      <c r="A239" s="21" t="n">
        <v>236</v>
      </c>
      <c r="B239" s="21">
        <f>E239</f>
        <v>0</v>
      </c>
      <c r="C239" s="21" t="str">
        <f>F239</f>
        <v>19790215 201001 2 001</v>
      </c>
      <c r="D239" s="22" t="s">
        <v>714</v>
      </c>
      <c r="E239" s="22"/>
      <c r="F239" s="21" t="s">
        <v>715</v>
      </c>
      <c r="G239" s="21" t="s">
        <v>24</v>
      </c>
      <c r="H239" s="21" t="s">
        <v>25</v>
      </c>
      <c r="I239" s="21" t="s">
        <v>699</v>
      </c>
      <c r="J239" s="23" t="s">
        <v>499</v>
      </c>
      <c r="K239" s="22" t="s">
        <v>28</v>
      </c>
      <c r="L239" s="25" t="s">
        <v>676</v>
      </c>
      <c r="M239" s="23" t="s">
        <v>157</v>
      </c>
      <c r="N239" s="23" t="s">
        <v>92</v>
      </c>
      <c r="O239" s="24"/>
      <c r="P239" s="24"/>
      <c r="Q239" s="24"/>
      <c r="R239" s="25"/>
      <c r="S239" s="25"/>
      <c r="T239" s="56"/>
      <c r="U239" s="56"/>
    </row>
    <row r="240" spans="1:21">
      <c r="A240" s="21" t="n">
        <v>237</v>
      </c>
      <c r="B240" s="21">
        <f>E240</f>
        <v>0</v>
      </c>
      <c r="C240" s="21" t="str">
        <f>F240</f>
        <v>19680603 200701 2 023</v>
      </c>
      <c r="D240" s="22" t="s">
        <v>716</v>
      </c>
      <c r="E240" s="22"/>
      <c r="F240" s="21" t="s">
        <v>717</v>
      </c>
      <c r="G240" s="21" t="s">
        <v>24</v>
      </c>
      <c r="H240" s="21" t="s">
        <v>25</v>
      </c>
      <c r="I240" s="21" t="s">
        <v>659</v>
      </c>
      <c r="J240" s="22" t="s">
        <v>296</v>
      </c>
      <c r="K240" s="22" t="s">
        <v>28</v>
      </c>
      <c r="L240" s="25" t="s">
        <v>673</v>
      </c>
      <c r="M240" s="23" t="s">
        <v>157</v>
      </c>
      <c r="N240" s="23" t="s">
        <v>103</v>
      </c>
      <c r="O240" s="24"/>
      <c r="P240" s="24"/>
      <c r="Q240" s="24"/>
      <c r="R240" s="25"/>
      <c r="S240" s="25"/>
      <c r="T240" s="56"/>
      <c r="U240" s="56"/>
    </row>
    <row r="241" spans="1:21">
      <c r="A241" s="21" t="n">
        <v>238</v>
      </c>
      <c r="B241" s="21">
        <f>E241</f>
        <v>0</v>
      </c>
      <c r="C241" s="21" t="str">
        <f>F241</f>
        <v>19730301 200701 2 013</v>
      </c>
      <c r="D241" s="22" t="s">
        <v>718</v>
      </c>
      <c r="E241" s="22"/>
      <c r="F241" s="21" t="s">
        <v>719</v>
      </c>
      <c r="G241" s="21" t="s">
        <v>24</v>
      </c>
      <c r="H241" s="21" t="s">
        <v>25</v>
      </c>
      <c r="I241" s="21" t="s">
        <v>659</v>
      </c>
      <c r="J241" s="23" t="s">
        <v>499</v>
      </c>
      <c r="K241" s="22" t="s">
        <v>28</v>
      </c>
      <c r="L241" s="25" t="s">
        <v>673</v>
      </c>
      <c r="M241" s="23" t="s">
        <v>157</v>
      </c>
      <c r="N241" s="23" t="s">
        <v>92</v>
      </c>
      <c r="O241" s="24"/>
      <c r="P241" s="24"/>
      <c r="Q241" s="24"/>
      <c r="R241" s="25"/>
      <c r="S241" s="25"/>
      <c r="T241" s="56"/>
      <c r="U241" s="56"/>
    </row>
    <row r="242" spans="1:21">
      <c r="A242" s="21" t="n">
        <v>239</v>
      </c>
      <c r="B242" s="21">
        <f>E242</f>
        <v>0</v>
      </c>
      <c r="C242" s="21" t="str">
        <f>F242</f>
        <v>19701107 200701 1 022</v>
      </c>
      <c r="D242" s="22" t="s">
        <v>720</v>
      </c>
      <c r="E242" s="22"/>
      <c r="F242" s="21" t="s">
        <v>721</v>
      </c>
      <c r="G242" s="21" t="s">
        <v>33</v>
      </c>
      <c r="H242" s="21" t="s">
        <v>25</v>
      </c>
      <c r="I242" s="21" t="s">
        <v>659</v>
      </c>
      <c r="J242" s="22" t="s">
        <v>672</v>
      </c>
      <c r="K242" s="22" t="s">
        <v>28</v>
      </c>
      <c r="L242" s="25" t="s">
        <v>673</v>
      </c>
      <c r="M242" s="23" t="s">
        <v>157</v>
      </c>
      <c r="N242" s="23" t="s">
        <v>128</v>
      </c>
      <c r="O242" s="24"/>
      <c r="P242" s="24"/>
      <c r="Q242" s="24"/>
      <c r="R242" s="25"/>
      <c r="S242" s="25"/>
      <c r="T242" s="56"/>
      <c r="U242" s="56"/>
    </row>
    <row r="243" spans="1:21">
      <c r="A243" s="21" t="n">
        <v>240</v>
      </c>
      <c r="B243" s="21">
        <f>E243</f>
        <v>0</v>
      </c>
      <c r="C243" s="21" t="str">
        <f>F243</f>
        <v>19900820 202012 2 018</v>
      </c>
      <c r="D243" s="22" t="s">
        <v>722</v>
      </c>
      <c r="E243" s="22"/>
      <c r="F243" s="21" t="s">
        <v>723</v>
      </c>
      <c r="G243" s="21" t="s">
        <v>24</v>
      </c>
      <c r="H243" s="21" t="s">
        <v>25</v>
      </c>
      <c r="I243" s="21" t="s">
        <v>699</v>
      </c>
      <c r="J243" s="23" t="s">
        <v>724</v>
      </c>
      <c r="K243" s="27" t="s">
        <v>96</v>
      </c>
      <c r="L243" s="22" t="s">
        <v>724</v>
      </c>
      <c r="M243" s="23" t="s">
        <v>181</v>
      </c>
      <c r="N243" s="23" t="s">
        <v>158</v>
      </c>
      <c r="O243" s="24"/>
      <c r="P243" s="24"/>
      <c r="Q243" s="24"/>
      <c r="R243" s="25"/>
      <c r="S243" s="25"/>
      <c r="T243" s="56"/>
      <c r="U243" s="56"/>
    </row>
    <row r="244" spans="1:21">
      <c r="A244" s="21" t="n">
        <v>241</v>
      </c>
      <c r="B244" s="21">
        <f>E244</f>
        <v>0</v>
      </c>
      <c r="C244" s="21" t="str">
        <f>F244</f>
        <v>19850103 202012 2 008</v>
      </c>
      <c r="D244" s="22" t="s">
        <v>725</v>
      </c>
      <c r="E244" s="22"/>
      <c r="F244" s="21" t="s">
        <v>726</v>
      </c>
      <c r="G244" s="21" t="s">
        <v>24</v>
      </c>
      <c r="H244" s="21" t="s">
        <v>25</v>
      </c>
      <c r="I244" s="21" t="s">
        <v>699</v>
      </c>
      <c r="J244" s="23" t="s">
        <v>660</v>
      </c>
      <c r="K244" s="22" t="s">
        <v>132</v>
      </c>
      <c r="L244" s="23" t="s">
        <v>660</v>
      </c>
      <c r="M244" s="23" t="s">
        <v>444</v>
      </c>
      <c r="N244" s="23" t="s">
        <v>173</v>
      </c>
      <c r="O244" s="24"/>
      <c r="P244" s="24"/>
      <c r="Q244" s="24"/>
      <c r="R244" s="25"/>
      <c r="S244" s="25"/>
      <c r="T244" s="56"/>
      <c r="U244" s="56"/>
    </row>
    <row r="245" spans="1:21">
      <c r="A245" s="21" t="n">
        <v>242</v>
      </c>
      <c r="B245" s="21">
        <f>E245</f>
        <v>0</v>
      </c>
      <c r="C245" s="21" t="str">
        <f>F245</f>
        <v>19951106 202012 2 023</v>
      </c>
      <c r="D245" s="22" t="s">
        <v>727</v>
      </c>
      <c r="E245" s="22"/>
      <c r="F245" s="21" t="s">
        <v>728</v>
      </c>
      <c r="G245" s="21" t="s">
        <v>24</v>
      </c>
      <c r="H245" s="21" t="s">
        <v>25</v>
      </c>
      <c r="I245" s="21" t="s">
        <v>699</v>
      </c>
      <c r="J245" s="23" t="s">
        <v>724</v>
      </c>
      <c r="K245" s="27" t="s">
        <v>96</v>
      </c>
      <c r="L245" s="22" t="s">
        <v>724</v>
      </c>
      <c r="M245" s="23" t="s">
        <v>181</v>
      </c>
      <c r="N245" s="23" t="s">
        <v>168</v>
      </c>
      <c r="O245" s="24"/>
      <c r="P245" s="24"/>
      <c r="Q245" s="24"/>
      <c r="R245" s="25"/>
      <c r="S245" s="25"/>
      <c r="T245" s="56"/>
      <c r="U245" s="56"/>
    </row>
    <row r="246" spans="1:21">
      <c r="A246" s="21" t="n">
        <v>243</v>
      </c>
      <c r="B246" s="21">
        <f>E246</f>
        <v>0</v>
      </c>
      <c r="C246" s="21" t="str">
        <f>F246</f>
        <v>19930505 202012 2 026</v>
      </c>
      <c r="D246" s="22" t="s">
        <v>729</v>
      </c>
      <c r="E246" s="22"/>
      <c r="F246" s="21" t="s">
        <v>730</v>
      </c>
      <c r="G246" s="21" t="s">
        <v>33</v>
      </c>
      <c r="H246" s="21" t="s">
        <v>25</v>
      </c>
      <c r="I246" s="21" t="s">
        <v>699</v>
      </c>
      <c r="J246" s="23" t="s">
        <v>724</v>
      </c>
      <c r="K246" s="27" t="s">
        <v>96</v>
      </c>
      <c r="L246" s="22" t="s">
        <v>724</v>
      </c>
      <c r="M246" s="23" t="s">
        <v>181</v>
      </c>
      <c r="N246" s="23" t="s">
        <v>97</v>
      </c>
      <c r="O246" s="24"/>
      <c r="P246" s="24"/>
      <c r="Q246" s="24"/>
      <c r="R246" s="25"/>
      <c r="S246" s="25"/>
      <c r="T246" s="56"/>
      <c r="U246" s="56"/>
    </row>
    <row r="247" spans="1:21">
      <c r="A247" s="21" t="n">
        <v>244</v>
      </c>
      <c r="B247" s="21">
        <f>E247</f>
        <v>0</v>
      </c>
      <c r="C247" s="21" t="str">
        <f>F247</f>
        <v>19890317 202012 2 014</v>
      </c>
      <c r="D247" s="22" t="s">
        <v>731</v>
      </c>
      <c r="E247" s="22"/>
      <c r="F247" s="21" t="s">
        <v>732</v>
      </c>
      <c r="G247" s="21" t="s">
        <v>24</v>
      </c>
      <c r="H247" s="21" t="s">
        <v>25</v>
      </c>
      <c r="I247" s="21" t="s">
        <v>699</v>
      </c>
      <c r="J247" s="23" t="s">
        <v>724</v>
      </c>
      <c r="K247" s="27" t="s">
        <v>96</v>
      </c>
      <c r="L247" s="22" t="s">
        <v>724</v>
      </c>
      <c r="M247" s="23" t="s">
        <v>181</v>
      </c>
      <c r="N247" s="23" t="s">
        <v>97</v>
      </c>
      <c r="O247" s="24"/>
      <c r="P247" s="24"/>
      <c r="Q247" s="24"/>
      <c r="R247" s="25"/>
      <c r="S247" s="25"/>
      <c r="T247" s="56"/>
      <c r="U247" s="56"/>
    </row>
    <row r="248" spans="1:21">
      <c r="A248" s="21" t="n">
        <v>245</v>
      </c>
      <c r="B248" s="21">
        <f>E248</f>
        <v>0</v>
      </c>
      <c r="C248" s="21" t="str">
        <f>F248</f>
        <v>19971019 202012 2 008</v>
      </c>
      <c r="D248" s="22" t="s">
        <v>733</v>
      </c>
      <c r="E248" s="22"/>
      <c r="F248" s="21" t="s">
        <v>734</v>
      </c>
      <c r="G248" s="21" t="s">
        <v>24</v>
      </c>
      <c r="H248" s="21" t="s">
        <v>25</v>
      </c>
      <c r="I248" s="21" t="s">
        <v>699</v>
      </c>
      <c r="J248" s="23" t="s">
        <v>724</v>
      </c>
      <c r="K248" s="27" t="s">
        <v>96</v>
      </c>
      <c r="L248" s="22" t="s">
        <v>724</v>
      </c>
      <c r="M248" s="23" t="s">
        <v>181</v>
      </c>
      <c r="N248" s="23" t="s">
        <v>97</v>
      </c>
      <c r="O248" s="24"/>
      <c r="P248" s="24"/>
      <c r="Q248" s="24"/>
      <c r="R248" s="25"/>
      <c r="S248" s="25"/>
      <c r="T248" s="56"/>
      <c r="U248" s="56"/>
    </row>
    <row r="249" spans="1:21">
      <c r="A249" s="21" t="n">
        <v>246</v>
      </c>
      <c r="B249" s="21">
        <f>E249</f>
        <v>0</v>
      </c>
      <c r="C249" s="21" t="str">
        <f>F249</f>
        <v>19920707 202012 2 027</v>
      </c>
      <c r="D249" s="22" t="s">
        <v>735</v>
      </c>
      <c r="E249" s="22"/>
      <c r="F249" s="21" t="s">
        <v>736</v>
      </c>
      <c r="G249" s="21" t="s">
        <v>24</v>
      </c>
      <c r="H249" s="21" t="s">
        <v>25</v>
      </c>
      <c r="I249" s="21" t="s">
        <v>699</v>
      </c>
      <c r="J249" s="23" t="s">
        <v>724</v>
      </c>
      <c r="K249" s="27" t="s">
        <v>96</v>
      </c>
      <c r="L249" s="22" t="s">
        <v>724</v>
      </c>
      <c r="M249" s="23" t="s">
        <v>181</v>
      </c>
      <c r="N249" s="23" t="s">
        <v>737</v>
      </c>
      <c r="O249" s="24"/>
      <c r="P249" s="24"/>
      <c r="Q249" s="24"/>
      <c r="R249" s="25"/>
      <c r="S249" s="25"/>
      <c r="T249" s="56"/>
      <c r="U249" s="56"/>
    </row>
    <row r="250" spans="1:21">
      <c r="A250" s="21" t="n">
        <v>247</v>
      </c>
      <c r="B250" s="21">
        <f>E250</f>
        <v>0</v>
      </c>
      <c r="C250" s="21" t="str">
        <f>F250</f>
        <v>19950813 202012 2 018</v>
      </c>
      <c r="D250" s="22" t="s">
        <v>738</v>
      </c>
      <c r="E250" s="22"/>
      <c r="F250" s="21" t="s">
        <v>739</v>
      </c>
      <c r="G250" s="21" t="s">
        <v>24</v>
      </c>
      <c r="H250" s="21" t="s">
        <v>25</v>
      </c>
      <c r="I250" s="21" t="s">
        <v>699</v>
      </c>
      <c r="J250" s="23" t="s">
        <v>724</v>
      </c>
      <c r="K250" s="27" t="s">
        <v>96</v>
      </c>
      <c r="L250" s="22" t="s">
        <v>724</v>
      </c>
      <c r="M250" s="23" t="s">
        <v>181</v>
      </c>
      <c r="N250" s="23" t="s">
        <v>168</v>
      </c>
      <c r="O250" s="24"/>
      <c r="P250" s="24"/>
      <c r="Q250" s="24"/>
      <c r="R250" s="25"/>
      <c r="S250" s="25"/>
      <c r="T250" s="56"/>
      <c r="U250" s="56"/>
    </row>
    <row r="251" spans="1:21">
      <c r="A251" s="21" t="n">
        <v>248</v>
      </c>
      <c r="B251" s="21">
        <f>E251</f>
        <v>0</v>
      </c>
      <c r="C251" s="21" t="str">
        <f>F251</f>
        <v>19851002 202012 2 009</v>
      </c>
      <c r="D251" s="22" t="s">
        <v>740</v>
      </c>
      <c r="E251" s="22"/>
      <c r="F251" s="21" t="s">
        <v>741</v>
      </c>
      <c r="G251" s="21" t="s">
        <v>24</v>
      </c>
      <c r="H251" s="21" t="s">
        <v>25</v>
      </c>
      <c r="I251" s="21" t="s">
        <v>699</v>
      </c>
      <c r="J251" s="23" t="s">
        <v>724</v>
      </c>
      <c r="K251" s="27" t="s">
        <v>96</v>
      </c>
      <c r="L251" s="22" t="s">
        <v>724</v>
      </c>
      <c r="M251" s="23" t="s">
        <v>181</v>
      </c>
      <c r="N251" s="23" t="s">
        <v>737</v>
      </c>
      <c r="O251" s="24"/>
      <c r="P251" s="24"/>
      <c r="Q251" s="24"/>
      <c r="R251" s="25"/>
      <c r="S251" s="25"/>
      <c r="T251" s="56"/>
      <c r="U251" s="56"/>
    </row>
    <row r="252" spans="1:21">
      <c r="A252" s="21" t="n">
        <v>249</v>
      </c>
      <c r="B252" s="21">
        <f>E252</f>
        <v>0</v>
      </c>
      <c r="C252" s="21" t="str">
        <f>F252</f>
        <v>19850804 202012 2 004</v>
      </c>
      <c r="D252" s="22" t="s">
        <v>742</v>
      </c>
      <c r="E252" s="22"/>
      <c r="F252" s="21" t="s">
        <v>743</v>
      </c>
      <c r="G252" s="21" t="s">
        <v>24</v>
      </c>
      <c r="H252" s="21" t="s">
        <v>25</v>
      </c>
      <c r="I252" s="21" t="s">
        <v>699</v>
      </c>
      <c r="J252" s="23" t="s">
        <v>724</v>
      </c>
      <c r="K252" s="27" t="s">
        <v>96</v>
      </c>
      <c r="L252" s="22" t="s">
        <v>724</v>
      </c>
      <c r="M252" s="23" t="s">
        <v>181</v>
      </c>
      <c r="N252" s="23" t="s">
        <v>396</v>
      </c>
      <c r="O252" s="24"/>
      <c r="P252" s="24"/>
      <c r="Q252" s="24"/>
      <c r="R252" s="25"/>
      <c r="S252" s="25"/>
      <c r="T252" s="56"/>
      <c r="U252" s="56"/>
    </row>
    <row r="253" spans="1:21">
      <c r="A253" s="21" t="n">
        <v>250</v>
      </c>
      <c r="B253" s="21">
        <f>E253</f>
        <v>0</v>
      </c>
      <c r="C253" s="21" t="str">
        <f>F253</f>
        <v>19870602 202012 2 006</v>
      </c>
      <c r="D253" s="22" t="s">
        <v>744</v>
      </c>
      <c r="E253" s="22"/>
      <c r="F253" s="21" t="s">
        <v>745</v>
      </c>
      <c r="G253" s="21" t="s">
        <v>24</v>
      </c>
      <c r="H253" s="21" t="s">
        <v>25</v>
      </c>
      <c r="I253" s="21" t="s">
        <v>699</v>
      </c>
      <c r="J253" s="23" t="s">
        <v>724</v>
      </c>
      <c r="K253" s="27" t="s">
        <v>96</v>
      </c>
      <c r="L253" s="22" t="s">
        <v>724</v>
      </c>
      <c r="M253" s="23" t="s">
        <v>181</v>
      </c>
      <c r="N253" s="23" t="s">
        <v>275</v>
      </c>
      <c r="O253" s="24"/>
      <c r="P253" s="24"/>
      <c r="Q253" s="24"/>
      <c r="R253" s="25"/>
      <c r="S253" s="25"/>
      <c r="T253" s="56"/>
      <c r="U253" s="56"/>
    </row>
    <row r="254" spans="1:21">
      <c r="A254" s="21" t="n">
        <v>251</v>
      </c>
      <c r="B254" s="21">
        <f>E254</f>
        <v>0</v>
      </c>
      <c r="C254" s="21" t="str">
        <f>F254</f>
        <v>19871006 202012 2 004</v>
      </c>
      <c r="D254" s="22" t="s">
        <v>746</v>
      </c>
      <c r="E254" s="22"/>
      <c r="F254" s="21" t="s">
        <v>747</v>
      </c>
      <c r="G254" s="21" t="s">
        <v>24</v>
      </c>
      <c r="H254" s="21" t="s">
        <v>25</v>
      </c>
      <c r="I254" s="21" t="s">
        <v>699</v>
      </c>
      <c r="J254" s="23" t="s">
        <v>660</v>
      </c>
      <c r="K254" s="22" t="s">
        <v>132</v>
      </c>
      <c r="L254" s="23" t="s">
        <v>660</v>
      </c>
      <c r="M254" s="23" t="s">
        <v>444</v>
      </c>
      <c r="N254" s="23" t="s">
        <v>173</v>
      </c>
      <c r="O254" s="24"/>
      <c r="P254" s="24"/>
      <c r="Q254" s="24"/>
      <c r="R254" s="25"/>
      <c r="S254" s="25"/>
      <c r="T254" s="56"/>
      <c r="U254" s="56"/>
    </row>
    <row r="255" spans="1:21">
      <c r="A255" s="21" t="n">
        <v>252</v>
      </c>
      <c r="B255" s="21">
        <f>E255</f>
        <v>0</v>
      </c>
      <c r="C255" s="21" t="str">
        <f>F255</f>
        <v>19900703 202012 2 011</v>
      </c>
      <c r="D255" s="22" t="s">
        <v>748</v>
      </c>
      <c r="E255" s="22"/>
      <c r="F255" s="21" t="s">
        <v>749</v>
      </c>
      <c r="G255" s="21" t="s">
        <v>24</v>
      </c>
      <c r="H255" s="21" t="s">
        <v>25</v>
      </c>
      <c r="I255" s="21" t="s">
        <v>699</v>
      </c>
      <c r="J255" s="22" t="s">
        <v>750</v>
      </c>
      <c r="K255" s="22" t="s">
        <v>91</v>
      </c>
      <c r="L255" s="22" t="s">
        <v>750</v>
      </c>
      <c r="M255" s="23" t="s">
        <v>490</v>
      </c>
      <c r="N255" s="23" t="s">
        <v>92</v>
      </c>
      <c r="O255" s="24"/>
      <c r="P255" s="24"/>
      <c r="Q255" s="24"/>
      <c r="R255" s="25"/>
      <c r="S255" s="25"/>
      <c r="T255" s="56"/>
      <c r="U255" s="56"/>
    </row>
    <row r="256" spans="1:21">
      <c r="A256" s="21" t="n">
        <v>253</v>
      </c>
      <c r="B256" s="21">
        <f>E256</f>
        <v>0</v>
      </c>
      <c r="C256" s="21" t="str">
        <f>F256</f>
        <v>19850420 202012 1 006</v>
      </c>
      <c r="D256" s="22" t="s">
        <v>751</v>
      </c>
      <c r="E256" s="22"/>
      <c r="F256" s="21" t="s">
        <v>752</v>
      </c>
      <c r="G256" s="21" t="s">
        <v>33</v>
      </c>
      <c r="H256" s="21" t="s">
        <v>25</v>
      </c>
      <c r="I256" s="21" t="s">
        <v>699</v>
      </c>
      <c r="J256" s="23" t="s">
        <v>724</v>
      </c>
      <c r="K256" s="27" t="s">
        <v>96</v>
      </c>
      <c r="L256" s="22" t="s">
        <v>724</v>
      </c>
      <c r="M256" s="23" t="s">
        <v>181</v>
      </c>
      <c r="N256" s="23" t="s">
        <v>168</v>
      </c>
      <c r="O256" s="24"/>
      <c r="P256" s="24"/>
      <c r="Q256" s="24"/>
      <c r="R256" s="25"/>
      <c r="S256" s="25"/>
      <c r="T256" s="56"/>
      <c r="U256" s="56"/>
    </row>
    <row r="257" spans="1:21">
      <c r="A257" s="21" t="n">
        <v>254</v>
      </c>
      <c r="B257" s="21">
        <f>E257</f>
        <v>0</v>
      </c>
      <c r="C257" s="21" t="str">
        <f>F257</f>
        <v>19900406 202012 1 007</v>
      </c>
      <c r="D257" s="22" t="s">
        <v>753</v>
      </c>
      <c r="E257" s="22"/>
      <c r="F257" s="21" t="s">
        <v>754</v>
      </c>
      <c r="G257" s="21" t="s">
        <v>33</v>
      </c>
      <c r="H257" s="21" t="s">
        <v>25</v>
      </c>
      <c r="I257" s="21" t="s">
        <v>699</v>
      </c>
      <c r="J257" s="23" t="s">
        <v>724</v>
      </c>
      <c r="K257" s="27" t="s">
        <v>96</v>
      </c>
      <c r="L257" s="22" t="s">
        <v>724</v>
      </c>
      <c r="M257" s="23" t="s">
        <v>181</v>
      </c>
      <c r="N257" s="30" t="s">
        <v>197</v>
      </c>
      <c r="O257" s="24"/>
      <c r="P257" s="24"/>
      <c r="Q257" s="24"/>
      <c r="R257" s="25"/>
      <c r="S257" s="25"/>
      <c r="T257" s="56"/>
      <c r="U257" s="56"/>
    </row>
    <row r="258" spans="1:21">
      <c r="A258" s="21" t="n">
        <v>255</v>
      </c>
      <c r="B258" s="21">
        <f>E258</f>
        <v>0</v>
      </c>
      <c r="C258" s="21" t="str">
        <f>F258</f>
        <v>19860622 202012 1 007</v>
      </c>
      <c r="D258" s="22" t="s">
        <v>755</v>
      </c>
      <c r="E258" s="22"/>
      <c r="F258" s="21" t="s">
        <v>756</v>
      </c>
      <c r="G258" s="21" t="s">
        <v>33</v>
      </c>
      <c r="H258" s="21" t="s">
        <v>25</v>
      </c>
      <c r="I258" s="21" t="s">
        <v>699</v>
      </c>
      <c r="J258" s="23" t="s">
        <v>724</v>
      </c>
      <c r="K258" s="27" t="s">
        <v>96</v>
      </c>
      <c r="L258" s="22" t="s">
        <v>724</v>
      </c>
      <c r="M258" s="23" t="s">
        <v>181</v>
      </c>
      <c r="N258" s="23" t="s">
        <v>68</v>
      </c>
      <c r="O258" s="24"/>
      <c r="P258" s="24"/>
      <c r="Q258" s="24"/>
      <c r="R258" s="25"/>
      <c r="S258" s="25"/>
      <c r="T258" s="56"/>
      <c r="U258" s="56"/>
    </row>
    <row r="259" spans="1:21">
      <c r="A259" s="21" t="n">
        <v>256</v>
      </c>
      <c r="B259" s="21">
        <f>E259</f>
        <v>0</v>
      </c>
      <c r="C259" s="21" t="str">
        <f>F259</f>
        <v>19880827 202012 1 009</v>
      </c>
      <c r="D259" s="22" t="s">
        <v>757</v>
      </c>
      <c r="E259" s="22"/>
      <c r="F259" s="21" t="s">
        <v>758</v>
      </c>
      <c r="G259" s="21" t="s">
        <v>33</v>
      </c>
      <c r="H259" s="21" t="s">
        <v>25</v>
      </c>
      <c r="I259" s="21" t="s">
        <v>699</v>
      </c>
      <c r="J259" s="23" t="s">
        <v>724</v>
      </c>
      <c r="K259" s="27" t="s">
        <v>96</v>
      </c>
      <c r="L259" s="22" t="s">
        <v>724</v>
      </c>
      <c r="M259" s="23" t="s">
        <v>181</v>
      </c>
      <c r="N259" s="23" t="s">
        <v>168</v>
      </c>
      <c r="O259" s="24"/>
      <c r="P259" s="24"/>
      <c r="Q259" s="24"/>
      <c r="R259" s="25"/>
      <c r="S259" s="25"/>
      <c r="T259" s="56"/>
      <c r="U259" s="56"/>
    </row>
    <row r="260" spans="1:21">
      <c r="A260" s="21" t="n">
        <v>257</v>
      </c>
      <c r="B260" s="21">
        <f>E260</f>
        <v>0</v>
      </c>
      <c r="C260" s="21" t="str">
        <f>F260</f>
        <v>19901123 202012 1 010</v>
      </c>
      <c r="D260" s="22" t="s">
        <v>759</v>
      </c>
      <c r="E260" s="22"/>
      <c r="F260" s="21" t="s">
        <v>760</v>
      </c>
      <c r="G260" s="21" t="s">
        <v>33</v>
      </c>
      <c r="H260" s="21" t="s">
        <v>25</v>
      </c>
      <c r="I260" s="21" t="s">
        <v>699</v>
      </c>
      <c r="J260" s="23" t="s">
        <v>724</v>
      </c>
      <c r="K260" s="27" t="s">
        <v>96</v>
      </c>
      <c r="L260" s="22" t="s">
        <v>724</v>
      </c>
      <c r="M260" s="23" t="s">
        <v>181</v>
      </c>
      <c r="N260" s="30" t="s">
        <v>197</v>
      </c>
      <c r="O260" s="24"/>
      <c r="P260" s="24"/>
      <c r="Q260" s="24"/>
      <c r="R260" s="25"/>
      <c r="S260" s="25"/>
      <c r="T260" s="56"/>
      <c r="U260" s="56"/>
    </row>
    <row r="261" spans="1:21">
      <c r="A261" s="21" t="n">
        <v>258</v>
      </c>
      <c r="B261" s="21">
        <f>E261</f>
        <v>0</v>
      </c>
      <c r="C261" s="21" t="str">
        <f>F261</f>
        <v>19860304 202012 1 003</v>
      </c>
      <c r="D261" s="22" t="s">
        <v>761</v>
      </c>
      <c r="E261" s="22"/>
      <c r="F261" s="21" t="s">
        <v>762</v>
      </c>
      <c r="G261" s="21" t="s">
        <v>33</v>
      </c>
      <c r="H261" s="21" t="s">
        <v>25</v>
      </c>
      <c r="I261" s="21" t="s">
        <v>699</v>
      </c>
      <c r="J261" s="23" t="s">
        <v>724</v>
      </c>
      <c r="K261" s="27" t="s">
        <v>96</v>
      </c>
      <c r="L261" s="22" t="s">
        <v>724</v>
      </c>
      <c r="M261" s="23" t="s">
        <v>181</v>
      </c>
      <c r="N261" s="23" t="s">
        <v>162</v>
      </c>
      <c r="O261" s="24"/>
      <c r="P261" s="24"/>
      <c r="Q261" s="24"/>
      <c r="R261" s="25"/>
      <c r="S261" s="25"/>
      <c r="T261" s="56"/>
      <c r="U261" s="56"/>
    </row>
    <row r="262" spans="1:21">
      <c r="A262" s="21" t="n">
        <v>259</v>
      </c>
      <c r="B262" s="21">
        <f>E262</f>
        <v>0</v>
      </c>
      <c r="C262" s="21" t="str">
        <f>F262</f>
        <v>19910205 202012 1 012</v>
      </c>
      <c r="D262" s="22" t="s">
        <v>763</v>
      </c>
      <c r="E262" s="22"/>
      <c r="F262" s="21" t="s">
        <v>764</v>
      </c>
      <c r="G262" s="21" t="s">
        <v>33</v>
      </c>
      <c r="H262" s="21" t="s">
        <v>25</v>
      </c>
      <c r="I262" s="21" t="s">
        <v>699</v>
      </c>
      <c r="J262" s="23" t="s">
        <v>724</v>
      </c>
      <c r="K262" s="27" t="s">
        <v>96</v>
      </c>
      <c r="L262" s="22" t="s">
        <v>724</v>
      </c>
      <c r="M262" s="23" t="s">
        <v>181</v>
      </c>
      <c r="N262" s="23" t="s">
        <v>68</v>
      </c>
      <c r="O262" s="24"/>
      <c r="P262" s="24"/>
      <c r="Q262" s="24"/>
      <c r="R262" s="25"/>
      <c r="S262" s="25"/>
      <c r="T262" s="56"/>
      <c r="U262" s="56"/>
    </row>
    <row r="263" spans="1:21">
      <c r="A263" s="21" t="n">
        <v>260</v>
      </c>
      <c r="B263" s="21">
        <f>E263</f>
        <v>0</v>
      </c>
      <c r="C263" s="21" t="str">
        <f>F263</f>
        <v>19900116 202012 1 007</v>
      </c>
      <c r="D263" s="22" t="s">
        <v>765</v>
      </c>
      <c r="E263" s="22"/>
      <c r="F263" s="21" t="s">
        <v>766</v>
      </c>
      <c r="G263" s="21" t="s">
        <v>33</v>
      </c>
      <c r="H263" s="21" t="s">
        <v>25</v>
      </c>
      <c r="I263" s="21" t="s">
        <v>699</v>
      </c>
      <c r="J263" s="23" t="s">
        <v>724</v>
      </c>
      <c r="K263" s="27" t="s">
        <v>96</v>
      </c>
      <c r="L263" s="22" t="s">
        <v>724</v>
      </c>
      <c r="M263" s="23" t="s">
        <v>181</v>
      </c>
      <c r="N263" s="30" t="s">
        <v>197</v>
      </c>
      <c r="O263" s="24"/>
      <c r="P263" s="24"/>
      <c r="Q263" s="24"/>
      <c r="R263" s="25"/>
      <c r="S263" s="25"/>
      <c r="T263" s="56"/>
      <c r="U263" s="56"/>
    </row>
    <row r="264" spans="1:21">
      <c r="A264" s="21" t="n">
        <v>261</v>
      </c>
      <c r="B264" s="21">
        <f>E264</f>
        <v>0</v>
      </c>
      <c r="C264" s="21" t="str">
        <f>F264</f>
        <v>19920930 202012 2 015</v>
      </c>
      <c r="D264" s="22" t="s">
        <v>767</v>
      </c>
      <c r="E264" s="22"/>
      <c r="F264" s="21" t="s">
        <v>768</v>
      </c>
      <c r="G264" s="21" t="s">
        <v>24</v>
      </c>
      <c r="H264" s="21" t="s">
        <v>25</v>
      </c>
      <c r="I264" s="21" t="s">
        <v>699</v>
      </c>
      <c r="J264" s="23" t="s">
        <v>724</v>
      </c>
      <c r="K264" s="27" t="s">
        <v>96</v>
      </c>
      <c r="L264" s="22" t="s">
        <v>724</v>
      </c>
      <c r="M264" s="23" t="s">
        <v>181</v>
      </c>
      <c r="N264" s="23" t="s">
        <v>158</v>
      </c>
      <c r="O264" s="24"/>
      <c r="P264" s="24"/>
      <c r="Q264" s="24"/>
      <c r="R264" s="25"/>
      <c r="S264" s="25"/>
      <c r="T264" s="56"/>
      <c r="U264" s="56"/>
    </row>
    <row r="265" spans="1:21">
      <c r="A265" s="21" t="n">
        <v>262</v>
      </c>
      <c r="B265" s="21">
        <f>E265</f>
        <v>0</v>
      </c>
      <c r="C265" s="21" t="str">
        <f>F265</f>
        <v>19970816 202012 2 012</v>
      </c>
      <c r="D265" s="22" t="s">
        <v>769</v>
      </c>
      <c r="E265" s="22"/>
      <c r="F265" s="21" t="s">
        <v>770</v>
      </c>
      <c r="G265" s="21" t="s">
        <v>24</v>
      </c>
      <c r="H265" s="21" t="s">
        <v>25</v>
      </c>
      <c r="I265" s="21" t="s">
        <v>699</v>
      </c>
      <c r="J265" s="23" t="s">
        <v>724</v>
      </c>
      <c r="K265" s="27" t="s">
        <v>96</v>
      </c>
      <c r="L265" s="22" t="s">
        <v>724</v>
      </c>
      <c r="M265" s="23" t="s">
        <v>181</v>
      </c>
      <c r="N265" s="23" t="s">
        <v>396</v>
      </c>
      <c r="O265" s="24"/>
      <c r="P265" s="24"/>
      <c r="Q265" s="24"/>
      <c r="R265" s="25"/>
      <c r="S265" s="25"/>
      <c r="T265" s="56"/>
      <c r="U265" s="56"/>
    </row>
    <row r="266" spans="1:21">
      <c r="A266" s="21" t="n">
        <v>263</v>
      </c>
      <c r="B266" s="21">
        <f>E266</f>
        <v>0</v>
      </c>
      <c r="C266" s="21" t="str">
        <f>F266</f>
        <v>19960709 202012 2 018</v>
      </c>
      <c r="D266" s="22" t="s">
        <v>771</v>
      </c>
      <c r="E266" s="22"/>
      <c r="F266" s="21" t="s">
        <v>772</v>
      </c>
      <c r="G266" s="21" t="s">
        <v>24</v>
      </c>
      <c r="H266" s="21" t="s">
        <v>25</v>
      </c>
      <c r="I266" s="21" t="s">
        <v>699</v>
      </c>
      <c r="J266" s="23" t="s">
        <v>724</v>
      </c>
      <c r="K266" s="27" t="s">
        <v>96</v>
      </c>
      <c r="L266" s="22" t="s">
        <v>724</v>
      </c>
      <c r="M266" s="23" t="s">
        <v>181</v>
      </c>
      <c r="N266" s="23" t="s">
        <v>222</v>
      </c>
      <c r="O266" s="24"/>
      <c r="P266" s="24"/>
      <c r="Q266" s="24"/>
      <c r="R266" s="25"/>
      <c r="S266" s="25"/>
      <c r="T266" s="56"/>
      <c r="U266" s="56"/>
    </row>
    <row r="267" spans="1:21">
      <c r="A267" s="21" t="n">
        <v>264</v>
      </c>
      <c r="B267" s="21">
        <f>E267</f>
        <v>0</v>
      </c>
      <c r="C267" s="21" t="str">
        <f>F267</f>
        <v>19931111 202012 1 019</v>
      </c>
      <c r="D267" s="22" t="s">
        <v>773</v>
      </c>
      <c r="E267" s="22"/>
      <c r="F267" s="21" t="s">
        <v>774</v>
      </c>
      <c r="G267" s="21" t="s">
        <v>33</v>
      </c>
      <c r="H267" s="21" t="s">
        <v>25</v>
      </c>
      <c r="I267" s="21" t="s">
        <v>699</v>
      </c>
      <c r="J267" s="23" t="s">
        <v>724</v>
      </c>
      <c r="K267" s="27" t="s">
        <v>96</v>
      </c>
      <c r="L267" s="22" t="s">
        <v>724</v>
      </c>
      <c r="M267" s="23" t="s">
        <v>181</v>
      </c>
      <c r="N267" s="23" t="s">
        <v>168</v>
      </c>
      <c r="O267" s="24"/>
      <c r="P267" s="24"/>
      <c r="Q267" s="24"/>
      <c r="R267" s="25"/>
      <c r="S267" s="25"/>
      <c r="T267" s="56"/>
      <c r="U267" s="56"/>
    </row>
    <row r="268" spans="1:21">
      <c r="A268" s="21" t="n">
        <v>265</v>
      </c>
      <c r="B268" s="21">
        <f>E268</f>
        <v>0</v>
      </c>
      <c r="C268" s="21" t="str">
        <f>F268</f>
        <v>19971020 202012 2 014</v>
      </c>
      <c r="D268" s="22" t="s">
        <v>775</v>
      </c>
      <c r="E268" s="22"/>
      <c r="F268" s="21" t="s">
        <v>776</v>
      </c>
      <c r="G268" s="21" t="s">
        <v>24</v>
      </c>
      <c r="H268" s="21" t="s">
        <v>25</v>
      </c>
      <c r="I268" s="21" t="s">
        <v>699</v>
      </c>
      <c r="J268" s="23" t="s">
        <v>724</v>
      </c>
      <c r="K268" s="27" t="s">
        <v>96</v>
      </c>
      <c r="L268" s="22" t="s">
        <v>724</v>
      </c>
      <c r="M268" s="23" t="s">
        <v>181</v>
      </c>
      <c r="N268" s="23" t="s">
        <v>396</v>
      </c>
      <c r="O268" s="24"/>
      <c r="P268" s="24"/>
      <c r="Q268" s="24"/>
      <c r="R268" s="25"/>
      <c r="S268" s="25"/>
      <c r="T268" s="56"/>
      <c r="U268" s="56"/>
    </row>
    <row r="269" spans="1:21">
      <c r="A269" s="21" t="n">
        <v>266</v>
      </c>
      <c r="B269" s="21">
        <f>E269</f>
        <v>0</v>
      </c>
      <c r="C269" s="21" t="str">
        <f>F269</f>
        <v>19910128 202012 2 012</v>
      </c>
      <c r="D269" s="22" t="s">
        <v>777</v>
      </c>
      <c r="E269" s="22"/>
      <c r="F269" s="21" t="s">
        <v>778</v>
      </c>
      <c r="G269" s="21" t="s">
        <v>24</v>
      </c>
      <c r="H269" s="21" t="s">
        <v>25</v>
      </c>
      <c r="I269" s="21" t="s">
        <v>699</v>
      </c>
      <c r="J269" s="23" t="s">
        <v>724</v>
      </c>
      <c r="K269" s="27" t="s">
        <v>96</v>
      </c>
      <c r="L269" s="22" t="s">
        <v>724</v>
      </c>
      <c r="M269" s="23" t="s">
        <v>181</v>
      </c>
      <c r="N269" s="23" t="s">
        <v>158</v>
      </c>
      <c r="O269" s="24"/>
      <c r="P269" s="24"/>
      <c r="Q269" s="24"/>
      <c r="R269" s="25"/>
      <c r="S269" s="25"/>
      <c r="T269" s="56"/>
      <c r="U269" s="56"/>
    </row>
    <row r="270" spans="1:21">
      <c r="A270" s="21" t="n">
        <v>267</v>
      </c>
      <c r="B270" s="21">
        <f>E270</f>
        <v>0</v>
      </c>
      <c r="C270" s="21" t="str">
        <f>F270</f>
        <v>19940427 202012 1 015</v>
      </c>
      <c r="D270" s="22" t="s">
        <v>779</v>
      </c>
      <c r="E270" s="22"/>
      <c r="F270" s="21" t="s">
        <v>780</v>
      </c>
      <c r="G270" s="21" t="s">
        <v>33</v>
      </c>
      <c r="H270" s="21" t="s">
        <v>25</v>
      </c>
      <c r="I270" s="21" t="s">
        <v>699</v>
      </c>
      <c r="J270" s="22" t="s">
        <v>781</v>
      </c>
      <c r="K270" s="22" t="s">
        <v>101</v>
      </c>
      <c r="L270" s="22" t="s">
        <v>781</v>
      </c>
      <c r="M270" s="23" t="s">
        <v>143</v>
      </c>
      <c r="N270" s="23" t="s">
        <v>103</v>
      </c>
      <c r="O270" s="24"/>
      <c r="P270" s="24"/>
      <c r="Q270" s="24"/>
      <c r="R270" s="25"/>
      <c r="S270" s="25"/>
      <c r="T270" s="56"/>
      <c r="U270" s="56"/>
    </row>
    <row r="271" spans="1:21">
      <c r="A271" s="21" t="n">
        <v>268</v>
      </c>
      <c r="B271" s="21">
        <f>E271</f>
        <v>0</v>
      </c>
      <c r="C271" s="21" t="str">
        <f>F271</f>
        <v>19940118 202012 2 019</v>
      </c>
      <c r="D271" s="22" t="s">
        <v>782</v>
      </c>
      <c r="E271" s="22"/>
      <c r="F271" s="21" t="s">
        <v>783</v>
      </c>
      <c r="G271" s="21" t="s">
        <v>24</v>
      </c>
      <c r="H271" s="21" t="s">
        <v>25</v>
      </c>
      <c r="I271" s="21" t="s">
        <v>699</v>
      </c>
      <c r="J271" s="22" t="s">
        <v>781</v>
      </c>
      <c r="K271" s="22" t="s">
        <v>101</v>
      </c>
      <c r="L271" s="22" t="s">
        <v>781</v>
      </c>
      <c r="M271" s="23" t="s">
        <v>143</v>
      </c>
      <c r="N271" s="23" t="s">
        <v>103</v>
      </c>
      <c r="O271" s="24"/>
      <c r="P271" s="24"/>
      <c r="Q271" s="24"/>
      <c r="R271" s="25"/>
      <c r="S271" s="25"/>
      <c r="T271" s="56"/>
      <c r="U271" s="56"/>
    </row>
    <row r="272" spans="1:21">
      <c r="A272" s="21" t="n">
        <v>269</v>
      </c>
      <c r="B272" s="21">
        <f>E272</f>
        <v>0</v>
      </c>
      <c r="C272" s="21" t="str">
        <f>F272</f>
        <v>19961225 202012 2 025</v>
      </c>
      <c r="D272" s="22" t="s">
        <v>784</v>
      </c>
      <c r="E272" s="22"/>
      <c r="F272" s="21" t="s">
        <v>785</v>
      </c>
      <c r="G272" s="21" t="s">
        <v>24</v>
      </c>
      <c r="H272" s="21" t="s">
        <v>25</v>
      </c>
      <c r="I272" s="21" t="s">
        <v>699</v>
      </c>
      <c r="J272" s="23" t="s">
        <v>724</v>
      </c>
      <c r="K272" s="27" t="s">
        <v>96</v>
      </c>
      <c r="L272" s="22" t="s">
        <v>724</v>
      </c>
      <c r="M272" s="23" t="s">
        <v>181</v>
      </c>
      <c r="N272" s="23" t="s">
        <v>396</v>
      </c>
      <c r="O272" s="24"/>
      <c r="P272" s="24"/>
      <c r="Q272" s="24"/>
      <c r="R272" s="25"/>
      <c r="S272" s="25"/>
      <c r="T272" s="56"/>
      <c r="U272" s="56"/>
    </row>
    <row r="273" spans="1:21">
      <c r="A273" s="21" t="n">
        <v>270</v>
      </c>
      <c r="B273" s="21">
        <f>E273</f>
        <v>0</v>
      </c>
      <c r="C273" s="21" t="str">
        <f>F273</f>
        <v>19890427 202012 2 010</v>
      </c>
      <c r="D273" s="22" t="s">
        <v>786</v>
      </c>
      <c r="E273" s="22"/>
      <c r="F273" s="21" t="s">
        <v>787</v>
      </c>
      <c r="G273" s="21" t="s">
        <v>24</v>
      </c>
      <c r="H273" s="21" t="s">
        <v>25</v>
      </c>
      <c r="I273" s="21" t="s">
        <v>699</v>
      </c>
      <c r="J273" s="23" t="s">
        <v>724</v>
      </c>
      <c r="K273" s="27" t="s">
        <v>96</v>
      </c>
      <c r="L273" s="22" t="s">
        <v>724</v>
      </c>
      <c r="M273" s="23" t="s">
        <v>181</v>
      </c>
      <c r="N273" s="23" t="s">
        <v>737</v>
      </c>
      <c r="O273" s="24"/>
      <c r="P273" s="24"/>
      <c r="Q273" s="24"/>
      <c r="R273" s="25"/>
      <c r="S273" s="25"/>
      <c r="T273" s="56"/>
      <c r="U273" s="56"/>
    </row>
    <row r="274" spans="1:21">
      <c r="A274" s="21" t="n">
        <v>271</v>
      </c>
      <c r="B274" s="21">
        <f>E274</f>
        <v>0</v>
      </c>
      <c r="C274" s="21" t="str">
        <f>F274</f>
        <v>19960911 202012 2 019</v>
      </c>
      <c r="D274" s="22" t="s">
        <v>788</v>
      </c>
      <c r="E274" s="22"/>
      <c r="F274" s="21" t="s">
        <v>789</v>
      </c>
      <c r="G274" s="21" t="s">
        <v>24</v>
      </c>
      <c r="H274" s="21" t="s">
        <v>25</v>
      </c>
      <c r="I274" s="21" t="s">
        <v>699</v>
      </c>
      <c r="J274" s="22" t="s">
        <v>781</v>
      </c>
      <c r="K274" s="22" t="s">
        <v>101</v>
      </c>
      <c r="L274" s="22" t="s">
        <v>781</v>
      </c>
      <c r="M274" s="23" t="s">
        <v>143</v>
      </c>
      <c r="N274" s="23" t="s">
        <v>103</v>
      </c>
      <c r="O274" s="24"/>
      <c r="P274" s="24"/>
      <c r="Q274" s="24"/>
      <c r="R274" s="25"/>
      <c r="S274" s="25"/>
      <c r="T274" s="56"/>
      <c r="U274" s="56"/>
    </row>
    <row r="275" spans="1:21">
      <c r="A275" s="21" t="n">
        <v>272</v>
      </c>
      <c r="B275" s="21">
        <f>E275</f>
        <v>0</v>
      </c>
      <c r="C275" s="21" t="str">
        <f>F275</f>
        <v>19960621 202012 2 020</v>
      </c>
      <c r="D275" s="22" t="s">
        <v>790</v>
      </c>
      <c r="E275" s="22"/>
      <c r="F275" s="21" t="s">
        <v>791</v>
      </c>
      <c r="G275" s="21" t="s">
        <v>33</v>
      </c>
      <c r="H275" s="21" t="s">
        <v>25</v>
      </c>
      <c r="I275" s="21" t="s">
        <v>699</v>
      </c>
      <c r="J275" s="22" t="s">
        <v>750</v>
      </c>
      <c r="K275" s="22" t="s">
        <v>91</v>
      </c>
      <c r="L275" s="22" t="s">
        <v>750</v>
      </c>
      <c r="M275" s="23" t="s">
        <v>490</v>
      </c>
      <c r="N275" s="23" t="s">
        <v>92</v>
      </c>
      <c r="O275" s="24"/>
      <c r="P275" s="24"/>
      <c r="Q275" s="24"/>
      <c r="R275" s="25"/>
      <c r="S275" s="25"/>
      <c r="T275" s="56"/>
      <c r="U275" s="56"/>
    </row>
    <row r="276" spans="1:21">
      <c r="A276" s="21" t="n">
        <v>273</v>
      </c>
      <c r="B276" s="21">
        <f>E276</f>
        <v>0</v>
      </c>
      <c r="C276" s="21" t="str">
        <f>F276</f>
        <v>19881015 202012 2 004</v>
      </c>
      <c r="D276" s="22" t="s">
        <v>792</v>
      </c>
      <c r="E276" s="22"/>
      <c r="F276" s="21" t="s">
        <v>793</v>
      </c>
      <c r="G276" s="21" t="s">
        <v>24</v>
      </c>
      <c r="H276" s="21" t="s">
        <v>25</v>
      </c>
      <c r="I276" s="21" t="s">
        <v>699</v>
      </c>
      <c r="J276" s="22" t="s">
        <v>781</v>
      </c>
      <c r="K276" s="22" t="s">
        <v>101</v>
      </c>
      <c r="L276" s="22" t="s">
        <v>781</v>
      </c>
      <c r="M276" s="23" t="s">
        <v>143</v>
      </c>
      <c r="N276" s="23" t="s">
        <v>103</v>
      </c>
      <c r="O276" s="24"/>
      <c r="P276" s="24"/>
      <c r="Q276" s="24"/>
      <c r="R276" s="25"/>
      <c r="S276" s="25"/>
      <c r="T276" s="56"/>
      <c r="U276" s="56"/>
    </row>
    <row r="277" spans="1:21">
      <c r="A277" s="21" t="n">
        <v>274</v>
      </c>
      <c r="B277" s="21">
        <f>E277</f>
        <v>0</v>
      </c>
      <c r="C277" s="21" t="str">
        <f>F277</f>
        <v>19920313 202012 2 015</v>
      </c>
      <c r="D277" s="22" t="s">
        <v>794</v>
      </c>
      <c r="E277" s="22"/>
      <c r="F277" s="21" t="s">
        <v>795</v>
      </c>
      <c r="G277" s="21" t="s">
        <v>24</v>
      </c>
      <c r="H277" s="21" t="s">
        <v>25</v>
      </c>
      <c r="I277" s="21" t="s">
        <v>699</v>
      </c>
      <c r="J277" s="23" t="s">
        <v>724</v>
      </c>
      <c r="K277" s="27" t="s">
        <v>96</v>
      </c>
      <c r="L277" s="22" t="s">
        <v>724</v>
      </c>
      <c r="M277" s="23" t="s">
        <v>181</v>
      </c>
      <c r="N277" s="23" t="s">
        <v>396</v>
      </c>
      <c r="O277" s="24"/>
      <c r="P277" s="24"/>
      <c r="Q277" s="24"/>
      <c r="R277" s="25"/>
      <c r="S277" s="25"/>
      <c r="T277" s="56"/>
      <c r="U277" s="56"/>
    </row>
    <row r="278" spans="1:21">
      <c r="A278" s="21" t="n">
        <v>275</v>
      </c>
      <c r="B278" s="21">
        <f>E278</f>
        <v>0</v>
      </c>
      <c r="C278" s="21" t="str">
        <f>F278</f>
        <v>19900817 202012 1 010</v>
      </c>
      <c r="D278" s="22" t="s">
        <v>796</v>
      </c>
      <c r="E278" s="22"/>
      <c r="F278" s="21" t="s">
        <v>797</v>
      </c>
      <c r="G278" s="21" t="s">
        <v>33</v>
      </c>
      <c r="H278" s="21" t="s">
        <v>25</v>
      </c>
      <c r="I278" s="21" t="s">
        <v>699</v>
      </c>
      <c r="J278" s="23" t="s">
        <v>724</v>
      </c>
      <c r="K278" s="27" t="s">
        <v>96</v>
      </c>
      <c r="L278" s="22" t="s">
        <v>724</v>
      </c>
      <c r="M278" s="23" t="s">
        <v>181</v>
      </c>
      <c r="N278" s="30" t="s">
        <v>197</v>
      </c>
      <c r="O278" s="24"/>
      <c r="P278" s="24"/>
      <c r="Q278" s="24"/>
      <c r="R278" s="25"/>
      <c r="S278" s="25"/>
      <c r="T278" s="56"/>
      <c r="U278" s="56"/>
    </row>
    <row r="279" spans="1:21">
      <c r="A279" s="21" t="n">
        <v>276</v>
      </c>
      <c r="B279" s="21">
        <f>E279</f>
        <v>0</v>
      </c>
      <c r="C279" s="21" t="str">
        <f>F279</f>
        <v>19901226 202012 1 009</v>
      </c>
      <c r="D279" s="22" t="s">
        <v>798</v>
      </c>
      <c r="E279" s="22"/>
      <c r="F279" s="21" t="s">
        <v>799</v>
      </c>
      <c r="G279" s="21" t="s">
        <v>33</v>
      </c>
      <c r="H279" s="21" t="s">
        <v>25</v>
      </c>
      <c r="I279" s="21" t="s">
        <v>699</v>
      </c>
      <c r="J279" s="23" t="s">
        <v>724</v>
      </c>
      <c r="K279" s="27" t="s">
        <v>96</v>
      </c>
      <c r="L279" s="22" t="s">
        <v>724</v>
      </c>
      <c r="M279" s="28" t="s">
        <v>181</v>
      </c>
      <c r="N279" s="23" t="s">
        <v>667</v>
      </c>
      <c r="O279" s="24"/>
      <c r="P279" s="24"/>
      <c r="Q279" s="24"/>
      <c r="R279" s="25"/>
      <c r="S279" s="25"/>
      <c r="T279" s="56"/>
      <c r="U279" s="56"/>
    </row>
    <row r="280" spans="1:21">
      <c r="A280" s="21" t="n">
        <v>277</v>
      </c>
      <c r="B280" s="21">
        <f>E280</f>
        <v>0</v>
      </c>
      <c r="C280" s="21" t="str">
        <f>F280</f>
        <v>19850727 202012 2 003</v>
      </c>
      <c r="D280" s="22" t="s">
        <v>800</v>
      </c>
      <c r="E280" s="22"/>
      <c r="F280" s="21" t="s">
        <v>801</v>
      </c>
      <c r="G280" s="21" t="s">
        <v>24</v>
      </c>
      <c r="H280" s="21" t="s">
        <v>25</v>
      </c>
      <c r="I280" s="21" t="s">
        <v>699</v>
      </c>
      <c r="J280" s="22" t="s">
        <v>781</v>
      </c>
      <c r="K280" s="22" t="s">
        <v>101</v>
      </c>
      <c r="L280" s="22" t="s">
        <v>781</v>
      </c>
      <c r="M280" s="23" t="s">
        <v>143</v>
      </c>
      <c r="N280" s="23" t="s">
        <v>103</v>
      </c>
      <c r="O280" s="24"/>
      <c r="P280" s="24"/>
      <c r="Q280" s="24"/>
      <c r="R280" s="25"/>
      <c r="S280" s="25"/>
      <c r="T280" s="56"/>
      <c r="U280" s="56"/>
    </row>
    <row r="281" spans="1:21">
      <c r="A281" s="21" t="n">
        <v>278</v>
      </c>
      <c r="B281" s="21">
        <f>E281</f>
        <v>0</v>
      </c>
      <c r="C281" s="21" t="str">
        <f>F281</f>
        <v>19930920 202012 2 016</v>
      </c>
      <c r="D281" s="22" t="s">
        <v>802</v>
      </c>
      <c r="E281" s="22"/>
      <c r="F281" s="21" t="s">
        <v>803</v>
      </c>
      <c r="G281" s="21" t="s">
        <v>24</v>
      </c>
      <c r="H281" s="21" t="s">
        <v>25</v>
      </c>
      <c r="I281" s="21" t="s">
        <v>699</v>
      </c>
      <c r="J281" s="23" t="s">
        <v>724</v>
      </c>
      <c r="K281" s="27" t="s">
        <v>96</v>
      </c>
      <c r="L281" s="22" t="s">
        <v>724</v>
      </c>
      <c r="M281" s="28" t="s">
        <v>181</v>
      </c>
      <c r="N281" s="23" t="s">
        <v>97</v>
      </c>
      <c r="O281" s="24"/>
      <c r="P281" s="24"/>
      <c r="Q281" s="24"/>
      <c r="R281" s="25"/>
      <c r="S281" s="25"/>
      <c r="T281" s="56"/>
      <c r="U281" s="56"/>
    </row>
    <row r="282" spans="1:21">
      <c r="A282" s="21" t="n">
        <v>279</v>
      </c>
      <c r="B282" s="21">
        <f>E282</f>
        <v>0</v>
      </c>
      <c r="C282" s="21" t="str">
        <f>F282</f>
        <v>19720505 201001 1 001</v>
      </c>
      <c r="D282" s="22" t="s">
        <v>804</v>
      </c>
      <c r="E282" s="22"/>
      <c r="F282" s="21" t="s">
        <v>805</v>
      </c>
      <c r="G282" s="21" t="s">
        <v>33</v>
      </c>
      <c r="H282" s="21" t="s">
        <v>25</v>
      </c>
      <c r="I282" s="21" t="s">
        <v>699</v>
      </c>
      <c r="J282" s="22" t="s">
        <v>672</v>
      </c>
      <c r="K282" s="22" t="s">
        <v>28</v>
      </c>
      <c r="L282" s="25" t="s">
        <v>673</v>
      </c>
      <c r="M282" s="23" t="s">
        <v>157</v>
      </c>
      <c r="N282" s="23" t="s">
        <v>245</v>
      </c>
      <c r="O282" s="24"/>
      <c r="P282" s="24"/>
      <c r="Q282" s="24"/>
      <c r="R282" s="25"/>
      <c r="S282" s="25"/>
      <c r="T282" s="56"/>
      <c r="U282" s="56"/>
    </row>
    <row r="283" spans="1:21">
      <c r="A283" s="21" t="n">
        <v>280</v>
      </c>
      <c r="B283" s="21">
        <f>E283</f>
        <v>0</v>
      </c>
      <c r="C283" s="21" t="str">
        <f>F283</f>
        <v>19690628 201001 2 001</v>
      </c>
      <c r="D283" s="22" t="s">
        <v>806</v>
      </c>
      <c r="E283" s="22"/>
      <c r="F283" s="21" t="s">
        <v>807</v>
      </c>
      <c r="G283" s="21" t="s">
        <v>24</v>
      </c>
      <c r="H283" s="21" t="s">
        <v>25</v>
      </c>
      <c r="I283" s="21" t="s">
        <v>699</v>
      </c>
      <c r="J283" s="22" t="s">
        <v>536</v>
      </c>
      <c r="K283" s="22" t="s">
        <v>28</v>
      </c>
      <c r="L283" s="25" t="s">
        <v>673</v>
      </c>
      <c r="M283" s="23" t="s">
        <v>157</v>
      </c>
      <c r="N283" s="23" t="s">
        <v>245</v>
      </c>
      <c r="O283" s="24"/>
      <c r="P283" s="24"/>
      <c r="Q283" s="24"/>
      <c r="R283" s="25"/>
      <c r="S283" s="25"/>
      <c r="T283" s="56"/>
      <c r="U283" s="56"/>
    </row>
    <row r="284" spans="1:21">
      <c r="A284" s="21" t="n">
        <v>281</v>
      </c>
      <c r="B284" s="21">
        <f>E284</f>
        <v>0</v>
      </c>
      <c r="C284" s="21" t="str">
        <f>F284</f>
        <v>19750609 200801 1 011</v>
      </c>
      <c r="D284" s="22" t="s">
        <v>808</v>
      </c>
      <c r="E284" s="22"/>
      <c r="F284" s="21" t="s">
        <v>809</v>
      </c>
      <c r="G284" s="21" t="s">
        <v>33</v>
      </c>
      <c r="H284" s="21" t="s">
        <v>25</v>
      </c>
      <c r="I284" s="21" t="s">
        <v>699</v>
      </c>
      <c r="J284" s="22" t="s">
        <v>536</v>
      </c>
      <c r="K284" s="22" t="s">
        <v>28</v>
      </c>
      <c r="L284" s="25" t="s">
        <v>673</v>
      </c>
      <c r="M284" s="23" t="s">
        <v>157</v>
      </c>
      <c r="N284" s="23" t="s">
        <v>245</v>
      </c>
      <c r="O284" s="24"/>
      <c r="P284" s="24"/>
      <c r="Q284" s="24"/>
      <c r="R284" s="25"/>
      <c r="S284" s="25"/>
      <c r="T284" s="56"/>
      <c r="U284" s="56"/>
    </row>
    <row r="285" spans="1:21">
      <c r="A285" s="21" t="n">
        <v>282</v>
      </c>
      <c r="B285" s="21">
        <f>E285</f>
        <v>0</v>
      </c>
      <c r="C285" s="21" t="str">
        <f>F285</f>
        <v>19810810 200903 1 001</v>
      </c>
      <c r="D285" s="22" t="s">
        <v>810</v>
      </c>
      <c r="E285" s="22"/>
      <c r="F285" s="21" t="s">
        <v>811</v>
      </c>
      <c r="G285" s="21" t="s">
        <v>33</v>
      </c>
      <c r="H285" s="21" t="s">
        <v>25</v>
      </c>
      <c r="I285" s="21" t="s">
        <v>699</v>
      </c>
      <c r="J285" s="22" t="s">
        <v>672</v>
      </c>
      <c r="K285" s="22" t="s">
        <v>28</v>
      </c>
      <c r="L285" s="25" t="s">
        <v>673</v>
      </c>
      <c r="M285" s="23" t="s">
        <v>157</v>
      </c>
      <c r="N285" s="23" t="s">
        <v>812</v>
      </c>
      <c r="O285" s="24"/>
      <c r="P285" s="24"/>
      <c r="Q285" s="24"/>
      <c r="R285" s="25"/>
      <c r="S285" s="25"/>
      <c r="T285" s="56"/>
      <c r="U285" s="56"/>
    </row>
    <row r="286" spans="1:21">
      <c r="A286" s="21" t="n">
        <v>283</v>
      </c>
      <c r="B286" s="21">
        <f>E286</f>
        <v>0</v>
      </c>
      <c r="C286" s="21" t="str">
        <f>F286</f>
        <v>19800301 200903 1 001</v>
      </c>
      <c r="D286" s="22" t="s">
        <v>813</v>
      </c>
      <c r="E286" s="22"/>
      <c r="F286" s="21" t="s">
        <v>814</v>
      </c>
      <c r="G286" s="21" t="s">
        <v>33</v>
      </c>
      <c r="H286" s="21" t="s">
        <v>25</v>
      </c>
      <c r="I286" s="21" t="s">
        <v>815</v>
      </c>
      <c r="J286" s="22" t="s">
        <v>536</v>
      </c>
      <c r="K286" s="22" t="s">
        <v>28</v>
      </c>
      <c r="L286" s="25" t="s">
        <v>673</v>
      </c>
      <c r="M286" s="23" t="s">
        <v>157</v>
      </c>
      <c r="N286" s="23" t="s">
        <v>245</v>
      </c>
      <c r="O286" s="24"/>
      <c r="P286" s="24"/>
      <c r="Q286" s="24"/>
      <c r="R286" s="25"/>
      <c r="S286" s="25"/>
      <c r="T286" s="56"/>
      <c r="U286" s="56"/>
    </row>
    <row r="287" spans="1:21">
      <c r="A287" s="21" t="n">
        <v>284</v>
      </c>
      <c r="B287" s="21">
        <f>E287</f>
        <v>0</v>
      </c>
      <c r="C287" s="21" t="str">
        <f>F287</f>
        <v>19830705 200903 1 001</v>
      </c>
      <c r="D287" s="22" t="s">
        <v>816</v>
      </c>
      <c r="E287" s="22"/>
      <c r="F287" s="21" t="s">
        <v>817</v>
      </c>
      <c r="G287" s="21" t="s">
        <v>33</v>
      </c>
      <c r="H287" s="21" t="s">
        <v>25</v>
      </c>
      <c r="I287" s="21" t="s">
        <v>815</v>
      </c>
      <c r="J287" s="22" t="s">
        <v>818</v>
      </c>
      <c r="K287" s="22" t="s">
        <v>28</v>
      </c>
      <c r="L287" s="25" t="s">
        <v>673</v>
      </c>
      <c r="M287" s="23" t="s">
        <v>157</v>
      </c>
      <c r="N287" s="23" t="s">
        <v>523</v>
      </c>
      <c r="O287" s="24"/>
      <c r="P287" s="24"/>
      <c r="Q287" s="24"/>
      <c r="R287" s="25"/>
      <c r="S287" s="25"/>
      <c r="T287" s="56"/>
      <c r="U287" s="56"/>
    </row>
    <row r="288" spans="1:21">
      <c r="A288" s="21" t="n">
        <v>285</v>
      </c>
      <c r="B288" s="21">
        <f>E288</f>
        <v>0</v>
      </c>
      <c r="C288" s="21" t="str">
        <f>F288</f>
        <v>19820610 201001 2 001</v>
      </c>
      <c r="D288" s="22" t="s">
        <v>819</v>
      </c>
      <c r="E288" s="22"/>
      <c r="F288" s="21" t="s">
        <v>820</v>
      </c>
      <c r="G288" s="21" t="s">
        <v>24</v>
      </c>
      <c r="H288" s="21" t="s">
        <v>25</v>
      </c>
      <c r="I288" s="21" t="s">
        <v>821</v>
      </c>
      <c r="J288" s="22" t="s">
        <v>672</v>
      </c>
      <c r="K288" s="22" t="s">
        <v>28</v>
      </c>
      <c r="L288" s="25" t="s">
        <v>822</v>
      </c>
      <c r="M288" s="23" t="s">
        <v>823</v>
      </c>
      <c r="N288" s="23" t="s">
        <v>245</v>
      </c>
      <c r="O288" s="24"/>
      <c r="P288" s="24"/>
      <c r="Q288" s="24"/>
      <c r="R288" s="25"/>
      <c r="S288" s="25"/>
      <c r="T288" s="56"/>
      <c r="U288" s="56"/>
    </row>
    <row r="289" spans="1:19" s="56" customFormat="1">
      <c r="A289" s="21" t="n">
        <v>286</v>
      </c>
      <c r="B289" s="21">
        <f>E289</f>
        <v>0</v>
      </c>
      <c r="C289" s="21" t="str">
        <f>F289</f>
        <v>19850507 200903 1 001</v>
      </c>
      <c r="D289" s="22" t="s">
        <v>824</v>
      </c>
      <c r="E289" s="22"/>
      <c r="F289" s="21" t="s">
        <v>825</v>
      </c>
      <c r="G289" s="21" t="s">
        <v>33</v>
      </c>
      <c r="H289" s="21" t="s">
        <v>25</v>
      </c>
      <c r="I289" s="21" t="s">
        <v>826</v>
      </c>
      <c r="J289" s="22" t="s">
        <v>827</v>
      </c>
      <c r="K289" s="22" t="s">
        <v>28</v>
      </c>
      <c r="L289" s="25" t="s">
        <v>822</v>
      </c>
      <c r="M289" s="23" t="s">
        <v>828</v>
      </c>
      <c r="N289" s="23" t="s">
        <v>696</v>
      </c>
      <c r="O289" s="24"/>
      <c r="P289" s="24"/>
      <c r="Q289" s="24"/>
      <c r="R289" s="25"/>
      <c r="S289" s="25"/>
    </row>
    <row r="290" spans="1:19" s="56" customFormat="1">
      <c r="A290" s="21" t="n">
        <v>287</v>
      </c>
      <c r="B290" s="21">
        <f>E290</f>
        <v>0</v>
      </c>
      <c r="C290" s="21" t="str">
        <f>F290</f>
        <v>197906262014121001</v>
      </c>
      <c r="D290" s="22" t="s">
        <v>829</v>
      </c>
      <c r="E290" s="22"/>
      <c r="F290" s="159" t="s">
        <v>830</v>
      </c>
      <c r="G290" s="21" t="s">
        <v>33</v>
      </c>
      <c r="H290" s="21" t="s">
        <v>25</v>
      </c>
      <c r="I290" s="21" t="s">
        <v>831</v>
      </c>
      <c r="J290" s="22" t="s">
        <v>832</v>
      </c>
      <c r="K290" s="27" t="s">
        <v>66</v>
      </c>
      <c r="L290" s="22" t="s">
        <v>832</v>
      </c>
      <c r="M290" s="23" t="s">
        <v>833</v>
      </c>
      <c r="N290" s="23" t="s">
        <v>834</v>
      </c>
      <c r="O290" s="24"/>
      <c r="P290" s="24"/>
      <c r="Q290" s="24"/>
      <c r="R290" s="25"/>
      <c r="S290" s="25"/>
    </row>
    <row r="291" spans="1:19" s="56" customFormat="1">
      <c r="A291" s="21" t="n">
        <v>288</v>
      </c>
      <c r="B291" s="21">
        <f>E291</f>
        <v>0</v>
      </c>
      <c r="C291" s="21" t="str">
        <f>F291</f>
        <v>19760901 200501 2 014</v>
      </c>
      <c r="D291" s="22" t="s">
        <v>835</v>
      </c>
      <c r="E291" s="22"/>
      <c r="F291" s="21" t="s">
        <v>836</v>
      </c>
      <c r="G291" s="21" t="s">
        <v>24</v>
      </c>
      <c r="H291" s="21" t="s">
        <v>25</v>
      </c>
      <c r="I291" s="21" t="s">
        <v>831</v>
      </c>
      <c r="J291" s="23" t="s">
        <v>837</v>
      </c>
      <c r="K291" s="27" t="s">
        <v>96</v>
      </c>
      <c r="L291" s="23" t="s">
        <v>837</v>
      </c>
      <c r="M291" s="23" t="s">
        <v>161</v>
      </c>
      <c r="N291" s="23" t="s">
        <v>461</v>
      </c>
      <c r="O291" s="24"/>
      <c r="P291" s="24"/>
      <c r="Q291" s="24"/>
      <c r="R291" s="25"/>
      <c r="S291" s="25"/>
    </row>
    <row r="292" spans="1:19" s="56" customFormat="1">
      <c r="A292" s="21" t="n">
        <v>289</v>
      </c>
      <c r="B292" s="21">
        <f>E292</f>
        <v>0</v>
      </c>
      <c r="C292" s="21" t="str">
        <f>F292</f>
        <v>19880410 201411 2 001</v>
      </c>
      <c r="D292" s="22" t="s">
        <v>838</v>
      </c>
      <c r="E292" s="22"/>
      <c r="F292" s="159" t="s">
        <v>839</v>
      </c>
      <c r="G292" s="21" t="s">
        <v>24</v>
      </c>
      <c r="H292" s="21" t="s">
        <v>25</v>
      </c>
      <c r="I292" s="21" t="s">
        <v>831</v>
      </c>
      <c r="J292" s="23" t="s">
        <v>840</v>
      </c>
      <c r="K292" s="27" t="s">
        <v>66</v>
      </c>
      <c r="L292" s="23" t="s">
        <v>840</v>
      </c>
      <c r="M292" s="23" t="s">
        <v>841</v>
      </c>
      <c r="N292" s="23" t="s">
        <v>842</v>
      </c>
      <c r="O292" s="24"/>
      <c r="P292" s="24"/>
      <c r="Q292" s="24"/>
      <c r="R292" s="25"/>
      <c r="S292" s="25"/>
    </row>
    <row r="293" spans="1:21" s="71" customFormat="1">
      <c r="A293" s="21" t="n">
        <v>290</v>
      </c>
      <c r="B293" s="21">
        <f>E293</f>
        <v>0</v>
      </c>
      <c r="C293" s="21" t="str">
        <f>F293</f>
        <v>19740226 199503 1 001</v>
      </c>
      <c r="D293" s="22" t="s">
        <v>843</v>
      </c>
      <c r="E293" s="22"/>
      <c r="F293" s="159" t="s">
        <v>844</v>
      </c>
      <c r="G293" s="21" t="s">
        <v>33</v>
      </c>
      <c r="H293" s="21" t="s">
        <v>25</v>
      </c>
      <c r="I293" s="21" t="s">
        <v>831</v>
      </c>
      <c r="J293" s="23" t="s">
        <v>845</v>
      </c>
      <c r="K293" s="22" t="s">
        <v>132</v>
      </c>
      <c r="L293" s="23" t="s">
        <v>845</v>
      </c>
      <c r="M293" s="23" t="s">
        <v>444</v>
      </c>
      <c r="N293" s="23" t="s">
        <v>846</v>
      </c>
      <c r="O293" s="24"/>
      <c r="P293" s="24"/>
      <c r="Q293" s="24"/>
      <c r="R293" s="25"/>
      <c r="S293" s="25"/>
      <c r="T293" s="56"/>
      <c r="U293" s="56"/>
    </row>
    <row r="294" spans="1:21" s="71" customFormat="1">
      <c r="A294" s="21" t="n">
        <v>291</v>
      </c>
      <c r="B294" s="21">
        <f>E294</f>
        <v>0</v>
      </c>
      <c r="C294" s="21" t="str">
        <f>F294</f>
        <v>1860615 202012 2 010</v>
      </c>
      <c r="D294" s="22" t="s">
        <v>847</v>
      </c>
      <c r="E294" s="22"/>
      <c r="F294" s="21" t="s">
        <v>848</v>
      </c>
      <c r="G294" s="21" t="s">
        <v>24</v>
      </c>
      <c r="H294" s="21" t="s">
        <v>25</v>
      </c>
      <c r="I294" s="21" t="s">
        <v>849</v>
      </c>
      <c r="J294" s="23" t="s">
        <v>850</v>
      </c>
      <c r="K294" s="27" t="s">
        <v>96</v>
      </c>
      <c r="L294" s="23" t="s">
        <v>850</v>
      </c>
      <c r="M294" s="23" t="s">
        <v>274</v>
      </c>
      <c r="N294" s="29" t="s">
        <v>851</v>
      </c>
      <c r="O294" s="24"/>
      <c r="P294" s="24"/>
      <c r="Q294" s="24"/>
      <c r="R294" s="25"/>
      <c r="S294" s="25"/>
      <c r="T294" s="56"/>
      <c r="U294" s="56"/>
    </row>
    <row r="295" spans="1:21" s="71" customFormat="1">
      <c r="A295" s="21" t="n">
        <v>292</v>
      </c>
      <c r="B295" s="21">
        <f>E295</f>
        <v>0</v>
      </c>
      <c r="C295" s="21" t="str">
        <f>F295</f>
        <v>19890617 202203 1003</v>
      </c>
      <c r="D295" s="22" t="s">
        <v>852</v>
      </c>
      <c r="E295" s="22"/>
      <c r="F295" s="21" t="s">
        <v>853</v>
      </c>
      <c r="G295" s="21" t="s">
        <v>33</v>
      </c>
      <c r="H295" s="21" t="s">
        <v>25</v>
      </c>
      <c r="I295" s="21" t="s">
        <v>854</v>
      </c>
      <c r="J295" s="23" t="s">
        <v>695</v>
      </c>
      <c r="K295" s="27" t="s">
        <v>96</v>
      </c>
      <c r="L295" s="22" t="s">
        <v>724</v>
      </c>
      <c r="M295" s="23" t="s">
        <v>181</v>
      </c>
      <c r="N295" s="23" t="s">
        <v>168</v>
      </c>
      <c r="O295" s="24"/>
      <c r="P295" s="24"/>
      <c r="Q295" s="24"/>
      <c r="R295" s="25"/>
      <c r="S295" s="25"/>
      <c r="T295" s="56"/>
      <c r="U295" s="56"/>
    </row>
    <row r="296" spans="1:21" s="71" customFormat="1">
      <c r="A296" s="21" t="n">
        <v>293</v>
      </c>
      <c r="B296" s="21">
        <f>E296</f>
        <v>0</v>
      </c>
      <c r="C296" s="21" t="str">
        <f>F296</f>
        <v>19910105 202203 2 003</v>
      </c>
      <c r="D296" s="22" t="s">
        <v>855</v>
      </c>
      <c r="E296" s="22"/>
      <c r="F296" s="21" t="s">
        <v>856</v>
      </c>
      <c r="G296" s="21" t="s">
        <v>24</v>
      </c>
      <c r="H296" s="21" t="s">
        <v>25</v>
      </c>
      <c r="I296" s="21" t="s">
        <v>854</v>
      </c>
      <c r="J296" s="23" t="s">
        <v>695</v>
      </c>
      <c r="K296" s="27" t="s">
        <v>96</v>
      </c>
      <c r="L296" s="22" t="s">
        <v>724</v>
      </c>
      <c r="M296" s="23" t="s">
        <v>181</v>
      </c>
      <c r="N296" s="23" t="s">
        <v>225</v>
      </c>
      <c r="O296" s="24"/>
      <c r="P296" s="24"/>
      <c r="Q296" s="24"/>
      <c r="R296" s="25"/>
      <c r="S296" s="25"/>
      <c r="T296" s="56"/>
      <c r="U296" s="56"/>
    </row>
    <row r="297" spans="1:21" s="71" customFormat="1">
      <c r="A297" s="21" t="n">
        <v>294</v>
      </c>
      <c r="B297" s="21">
        <f>E297</f>
        <v>0</v>
      </c>
      <c r="C297" s="21" t="str">
        <f>F297</f>
        <v>19930201 202012 1 013</v>
      </c>
      <c r="D297" s="22" t="s">
        <v>857</v>
      </c>
      <c r="E297" s="22"/>
      <c r="F297" s="21" t="s">
        <v>858</v>
      </c>
      <c r="G297" s="21" t="s">
        <v>33</v>
      </c>
      <c r="H297" s="21" t="s">
        <v>25</v>
      </c>
      <c r="I297" s="21" t="s">
        <v>854</v>
      </c>
      <c r="J297" s="23" t="s">
        <v>695</v>
      </c>
      <c r="K297" s="27" t="s">
        <v>96</v>
      </c>
      <c r="L297" s="22" t="s">
        <v>724</v>
      </c>
      <c r="M297" s="23" t="s">
        <v>181</v>
      </c>
      <c r="N297" s="23" t="s">
        <v>275</v>
      </c>
      <c r="O297" s="24"/>
      <c r="P297" s="24"/>
      <c r="Q297" s="24"/>
      <c r="R297" s="25"/>
      <c r="S297" s="25"/>
      <c r="T297" s="56"/>
      <c r="U297" s="56"/>
    </row>
    <row r="298" spans="1:21" s="71" customFormat="1">
      <c r="A298" s="21" t="n">
        <v>295</v>
      </c>
      <c r="B298" s="21">
        <f>E298</f>
        <v>0</v>
      </c>
      <c r="C298" s="21" t="str">
        <f>F298</f>
        <v>19851101 201412 2 001</v>
      </c>
      <c r="D298" s="22" t="s">
        <v>859</v>
      </c>
      <c r="E298" s="22"/>
      <c r="F298" s="21" t="s">
        <v>860</v>
      </c>
      <c r="G298" s="21" t="s">
        <v>24</v>
      </c>
      <c r="H298" s="21" t="s">
        <v>25</v>
      </c>
      <c r="I298" s="21" t="s">
        <v>831</v>
      </c>
      <c r="J298" s="23" t="s">
        <v>861</v>
      </c>
      <c r="K298" s="27"/>
      <c r="L298" s="22"/>
      <c r="M298" s="23" t="s">
        <v>862</v>
      </c>
      <c r="N298" s="23" t="s">
        <v>83</v>
      </c>
      <c r="O298" s="24"/>
      <c r="P298" s="24"/>
      <c r="Q298" s="24"/>
      <c r="R298" s="25"/>
      <c r="S298" s="25"/>
      <c r="T298" s="56"/>
      <c r="U298" s="56"/>
    </row>
    <row r="299" spans="1:21">
      <c r="A299" s="21" t="n">
        <v>296</v>
      </c>
      <c r="B299" s="21">
        <f>E299</f>
        <v>0</v>
      </c>
      <c r="C299" s="21" t="str">
        <f>F299</f>
        <v>199104142025031001</v>
      </c>
      <c r="D299" s="22" t="s">
        <v>863</v>
      </c>
      <c r="E299" s="22"/>
      <c r="F299" s="162" t="s">
        <v>864</v>
      </c>
      <c r="G299" s="21" t="s">
        <v>33</v>
      </c>
      <c r="H299" s="21" t="s">
        <v>25</v>
      </c>
      <c r="I299" s="21" t="s">
        <v>849</v>
      </c>
      <c r="J299" s="22" t="s">
        <v>865</v>
      </c>
      <c r="K299" s="27" t="s">
        <v>66</v>
      </c>
      <c r="L299" s="22" t="s">
        <v>866</v>
      </c>
      <c r="M299" s="23" t="s">
        <v>867</v>
      </c>
      <c r="N299" s="23" t="s">
        <v>325</v>
      </c>
      <c r="O299" s="24" t="e">
        <f aca="1">DATEDIF(F299,TODAY(),"Y")</f>
        <v>#NUM!</v>
      </c>
      <c r="P299" s="24" t="e">
        <f aca="1">DATEDIF(F299,TODAY(),"YM")</f>
        <v>#NUM!</v>
      </c>
      <c r="Q299" s="24" t="e">
        <f aca="1">DATEDIF(F299,NOW(),"Y")&amp;" Tahun "&amp;DATEDIF(F299,NOW(),"YM")&amp;" Bulan "&amp;DATEDIF(F299,NOW(),"MD")&amp;" Hari "</f>
        <v>#NUM!</v>
      </c>
      <c r="R299" s="25"/>
      <c r="S299" s="25"/>
      <c r="T299" s="51" t="n">
        <v>3750000</v>
      </c>
      <c r="U299" s="33" t="n">
        <v>3750000</v>
      </c>
    </row>
    <row r="300" spans="1:21">
      <c r="A300" s="21" t="n">
        <v>297</v>
      </c>
      <c r="B300" s="21">
        <f>E300</f>
        <v>0</v>
      </c>
      <c r="C300" s="21" t="str">
        <f>F300</f>
        <v>198709032025031001</v>
      </c>
      <c r="D300" s="22" t="s">
        <v>868</v>
      </c>
      <c r="E300" s="22"/>
      <c r="F300" s="161" t="s">
        <v>869</v>
      </c>
      <c r="G300" s="21" t="s">
        <v>33</v>
      </c>
      <c r="H300" s="21" t="s">
        <v>25</v>
      </c>
      <c r="I300" s="21" t="s">
        <v>849</v>
      </c>
      <c r="J300" s="22" t="s">
        <v>870</v>
      </c>
      <c r="K300" s="27" t="s">
        <v>66</v>
      </c>
      <c r="L300" s="22" t="s">
        <v>871</v>
      </c>
      <c r="M300" s="23" t="s">
        <v>872</v>
      </c>
      <c r="N300" s="23" t="s">
        <v>168</v>
      </c>
      <c r="O300" s="24" t="e">
        <f aca="1">DATEDIF(F300,TODAY(),"Y")</f>
        <v>#NUM!</v>
      </c>
      <c r="P300" s="24" t="e">
        <f aca="1">DATEDIF(F300,TODAY(),"YM")</f>
        <v>#NUM!</v>
      </c>
      <c r="Q300" s="24" t="e">
        <f aca="1">DATEDIF(F300,NOW(),"Y")&amp;" Tahun "&amp;DATEDIF(F300,NOW(),"YM")&amp;" Bulan "&amp;DATEDIF(F300,NOW(),"MD")&amp;" Hari "</f>
        <v>#NUM!</v>
      </c>
      <c r="R300" s="25"/>
      <c r="S300" s="25"/>
      <c r="T300" s="51" t="n">
        <v>8200000</v>
      </c>
      <c r="U300" s="33" t="n">
        <v>8200000</v>
      </c>
    </row>
    <row r="301" spans="1:21" s="71" customFormat="1">
      <c r="A301" s="21" t="n">
        <v>298</v>
      </c>
      <c r="B301" s="21">
        <f>E301</f>
        <v>0</v>
      </c>
      <c r="C301" s="21" t="str">
        <f>F301</f>
        <v>199906032025032001</v>
      </c>
      <c r="D301" s="22" t="s">
        <v>873</v>
      </c>
      <c r="E301" s="22"/>
      <c r="F301" s="159" t="s">
        <v>874</v>
      </c>
      <c r="G301" s="21" t="s">
        <v>24</v>
      </c>
      <c r="H301" s="21" t="s">
        <v>25</v>
      </c>
      <c r="I301" s="21" t="s">
        <v>875</v>
      </c>
      <c r="J301" s="23" t="s">
        <v>876</v>
      </c>
      <c r="K301" s="27"/>
      <c r="L301" s="22"/>
      <c r="M301" s="23" t="s">
        <v>877</v>
      </c>
      <c r="N301" s="23" t="s">
        <v>61</v>
      </c>
      <c r="O301" s="24"/>
      <c r="P301" s="24"/>
      <c r="Q301" s="24"/>
      <c r="R301" s="25"/>
      <c r="S301" s="25"/>
      <c r="T301" s="56"/>
      <c r="U301" s="56"/>
    </row>
    <row r="302" spans="1:21">
      <c r="A302" s="21" t="n">
        <v>299</v>
      </c>
      <c r="B302" s="21">
        <f>E302</f>
        <v>0</v>
      </c>
      <c r="C302" s="21" t="str">
        <f>F302</f>
        <v>198406142022211001</v>
      </c>
      <c r="D302" s="34" t="s">
        <v>878</v>
      </c>
      <c r="E302" s="34"/>
      <c r="F302" s="161" t="s">
        <v>879</v>
      </c>
      <c r="G302" s="21" t="s">
        <v>33</v>
      </c>
      <c r="H302" s="21" t="s">
        <v>880</v>
      </c>
      <c r="I302" s="35" t="s">
        <v>881</v>
      </c>
      <c r="J302" s="23" t="s">
        <v>724</v>
      </c>
      <c r="K302" s="27" t="s">
        <v>96</v>
      </c>
      <c r="L302" s="22" t="s">
        <v>724</v>
      </c>
      <c r="M302" s="28" t="s">
        <v>181</v>
      </c>
      <c r="N302" s="23" t="s">
        <v>168</v>
      </c>
      <c r="O302" s="24"/>
      <c r="P302" s="24"/>
      <c r="Q302" s="24" t="str">
        <f aca="1">DATEDIF(R302,NOW(),"Y")&amp;" Tahun "&amp;DATEDIF(R302,NOW(),"YM")&amp;" Bulan "&amp;DATEDIF(R302,NOW(),"MD")&amp;" Hari "</f>
        <v>3 Tahun 9 Bulan 6 Hari </v>
      </c>
      <c r="R302" s="36" t="n">
        <v>44562</v>
      </c>
      <c r="S302" s="36" t="n">
        <v>46387</v>
      </c>
      <c r="T302" s="56"/>
      <c r="U302" s="56"/>
    </row>
    <row r="303" spans="1:21">
      <c r="A303" s="21" t="n">
        <v>300</v>
      </c>
      <c r="B303" s="21">
        <f>E303</f>
        <v>0</v>
      </c>
      <c r="C303" s="21" t="str">
        <f>F303</f>
        <v>198306052022212002</v>
      </c>
      <c r="D303" s="37" t="s">
        <v>882</v>
      </c>
      <c r="E303" s="37"/>
      <c r="F303" s="161" t="s">
        <v>883</v>
      </c>
      <c r="G303" s="21" t="s">
        <v>24</v>
      </c>
      <c r="H303" s="21" t="s">
        <v>880</v>
      </c>
      <c r="I303" s="35" t="s">
        <v>881</v>
      </c>
      <c r="J303" s="23" t="s">
        <v>724</v>
      </c>
      <c r="K303" s="27" t="s">
        <v>96</v>
      </c>
      <c r="L303" s="22" t="s">
        <v>724</v>
      </c>
      <c r="M303" s="28" t="s">
        <v>181</v>
      </c>
      <c r="N303" s="29" t="s">
        <v>385</v>
      </c>
      <c r="O303" s="24"/>
      <c r="P303" s="24"/>
      <c r="Q303" s="24" t="str">
        <f aca="1">DATEDIF(R303,NOW(),"Y")&amp;" Tahun "&amp;DATEDIF(R303,NOW(),"YM")&amp;" Bulan "&amp;DATEDIF(R303,NOW(),"MD")&amp;" Hari "</f>
        <v>3 Tahun 9 Bulan 6 Hari </v>
      </c>
      <c r="R303" s="36" t="n">
        <v>44562</v>
      </c>
      <c r="S303" s="36" t="n">
        <v>46387</v>
      </c>
      <c r="T303" s="56"/>
      <c r="U303" s="56"/>
    </row>
    <row r="304" spans="1:21">
      <c r="A304" s="21" t="n">
        <v>301</v>
      </c>
      <c r="B304" s="21">
        <f>E304</f>
        <v>0</v>
      </c>
      <c r="C304" s="21" t="str">
        <f>F304</f>
        <v>198112062022211001</v>
      </c>
      <c r="D304" s="34" t="s">
        <v>884</v>
      </c>
      <c r="E304" s="34"/>
      <c r="F304" s="161" t="s">
        <v>885</v>
      </c>
      <c r="G304" s="21" t="s">
        <v>33</v>
      </c>
      <c r="H304" s="21" t="s">
        <v>880</v>
      </c>
      <c r="I304" s="35" t="s">
        <v>881</v>
      </c>
      <c r="J304" s="23" t="s">
        <v>724</v>
      </c>
      <c r="K304" s="27" t="s">
        <v>96</v>
      </c>
      <c r="L304" s="22" t="s">
        <v>724</v>
      </c>
      <c r="M304" s="28" t="s">
        <v>181</v>
      </c>
      <c r="N304" s="23" t="s">
        <v>168</v>
      </c>
      <c r="O304" s="24"/>
      <c r="P304" s="24"/>
      <c r="Q304" s="24" t="str">
        <f aca="1">DATEDIF(R304,NOW(),"Y")&amp;" Tahun "&amp;DATEDIF(R304,NOW(),"YM")&amp;" Bulan "&amp;DATEDIF(R304,NOW(),"MD")&amp;" Hari "</f>
        <v>3 Tahun 9 Bulan 6 Hari </v>
      </c>
      <c r="R304" s="36" t="n">
        <v>44562</v>
      </c>
      <c r="S304" s="36" t="n">
        <v>46387</v>
      </c>
      <c r="T304" s="56"/>
      <c r="U304" s="56"/>
    </row>
    <row r="305" spans="1:21">
      <c r="A305" s="21" t="n">
        <v>302</v>
      </c>
      <c r="B305" s="21">
        <f>E305</f>
        <v>0</v>
      </c>
      <c r="C305" s="21" t="str">
        <f>F305</f>
        <v>198811162022212001</v>
      </c>
      <c r="D305" s="34" t="s">
        <v>886</v>
      </c>
      <c r="E305" s="34"/>
      <c r="F305" s="161" t="s">
        <v>887</v>
      </c>
      <c r="G305" s="21" t="s">
        <v>24</v>
      </c>
      <c r="H305" s="21" t="s">
        <v>880</v>
      </c>
      <c r="I305" s="38" t="s">
        <v>888</v>
      </c>
      <c r="J305" s="23" t="s">
        <v>291</v>
      </c>
      <c r="K305" s="27" t="s">
        <v>96</v>
      </c>
      <c r="L305" s="23" t="s">
        <v>291</v>
      </c>
      <c r="M305" s="23" t="s">
        <v>161</v>
      </c>
      <c r="N305" s="23" t="s">
        <v>382</v>
      </c>
      <c r="O305" s="24"/>
      <c r="P305" s="24"/>
      <c r="Q305" s="24" t="str">
        <f aca="1">DATEDIF(R305,NOW(),"Y")&amp;" Tahun "&amp;DATEDIF(R305,NOW(),"YM")&amp;" Bulan "&amp;DATEDIF(R305,NOW(),"MD")&amp;" Hari "</f>
        <v>3 Tahun 9 Bulan 6 Hari </v>
      </c>
      <c r="R305" s="36" t="n">
        <v>44562</v>
      </c>
      <c r="S305" s="36" t="n">
        <v>46387</v>
      </c>
      <c r="T305" s="56"/>
      <c r="U305" s="56"/>
    </row>
    <row r="306" spans="1:21">
      <c r="A306" s="21" t="n">
        <v>303</v>
      </c>
      <c r="B306" s="21">
        <f>E306</f>
        <v>0</v>
      </c>
      <c r="C306" s="21" t="str">
        <f>F306</f>
        <v>198501172022212001</v>
      </c>
      <c r="D306" s="34" t="s">
        <v>889</v>
      </c>
      <c r="E306" s="34"/>
      <c r="F306" s="161" t="s">
        <v>890</v>
      </c>
      <c r="G306" s="21" t="s">
        <v>24</v>
      </c>
      <c r="H306" s="21" t="s">
        <v>880</v>
      </c>
      <c r="I306" s="35" t="s">
        <v>881</v>
      </c>
      <c r="J306" s="23" t="s">
        <v>724</v>
      </c>
      <c r="K306" s="27" t="s">
        <v>96</v>
      </c>
      <c r="L306" s="22" t="s">
        <v>724</v>
      </c>
      <c r="M306" s="28" t="s">
        <v>181</v>
      </c>
      <c r="N306" s="23" t="s">
        <v>275</v>
      </c>
      <c r="O306" s="24"/>
      <c r="P306" s="24"/>
      <c r="Q306" s="24" t="str">
        <f aca="1">DATEDIF(R306,NOW(),"Y")&amp;" Tahun "&amp;DATEDIF(R306,NOW(),"YM")&amp;" Bulan "&amp;DATEDIF(R306,NOW(),"MD")&amp;" Hari "</f>
        <v>3 Tahun 9 Bulan 6 Hari </v>
      </c>
      <c r="R306" s="36" t="n">
        <v>44562</v>
      </c>
      <c r="S306" s="36" t="n">
        <v>46387</v>
      </c>
      <c r="T306" s="56"/>
      <c r="U306" s="56"/>
    </row>
    <row r="307" spans="1:21">
      <c r="A307" s="21" t="n">
        <v>304</v>
      </c>
      <c r="B307" s="21">
        <f>E307</f>
        <v>0</v>
      </c>
      <c r="C307" s="21" t="str">
        <f>F307</f>
        <v>198705152022212001</v>
      </c>
      <c r="D307" s="34" t="s">
        <v>891</v>
      </c>
      <c r="E307" s="34"/>
      <c r="F307" s="161" t="s">
        <v>892</v>
      </c>
      <c r="G307" s="21" t="s">
        <v>24</v>
      </c>
      <c r="H307" s="21" t="s">
        <v>880</v>
      </c>
      <c r="I307" s="38" t="s">
        <v>888</v>
      </c>
      <c r="J307" s="23" t="s">
        <v>291</v>
      </c>
      <c r="K307" s="27" t="s">
        <v>96</v>
      </c>
      <c r="L307" s="23" t="s">
        <v>291</v>
      </c>
      <c r="M307" s="23" t="s">
        <v>161</v>
      </c>
      <c r="N307" s="23" t="s">
        <v>168</v>
      </c>
      <c r="O307" s="24"/>
      <c r="P307" s="24"/>
      <c r="Q307" s="24" t="str">
        <f aca="1">DATEDIF(R307,NOW(),"Y")&amp;" Tahun "&amp;DATEDIF(R307,NOW(),"YM")&amp;" Bulan "&amp;DATEDIF(R307,NOW(),"MD")&amp;" Hari "</f>
        <v>3 Tahun 9 Bulan 6 Hari </v>
      </c>
      <c r="R307" s="36" t="n">
        <v>44562</v>
      </c>
      <c r="S307" s="36" t="n">
        <v>46387</v>
      </c>
      <c r="T307" s="56"/>
      <c r="U307" s="56"/>
    </row>
    <row r="308" spans="1:21">
      <c r="A308" s="21" t="n">
        <v>305</v>
      </c>
      <c r="B308" s="21">
        <f>E308</f>
        <v>0</v>
      </c>
      <c r="C308" s="21" t="str">
        <f>F308</f>
        <v>198706102022211001</v>
      </c>
      <c r="D308" s="39" t="s">
        <v>893</v>
      </c>
      <c r="E308" s="39"/>
      <c r="F308" s="161" t="s">
        <v>894</v>
      </c>
      <c r="G308" s="21" t="s">
        <v>33</v>
      </c>
      <c r="H308" s="21" t="s">
        <v>880</v>
      </c>
      <c r="I308" s="35" t="s">
        <v>881</v>
      </c>
      <c r="J308" s="23" t="s">
        <v>724</v>
      </c>
      <c r="K308" s="27" t="s">
        <v>96</v>
      </c>
      <c r="L308" s="22" t="s">
        <v>724</v>
      </c>
      <c r="M308" s="28" t="s">
        <v>181</v>
      </c>
      <c r="N308" s="23" t="s">
        <v>168</v>
      </c>
      <c r="O308" s="24"/>
      <c r="P308" s="24"/>
      <c r="Q308" s="24" t="str">
        <f aca="1">DATEDIF(R308,NOW(),"Y")&amp;" Tahun "&amp;DATEDIF(R308,NOW(),"YM")&amp;" Bulan "&amp;DATEDIF(R308,NOW(),"MD")&amp;" Hari "</f>
        <v>3 Tahun 9 Bulan 6 Hari </v>
      </c>
      <c r="R308" s="36" t="n">
        <v>44562</v>
      </c>
      <c r="S308" s="36" t="n">
        <v>46387</v>
      </c>
      <c r="T308" s="56"/>
      <c r="U308" s="56"/>
    </row>
    <row r="309" spans="1:21">
      <c r="A309" s="21" t="n">
        <v>306</v>
      </c>
      <c r="B309" s="21">
        <f>E309</f>
        <v>0</v>
      </c>
      <c r="C309" s="21" t="str">
        <f>F309</f>
        <v>198004272022211001</v>
      </c>
      <c r="D309" s="37" t="s">
        <v>895</v>
      </c>
      <c r="E309" s="37"/>
      <c r="F309" s="161" t="s">
        <v>896</v>
      </c>
      <c r="G309" s="21" t="s">
        <v>33</v>
      </c>
      <c r="H309" s="21" t="s">
        <v>880</v>
      </c>
      <c r="I309" s="35" t="s">
        <v>881</v>
      </c>
      <c r="J309" s="23" t="s">
        <v>724</v>
      </c>
      <c r="K309" s="27" t="s">
        <v>96</v>
      </c>
      <c r="L309" s="22" t="s">
        <v>724</v>
      </c>
      <c r="M309" s="28" t="s">
        <v>181</v>
      </c>
      <c r="N309" s="23" t="s">
        <v>168</v>
      </c>
      <c r="O309" s="24"/>
      <c r="P309" s="24"/>
      <c r="Q309" s="24" t="str">
        <f aca="1">DATEDIF(R309,NOW(),"Y")&amp;" Tahun "&amp;DATEDIF(R309,NOW(),"YM")&amp;" Bulan "&amp;DATEDIF(R309,NOW(),"MD")&amp;" Hari "</f>
        <v>3 Tahun 9 Bulan 6 Hari </v>
      </c>
      <c r="R309" s="36" t="n">
        <v>44562</v>
      </c>
      <c r="S309" s="36" t="n">
        <v>46387</v>
      </c>
      <c r="T309" s="56"/>
      <c r="U309" s="56"/>
    </row>
    <row r="310" spans="1:21">
      <c r="A310" s="21" t="n">
        <v>307</v>
      </c>
      <c r="B310" s="21">
        <f>E310</f>
        <v>0</v>
      </c>
      <c r="C310" s="21" t="str">
        <f>F310</f>
        <v>199003052022211001</v>
      </c>
      <c r="D310" s="22" t="s">
        <v>897</v>
      </c>
      <c r="E310" s="22"/>
      <c r="F310" s="161" t="s">
        <v>898</v>
      </c>
      <c r="G310" s="21" t="s">
        <v>33</v>
      </c>
      <c r="H310" s="21" t="s">
        <v>880</v>
      </c>
      <c r="I310" s="35" t="s">
        <v>881</v>
      </c>
      <c r="J310" s="23" t="s">
        <v>724</v>
      </c>
      <c r="K310" s="27" t="s">
        <v>96</v>
      </c>
      <c r="L310" s="22" t="s">
        <v>724</v>
      </c>
      <c r="M310" s="28" t="s">
        <v>181</v>
      </c>
      <c r="N310" s="23" t="s">
        <v>168</v>
      </c>
      <c r="O310" s="24"/>
      <c r="P310" s="24"/>
      <c r="Q310" s="24" t="str">
        <f aca="1">DATEDIF(R310,NOW(),"Y")&amp;" Tahun "&amp;DATEDIF(R310,NOW(),"YM")&amp;" Bulan "&amp;DATEDIF(R310,NOW(),"MD")&amp;" Hari "</f>
        <v>3 Tahun 9 Bulan 6 Hari </v>
      </c>
      <c r="R310" s="36" t="n">
        <v>44562</v>
      </c>
      <c r="S310" s="36" t="n">
        <v>46387</v>
      </c>
      <c r="T310" s="56"/>
      <c r="U310" s="56"/>
    </row>
    <row r="311" spans="1:21">
      <c r="A311" s="21" t="n">
        <v>308</v>
      </c>
      <c r="B311" s="21">
        <f>E311</f>
        <v>0</v>
      </c>
      <c r="C311" s="21" t="str">
        <f>F311</f>
        <v>198612062023211002</v>
      </c>
      <c r="D311" s="40" t="s">
        <v>899</v>
      </c>
      <c r="E311" s="40"/>
      <c r="F311" s="163" t="s">
        <v>900</v>
      </c>
      <c r="G311" s="21" t="s">
        <v>33</v>
      </c>
      <c r="H311" s="21" t="s">
        <v>880</v>
      </c>
      <c r="I311" s="35" t="s">
        <v>881</v>
      </c>
      <c r="J311" s="28" t="s">
        <v>901</v>
      </c>
      <c r="K311" s="27" t="s">
        <v>96</v>
      </c>
      <c r="L311" s="22" t="s">
        <v>724</v>
      </c>
      <c r="M311" s="28" t="s">
        <v>181</v>
      </c>
      <c r="N311" s="30" t="s">
        <v>197</v>
      </c>
      <c r="O311" s="24"/>
      <c r="P311" s="24"/>
      <c r="Q311" s="24" t="str">
        <f aca="1">DATEDIF(R311,NOW(),"Y")&amp;" Tahun "&amp;DATEDIF(R311,NOW(),"YM")&amp;" Bulan "&amp;DATEDIF(R311,NOW(),"MD")&amp;" Hari "</f>
        <v>2 Tahun 6 Bulan 6 Hari </v>
      </c>
      <c r="R311" s="41" t="n">
        <v>45017</v>
      </c>
      <c r="S311" s="41" t="n">
        <v>46477</v>
      </c>
      <c r="T311" s="56"/>
      <c r="U311" s="56"/>
    </row>
    <row r="312" spans="1:21">
      <c r="A312" s="21" t="n">
        <v>309</v>
      </c>
      <c r="B312" s="21">
        <f>E312</f>
        <v>0</v>
      </c>
      <c r="C312" s="21" t="str">
        <f>F312</f>
        <v>199304222023211002</v>
      </c>
      <c r="D312" s="40" t="s">
        <v>902</v>
      </c>
      <c r="E312" s="40"/>
      <c r="F312" s="163" t="s">
        <v>903</v>
      </c>
      <c r="G312" s="21" t="s">
        <v>33</v>
      </c>
      <c r="H312" s="21" t="s">
        <v>880</v>
      </c>
      <c r="I312" s="35" t="s">
        <v>881</v>
      </c>
      <c r="J312" s="23" t="s">
        <v>724</v>
      </c>
      <c r="K312" s="27" t="s">
        <v>96</v>
      </c>
      <c r="L312" s="22" t="s">
        <v>724</v>
      </c>
      <c r="M312" s="28" t="s">
        <v>181</v>
      </c>
      <c r="N312" s="23" t="s">
        <v>68</v>
      </c>
      <c r="O312" s="24"/>
      <c r="P312" s="24"/>
      <c r="Q312" s="24" t="str">
        <f aca="1">DATEDIF(R312,NOW(),"Y")&amp;" Tahun "&amp;DATEDIF(R312,NOW(),"YM")&amp;" Bulan "&amp;DATEDIF(R312,NOW(),"MD")&amp;" Hari "</f>
        <v>2 Tahun 6 Bulan 6 Hari </v>
      </c>
      <c r="R312" s="41" t="n">
        <v>45017</v>
      </c>
      <c r="S312" s="41" t="n">
        <v>46477</v>
      </c>
      <c r="T312" s="56"/>
      <c r="U312" s="56"/>
    </row>
    <row r="313" spans="1:21">
      <c r="A313" s="21" t="n">
        <v>310</v>
      </c>
      <c r="B313" s="21">
        <f>E313</f>
        <v>0</v>
      </c>
      <c r="C313" s="21" t="str">
        <f>F313</f>
        <v>199501142023211002</v>
      </c>
      <c r="D313" s="40" t="s">
        <v>904</v>
      </c>
      <c r="E313" s="40"/>
      <c r="F313" s="163" t="s">
        <v>905</v>
      </c>
      <c r="G313" s="21" t="s">
        <v>33</v>
      </c>
      <c r="H313" s="21" t="s">
        <v>880</v>
      </c>
      <c r="I313" s="35" t="s">
        <v>881</v>
      </c>
      <c r="J313" s="23" t="s">
        <v>724</v>
      </c>
      <c r="K313" s="27" t="s">
        <v>96</v>
      </c>
      <c r="L313" s="22" t="s">
        <v>724</v>
      </c>
      <c r="M313" s="28" t="s">
        <v>181</v>
      </c>
      <c r="N313" s="23" t="s">
        <v>68</v>
      </c>
      <c r="O313" s="24"/>
      <c r="P313" s="24"/>
      <c r="Q313" s="24" t="str">
        <f aca="1">DATEDIF(R313,NOW(),"Y")&amp;" Tahun "&amp;DATEDIF(R313,NOW(),"YM")&amp;" Bulan "&amp;DATEDIF(R313,NOW(),"MD")&amp;" Hari "</f>
        <v>2 Tahun 6 Bulan 6 Hari </v>
      </c>
      <c r="R313" s="41" t="n">
        <v>45017</v>
      </c>
      <c r="S313" s="41" t="n">
        <v>46477</v>
      </c>
      <c r="T313" s="56"/>
      <c r="U313" s="56"/>
    </row>
    <row r="314" spans="1:21">
      <c r="A314" s="21" t="n">
        <v>311</v>
      </c>
      <c r="B314" s="21">
        <f>E314</f>
        <v>0</v>
      </c>
      <c r="C314" s="21" t="str">
        <f>F314</f>
        <v>198404142023211002</v>
      </c>
      <c r="D314" s="40" t="s">
        <v>906</v>
      </c>
      <c r="E314" s="40"/>
      <c r="F314" s="163" t="s">
        <v>907</v>
      </c>
      <c r="G314" s="21" t="s">
        <v>33</v>
      </c>
      <c r="H314" s="21" t="s">
        <v>880</v>
      </c>
      <c r="I314" s="35" t="s">
        <v>881</v>
      </c>
      <c r="J314" s="23" t="s">
        <v>724</v>
      </c>
      <c r="K314" s="27" t="s">
        <v>96</v>
      </c>
      <c r="L314" s="22" t="s">
        <v>724</v>
      </c>
      <c r="M314" s="28" t="s">
        <v>181</v>
      </c>
      <c r="N314" s="23" t="s">
        <v>222</v>
      </c>
      <c r="O314" s="24"/>
      <c r="P314" s="24"/>
      <c r="Q314" s="24" t="str">
        <f aca="1">DATEDIF(R314,NOW(),"Y")&amp;" Tahun "&amp;DATEDIF(R314,NOW(),"YM")&amp;" Bulan "&amp;DATEDIF(R314,NOW(),"MD")&amp;" Hari "</f>
        <v>2 Tahun 6 Bulan 6 Hari </v>
      </c>
      <c r="R314" s="41" t="n">
        <v>45017</v>
      </c>
      <c r="S314" s="41" t="n">
        <v>46477</v>
      </c>
      <c r="T314" s="56"/>
      <c r="U314" s="56"/>
    </row>
    <row r="315" spans="1:21">
      <c r="A315" s="21" t="n">
        <v>312</v>
      </c>
      <c r="B315" s="21">
        <f>E315</f>
        <v>0</v>
      </c>
      <c r="C315" s="21" t="str">
        <f>F315</f>
        <v>199507082023211001</v>
      </c>
      <c r="D315" s="40" t="s">
        <v>908</v>
      </c>
      <c r="E315" s="40"/>
      <c r="F315" s="163" t="s">
        <v>909</v>
      </c>
      <c r="G315" s="21" t="s">
        <v>33</v>
      </c>
      <c r="H315" s="21" t="s">
        <v>880</v>
      </c>
      <c r="I315" s="35" t="s">
        <v>881</v>
      </c>
      <c r="J315" s="23" t="s">
        <v>724</v>
      </c>
      <c r="K315" s="27" t="s">
        <v>96</v>
      </c>
      <c r="L315" s="22" t="s">
        <v>724</v>
      </c>
      <c r="M315" s="28" t="s">
        <v>181</v>
      </c>
      <c r="N315" s="23" t="s">
        <v>910</v>
      </c>
      <c r="O315" s="24"/>
      <c r="P315" s="24"/>
      <c r="Q315" s="24" t="str">
        <f aca="1">DATEDIF(R315,NOW(),"Y")&amp;" Tahun "&amp;DATEDIF(R315,NOW(),"YM")&amp;" Bulan "&amp;DATEDIF(R315,NOW(),"MD")&amp;" Hari "</f>
        <v>2 Tahun 6 Bulan 6 Hari </v>
      </c>
      <c r="R315" s="41" t="n">
        <v>45017</v>
      </c>
      <c r="S315" s="41" t="n">
        <v>46477</v>
      </c>
      <c r="T315" s="56"/>
      <c r="U315" s="56"/>
    </row>
    <row r="316" spans="1:21">
      <c r="A316" s="21" t="n">
        <v>313</v>
      </c>
      <c r="B316" s="21">
        <f>E316</f>
        <v>0</v>
      </c>
      <c r="C316" s="21" t="str">
        <f>F316</f>
        <v>199105232023211002</v>
      </c>
      <c r="D316" s="40" t="s">
        <v>911</v>
      </c>
      <c r="E316" s="40"/>
      <c r="F316" s="163" t="s">
        <v>912</v>
      </c>
      <c r="G316" s="21" t="s">
        <v>33</v>
      </c>
      <c r="H316" s="21" t="s">
        <v>880</v>
      </c>
      <c r="I316" s="35" t="s">
        <v>881</v>
      </c>
      <c r="J316" s="40" t="s">
        <v>913</v>
      </c>
      <c r="K316" s="22" t="s">
        <v>242</v>
      </c>
      <c r="L316" s="40" t="s">
        <v>913</v>
      </c>
      <c r="M316" s="28" t="s">
        <v>914</v>
      </c>
      <c r="N316" s="23" t="s">
        <v>523</v>
      </c>
      <c r="O316" s="24"/>
      <c r="P316" s="24"/>
      <c r="Q316" s="24" t="str">
        <f aca="1">DATEDIF(R316,NOW(),"Y")&amp;" Tahun "&amp;DATEDIF(R316,NOW(),"YM")&amp;" Bulan "&amp;DATEDIF(R316,NOW(),"MD")&amp;" Hari "</f>
        <v>2 Tahun 6 Bulan 6 Hari </v>
      </c>
      <c r="R316" s="41" t="n">
        <v>45017</v>
      </c>
      <c r="S316" s="41" t="n">
        <v>46477</v>
      </c>
      <c r="T316" s="56"/>
      <c r="U316" s="56"/>
    </row>
    <row r="317" spans="1:21">
      <c r="A317" s="21" t="n">
        <v>314</v>
      </c>
      <c r="B317" s="21">
        <f>E317</f>
        <v>0</v>
      </c>
      <c r="C317" s="21" t="str">
        <f>F317</f>
        <v>198512072023211001</v>
      </c>
      <c r="D317" s="40" t="s">
        <v>915</v>
      </c>
      <c r="E317" s="40"/>
      <c r="F317" s="163" t="s">
        <v>916</v>
      </c>
      <c r="G317" s="21" t="s">
        <v>33</v>
      </c>
      <c r="H317" s="21" t="s">
        <v>880</v>
      </c>
      <c r="I317" s="35" t="s">
        <v>881</v>
      </c>
      <c r="J317" s="40" t="s">
        <v>917</v>
      </c>
      <c r="K317" s="22" t="s">
        <v>101</v>
      </c>
      <c r="L317" s="40" t="s">
        <v>917</v>
      </c>
      <c r="M317" s="28" t="s">
        <v>143</v>
      </c>
      <c r="N317" s="23" t="s">
        <v>103</v>
      </c>
      <c r="O317" s="24"/>
      <c r="P317" s="24"/>
      <c r="Q317" s="24" t="str">
        <f aca="1">DATEDIF(R317,NOW(),"Y")&amp;" Tahun "&amp;DATEDIF(R317,NOW(),"YM")&amp;" Bulan "&amp;DATEDIF(R317,NOW(),"MD")&amp;" Hari "</f>
        <v>2 Tahun 6 Bulan 6 Hari </v>
      </c>
      <c r="R317" s="41" t="n">
        <v>45017</v>
      </c>
      <c r="S317" s="41" t="n">
        <v>46477</v>
      </c>
      <c r="T317" s="56"/>
      <c r="U317" s="56"/>
    </row>
    <row r="318" spans="1:21">
      <c r="A318" s="21" t="n">
        <v>315</v>
      </c>
      <c r="B318" s="21">
        <f>E318</f>
        <v>0</v>
      </c>
      <c r="C318" s="21" t="str">
        <f>F318</f>
        <v>197104152023211001</v>
      </c>
      <c r="D318" s="40" t="s">
        <v>918</v>
      </c>
      <c r="E318" s="40"/>
      <c r="F318" s="163" t="s">
        <v>919</v>
      </c>
      <c r="G318" s="21" t="s">
        <v>33</v>
      </c>
      <c r="H318" s="21" t="s">
        <v>880</v>
      </c>
      <c r="I318" s="35" t="s">
        <v>888</v>
      </c>
      <c r="J318" s="40" t="s">
        <v>920</v>
      </c>
      <c r="K318" s="27" t="s">
        <v>66</v>
      </c>
      <c r="L318" s="40" t="s">
        <v>920</v>
      </c>
      <c r="M318" s="28" t="s">
        <v>921</v>
      </c>
      <c r="N318" s="23" t="s">
        <v>606</v>
      </c>
      <c r="O318" s="24"/>
      <c r="P318" s="24"/>
      <c r="Q318" s="24" t="str">
        <f aca="1">DATEDIF(R318,NOW(),"Y")&amp;" Tahun "&amp;DATEDIF(R318,NOW(),"YM")&amp;" Bulan "&amp;DATEDIF(R318,NOW(),"MD")&amp;" Hari "</f>
        <v>2 Tahun 6 Bulan 6 Hari </v>
      </c>
      <c r="R318" s="41" t="n">
        <v>45017</v>
      </c>
      <c r="S318" s="41" t="n">
        <v>46477</v>
      </c>
      <c r="T318" s="56"/>
      <c r="U318" s="56"/>
    </row>
    <row r="319" spans="1:21">
      <c r="A319" s="21" t="n">
        <v>316</v>
      </c>
      <c r="B319" s="21">
        <f>E319</f>
        <v>0</v>
      </c>
      <c r="C319" s="21" t="str">
        <f>F319</f>
        <v>198703272023212001</v>
      </c>
      <c r="D319" s="40" t="s">
        <v>922</v>
      </c>
      <c r="E319" s="40"/>
      <c r="F319" s="163" t="s">
        <v>923</v>
      </c>
      <c r="G319" s="21" t="s">
        <v>24</v>
      </c>
      <c r="H319" s="21" t="s">
        <v>880</v>
      </c>
      <c r="I319" s="35" t="s">
        <v>881</v>
      </c>
      <c r="J319" s="23" t="s">
        <v>724</v>
      </c>
      <c r="K319" s="27" t="s">
        <v>96</v>
      </c>
      <c r="L319" s="22" t="s">
        <v>724</v>
      </c>
      <c r="M319" s="28" t="s">
        <v>181</v>
      </c>
      <c r="N319" s="23" t="s">
        <v>168</v>
      </c>
      <c r="O319" s="24"/>
      <c r="P319" s="24"/>
      <c r="Q319" s="24" t="str">
        <f aca="1">DATEDIF(R319,NOW(),"Y")&amp;" Tahun "&amp;DATEDIF(R319,NOW(),"YM")&amp;" Bulan "&amp;DATEDIF(R319,NOW(),"MD")&amp;" Hari "</f>
        <v>2 Tahun 6 Bulan 6 Hari </v>
      </c>
      <c r="R319" s="41" t="n">
        <v>45017</v>
      </c>
      <c r="S319" s="41" t="n">
        <v>46477</v>
      </c>
      <c r="T319" s="56"/>
      <c r="U319" s="56"/>
    </row>
    <row r="320" spans="1:21">
      <c r="A320" s="21" t="n">
        <v>317</v>
      </c>
      <c r="B320" s="21">
        <f>E320</f>
        <v>0</v>
      </c>
      <c r="C320" s="21" t="str">
        <f>F320</f>
        <v>198603042023211001</v>
      </c>
      <c r="D320" s="40" t="s">
        <v>924</v>
      </c>
      <c r="E320" s="40"/>
      <c r="F320" s="163" t="s">
        <v>925</v>
      </c>
      <c r="G320" s="21" t="s">
        <v>33</v>
      </c>
      <c r="H320" s="21" t="s">
        <v>880</v>
      </c>
      <c r="I320" s="35" t="s">
        <v>926</v>
      </c>
      <c r="J320" s="23" t="s">
        <v>724</v>
      </c>
      <c r="K320" s="27" t="s">
        <v>96</v>
      </c>
      <c r="L320" s="22" t="s">
        <v>724</v>
      </c>
      <c r="M320" s="28" t="s">
        <v>181</v>
      </c>
      <c r="N320" s="23" t="s">
        <v>168</v>
      </c>
      <c r="O320" s="24"/>
      <c r="P320" s="24"/>
      <c r="Q320" s="24" t="str">
        <f aca="1">DATEDIF(R320,NOW(),"Y")&amp;" Tahun "&amp;DATEDIF(R320,NOW(),"YM")&amp;" Bulan "&amp;DATEDIF(R320,NOW(),"MD")&amp;" Hari "</f>
        <v>2 Tahun 6 Bulan 6 Hari </v>
      </c>
      <c r="R320" s="41" t="n">
        <v>45017</v>
      </c>
      <c r="S320" s="41" t="n">
        <v>46477</v>
      </c>
      <c r="T320" s="56"/>
      <c r="U320" s="56"/>
    </row>
    <row r="321" spans="1:21">
      <c r="A321" s="21" t="n">
        <v>318</v>
      </c>
      <c r="B321" s="21">
        <f>E321</f>
        <v>0</v>
      </c>
      <c r="C321" s="21" t="str">
        <f>F321</f>
        <v>199206252023212002</v>
      </c>
      <c r="D321" s="40" t="s">
        <v>927</v>
      </c>
      <c r="E321" s="40"/>
      <c r="F321" s="163" t="s">
        <v>928</v>
      </c>
      <c r="G321" s="21" t="s">
        <v>24</v>
      </c>
      <c r="H321" s="21" t="s">
        <v>880</v>
      </c>
      <c r="I321" s="35" t="s">
        <v>881</v>
      </c>
      <c r="J321" s="22" t="s">
        <v>663</v>
      </c>
      <c r="K321" s="27" t="s">
        <v>201</v>
      </c>
      <c r="L321" s="22" t="s">
        <v>663</v>
      </c>
      <c r="M321" s="28" t="s">
        <v>209</v>
      </c>
      <c r="N321" s="23" t="s">
        <v>158</v>
      </c>
      <c r="O321" s="24"/>
      <c r="P321" s="24"/>
      <c r="Q321" s="24" t="str">
        <f aca="1">DATEDIF(R321,NOW(),"Y")&amp;" Tahun "&amp;DATEDIF(R321,NOW(),"YM")&amp;" Bulan "&amp;DATEDIF(R321,NOW(),"MD")&amp;" Hari "</f>
        <v>2 Tahun 6 Bulan 6 Hari </v>
      </c>
      <c r="R321" s="41" t="n">
        <v>45017</v>
      </c>
      <c r="S321" s="41" t="n">
        <v>46477</v>
      </c>
      <c r="T321" s="56"/>
      <c r="U321" s="56"/>
    </row>
    <row r="322" spans="1:21">
      <c r="A322" s="21" t="n">
        <v>319</v>
      </c>
      <c r="B322" s="21">
        <f>E322</f>
        <v>0</v>
      </c>
      <c r="C322" s="21" t="str">
        <f>F322</f>
        <v>198704282023212001</v>
      </c>
      <c r="D322" s="40" t="s">
        <v>929</v>
      </c>
      <c r="E322" s="40"/>
      <c r="F322" s="163" t="s">
        <v>930</v>
      </c>
      <c r="G322" s="21" t="s">
        <v>24</v>
      </c>
      <c r="H322" s="21" t="s">
        <v>880</v>
      </c>
      <c r="I322" s="35" t="s">
        <v>881</v>
      </c>
      <c r="J322" s="23" t="s">
        <v>724</v>
      </c>
      <c r="K322" s="27" t="s">
        <v>96</v>
      </c>
      <c r="L322" s="22" t="s">
        <v>724</v>
      </c>
      <c r="M322" s="28" t="s">
        <v>181</v>
      </c>
      <c r="N322" s="23" t="s">
        <v>158</v>
      </c>
      <c r="O322" s="24"/>
      <c r="P322" s="24"/>
      <c r="Q322" s="24" t="str">
        <f aca="1">DATEDIF(R322,NOW(),"Y")&amp;" Tahun "&amp;DATEDIF(R322,NOW(),"YM")&amp;" Bulan "&amp;DATEDIF(R322,NOW(),"MD")&amp;" Hari "</f>
        <v>2 Tahun 6 Bulan 6 Hari </v>
      </c>
      <c r="R322" s="41" t="n">
        <v>45017</v>
      </c>
      <c r="S322" s="41" t="n">
        <v>46477</v>
      </c>
      <c r="T322" s="56"/>
      <c r="U322" s="56"/>
    </row>
    <row r="323" spans="1:21">
      <c r="A323" s="21" t="n">
        <v>320</v>
      </c>
      <c r="B323" s="21">
        <f>E323</f>
        <v>0</v>
      </c>
      <c r="C323" s="21" t="str">
        <f>F323</f>
        <v>199010082023212004</v>
      </c>
      <c r="D323" s="40" t="s">
        <v>931</v>
      </c>
      <c r="E323" s="40"/>
      <c r="F323" s="163" t="s">
        <v>932</v>
      </c>
      <c r="G323" s="21" t="s">
        <v>24</v>
      </c>
      <c r="H323" s="21" t="s">
        <v>880</v>
      </c>
      <c r="I323" s="35" t="s">
        <v>926</v>
      </c>
      <c r="J323" s="22" t="s">
        <v>631</v>
      </c>
      <c r="K323" s="27" t="s">
        <v>201</v>
      </c>
      <c r="L323" s="22" t="s">
        <v>631</v>
      </c>
      <c r="M323" s="28" t="s">
        <v>202</v>
      </c>
      <c r="N323" s="23" t="s">
        <v>461</v>
      </c>
      <c r="O323" s="24"/>
      <c r="P323" s="24"/>
      <c r="Q323" s="24" t="str">
        <f aca="1">DATEDIF(R323,NOW(),"Y")&amp;" Tahun "&amp;DATEDIF(R323,NOW(),"YM")&amp;" Bulan "&amp;DATEDIF(R323,NOW(),"MD")&amp;" Hari "</f>
        <v>2 Tahun 6 Bulan 6 Hari </v>
      </c>
      <c r="R323" s="41" t="n">
        <v>45017</v>
      </c>
      <c r="S323" s="41" t="n">
        <v>46477</v>
      </c>
      <c r="T323" s="56"/>
      <c r="U323" s="56"/>
    </row>
    <row r="324" spans="1:21">
      <c r="A324" s="21" t="n">
        <v>321</v>
      </c>
      <c r="B324" s="21">
        <f>E324</f>
        <v>0</v>
      </c>
      <c r="C324" s="21" t="str">
        <f>F324</f>
        <v>199308062023212001</v>
      </c>
      <c r="D324" s="40" t="s">
        <v>933</v>
      </c>
      <c r="E324" s="40"/>
      <c r="F324" s="163" t="s">
        <v>934</v>
      </c>
      <c r="G324" s="21" t="s">
        <v>24</v>
      </c>
      <c r="H324" s="21" t="s">
        <v>880</v>
      </c>
      <c r="I324" s="35" t="s">
        <v>881</v>
      </c>
      <c r="J324" s="23" t="s">
        <v>724</v>
      </c>
      <c r="K324" s="27" t="s">
        <v>96</v>
      </c>
      <c r="L324" s="22" t="s">
        <v>724</v>
      </c>
      <c r="M324" s="28" t="s">
        <v>181</v>
      </c>
      <c r="N324" s="23" t="s">
        <v>461</v>
      </c>
      <c r="O324" s="24"/>
      <c r="P324" s="24"/>
      <c r="Q324" s="24" t="str">
        <f aca="1">DATEDIF(R324,NOW(),"Y")&amp;" Tahun "&amp;DATEDIF(R324,NOW(),"YM")&amp;" Bulan "&amp;DATEDIF(R324,NOW(),"MD")&amp;" Hari "</f>
        <v>2 Tahun 6 Bulan 6 Hari </v>
      </c>
      <c r="R324" s="41" t="n">
        <v>45017</v>
      </c>
      <c r="S324" s="41" t="n">
        <v>46477</v>
      </c>
      <c r="T324" s="56"/>
      <c r="U324" s="56"/>
    </row>
    <row r="325" spans="1:21">
      <c r="A325" s="21" t="n">
        <v>322</v>
      </c>
      <c r="B325" s="21">
        <f>E325</f>
        <v>0</v>
      </c>
      <c r="C325" s="21" t="str">
        <f>F325</f>
        <v>199702192023212001</v>
      </c>
      <c r="D325" s="40" t="s">
        <v>935</v>
      </c>
      <c r="E325" s="40"/>
      <c r="F325" s="163" t="s">
        <v>936</v>
      </c>
      <c r="G325" s="21" t="s">
        <v>24</v>
      </c>
      <c r="H325" s="21" t="s">
        <v>880</v>
      </c>
      <c r="I325" s="35" t="s">
        <v>881</v>
      </c>
      <c r="J325" s="23" t="s">
        <v>724</v>
      </c>
      <c r="K325" s="27" t="s">
        <v>96</v>
      </c>
      <c r="L325" s="22" t="s">
        <v>724</v>
      </c>
      <c r="M325" s="28" t="s">
        <v>181</v>
      </c>
      <c r="N325" s="23" t="s">
        <v>382</v>
      </c>
      <c r="O325" s="24"/>
      <c r="P325" s="24"/>
      <c r="Q325" s="24" t="str">
        <f aca="1">DATEDIF(R325,NOW(),"Y")&amp;" Tahun "&amp;DATEDIF(R325,NOW(),"YM")&amp;" Bulan "&amp;DATEDIF(R325,NOW(),"MD")&amp;" Hari "</f>
        <v>2 Tahun 6 Bulan 6 Hari </v>
      </c>
      <c r="R325" s="41" t="n">
        <v>45017</v>
      </c>
      <c r="S325" s="41" t="n">
        <v>46477</v>
      </c>
      <c r="T325" s="56"/>
      <c r="U325" s="56"/>
    </row>
    <row r="326" spans="1:21">
      <c r="A326" s="21" t="n">
        <v>323</v>
      </c>
      <c r="B326" s="21">
        <f>E326</f>
        <v>0</v>
      </c>
      <c r="C326" s="21" t="str">
        <f>F326</f>
        <v>199204122023212003</v>
      </c>
      <c r="D326" s="40" t="s">
        <v>937</v>
      </c>
      <c r="E326" s="40"/>
      <c r="F326" s="163" t="s">
        <v>938</v>
      </c>
      <c r="G326" s="21" t="s">
        <v>24</v>
      </c>
      <c r="H326" s="21" t="s">
        <v>880</v>
      </c>
      <c r="I326" s="35" t="s">
        <v>881</v>
      </c>
      <c r="J326" s="40" t="s">
        <v>917</v>
      </c>
      <c r="K326" s="22" t="s">
        <v>101</v>
      </c>
      <c r="L326" s="40" t="s">
        <v>917</v>
      </c>
      <c r="M326" s="28" t="s">
        <v>143</v>
      </c>
      <c r="N326" s="23" t="s">
        <v>103</v>
      </c>
      <c r="O326" s="24"/>
      <c r="P326" s="24"/>
      <c r="Q326" s="24" t="str">
        <f aca="1">DATEDIF(R326,NOW(),"Y")&amp;" Tahun "&amp;DATEDIF(R326,NOW(),"YM")&amp;" Bulan "&amp;DATEDIF(R326,NOW(),"MD")&amp;" Hari "</f>
        <v>2 Tahun 6 Bulan 6 Hari </v>
      </c>
      <c r="R326" s="41" t="n">
        <v>45017</v>
      </c>
      <c r="S326" s="41" t="n">
        <v>46477</v>
      </c>
      <c r="T326" s="56"/>
      <c r="U326" s="56"/>
    </row>
    <row r="327" spans="1:21">
      <c r="A327" s="21" t="n">
        <v>324</v>
      </c>
      <c r="B327" s="21">
        <f>E327</f>
        <v>0</v>
      </c>
      <c r="C327" s="21" t="str">
        <f>F327</f>
        <v>198504202023212001</v>
      </c>
      <c r="D327" s="40" t="s">
        <v>939</v>
      </c>
      <c r="E327" s="40"/>
      <c r="F327" s="163" t="s">
        <v>940</v>
      </c>
      <c r="G327" s="21" t="s">
        <v>24</v>
      </c>
      <c r="H327" s="21" t="s">
        <v>880</v>
      </c>
      <c r="I327" s="35" t="s">
        <v>888</v>
      </c>
      <c r="J327" s="23" t="s">
        <v>724</v>
      </c>
      <c r="K327" s="27" t="s">
        <v>96</v>
      </c>
      <c r="L327" s="22" t="s">
        <v>724</v>
      </c>
      <c r="M327" s="28" t="s">
        <v>181</v>
      </c>
      <c r="N327" s="23" t="s">
        <v>225</v>
      </c>
      <c r="O327" s="24"/>
      <c r="P327" s="24"/>
      <c r="Q327" s="24" t="str">
        <f aca="1">DATEDIF(R327,NOW(),"Y")&amp;" Tahun "&amp;DATEDIF(R327,NOW(),"YM")&amp;" Bulan "&amp;DATEDIF(R327,NOW(),"MD")&amp;" Hari "</f>
        <v>2 Tahun 6 Bulan 6 Hari </v>
      </c>
      <c r="R327" s="41" t="n">
        <v>45017</v>
      </c>
      <c r="S327" s="41" t="n">
        <v>46477</v>
      </c>
      <c r="T327" s="56"/>
      <c r="U327" s="56"/>
    </row>
    <row r="328" spans="1:21">
      <c r="A328" s="21" t="n">
        <v>325</v>
      </c>
      <c r="B328" s="21">
        <f>E328</f>
        <v>0</v>
      </c>
      <c r="C328" s="21" t="str">
        <f>F328</f>
        <v>199506062023212002</v>
      </c>
      <c r="D328" s="40" t="s">
        <v>941</v>
      </c>
      <c r="E328" s="40"/>
      <c r="F328" s="163" t="s">
        <v>942</v>
      </c>
      <c r="G328" s="21" t="s">
        <v>24</v>
      </c>
      <c r="H328" s="21" t="s">
        <v>880</v>
      </c>
      <c r="I328" s="35" t="s">
        <v>881</v>
      </c>
      <c r="J328" s="40" t="s">
        <v>943</v>
      </c>
      <c r="K328" s="22" t="s">
        <v>132</v>
      </c>
      <c r="L328" s="40" t="s">
        <v>943</v>
      </c>
      <c r="M328" s="28" t="s">
        <v>172</v>
      </c>
      <c r="N328" s="23" t="s">
        <v>173</v>
      </c>
      <c r="O328" s="24"/>
      <c r="P328" s="24"/>
      <c r="Q328" s="24" t="str">
        <f aca="1">DATEDIF(R328,NOW(),"Y")&amp;" Tahun "&amp;DATEDIF(R328,NOW(),"YM")&amp;" Bulan "&amp;DATEDIF(R328,NOW(),"MD")&amp;" Hari "</f>
        <v>2 Tahun 6 Bulan 6 Hari </v>
      </c>
      <c r="R328" s="41" t="n">
        <v>45017</v>
      </c>
      <c r="S328" s="41" t="n">
        <v>46477</v>
      </c>
      <c r="T328" s="56"/>
      <c r="U328" s="56"/>
    </row>
    <row r="329" spans="1:21">
      <c r="A329" s="21" t="n">
        <v>326</v>
      </c>
      <c r="B329" s="21">
        <f>E329</f>
        <v>0</v>
      </c>
      <c r="C329" s="21" t="str">
        <f>F329</f>
        <v>197907152023212001</v>
      </c>
      <c r="D329" s="40" t="s">
        <v>944</v>
      </c>
      <c r="E329" s="40"/>
      <c r="F329" s="163" t="s">
        <v>945</v>
      </c>
      <c r="G329" s="21" t="s">
        <v>24</v>
      </c>
      <c r="H329" s="21" t="s">
        <v>880</v>
      </c>
      <c r="I329" s="35" t="s">
        <v>881</v>
      </c>
      <c r="J329" s="22" t="s">
        <v>663</v>
      </c>
      <c r="K329" s="27" t="s">
        <v>201</v>
      </c>
      <c r="L329" s="22" t="s">
        <v>663</v>
      </c>
      <c r="M329" s="28" t="s">
        <v>209</v>
      </c>
      <c r="N329" s="23" t="s">
        <v>73</v>
      </c>
      <c r="O329" s="24"/>
      <c r="P329" s="24"/>
      <c r="Q329" s="24" t="str">
        <f aca="1">DATEDIF(R329,NOW(),"Y")&amp;" Tahun "&amp;DATEDIF(R329,NOW(),"YM")&amp;" Bulan "&amp;DATEDIF(R329,NOW(),"MD")&amp;" Hari "</f>
        <v>2 Tahun 6 Bulan 6 Hari </v>
      </c>
      <c r="R329" s="41" t="n">
        <v>45017</v>
      </c>
      <c r="S329" s="41" t="n">
        <v>46477</v>
      </c>
      <c r="T329" s="56"/>
      <c r="U329" s="56"/>
    </row>
    <row r="330" spans="1:21">
      <c r="A330" s="21" t="n">
        <v>327</v>
      </c>
      <c r="B330" s="21">
        <f>E330</f>
        <v>0</v>
      </c>
      <c r="C330" s="21" t="str">
        <f>F330</f>
        <v>198301132023212001</v>
      </c>
      <c r="D330" s="40" t="s">
        <v>946</v>
      </c>
      <c r="E330" s="40"/>
      <c r="F330" s="163" t="s">
        <v>947</v>
      </c>
      <c r="G330" s="21" t="s">
        <v>24</v>
      </c>
      <c r="H330" s="21" t="s">
        <v>880</v>
      </c>
      <c r="I330" s="35" t="s">
        <v>881</v>
      </c>
      <c r="J330" s="23" t="s">
        <v>724</v>
      </c>
      <c r="K330" s="27" t="s">
        <v>96</v>
      </c>
      <c r="L330" s="22" t="s">
        <v>724</v>
      </c>
      <c r="M330" s="28" t="s">
        <v>181</v>
      </c>
      <c r="N330" s="23" t="s">
        <v>275</v>
      </c>
      <c r="O330" s="24"/>
      <c r="P330" s="24"/>
      <c r="Q330" s="24" t="str">
        <f aca="1">DATEDIF(R330,NOW(),"Y")&amp;" Tahun "&amp;DATEDIF(R330,NOW(),"YM")&amp;" Bulan "&amp;DATEDIF(R330,NOW(),"MD")&amp;" Hari "</f>
        <v>2 Tahun 6 Bulan 6 Hari </v>
      </c>
      <c r="R330" s="41" t="n">
        <v>45017</v>
      </c>
      <c r="S330" s="41" t="n">
        <v>46477</v>
      </c>
      <c r="T330" s="56"/>
      <c r="U330" s="56"/>
    </row>
    <row r="331" spans="1:21">
      <c r="A331" s="21" t="n">
        <v>328</v>
      </c>
      <c r="B331" s="21">
        <f>E331</f>
        <v>0</v>
      </c>
      <c r="C331" s="21" t="str">
        <f>F331</f>
        <v>199110212023212002</v>
      </c>
      <c r="D331" s="40" t="s">
        <v>948</v>
      </c>
      <c r="E331" s="40"/>
      <c r="F331" s="163" t="s">
        <v>949</v>
      </c>
      <c r="G331" s="21" t="s">
        <v>24</v>
      </c>
      <c r="H331" s="21" t="s">
        <v>880</v>
      </c>
      <c r="I331" s="35" t="s">
        <v>881</v>
      </c>
      <c r="J331" s="22" t="s">
        <v>663</v>
      </c>
      <c r="K331" s="27" t="s">
        <v>201</v>
      </c>
      <c r="L331" s="22" t="s">
        <v>663</v>
      </c>
      <c r="M331" s="28" t="s">
        <v>209</v>
      </c>
      <c r="N331" s="23" t="s">
        <v>622</v>
      </c>
      <c r="O331" s="24"/>
      <c r="P331" s="24"/>
      <c r="Q331" s="24" t="str">
        <f aca="1">DATEDIF(R331,NOW(),"Y")&amp;" Tahun "&amp;DATEDIF(R331,NOW(),"YM")&amp;" Bulan "&amp;DATEDIF(R331,NOW(),"MD")&amp;" Hari "</f>
        <v>2 Tahun 6 Bulan 6 Hari </v>
      </c>
      <c r="R331" s="41" t="n">
        <v>45017</v>
      </c>
      <c r="S331" s="41" t="n">
        <v>46477</v>
      </c>
      <c r="T331" s="56"/>
      <c r="U331" s="56"/>
    </row>
    <row r="332" spans="1:21">
      <c r="A332" s="21" t="n">
        <v>329</v>
      </c>
      <c r="B332" s="21">
        <f>E332</f>
        <v>0</v>
      </c>
      <c r="C332" s="21" t="str">
        <f>F332</f>
        <v>199902112023212001</v>
      </c>
      <c r="D332" s="40" t="s">
        <v>950</v>
      </c>
      <c r="E332" s="40"/>
      <c r="F332" s="163" t="s">
        <v>951</v>
      </c>
      <c r="G332" s="21" t="s">
        <v>24</v>
      </c>
      <c r="H332" s="21" t="s">
        <v>880</v>
      </c>
      <c r="I332" s="35" t="s">
        <v>926</v>
      </c>
      <c r="J332" s="40" t="s">
        <v>952</v>
      </c>
      <c r="K332" s="22" t="s">
        <v>132</v>
      </c>
      <c r="L332" s="40" t="s">
        <v>952</v>
      </c>
      <c r="M332" s="28" t="s">
        <v>172</v>
      </c>
      <c r="N332" s="23" t="s">
        <v>173</v>
      </c>
      <c r="O332" s="24"/>
      <c r="P332" s="24"/>
      <c r="Q332" s="24" t="str">
        <f aca="1">DATEDIF(R332,NOW(),"Y")&amp;" Tahun "&amp;DATEDIF(R332,NOW(),"YM")&amp;" Bulan "&amp;DATEDIF(R332,NOW(),"MD")&amp;" Hari "</f>
        <v>2 Tahun 6 Bulan 6 Hari </v>
      </c>
      <c r="R332" s="41" t="n">
        <v>45017</v>
      </c>
      <c r="S332" s="41" t="n">
        <v>46477</v>
      </c>
      <c r="T332" s="56"/>
      <c r="U332" s="56"/>
    </row>
    <row r="333" spans="1:21">
      <c r="A333" s="21" t="n">
        <v>330</v>
      </c>
      <c r="B333" s="21">
        <f>E333</f>
        <v>0</v>
      </c>
      <c r="C333" s="21" t="str">
        <f>F333</f>
        <v>198804302023212001</v>
      </c>
      <c r="D333" s="40" t="s">
        <v>953</v>
      </c>
      <c r="E333" s="40"/>
      <c r="F333" s="163" t="s">
        <v>954</v>
      </c>
      <c r="G333" s="21" t="s">
        <v>24</v>
      </c>
      <c r="H333" s="21" t="s">
        <v>880</v>
      </c>
      <c r="I333" s="35" t="s">
        <v>881</v>
      </c>
      <c r="J333" s="22" t="s">
        <v>663</v>
      </c>
      <c r="K333" s="27" t="s">
        <v>201</v>
      </c>
      <c r="L333" s="22" t="s">
        <v>663</v>
      </c>
      <c r="M333" s="28" t="s">
        <v>209</v>
      </c>
      <c r="N333" s="23" t="s">
        <v>210</v>
      </c>
      <c r="O333" s="24"/>
      <c r="P333" s="24"/>
      <c r="Q333" s="24" t="str">
        <f aca="1">DATEDIF(R333,NOW(),"Y")&amp;" Tahun "&amp;DATEDIF(R333,NOW(),"YM")&amp;" Bulan "&amp;DATEDIF(R333,NOW(),"MD")&amp;" Hari "</f>
        <v>2 Tahun 6 Bulan 6 Hari </v>
      </c>
      <c r="R333" s="41" t="n">
        <v>45017</v>
      </c>
      <c r="S333" s="41" t="n">
        <v>46477</v>
      </c>
      <c r="T333" s="56"/>
      <c r="U333" s="56"/>
    </row>
    <row r="334" spans="1:21">
      <c r="A334" s="21" t="n">
        <v>331</v>
      </c>
      <c r="B334" s="21">
        <f>E334</f>
        <v>0</v>
      </c>
      <c r="C334" s="21" t="str">
        <f>F334</f>
        <v>199002232023212001</v>
      </c>
      <c r="D334" s="40" t="s">
        <v>955</v>
      </c>
      <c r="E334" s="40"/>
      <c r="F334" s="163" t="s">
        <v>956</v>
      </c>
      <c r="G334" s="21" t="s">
        <v>24</v>
      </c>
      <c r="H334" s="21" t="s">
        <v>880</v>
      </c>
      <c r="I334" s="35" t="s">
        <v>881</v>
      </c>
      <c r="J334" s="22" t="s">
        <v>663</v>
      </c>
      <c r="K334" s="27" t="s">
        <v>201</v>
      </c>
      <c r="L334" s="22" t="s">
        <v>663</v>
      </c>
      <c r="M334" s="28" t="s">
        <v>209</v>
      </c>
      <c r="N334" s="23" t="s">
        <v>210</v>
      </c>
      <c r="O334" s="24"/>
      <c r="P334" s="24"/>
      <c r="Q334" s="24" t="str">
        <f aca="1">DATEDIF(R334,NOW(),"Y")&amp;" Tahun "&amp;DATEDIF(R334,NOW(),"YM")&amp;" Bulan "&amp;DATEDIF(R334,NOW(),"MD")&amp;" Hari "</f>
        <v>2 Tahun 6 Bulan 6 Hari </v>
      </c>
      <c r="R334" s="41" t="n">
        <v>45017</v>
      </c>
      <c r="S334" s="41" t="n">
        <v>46477</v>
      </c>
      <c r="T334" s="56"/>
      <c r="U334" s="56"/>
    </row>
    <row r="335" spans="1:21">
      <c r="A335" s="21" t="n">
        <v>332</v>
      </c>
      <c r="B335" s="21">
        <f>E335</f>
        <v>0</v>
      </c>
      <c r="C335" s="21" t="str">
        <f>F335</f>
        <v>199404232023212002</v>
      </c>
      <c r="D335" s="40" t="s">
        <v>957</v>
      </c>
      <c r="E335" s="40"/>
      <c r="F335" s="163" t="s">
        <v>958</v>
      </c>
      <c r="G335" s="21" t="s">
        <v>24</v>
      </c>
      <c r="H335" s="21" t="s">
        <v>880</v>
      </c>
      <c r="I335" s="35" t="s">
        <v>881</v>
      </c>
      <c r="J335" s="23" t="s">
        <v>724</v>
      </c>
      <c r="K335" s="27" t="s">
        <v>96</v>
      </c>
      <c r="L335" s="22" t="s">
        <v>724</v>
      </c>
      <c r="M335" s="28" t="s">
        <v>181</v>
      </c>
      <c r="N335" s="23" t="s">
        <v>162</v>
      </c>
      <c r="O335" s="24"/>
      <c r="P335" s="24"/>
      <c r="Q335" s="24" t="str">
        <f aca="1">DATEDIF(R335,NOW(),"Y")&amp;" Tahun "&amp;DATEDIF(R335,NOW(),"YM")&amp;" Bulan "&amp;DATEDIF(R335,NOW(),"MD")&amp;" Hari "</f>
        <v>2 Tahun 6 Bulan 6 Hari </v>
      </c>
      <c r="R335" s="41" t="n">
        <v>45017</v>
      </c>
      <c r="S335" s="41" t="n">
        <v>46477</v>
      </c>
      <c r="T335" s="56"/>
      <c r="U335" s="56"/>
    </row>
    <row r="336" spans="1:21">
      <c r="A336" s="21" t="n">
        <v>333</v>
      </c>
      <c r="B336" s="21">
        <f>E336</f>
        <v>0</v>
      </c>
      <c r="C336" s="21" t="str">
        <f>F336</f>
        <v>199104012023211003</v>
      </c>
      <c r="D336" s="40" t="s">
        <v>959</v>
      </c>
      <c r="E336" s="40"/>
      <c r="F336" s="163" t="s">
        <v>960</v>
      </c>
      <c r="G336" s="21" t="s">
        <v>33</v>
      </c>
      <c r="H336" s="21" t="s">
        <v>880</v>
      </c>
      <c r="I336" s="35" t="s">
        <v>888</v>
      </c>
      <c r="J336" s="23" t="s">
        <v>291</v>
      </c>
      <c r="K336" s="27" t="s">
        <v>96</v>
      </c>
      <c r="L336" s="23" t="s">
        <v>291</v>
      </c>
      <c r="M336" s="23" t="s">
        <v>161</v>
      </c>
      <c r="N336" s="23" t="s">
        <v>331</v>
      </c>
      <c r="O336" s="24"/>
      <c r="P336" s="24"/>
      <c r="Q336" s="24" t="str">
        <f aca="1">DATEDIF(R336,NOW(),"Y")&amp;" Tahun "&amp;DATEDIF(R336,NOW(),"YM")&amp;" Bulan "&amp;DATEDIF(R336,NOW(),"MD")&amp;" Hari "</f>
        <v>2 Tahun 6 Bulan 6 Hari </v>
      </c>
      <c r="R336" s="41" t="n">
        <v>45017</v>
      </c>
      <c r="S336" s="41" t="n">
        <v>46477</v>
      </c>
      <c r="T336" s="56"/>
      <c r="U336" s="56"/>
    </row>
    <row r="337" spans="1:21">
      <c r="A337" s="21" t="n">
        <v>334</v>
      </c>
      <c r="B337" s="21">
        <f>E337</f>
        <v>0</v>
      </c>
      <c r="C337" s="21" t="str">
        <f>F337</f>
        <v>198605142023212001</v>
      </c>
      <c r="D337" s="40" t="s">
        <v>961</v>
      </c>
      <c r="E337" s="40"/>
      <c r="F337" s="163" t="s">
        <v>962</v>
      </c>
      <c r="G337" s="21" t="s">
        <v>24</v>
      </c>
      <c r="H337" s="21" t="s">
        <v>880</v>
      </c>
      <c r="I337" s="35" t="s">
        <v>888</v>
      </c>
      <c r="J337" s="23" t="s">
        <v>724</v>
      </c>
      <c r="K337" s="27" t="s">
        <v>96</v>
      </c>
      <c r="L337" s="22" t="s">
        <v>724</v>
      </c>
      <c r="M337" s="28" t="s">
        <v>181</v>
      </c>
      <c r="N337" s="23" t="s">
        <v>97</v>
      </c>
      <c r="O337" s="24"/>
      <c r="P337" s="24"/>
      <c r="Q337" s="24" t="str">
        <f aca="1">DATEDIF(R337,NOW(),"Y")&amp;" Tahun "&amp;DATEDIF(R337,NOW(),"YM")&amp;" Bulan "&amp;DATEDIF(R337,NOW(),"MD")&amp;" Hari "</f>
        <v>2 Tahun 6 Bulan 6 Hari </v>
      </c>
      <c r="R337" s="41" t="n">
        <v>45017</v>
      </c>
      <c r="S337" s="41" t="n">
        <v>46477</v>
      </c>
      <c r="T337" s="56"/>
      <c r="U337" s="56"/>
    </row>
    <row r="338" spans="1:21">
      <c r="A338" s="21" t="n">
        <v>335</v>
      </c>
      <c r="B338" s="21">
        <f>E338</f>
        <v>0</v>
      </c>
      <c r="C338" s="21" t="str">
        <f>F338</f>
        <v>199003262023212002</v>
      </c>
      <c r="D338" s="40" t="s">
        <v>963</v>
      </c>
      <c r="E338" s="40"/>
      <c r="F338" s="163" t="s">
        <v>964</v>
      </c>
      <c r="G338" s="21" t="s">
        <v>24</v>
      </c>
      <c r="H338" s="21" t="s">
        <v>880</v>
      </c>
      <c r="I338" s="35" t="s">
        <v>881</v>
      </c>
      <c r="J338" s="23" t="s">
        <v>724</v>
      </c>
      <c r="K338" s="27" t="s">
        <v>96</v>
      </c>
      <c r="L338" s="22" t="s">
        <v>724</v>
      </c>
      <c r="M338" s="28" t="s">
        <v>181</v>
      </c>
      <c r="N338" s="23" t="s">
        <v>162</v>
      </c>
      <c r="O338" s="24"/>
      <c r="P338" s="24"/>
      <c r="Q338" s="24" t="str">
        <f aca="1">DATEDIF(R338,NOW(),"Y")&amp;" Tahun "&amp;DATEDIF(R338,NOW(),"YM")&amp;" Bulan "&amp;DATEDIF(R338,NOW(),"MD")&amp;" Hari "</f>
        <v>2 Tahun 6 Bulan 6 Hari </v>
      </c>
      <c r="R338" s="41" t="n">
        <v>45017</v>
      </c>
      <c r="S338" s="41" t="n">
        <v>46477</v>
      </c>
      <c r="T338" s="56"/>
      <c r="U338" s="56"/>
    </row>
    <row r="339" spans="1:21">
      <c r="A339" s="21" t="n">
        <v>336</v>
      </c>
      <c r="B339" s="21">
        <f>E339</f>
        <v>0</v>
      </c>
      <c r="C339" s="21" t="str">
        <f>F339</f>
        <v>198405122023212003</v>
      </c>
      <c r="D339" s="40" t="s">
        <v>965</v>
      </c>
      <c r="E339" s="40"/>
      <c r="F339" s="163" t="s">
        <v>966</v>
      </c>
      <c r="G339" s="21" t="s">
        <v>24</v>
      </c>
      <c r="H339" s="21" t="s">
        <v>880</v>
      </c>
      <c r="I339" s="35" t="s">
        <v>888</v>
      </c>
      <c r="J339" s="23" t="s">
        <v>724</v>
      </c>
      <c r="K339" s="27" t="s">
        <v>96</v>
      </c>
      <c r="L339" s="22" t="s">
        <v>724</v>
      </c>
      <c r="M339" s="28" t="s">
        <v>181</v>
      </c>
      <c r="N339" s="23" t="s">
        <v>382</v>
      </c>
      <c r="O339" s="24"/>
      <c r="P339" s="24"/>
      <c r="Q339" s="24" t="str">
        <f aca="1">DATEDIF(R339,NOW(),"Y")&amp;" Tahun "&amp;DATEDIF(R339,NOW(),"YM")&amp;" Bulan "&amp;DATEDIF(R339,NOW(),"MD")&amp;" Hari "</f>
        <v>2 Tahun 6 Bulan 6 Hari </v>
      </c>
      <c r="R339" s="41" t="n">
        <v>45017</v>
      </c>
      <c r="S339" s="41" t="n">
        <v>46477</v>
      </c>
      <c r="T339" s="56"/>
      <c r="U339" s="56"/>
    </row>
    <row r="340" spans="1:21">
      <c r="A340" s="21" t="n">
        <v>337</v>
      </c>
      <c r="B340" s="21">
        <f>E340</f>
        <v>0</v>
      </c>
      <c r="C340" s="21" t="str">
        <f>F340</f>
        <v>199504252023211002</v>
      </c>
      <c r="D340" s="40" t="s">
        <v>967</v>
      </c>
      <c r="E340" s="40"/>
      <c r="F340" s="163" t="s">
        <v>968</v>
      </c>
      <c r="G340" s="21" t="s">
        <v>33</v>
      </c>
      <c r="H340" s="21" t="s">
        <v>880</v>
      </c>
      <c r="I340" s="35" t="s">
        <v>888</v>
      </c>
      <c r="J340" s="23" t="s">
        <v>291</v>
      </c>
      <c r="K340" s="27" t="s">
        <v>96</v>
      </c>
      <c r="L340" s="23" t="s">
        <v>291</v>
      </c>
      <c r="M340" s="23" t="s">
        <v>161</v>
      </c>
      <c r="N340" s="23" t="s">
        <v>331</v>
      </c>
      <c r="O340" s="24"/>
      <c r="P340" s="24"/>
      <c r="Q340" s="24" t="str">
        <f aca="1">DATEDIF(R340,NOW(),"Y")&amp;" Tahun "&amp;DATEDIF(R340,NOW(),"YM")&amp;" Bulan "&amp;DATEDIF(R340,NOW(),"MD")&amp;" Hari "</f>
        <v>2 Tahun 6 Bulan 6 Hari </v>
      </c>
      <c r="R340" s="41" t="n">
        <v>45017</v>
      </c>
      <c r="S340" s="41" t="n">
        <v>46477</v>
      </c>
      <c r="T340" s="56"/>
      <c r="U340" s="56"/>
    </row>
    <row r="341" spans="1:21">
      <c r="A341" s="21" t="n">
        <v>338</v>
      </c>
      <c r="B341" s="21">
        <f>E341</f>
        <v>0</v>
      </c>
      <c r="C341" s="21" t="str">
        <f>F341</f>
        <v>198707232023212003</v>
      </c>
      <c r="D341" s="40" t="s">
        <v>969</v>
      </c>
      <c r="E341" s="40"/>
      <c r="F341" s="163" t="s">
        <v>970</v>
      </c>
      <c r="G341" s="21" t="s">
        <v>24</v>
      </c>
      <c r="H341" s="21" t="s">
        <v>880</v>
      </c>
      <c r="I341" s="35" t="s">
        <v>888</v>
      </c>
      <c r="J341" s="23" t="s">
        <v>564</v>
      </c>
      <c r="K341" s="22" t="s">
        <v>101</v>
      </c>
      <c r="L341" s="23" t="s">
        <v>564</v>
      </c>
      <c r="M341" s="28" t="s">
        <v>102</v>
      </c>
      <c r="N341" s="23" t="s">
        <v>103</v>
      </c>
      <c r="O341" s="24"/>
      <c r="P341" s="24"/>
      <c r="Q341" s="24" t="str">
        <f aca="1">DATEDIF(R341,NOW(),"Y")&amp;" Tahun "&amp;DATEDIF(R341,NOW(),"YM")&amp;" Bulan "&amp;DATEDIF(R341,NOW(),"MD")&amp;" Hari "</f>
        <v>2 Tahun 6 Bulan 6 Hari </v>
      </c>
      <c r="R341" s="41" t="n">
        <v>45017</v>
      </c>
      <c r="S341" s="41" t="n">
        <v>46477</v>
      </c>
      <c r="T341" s="56"/>
      <c r="U341" s="56"/>
    </row>
    <row r="342" spans="1:21">
      <c r="A342" s="21" t="n">
        <v>339</v>
      </c>
      <c r="B342" s="21">
        <f>E342</f>
        <v>0</v>
      </c>
      <c r="C342" s="21" t="str">
        <f>F342</f>
        <v>198410092023212001</v>
      </c>
      <c r="D342" s="40" t="s">
        <v>971</v>
      </c>
      <c r="E342" s="40"/>
      <c r="F342" s="163" t="s">
        <v>972</v>
      </c>
      <c r="G342" s="21" t="s">
        <v>24</v>
      </c>
      <c r="H342" s="21" t="s">
        <v>880</v>
      </c>
      <c r="I342" s="35" t="s">
        <v>881</v>
      </c>
      <c r="J342" s="22" t="s">
        <v>973</v>
      </c>
      <c r="K342" s="22" t="s">
        <v>594</v>
      </c>
      <c r="L342" s="22" t="s">
        <v>973</v>
      </c>
      <c r="M342" s="28" t="s">
        <v>595</v>
      </c>
      <c r="N342" s="23" t="s">
        <v>87</v>
      </c>
      <c r="O342" s="24"/>
      <c r="P342" s="24"/>
      <c r="Q342" s="24" t="str">
        <f aca="1">DATEDIF(R342,NOW(),"Y")&amp;" Tahun "&amp;DATEDIF(R342,NOW(),"YM")&amp;" Bulan "&amp;DATEDIF(R342,NOW(),"MD")&amp;" Hari "</f>
        <v>2 Tahun 6 Bulan 6 Hari </v>
      </c>
      <c r="R342" s="41" t="n">
        <v>45017</v>
      </c>
      <c r="S342" s="41" t="n">
        <v>46477</v>
      </c>
      <c r="T342" s="56"/>
      <c r="U342" s="56"/>
    </row>
    <row r="343" spans="1:21">
      <c r="A343" s="21" t="n">
        <v>340</v>
      </c>
      <c r="B343" s="21">
        <f>E343</f>
        <v>0</v>
      </c>
      <c r="C343" s="21" t="str">
        <f>F343</f>
        <v>199502052023212001</v>
      </c>
      <c r="D343" s="40" t="s">
        <v>974</v>
      </c>
      <c r="E343" s="40"/>
      <c r="F343" s="163" t="s">
        <v>975</v>
      </c>
      <c r="G343" s="21" t="s">
        <v>24</v>
      </c>
      <c r="H343" s="21" t="s">
        <v>880</v>
      </c>
      <c r="I343" s="35" t="s">
        <v>888</v>
      </c>
      <c r="J343" s="23" t="s">
        <v>724</v>
      </c>
      <c r="K343" s="27" t="s">
        <v>96</v>
      </c>
      <c r="L343" s="22" t="s">
        <v>724</v>
      </c>
      <c r="M343" s="28" t="s">
        <v>181</v>
      </c>
      <c r="N343" s="29" t="s">
        <v>222</v>
      </c>
      <c r="O343" s="24"/>
      <c r="P343" s="24"/>
      <c r="Q343" s="24" t="str">
        <f aca="1">DATEDIF(R343,NOW(),"Y")&amp;" Tahun "&amp;DATEDIF(R343,NOW(),"YM")&amp;" Bulan "&amp;DATEDIF(R343,NOW(),"MD")&amp;" Hari "</f>
        <v>2 Tahun 6 Bulan 6 Hari </v>
      </c>
      <c r="R343" s="41" t="n">
        <v>45017</v>
      </c>
      <c r="S343" s="41" t="n">
        <v>46477</v>
      </c>
      <c r="T343" s="56"/>
      <c r="U343" s="56"/>
    </row>
    <row r="344" spans="1:21">
      <c r="A344" s="21" t="n">
        <v>341</v>
      </c>
      <c r="B344" s="21">
        <f>E344</f>
        <v>0</v>
      </c>
      <c r="C344" s="21" t="str">
        <f>F344</f>
        <v>199503162023212001</v>
      </c>
      <c r="D344" s="40" t="s">
        <v>976</v>
      </c>
      <c r="E344" s="40"/>
      <c r="F344" s="163" t="s">
        <v>977</v>
      </c>
      <c r="G344" s="21" t="s">
        <v>24</v>
      </c>
      <c r="H344" s="21" t="s">
        <v>880</v>
      </c>
      <c r="I344" s="35" t="s">
        <v>881</v>
      </c>
      <c r="J344" s="23" t="s">
        <v>724</v>
      </c>
      <c r="K344" s="27" t="s">
        <v>96</v>
      </c>
      <c r="L344" s="22" t="s">
        <v>724</v>
      </c>
      <c r="M344" s="28" t="s">
        <v>181</v>
      </c>
      <c r="N344" s="23" t="s">
        <v>910</v>
      </c>
      <c r="O344" s="24"/>
      <c r="P344" s="24"/>
      <c r="Q344" s="24" t="str">
        <f aca="1">DATEDIF(R344,NOW(),"Y")&amp;" Tahun "&amp;DATEDIF(R344,NOW(),"YM")&amp;" Bulan "&amp;DATEDIF(R344,NOW(),"MD")&amp;" Hari "</f>
        <v>2 Tahun 6 Bulan 6 Hari </v>
      </c>
      <c r="R344" s="41" t="n">
        <v>45017</v>
      </c>
      <c r="S344" s="41" t="n">
        <v>46477</v>
      </c>
      <c r="T344" s="56"/>
      <c r="U344" s="56"/>
    </row>
    <row r="345" spans="1:21">
      <c r="A345" s="21" t="n">
        <v>342</v>
      </c>
      <c r="B345" s="21">
        <f>E345</f>
        <v>0</v>
      </c>
      <c r="C345" s="21" t="str">
        <f>F345</f>
        <v>199303292023212001</v>
      </c>
      <c r="D345" s="40" t="s">
        <v>978</v>
      </c>
      <c r="E345" s="40"/>
      <c r="F345" s="163" t="s">
        <v>979</v>
      </c>
      <c r="G345" s="21" t="s">
        <v>24</v>
      </c>
      <c r="H345" s="21" t="s">
        <v>880</v>
      </c>
      <c r="I345" s="35" t="s">
        <v>881</v>
      </c>
      <c r="J345" s="22" t="s">
        <v>663</v>
      </c>
      <c r="K345" s="27" t="s">
        <v>201</v>
      </c>
      <c r="L345" s="22" t="s">
        <v>663</v>
      </c>
      <c r="M345" s="28" t="s">
        <v>209</v>
      </c>
      <c r="N345" s="23" t="s">
        <v>210</v>
      </c>
      <c r="O345" s="24"/>
      <c r="P345" s="24"/>
      <c r="Q345" s="24" t="str">
        <f aca="1">DATEDIF(R345,NOW(),"Y")&amp;" Tahun "&amp;DATEDIF(R345,NOW(),"YM")&amp;" Bulan "&amp;DATEDIF(R345,NOW(),"MD")&amp;" Hari "</f>
        <v>2 Tahun 6 Bulan 6 Hari </v>
      </c>
      <c r="R345" s="41" t="n">
        <v>45017</v>
      </c>
      <c r="S345" s="41" t="n">
        <v>46477</v>
      </c>
      <c r="T345" s="56"/>
      <c r="U345" s="56"/>
    </row>
    <row r="346" spans="1:21">
      <c r="A346" s="21" t="n">
        <v>343</v>
      </c>
      <c r="B346" s="21">
        <f>E346</f>
        <v>0</v>
      </c>
      <c r="C346" s="21" t="str">
        <f>F346</f>
        <v>197310072023212001</v>
      </c>
      <c r="D346" s="40" t="s">
        <v>980</v>
      </c>
      <c r="E346" s="40"/>
      <c r="F346" s="163" t="s">
        <v>981</v>
      </c>
      <c r="G346" s="21" t="s">
        <v>24</v>
      </c>
      <c r="H346" s="21" t="s">
        <v>880</v>
      </c>
      <c r="I346" s="21" t="s">
        <v>888</v>
      </c>
      <c r="J346" s="40" t="s">
        <v>982</v>
      </c>
      <c r="K346" s="27" t="s">
        <v>66</v>
      </c>
      <c r="L346" s="40" t="s">
        <v>982</v>
      </c>
      <c r="M346" s="28" t="s">
        <v>983</v>
      </c>
      <c r="N346" s="25" t="s">
        <v>134</v>
      </c>
      <c r="O346" s="24"/>
      <c r="P346" s="24"/>
      <c r="Q346" s="24" t="str">
        <f aca="1">DATEDIF(R346,NOW(),"Y")&amp;" Tahun "&amp;DATEDIF(R346,NOW(),"YM")&amp;" Bulan "&amp;DATEDIF(R346,NOW(),"MD")&amp;" Hari "</f>
        <v>2 Tahun 6 Bulan 6 Hari </v>
      </c>
      <c r="R346" s="41" t="n">
        <v>45017</v>
      </c>
      <c r="S346" s="41" t="n">
        <v>46477</v>
      </c>
      <c r="T346" s="56"/>
      <c r="U346" s="56"/>
    </row>
    <row r="347" spans="1:21">
      <c r="A347" s="21" t="n">
        <v>344</v>
      </c>
      <c r="B347" s="21">
        <f>E347</f>
        <v>0</v>
      </c>
      <c r="C347" s="21" t="str">
        <f>F347</f>
        <v>199110082023212001</v>
      </c>
      <c r="D347" s="40" t="s">
        <v>984</v>
      </c>
      <c r="E347" s="40"/>
      <c r="F347" s="163" t="s">
        <v>985</v>
      </c>
      <c r="G347" s="21" t="s">
        <v>24</v>
      </c>
      <c r="H347" s="21" t="s">
        <v>880</v>
      </c>
      <c r="I347" s="35" t="s">
        <v>881</v>
      </c>
      <c r="J347" s="23" t="s">
        <v>724</v>
      </c>
      <c r="K347" s="27" t="s">
        <v>96</v>
      </c>
      <c r="L347" s="22" t="s">
        <v>724</v>
      </c>
      <c r="M347" s="28" t="s">
        <v>181</v>
      </c>
      <c r="N347" s="23" t="s">
        <v>97</v>
      </c>
      <c r="O347" s="24"/>
      <c r="P347" s="24"/>
      <c r="Q347" s="24" t="str">
        <f aca="1">DATEDIF(R347,NOW(),"Y")&amp;" Tahun "&amp;DATEDIF(R347,NOW(),"YM")&amp;" Bulan "&amp;DATEDIF(R347,NOW(),"MD")&amp;" Hari "</f>
        <v>2 Tahun 6 Bulan 6 Hari </v>
      </c>
      <c r="R347" s="41" t="n">
        <v>45017</v>
      </c>
      <c r="S347" s="41" t="n">
        <v>46477</v>
      </c>
      <c r="T347" s="56"/>
      <c r="U347" s="56"/>
    </row>
    <row r="348" spans="1:21">
      <c r="A348" s="21" t="n">
        <v>345</v>
      </c>
      <c r="B348" s="21">
        <f>E348</f>
        <v>0</v>
      </c>
      <c r="C348" s="21" t="str">
        <f>F348</f>
        <v>198103222023212001</v>
      </c>
      <c r="D348" s="40" t="s">
        <v>986</v>
      </c>
      <c r="E348" s="40"/>
      <c r="F348" s="163" t="s">
        <v>987</v>
      </c>
      <c r="G348" s="21" t="s">
        <v>24</v>
      </c>
      <c r="H348" s="21" t="s">
        <v>880</v>
      </c>
      <c r="I348" s="21" t="s">
        <v>888</v>
      </c>
      <c r="J348" s="40" t="s">
        <v>988</v>
      </c>
      <c r="K348" s="27" t="s">
        <v>66</v>
      </c>
      <c r="L348" s="40" t="s">
        <v>988</v>
      </c>
      <c r="M348" s="28" t="s">
        <v>989</v>
      </c>
      <c r="N348" s="23" t="s">
        <v>271</v>
      </c>
      <c r="O348" s="24"/>
      <c r="P348" s="24"/>
      <c r="Q348" s="24" t="str">
        <f aca="1">DATEDIF(R348,NOW(),"Y")&amp;" Tahun "&amp;DATEDIF(R348,NOW(),"YM")&amp;" Bulan "&amp;DATEDIF(R348,NOW(),"MD")&amp;" Hari "</f>
        <v>2 Tahun 6 Bulan 6 Hari </v>
      </c>
      <c r="R348" s="41" t="n">
        <v>45017</v>
      </c>
      <c r="S348" s="41" t="n">
        <v>46477</v>
      </c>
      <c r="T348" s="56"/>
      <c r="U348" s="56"/>
    </row>
    <row r="349" spans="1:21">
      <c r="A349" s="21" t="n">
        <v>346</v>
      </c>
      <c r="B349" s="21">
        <f>E349</f>
        <v>0</v>
      </c>
      <c r="C349" s="21" t="str">
        <f>F349</f>
        <v>198811292023212001</v>
      </c>
      <c r="D349" s="40" t="s">
        <v>990</v>
      </c>
      <c r="E349" s="40"/>
      <c r="F349" s="163" t="s">
        <v>991</v>
      </c>
      <c r="G349" s="21" t="s">
        <v>24</v>
      </c>
      <c r="H349" s="21" t="s">
        <v>880</v>
      </c>
      <c r="I349" s="21" t="s">
        <v>926</v>
      </c>
      <c r="J349" s="40" t="s">
        <v>992</v>
      </c>
      <c r="K349" s="22" t="s">
        <v>254</v>
      </c>
      <c r="L349" s="22"/>
      <c r="M349" s="28" t="s">
        <v>423</v>
      </c>
      <c r="N349" s="23" t="s">
        <v>993</v>
      </c>
      <c r="O349" s="24"/>
      <c r="P349" s="24"/>
      <c r="Q349" s="24" t="str">
        <f aca="1">DATEDIF(R349,NOW(),"Y")&amp;" Tahun "&amp;DATEDIF(R349,NOW(),"YM")&amp;" Bulan "&amp;DATEDIF(R349,NOW(),"MD")&amp;" Hari "</f>
        <v>2 Tahun 6 Bulan 6 Hari </v>
      </c>
      <c r="R349" s="41" t="n">
        <v>45017</v>
      </c>
      <c r="S349" s="41" t="n">
        <v>46477</v>
      </c>
      <c r="T349" s="56"/>
      <c r="U349" s="56"/>
    </row>
    <row r="350" spans="1:21">
      <c r="A350" s="21" t="n">
        <v>347</v>
      </c>
      <c r="B350" s="21">
        <f>E350</f>
        <v>0</v>
      </c>
      <c r="C350" s="21" t="str">
        <f>F350</f>
        <v>199201232023212001</v>
      </c>
      <c r="D350" s="40" t="s">
        <v>994</v>
      </c>
      <c r="E350" s="40"/>
      <c r="F350" s="163" t="s">
        <v>995</v>
      </c>
      <c r="G350" s="21" t="s">
        <v>24</v>
      </c>
      <c r="H350" s="21" t="s">
        <v>880</v>
      </c>
      <c r="I350" s="35" t="s">
        <v>881</v>
      </c>
      <c r="J350" s="22" t="s">
        <v>663</v>
      </c>
      <c r="K350" s="27" t="s">
        <v>201</v>
      </c>
      <c r="L350" s="22" t="s">
        <v>663</v>
      </c>
      <c r="M350" s="28" t="s">
        <v>209</v>
      </c>
      <c r="N350" s="23" t="s">
        <v>461</v>
      </c>
      <c r="O350" s="24"/>
      <c r="P350" s="24"/>
      <c r="Q350" s="24" t="str">
        <f aca="1">DATEDIF(R350,NOW(),"Y")&amp;" Tahun "&amp;DATEDIF(R350,NOW(),"YM")&amp;" Bulan "&amp;DATEDIF(R350,NOW(),"MD")&amp;" Hari "</f>
        <v>2 Tahun 6 Bulan 6 Hari </v>
      </c>
      <c r="R350" s="41" t="n">
        <v>45017</v>
      </c>
      <c r="S350" s="41" t="n">
        <v>46477</v>
      </c>
      <c r="T350" s="56"/>
      <c r="U350" s="56"/>
    </row>
    <row r="351" spans="1:21">
      <c r="A351" s="21" t="n">
        <v>348</v>
      </c>
      <c r="B351" s="21">
        <f>E351</f>
        <v>0</v>
      </c>
      <c r="C351" s="21" t="str">
        <f>F351</f>
        <v>199301312023212001</v>
      </c>
      <c r="D351" s="40" t="s">
        <v>996</v>
      </c>
      <c r="E351" s="40"/>
      <c r="F351" s="163" t="s">
        <v>997</v>
      </c>
      <c r="G351" s="21" t="s">
        <v>24</v>
      </c>
      <c r="H351" s="21" t="s">
        <v>880</v>
      </c>
      <c r="I351" s="35" t="s">
        <v>881</v>
      </c>
      <c r="J351" s="23" t="s">
        <v>724</v>
      </c>
      <c r="K351" s="27" t="s">
        <v>96</v>
      </c>
      <c r="L351" s="22" t="s">
        <v>724</v>
      </c>
      <c r="M351" s="28" t="s">
        <v>181</v>
      </c>
      <c r="N351" s="29" t="s">
        <v>385</v>
      </c>
      <c r="O351" s="24"/>
      <c r="P351" s="24"/>
      <c r="Q351" s="24" t="str">
        <f aca="1">DATEDIF(R351,NOW(),"Y")&amp;" Tahun "&amp;DATEDIF(R351,NOW(),"YM")&amp;" Bulan "&amp;DATEDIF(R351,NOW(),"MD")&amp;" Hari "</f>
        <v>2 Tahun 6 Bulan 6 Hari </v>
      </c>
      <c r="R351" s="41" t="n">
        <v>45017</v>
      </c>
      <c r="S351" s="41" t="n">
        <v>46477</v>
      </c>
      <c r="T351" s="56"/>
      <c r="U351" s="56"/>
    </row>
    <row r="352" spans="1:21">
      <c r="A352" s="21" t="n">
        <v>349</v>
      </c>
      <c r="B352" s="21">
        <f>E352</f>
        <v>0</v>
      </c>
      <c r="C352" s="21" t="str">
        <f>F352</f>
        <v>199001162023212001</v>
      </c>
      <c r="D352" s="40" t="s">
        <v>998</v>
      </c>
      <c r="E352" s="40"/>
      <c r="F352" s="163" t="s">
        <v>999</v>
      </c>
      <c r="G352" s="21" t="s">
        <v>24</v>
      </c>
      <c r="H352" s="21" t="s">
        <v>880</v>
      </c>
      <c r="I352" s="35" t="s">
        <v>881</v>
      </c>
      <c r="J352" s="22" t="s">
        <v>663</v>
      </c>
      <c r="K352" s="27" t="s">
        <v>201</v>
      </c>
      <c r="L352" s="22" t="s">
        <v>663</v>
      </c>
      <c r="M352" s="28" t="s">
        <v>209</v>
      </c>
      <c r="N352" s="23" t="s">
        <v>632</v>
      </c>
      <c r="O352" s="24"/>
      <c r="P352" s="24"/>
      <c r="Q352" s="24" t="str">
        <f aca="1">DATEDIF(R352,NOW(),"Y")&amp;" Tahun "&amp;DATEDIF(R352,NOW(),"YM")&amp;" Bulan "&amp;DATEDIF(R352,NOW(),"MD")&amp;" Hari "</f>
        <v>2 Tahun 6 Bulan 6 Hari </v>
      </c>
      <c r="R352" s="41" t="n">
        <v>45017</v>
      </c>
      <c r="S352" s="41" t="n">
        <v>46477</v>
      </c>
      <c r="T352" s="56"/>
      <c r="U352" s="56"/>
    </row>
    <row r="353" spans="1:21">
      <c r="A353" s="21" t="n">
        <v>350</v>
      </c>
      <c r="B353" s="21">
        <f>E353</f>
        <v>0</v>
      </c>
      <c r="C353" s="21" t="str">
        <f>F353</f>
        <v>199806282023212002</v>
      </c>
      <c r="D353" s="40" t="s">
        <v>1000</v>
      </c>
      <c r="E353" s="40"/>
      <c r="F353" s="163" t="s">
        <v>1001</v>
      </c>
      <c r="G353" s="21" t="s">
        <v>24</v>
      </c>
      <c r="H353" s="21" t="s">
        <v>880</v>
      </c>
      <c r="I353" s="35" t="s">
        <v>881</v>
      </c>
      <c r="J353" s="23" t="s">
        <v>724</v>
      </c>
      <c r="K353" s="27" t="s">
        <v>96</v>
      </c>
      <c r="L353" s="22" t="s">
        <v>724</v>
      </c>
      <c r="M353" s="28" t="s">
        <v>181</v>
      </c>
      <c r="N353" s="23" t="s">
        <v>97</v>
      </c>
      <c r="O353" s="24"/>
      <c r="P353" s="24"/>
      <c r="Q353" s="24" t="str">
        <f aca="1">DATEDIF(R353,NOW(),"Y")&amp;" Tahun "&amp;DATEDIF(R353,NOW(),"YM")&amp;" Bulan "&amp;DATEDIF(R353,NOW(),"MD")&amp;" Hari "</f>
        <v>2 Tahun 6 Bulan 6 Hari </v>
      </c>
      <c r="R353" s="41" t="n">
        <v>45017</v>
      </c>
      <c r="S353" s="41" t="n">
        <v>46477</v>
      </c>
      <c r="T353" s="56"/>
      <c r="U353" s="56"/>
    </row>
    <row r="354" spans="1:21">
      <c r="A354" s="21" t="n">
        <v>351</v>
      </c>
      <c r="B354" s="21">
        <f>E354</f>
        <v>0</v>
      </c>
      <c r="C354" s="21" t="str">
        <f>F354</f>
        <v>199408242023212001</v>
      </c>
      <c r="D354" s="40" t="s">
        <v>1002</v>
      </c>
      <c r="E354" s="40"/>
      <c r="F354" s="163" t="s">
        <v>1003</v>
      </c>
      <c r="G354" s="21" t="s">
        <v>24</v>
      </c>
      <c r="H354" s="21" t="s">
        <v>880</v>
      </c>
      <c r="I354" s="35" t="s">
        <v>881</v>
      </c>
      <c r="J354" s="40" t="s">
        <v>1004</v>
      </c>
      <c r="K354" s="22" t="s">
        <v>132</v>
      </c>
      <c r="L354" s="40" t="s">
        <v>1004</v>
      </c>
      <c r="M354" s="28" t="s">
        <v>444</v>
      </c>
      <c r="N354" s="23" t="s">
        <v>606</v>
      </c>
      <c r="O354" s="24"/>
      <c r="P354" s="24"/>
      <c r="Q354" s="24" t="str">
        <f aca="1">DATEDIF(R354,NOW(),"Y")&amp;" Tahun "&amp;DATEDIF(R354,NOW(),"YM")&amp;" Bulan "&amp;DATEDIF(R354,NOW(),"MD")&amp;" Hari "</f>
        <v>2 Tahun 6 Bulan 6 Hari </v>
      </c>
      <c r="R354" s="41" t="n">
        <v>45017</v>
      </c>
      <c r="S354" s="41" t="n">
        <v>46477</v>
      </c>
      <c r="T354" s="56"/>
      <c r="U354" s="56"/>
    </row>
    <row r="355" spans="1:21">
      <c r="A355" s="21" t="n">
        <v>352</v>
      </c>
      <c r="B355" s="21">
        <f>E355</f>
        <v>0</v>
      </c>
      <c r="C355" s="21" t="str">
        <f>F355</f>
        <v>199301122023211001</v>
      </c>
      <c r="D355" s="40" t="s">
        <v>1005</v>
      </c>
      <c r="E355" s="40"/>
      <c r="F355" s="163" t="s">
        <v>1006</v>
      </c>
      <c r="G355" s="21" t="s">
        <v>33</v>
      </c>
      <c r="H355" s="21" t="s">
        <v>880</v>
      </c>
      <c r="I355" s="21" t="s">
        <v>888</v>
      </c>
      <c r="J355" s="23" t="s">
        <v>564</v>
      </c>
      <c r="K355" s="22" t="s">
        <v>101</v>
      </c>
      <c r="L355" s="23" t="s">
        <v>564</v>
      </c>
      <c r="M355" s="28" t="s">
        <v>102</v>
      </c>
      <c r="N355" s="23" t="s">
        <v>103</v>
      </c>
      <c r="O355" s="24"/>
      <c r="P355" s="24"/>
      <c r="Q355" s="24" t="str">
        <f aca="1">DATEDIF(R355,NOW(),"Y")&amp;" Tahun "&amp;DATEDIF(R355,NOW(),"YM")&amp;" Bulan "&amp;DATEDIF(R355,NOW(),"MD")&amp;" Hari "</f>
        <v>2 Tahun 6 Bulan 6 Hari </v>
      </c>
      <c r="R355" s="41" t="n">
        <v>45017</v>
      </c>
      <c r="S355" s="41" t="n">
        <v>46477</v>
      </c>
      <c r="T355" s="56"/>
      <c r="U355" s="56"/>
    </row>
    <row r="356" spans="1:21">
      <c r="A356" s="21" t="n">
        <v>353</v>
      </c>
      <c r="B356" s="21">
        <f>E356</f>
        <v>0</v>
      </c>
      <c r="C356" s="21" t="str">
        <f>F356</f>
        <v>199408282023211001</v>
      </c>
      <c r="D356" s="40" t="s">
        <v>1007</v>
      </c>
      <c r="E356" s="40"/>
      <c r="F356" s="163" t="s">
        <v>1008</v>
      </c>
      <c r="G356" s="21" t="s">
        <v>33</v>
      </c>
      <c r="H356" s="21" t="s">
        <v>880</v>
      </c>
      <c r="I356" s="35" t="s">
        <v>881</v>
      </c>
      <c r="J356" s="23" t="s">
        <v>724</v>
      </c>
      <c r="K356" s="27" t="s">
        <v>96</v>
      </c>
      <c r="L356" s="22" t="s">
        <v>724</v>
      </c>
      <c r="M356" s="28" t="s">
        <v>181</v>
      </c>
      <c r="N356" s="23" t="s">
        <v>168</v>
      </c>
      <c r="O356" s="24"/>
      <c r="P356" s="24"/>
      <c r="Q356" s="24" t="str">
        <f aca="1">DATEDIF(R356,NOW(),"Y")&amp;" Tahun "&amp;DATEDIF(R356,NOW(),"YM")&amp;" Bulan "&amp;DATEDIF(R356,NOW(),"MD")&amp;" Hari "</f>
        <v>2 Tahun 6 Bulan 6 Hari </v>
      </c>
      <c r="R356" s="41" t="n">
        <v>45017</v>
      </c>
      <c r="S356" s="41" t="n">
        <v>46477</v>
      </c>
      <c r="T356" s="56"/>
      <c r="U356" s="56"/>
    </row>
    <row r="357" spans="1:21">
      <c r="A357" s="21" t="n">
        <v>354</v>
      </c>
      <c r="B357" s="21">
        <f>E357</f>
        <v>0</v>
      </c>
      <c r="C357" s="21" t="str">
        <f>F357</f>
        <v>198309012123212001</v>
      </c>
      <c r="D357" s="40" t="s">
        <v>1009</v>
      </c>
      <c r="E357" s="40"/>
      <c r="F357" s="163" t="s">
        <v>1010</v>
      </c>
      <c r="G357" s="21" t="s">
        <v>24</v>
      </c>
      <c r="H357" s="21" t="s">
        <v>880</v>
      </c>
      <c r="I357" s="35" t="s">
        <v>881</v>
      </c>
      <c r="J357" s="23" t="s">
        <v>724</v>
      </c>
      <c r="K357" s="27" t="s">
        <v>96</v>
      </c>
      <c r="L357" s="22" t="s">
        <v>724</v>
      </c>
      <c r="M357" s="28" t="s">
        <v>181</v>
      </c>
      <c r="N357" s="23" t="s">
        <v>275</v>
      </c>
      <c r="O357" s="24"/>
      <c r="P357" s="24"/>
      <c r="Q357" s="24" t="str">
        <f aca="1">DATEDIF(R357,NOW(),"Y")&amp;" Tahun "&amp;DATEDIF(R357,NOW(),"YM")&amp;" Bulan "&amp;DATEDIF(R357,NOW(),"MD")&amp;" Hari "</f>
        <v>2 Tahun 6 Bulan 6 Hari </v>
      </c>
      <c r="R357" s="41" t="n">
        <v>45017</v>
      </c>
      <c r="S357" s="41" t="n">
        <v>46477</v>
      </c>
      <c r="T357" s="56"/>
      <c r="U357" s="56"/>
    </row>
    <row r="358" spans="1:21">
      <c r="A358" s="21" t="n">
        <v>355</v>
      </c>
      <c r="B358" s="21">
        <f>E358</f>
        <v>0</v>
      </c>
      <c r="C358" s="21" t="str">
        <f>F358</f>
        <v>199004092023212001</v>
      </c>
      <c r="D358" s="40" t="s">
        <v>1011</v>
      </c>
      <c r="E358" s="40"/>
      <c r="F358" s="163" t="s">
        <v>1012</v>
      </c>
      <c r="G358" s="21" t="s">
        <v>24</v>
      </c>
      <c r="H358" s="21" t="s">
        <v>880</v>
      </c>
      <c r="I358" s="35" t="s">
        <v>881</v>
      </c>
      <c r="J358" s="22" t="s">
        <v>663</v>
      </c>
      <c r="K358" s="27" t="s">
        <v>201</v>
      </c>
      <c r="L358" s="22" t="s">
        <v>663</v>
      </c>
      <c r="M358" s="28" t="s">
        <v>209</v>
      </c>
      <c r="N358" s="23" t="s">
        <v>210</v>
      </c>
      <c r="O358" s="24"/>
      <c r="P358" s="24"/>
      <c r="Q358" s="24" t="str">
        <f aca="1">DATEDIF(R358,NOW(),"Y")&amp;" Tahun "&amp;DATEDIF(R358,NOW(),"YM")&amp;" Bulan "&amp;DATEDIF(R358,NOW(),"MD")&amp;" Hari "</f>
        <v>2 Tahun 6 Bulan 6 Hari </v>
      </c>
      <c r="R358" s="41" t="n">
        <v>45017</v>
      </c>
      <c r="S358" s="41" t="n">
        <v>46477</v>
      </c>
      <c r="T358" s="56"/>
      <c r="U358" s="56"/>
    </row>
    <row r="359" spans="1:21">
      <c r="A359" s="21" t="n">
        <v>356</v>
      </c>
      <c r="B359" s="21">
        <f>E359</f>
        <v>0</v>
      </c>
      <c r="C359" s="21" t="str">
        <f>F359</f>
        <v>198911132023212001</v>
      </c>
      <c r="D359" s="40" t="s">
        <v>1013</v>
      </c>
      <c r="E359" s="40"/>
      <c r="F359" s="163" t="s">
        <v>1014</v>
      </c>
      <c r="G359" s="21" t="s">
        <v>24</v>
      </c>
      <c r="H359" s="21" t="s">
        <v>880</v>
      </c>
      <c r="I359" s="35" t="s">
        <v>881</v>
      </c>
      <c r="J359" s="22" t="s">
        <v>663</v>
      </c>
      <c r="K359" s="27" t="s">
        <v>201</v>
      </c>
      <c r="L359" s="22" t="s">
        <v>663</v>
      </c>
      <c r="M359" s="28" t="s">
        <v>209</v>
      </c>
      <c r="N359" s="23" t="s">
        <v>622</v>
      </c>
      <c r="O359" s="24"/>
      <c r="P359" s="24"/>
      <c r="Q359" s="24" t="str">
        <f aca="1">DATEDIF(R359,NOW(),"Y")&amp;" Tahun "&amp;DATEDIF(R359,NOW(),"YM")&amp;" Bulan "&amp;DATEDIF(R359,NOW(),"MD")&amp;" Hari "</f>
        <v>2 Tahun 6 Bulan 6 Hari </v>
      </c>
      <c r="R359" s="41" t="n">
        <v>45017</v>
      </c>
      <c r="S359" s="41" t="n">
        <v>46477</v>
      </c>
      <c r="T359" s="56"/>
      <c r="U359" s="56"/>
    </row>
    <row r="360" spans="1:21">
      <c r="A360" s="21" t="n">
        <v>357</v>
      </c>
      <c r="B360" s="21">
        <f>E360</f>
        <v>0</v>
      </c>
      <c r="C360" s="21" t="str">
        <f>F360</f>
        <v>198904222023212001</v>
      </c>
      <c r="D360" s="40" t="s">
        <v>1015</v>
      </c>
      <c r="E360" s="40"/>
      <c r="F360" s="163" t="s">
        <v>1016</v>
      </c>
      <c r="G360" s="21" t="s">
        <v>24</v>
      </c>
      <c r="H360" s="21" t="s">
        <v>880</v>
      </c>
      <c r="I360" s="35" t="s">
        <v>881</v>
      </c>
      <c r="J360" s="23" t="s">
        <v>724</v>
      </c>
      <c r="K360" s="27" t="s">
        <v>96</v>
      </c>
      <c r="L360" s="22" t="s">
        <v>724</v>
      </c>
      <c r="M360" s="28" t="s">
        <v>181</v>
      </c>
      <c r="N360" s="23" t="s">
        <v>382</v>
      </c>
      <c r="O360" s="24"/>
      <c r="P360" s="24"/>
      <c r="Q360" s="24" t="str">
        <f aca="1">DATEDIF(R360,NOW(),"Y")&amp;" Tahun "&amp;DATEDIF(R360,NOW(),"YM")&amp;" Bulan "&amp;DATEDIF(R360,NOW(),"MD")&amp;" Hari "</f>
        <v>2 Tahun 6 Bulan 6 Hari </v>
      </c>
      <c r="R360" s="41" t="n">
        <v>45017</v>
      </c>
      <c r="S360" s="41" t="n">
        <v>46477</v>
      </c>
      <c r="T360" s="56"/>
      <c r="U360" s="56"/>
    </row>
    <row r="361" spans="1:21">
      <c r="A361" s="21" t="n">
        <v>358</v>
      </c>
      <c r="B361" s="21">
        <f>E361</f>
        <v>0</v>
      </c>
      <c r="C361" s="21" t="str">
        <f>F361</f>
        <v>199402132023212003</v>
      </c>
      <c r="D361" s="40" t="s">
        <v>1017</v>
      </c>
      <c r="E361" s="40"/>
      <c r="F361" s="163" t="s">
        <v>1018</v>
      </c>
      <c r="G361" s="21" t="s">
        <v>24</v>
      </c>
      <c r="H361" s="21" t="s">
        <v>880</v>
      </c>
      <c r="I361" s="35" t="s">
        <v>881</v>
      </c>
      <c r="J361" s="23" t="s">
        <v>724</v>
      </c>
      <c r="K361" s="27" t="s">
        <v>96</v>
      </c>
      <c r="L361" s="22" t="s">
        <v>724</v>
      </c>
      <c r="M361" s="28" t="s">
        <v>181</v>
      </c>
      <c r="N361" s="29" t="s">
        <v>385</v>
      </c>
      <c r="O361" s="24"/>
      <c r="P361" s="24"/>
      <c r="Q361" s="24" t="str">
        <f aca="1">DATEDIF(R361,NOW(),"Y")&amp;" Tahun "&amp;DATEDIF(R361,NOW(),"YM")&amp;" Bulan "&amp;DATEDIF(R361,NOW(),"MD")&amp;" Hari "</f>
        <v>2 Tahun 6 Bulan 6 Hari </v>
      </c>
      <c r="R361" s="41" t="n">
        <v>45017</v>
      </c>
      <c r="S361" s="41" t="n">
        <v>46477</v>
      </c>
      <c r="T361" s="56"/>
      <c r="U361" s="56"/>
    </row>
    <row r="362" spans="1:21">
      <c r="A362" s="21" t="n">
        <v>359</v>
      </c>
      <c r="B362" s="21">
        <f>E362</f>
        <v>0</v>
      </c>
      <c r="C362" s="21" t="str">
        <f>F362</f>
        <v>198705052023212003</v>
      </c>
      <c r="D362" s="40" t="s">
        <v>1019</v>
      </c>
      <c r="E362" s="40"/>
      <c r="F362" s="163" t="s">
        <v>1020</v>
      </c>
      <c r="G362" s="21" t="s">
        <v>24</v>
      </c>
      <c r="H362" s="21" t="s">
        <v>880</v>
      </c>
      <c r="I362" s="35" t="s">
        <v>881</v>
      </c>
      <c r="J362" s="22" t="s">
        <v>663</v>
      </c>
      <c r="K362" s="27" t="s">
        <v>201</v>
      </c>
      <c r="L362" s="22" t="s">
        <v>663</v>
      </c>
      <c r="M362" s="28" t="s">
        <v>209</v>
      </c>
      <c r="N362" s="23" t="s">
        <v>737</v>
      </c>
      <c r="O362" s="24"/>
      <c r="P362" s="24"/>
      <c r="Q362" s="24" t="str">
        <f aca="1">DATEDIF(R362,NOW(),"Y")&amp;" Tahun "&amp;DATEDIF(R362,NOW(),"YM")&amp;" Bulan "&amp;DATEDIF(R362,NOW(),"MD")&amp;" Hari "</f>
        <v>2 Tahun 6 Bulan 6 Hari </v>
      </c>
      <c r="R362" s="41" t="n">
        <v>45017</v>
      </c>
      <c r="S362" s="41" t="n">
        <v>46477</v>
      </c>
      <c r="T362" s="56"/>
      <c r="U362" s="56"/>
    </row>
    <row r="363" spans="1:21">
      <c r="A363" s="21" t="n">
        <v>360</v>
      </c>
      <c r="B363" s="21">
        <f>E363</f>
        <v>0</v>
      </c>
      <c r="C363" s="21" t="str">
        <f>F363</f>
        <v>199711012023212002</v>
      </c>
      <c r="D363" s="40" t="s">
        <v>1021</v>
      </c>
      <c r="E363" s="40"/>
      <c r="F363" s="163" t="s">
        <v>1022</v>
      </c>
      <c r="G363" s="21" t="s">
        <v>24</v>
      </c>
      <c r="H363" s="21" t="s">
        <v>880</v>
      </c>
      <c r="I363" s="35" t="s">
        <v>881</v>
      </c>
      <c r="J363" s="40" t="s">
        <v>1004</v>
      </c>
      <c r="K363" s="22" t="s">
        <v>132</v>
      </c>
      <c r="L363" s="40" t="s">
        <v>1004</v>
      </c>
      <c r="M363" s="28" t="s">
        <v>444</v>
      </c>
      <c r="N363" s="23" t="s">
        <v>173</v>
      </c>
      <c r="O363" s="24"/>
      <c r="P363" s="24"/>
      <c r="Q363" s="24" t="str">
        <f aca="1">DATEDIF(R363,NOW(),"Y")&amp;" Tahun "&amp;DATEDIF(R363,NOW(),"YM")&amp;" Bulan "&amp;DATEDIF(R363,NOW(),"MD")&amp;" Hari "</f>
        <v>2 Tahun 6 Bulan 6 Hari </v>
      </c>
      <c r="R363" s="41" t="n">
        <v>45017</v>
      </c>
      <c r="S363" s="41" t="n">
        <v>46477</v>
      </c>
      <c r="T363" s="56"/>
      <c r="U363" s="56"/>
    </row>
    <row r="364" spans="1:21">
      <c r="A364" s="21" t="n">
        <v>361</v>
      </c>
      <c r="B364" s="21">
        <f>E364</f>
        <v>0</v>
      </c>
      <c r="C364" s="21" t="str">
        <f>F364</f>
        <v>199111162023212003</v>
      </c>
      <c r="D364" s="40" t="s">
        <v>1023</v>
      </c>
      <c r="E364" s="40"/>
      <c r="F364" s="163" t="s">
        <v>1024</v>
      </c>
      <c r="G364" s="21" t="s">
        <v>24</v>
      </c>
      <c r="H364" s="21" t="s">
        <v>880</v>
      </c>
      <c r="I364" s="35" t="s">
        <v>881</v>
      </c>
      <c r="J364" s="23" t="s">
        <v>724</v>
      </c>
      <c r="K364" s="27" t="s">
        <v>96</v>
      </c>
      <c r="L364" s="22" t="s">
        <v>724</v>
      </c>
      <c r="M364" s="28" t="s">
        <v>181</v>
      </c>
      <c r="N364" s="23" t="s">
        <v>278</v>
      </c>
      <c r="O364" s="24"/>
      <c r="P364" s="24"/>
      <c r="Q364" s="24" t="str">
        <f aca="1">DATEDIF(R364,NOW(),"Y")&amp;" Tahun "&amp;DATEDIF(R364,NOW(),"YM")&amp;" Bulan "&amp;DATEDIF(R364,NOW(),"MD")&amp;" Hari "</f>
        <v>2 Tahun 6 Bulan 6 Hari </v>
      </c>
      <c r="R364" s="41" t="n">
        <v>45017</v>
      </c>
      <c r="S364" s="41" t="n">
        <v>46477</v>
      </c>
      <c r="T364" s="56"/>
      <c r="U364" s="56"/>
    </row>
    <row r="365" spans="1:21">
      <c r="A365" s="21" t="n">
        <v>362</v>
      </c>
      <c r="B365" s="21">
        <f>E365</f>
        <v>0</v>
      </c>
      <c r="C365" s="21" t="str">
        <f>F365</f>
        <v>199501052023212008</v>
      </c>
      <c r="D365" s="40" t="s">
        <v>1025</v>
      </c>
      <c r="E365" s="40"/>
      <c r="F365" s="163" t="s">
        <v>1026</v>
      </c>
      <c r="G365" s="21" t="s">
        <v>24</v>
      </c>
      <c r="H365" s="21" t="s">
        <v>880</v>
      </c>
      <c r="I365" s="21" t="s">
        <v>926</v>
      </c>
      <c r="J365" s="22" t="s">
        <v>1027</v>
      </c>
      <c r="K365" s="22" t="s">
        <v>254</v>
      </c>
      <c r="L365" s="22" t="s">
        <v>1027</v>
      </c>
      <c r="M365" s="28" t="s">
        <v>423</v>
      </c>
      <c r="N365" s="23" t="s">
        <v>112</v>
      </c>
      <c r="O365" s="24"/>
      <c r="P365" s="24"/>
      <c r="Q365" s="24" t="str">
        <f aca="1">DATEDIF(R365,NOW(),"Y")&amp;" Tahun "&amp;DATEDIF(R365,NOW(),"YM")&amp;" Bulan "&amp;DATEDIF(R365,NOW(),"MD")&amp;" Hari "</f>
        <v>2 Tahun 6 Bulan 6 Hari </v>
      </c>
      <c r="R365" s="41" t="n">
        <v>45017</v>
      </c>
      <c r="S365" s="41" t="n">
        <v>46477</v>
      </c>
      <c r="T365" s="56"/>
      <c r="U365" s="56"/>
    </row>
    <row r="366" spans="1:21">
      <c r="A366" s="21" t="n">
        <v>363</v>
      </c>
      <c r="B366" s="21">
        <f>E366</f>
        <v>0</v>
      </c>
      <c r="C366" s="21" t="str">
        <f>F366</f>
        <v>199103272023212001</v>
      </c>
      <c r="D366" s="40" t="s">
        <v>1028</v>
      </c>
      <c r="E366" s="40"/>
      <c r="F366" s="163" t="s">
        <v>1029</v>
      </c>
      <c r="G366" s="21" t="s">
        <v>24</v>
      </c>
      <c r="H366" s="21" t="s">
        <v>880</v>
      </c>
      <c r="I366" s="35" t="s">
        <v>881</v>
      </c>
      <c r="J366" s="22" t="s">
        <v>663</v>
      </c>
      <c r="K366" s="27" t="s">
        <v>201</v>
      </c>
      <c r="L366" s="22" t="s">
        <v>663</v>
      </c>
      <c r="M366" s="28" t="s">
        <v>209</v>
      </c>
      <c r="N366" s="23" t="s">
        <v>210</v>
      </c>
      <c r="O366" s="24"/>
      <c r="P366" s="24"/>
      <c r="Q366" s="24" t="str">
        <f aca="1">DATEDIF(R366,NOW(),"Y")&amp;" Tahun "&amp;DATEDIF(R366,NOW(),"YM")&amp;" Bulan "&amp;DATEDIF(R366,NOW(),"MD")&amp;" Hari "</f>
        <v>2 Tahun 6 Bulan 6 Hari </v>
      </c>
      <c r="R366" s="41" t="n">
        <v>45017</v>
      </c>
      <c r="S366" s="41" t="n">
        <v>46477</v>
      </c>
      <c r="T366" s="56"/>
      <c r="U366" s="56"/>
    </row>
    <row r="367" spans="1:21">
      <c r="A367" s="21" t="n">
        <v>364</v>
      </c>
      <c r="B367" s="21">
        <f>E367</f>
        <v>0</v>
      </c>
      <c r="C367" s="21" t="str">
        <f>F367</f>
        <v>199109112023211001</v>
      </c>
      <c r="D367" s="40" t="s">
        <v>1030</v>
      </c>
      <c r="E367" s="40"/>
      <c r="F367" s="163" t="s">
        <v>1031</v>
      </c>
      <c r="G367" s="21" t="s">
        <v>33</v>
      </c>
      <c r="H367" s="21" t="s">
        <v>880</v>
      </c>
      <c r="I367" s="35" t="s">
        <v>881</v>
      </c>
      <c r="J367" s="23" t="s">
        <v>724</v>
      </c>
      <c r="K367" s="27" t="s">
        <v>96</v>
      </c>
      <c r="L367" s="22" t="s">
        <v>724</v>
      </c>
      <c r="M367" s="28" t="s">
        <v>181</v>
      </c>
      <c r="N367" s="23" t="s">
        <v>158</v>
      </c>
      <c r="O367" s="24"/>
      <c r="P367" s="24"/>
      <c r="Q367" s="24" t="str">
        <f aca="1">DATEDIF(R367,NOW(),"Y")&amp;" Tahun "&amp;DATEDIF(R367,NOW(),"YM")&amp;" Bulan "&amp;DATEDIF(R367,NOW(),"MD")&amp;" Hari "</f>
        <v>2 Tahun 6 Bulan 6 Hari </v>
      </c>
      <c r="R367" s="41" t="n">
        <v>45017</v>
      </c>
      <c r="S367" s="41" t="n">
        <v>46477</v>
      </c>
      <c r="T367" s="56"/>
      <c r="U367" s="56"/>
    </row>
    <row r="368" spans="1:21">
      <c r="A368" s="21" t="n">
        <v>365</v>
      </c>
      <c r="B368" s="21">
        <f>E368</f>
        <v>0</v>
      </c>
      <c r="C368" s="21" t="str">
        <f>F368</f>
        <v>199405182023212001</v>
      </c>
      <c r="D368" s="40" t="s">
        <v>1032</v>
      </c>
      <c r="E368" s="40"/>
      <c r="F368" s="163" t="s">
        <v>1033</v>
      </c>
      <c r="G368" s="21" t="s">
        <v>24</v>
      </c>
      <c r="H368" s="21" t="s">
        <v>880</v>
      </c>
      <c r="I368" s="35" t="s">
        <v>881</v>
      </c>
      <c r="J368" s="22" t="s">
        <v>663</v>
      </c>
      <c r="K368" s="27" t="s">
        <v>201</v>
      </c>
      <c r="L368" s="22" t="s">
        <v>663</v>
      </c>
      <c r="M368" s="28" t="s">
        <v>209</v>
      </c>
      <c r="N368" s="23" t="s">
        <v>210</v>
      </c>
      <c r="O368" s="24"/>
      <c r="P368" s="24"/>
      <c r="Q368" s="24" t="str">
        <f aca="1">DATEDIF(R368,NOW(),"Y")&amp;" Tahun "&amp;DATEDIF(R368,NOW(),"YM")&amp;" Bulan "&amp;DATEDIF(R368,NOW(),"MD")&amp;" Hari "</f>
        <v>2 Tahun 6 Bulan 6 Hari </v>
      </c>
      <c r="R368" s="41" t="n">
        <v>45017</v>
      </c>
      <c r="S368" s="41" t="n">
        <v>46477</v>
      </c>
      <c r="T368" s="56"/>
      <c r="U368" s="56"/>
    </row>
    <row r="369" spans="1:21">
      <c r="A369" s="21" t="n">
        <v>366</v>
      </c>
      <c r="B369" s="21">
        <f>E369</f>
        <v>0</v>
      </c>
      <c r="C369" s="21" t="str">
        <f>F369</f>
        <v>199101112023212006</v>
      </c>
      <c r="D369" s="40" t="s">
        <v>1034</v>
      </c>
      <c r="E369" s="40"/>
      <c r="F369" s="163" t="s">
        <v>1035</v>
      </c>
      <c r="G369" s="21" t="s">
        <v>24</v>
      </c>
      <c r="H369" s="21" t="s">
        <v>880</v>
      </c>
      <c r="I369" s="35" t="s">
        <v>881</v>
      </c>
      <c r="J369" s="22" t="s">
        <v>663</v>
      </c>
      <c r="K369" s="27" t="s">
        <v>201</v>
      </c>
      <c r="L369" s="22" t="s">
        <v>663</v>
      </c>
      <c r="M369" s="28" t="s">
        <v>209</v>
      </c>
      <c r="N369" s="23" t="s">
        <v>210</v>
      </c>
      <c r="O369" s="24"/>
      <c r="P369" s="24"/>
      <c r="Q369" s="24" t="str">
        <f aca="1">DATEDIF(R369,NOW(),"Y")&amp;" Tahun "&amp;DATEDIF(R369,NOW(),"YM")&amp;" Bulan "&amp;DATEDIF(R369,NOW(),"MD")&amp;" Hari "</f>
        <v>2 Tahun 6 Bulan 6 Hari </v>
      </c>
      <c r="R369" s="41" t="n">
        <v>45017</v>
      </c>
      <c r="S369" s="41" t="n">
        <v>46477</v>
      </c>
      <c r="T369" s="56"/>
      <c r="U369" s="56"/>
    </row>
    <row r="370" spans="1:21">
      <c r="A370" s="21" t="n">
        <v>367</v>
      </c>
      <c r="B370" s="21">
        <f>E370</f>
        <v>0</v>
      </c>
      <c r="C370" s="21" t="str">
        <f>F370</f>
        <v>198406262023211001</v>
      </c>
      <c r="D370" s="40" t="s">
        <v>1036</v>
      </c>
      <c r="E370" s="40"/>
      <c r="F370" s="163" t="s">
        <v>1037</v>
      </c>
      <c r="G370" s="21" t="s">
        <v>33</v>
      </c>
      <c r="H370" s="21" t="s">
        <v>880</v>
      </c>
      <c r="I370" s="35" t="s">
        <v>881</v>
      </c>
      <c r="J370" s="23" t="s">
        <v>724</v>
      </c>
      <c r="K370" s="27" t="s">
        <v>96</v>
      </c>
      <c r="L370" s="22" t="s">
        <v>724</v>
      </c>
      <c r="M370" s="28" t="s">
        <v>181</v>
      </c>
      <c r="N370" s="23" t="s">
        <v>359</v>
      </c>
      <c r="O370" s="24"/>
      <c r="P370" s="24"/>
      <c r="Q370" s="24" t="str">
        <f aca="1">DATEDIF(R370,NOW(),"Y")&amp;" Tahun "&amp;DATEDIF(R370,NOW(),"YM")&amp;" Bulan "&amp;DATEDIF(R370,NOW(),"MD")&amp;" Hari "</f>
        <v>2 Tahun 6 Bulan 6 Hari </v>
      </c>
      <c r="R370" s="41" t="n">
        <v>45017</v>
      </c>
      <c r="S370" s="41" t="n">
        <v>46477</v>
      </c>
      <c r="T370" s="56"/>
      <c r="U370" s="56"/>
    </row>
    <row r="371" spans="1:21">
      <c r="A371" s="21" t="n">
        <v>368</v>
      </c>
      <c r="B371" s="21">
        <f>E371</f>
        <v>0</v>
      </c>
      <c r="C371" s="21" t="str">
        <f>F371</f>
        <v>199006132023212001</v>
      </c>
      <c r="D371" s="40" t="s">
        <v>1038</v>
      </c>
      <c r="E371" s="40"/>
      <c r="F371" s="163" t="s">
        <v>1039</v>
      </c>
      <c r="G371" s="21" t="s">
        <v>24</v>
      </c>
      <c r="H371" s="21" t="s">
        <v>880</v>
      </c>
      <c r="I371" s="35" t="s">
        <v>881</v>
      </c>
      <c r="J371" s="22" t="s">
        <v>663</v>
      </c>
      <c r="K371" s="27" t="s">
        <v>201</v>
      </c>
      <c r="L371" s="22" t="s">
        <v>663</v>
      </c>
      <c r="M371" s="28" t="s">
        <v>209</v>
      </c>
      <c r="N371" s="23" t="s">
        <v>210</v>
      </c>
      <c r="O371" s="24"/>
      <c r="P371" s="24"/>
      <c r="Q371" s="24" t="str">
        <f aca="1">DATEDIF(R371,NOW(),"Y")&amp;" Tahun "&amp;DATEDIF(R371,NOW(),"YM")&amp;" Bulan "&amp;DATEDIF(R371,NOW(),"MD")&amp;" Hari "</f>
        <v>2 Tahun 6 Bulan 6 Hari </v>
      </c>
      <c r="R371" s="41" t="n">
        <v>45017</v>
      </c>
      <c r="S371" s="41" t="n">
        <v>46477</v>
      </c>
      <c r="T371" s="56"/>
      <c r="U371" s="56"/>
    </row>
    <row r="372" spans="1:21">
      <c r="A372" s="21" t="n">
        <v>369</v>
      </c>
      <c r="B372" s="21">
        <f>E372</f>
        <v>0</v>
      </c>
      <c r="C372" s="21" t="str">
        <f>F372</f>
        <v>198406232023212002</v>
      </c>
      <c r="D372" s="40" t="s">
        <v>1040</v>
      </c>
      <c r="E372" s="40"/>
      <c r="F372" s="163" t="s">
        <v>1041</v>
      </c>
      <c r="G372" s="21" t="s">
        <v>24</v>
      </c>
      <c r="H372" s="21" t="s">
        <v>880</v>
      </c>
      <c r="I372" s="21" t="s">
        <v>888</v>
      </c>
      <c r="J372" s="23" t="s">
        <v>291</v>
      </c>
      <c r="K372" s="27" t="s">
        <v>96</v>
      </c>
      <c r="L372" s="23" t="s">
        <v>291</v>
      </c>
      <c r="M372" s="23" t="s">
        <v>161</v>
      </c>
      <c r="N372" s="23" t="s">
        <v>379</v>
      </c>
      <c r="O372" s="24"/>
      <c r="P372" s="24"/>
      <c r="Q372" s="24" t="str">
        <f aca="1">DATEDIF(R372,NOW(),"Y")&amp;" Tahun "&amp;DATEDIF(R372,NOW(),"YM")&amp;" Bulan "&amp;DATEDIF(R372,NOW(),"MD")&amp;" Hari "</f>
        <v>2 Tahun 6 Bulan 6 Hari </v>
      </c>
      <c r="R372" s="41" t="n">
        <v>45017</v>
      </c>
      <c r="S372" s="41" t="n">
        <v>46477</v>
      </c>
      <c r="T372" s="56"/>
      <c r="U372" s="56"/>
    </row>
    <row r="373" spans="1:21">
      <c r="A373" s="21" t="n">
        <v>370</v>
      </c>
      <c r="B373" s="21">
        <f>E373</f>
        <v>0</v>
      </c>
      <c r="C373" s="21" t="str">
        <f>F373</f>
        <v>198211072023211001</v>
      </c>
      <c r="D373" s="40" t="s">
        <v>1042</v>
      </c>
      <c r="E373" s="40"/>
      <c r="F373" s="163" t="s">
        <v>1043</v>
      </c>
      <c r="G373" s="21" t="s">
        <v>33</v>
      </c>
      <c r="H373" s="21" t="s">
        <v>880</v>
      </c>
      <c r="I373" s="35" t="s">
        <v>881</v>
      </c>
      <c r="J373" s="23" t="s">
        <v>724</v>
      </c>
      <c r="K373" s="27" t="s">
        <v>96</v>
      </c>
      <c r="L373" s="22" t="s">
        <v>724</v>
      </c>
      <c r="M373" s="28" t="s">
        <v>181</v>
      </c>
      <c r="N373" s="29" t="s">
        <v>222</v>
      </c>
      <c r="O373" s="24"/>
      <c r="P373" s="24"/>
      <c r="Q373" s="24" t="str">
        <f aca="1">DATEDIF(R373,NOW(),"Y")&amp;" Tahun "&amp;DATEDIF(R373,NOW(),"YM")&amp;" Bulan "&amp;DATEDIF(R373,NOW(),"MD")&amp;" Hari "</f>
        <v>2 Tahun 6 Bulan 6 Hari </v>
      </c>
      <c r="R373" s="41" t="n">
        <v>45017</v>
      </c>
      <c r="S373" s="41" t="n">
        <v>46477</v>
      </c>
      <c r="T373" s="56"/>
      <c r="U373" s="56"/>
    </row>
    <row r="374" spans="1:21">
      <c r="A374" s="21" t="n">
        <v>371</v>
      </c>
      <c r="B374" s="21">
        <f>E374</f>
        <v>0</v>
      </c>
      <c r="C374" s="21" t="str">
        <f>F374</f>
        <v>199207052023212002</v>
      </c>
      <c r="D374" s="40" t="s">
        <v>1044</v>
      </c>
      <c r="E374" s="40"/>
      <c r="F374" s="163" t="s">
        <v>1045</v>
      </c>
      <c r="G374" s="21" t="s">
        <v>24</v>
      </c>
      <c r="H374" s="21" t="s">
        <v>880</v>
      </c>
      <c r="I374" s="35" t="s">
        <v>881</v>
      </c>
      <c r="J374" s="22" t="s">
        <v>663</v>
      </c>
      <c r="K374" s="27" t="s">
        <v>201</v>
      </c>
      <c r="L374" s="22" t="s">
        <v>663</v>
      </c>
      <c r="M374" s="28" t="s">
        <v>209</v>
      </c>
      <c r="N374" s="23" t="s">
        <v>461</v>
      </c>
      <c r="O374" s="24"/>
      <c r="P374" s="24"/>
      <c r="Q374" s="24" t="str">
        <f aca="1">DATEDIF(R374,NOW(),"Y")&amp;" Tahun "&amp;DATEDIF(R374,NOW(),"YM")&amp;" Bulan "&amp;DATEDIF(R374,NOW(),"MD")&amp;" Hari "</f>
        <v>2 Tahun 6 Bulan 6 Hari </v>
      </c>
      <c r="R374" s="41" t="n">
        <v>45017</v>
      </c>
      <c r="S374" s="41" t="n">
        <v>46477</v>
      </c>
      <c r="T374" s="56"/>
      <c r="U374" s="56"/>
    </row>
    <row r="375" spans="1:21">
      <c r="A375" s="21" t="n">
        <v>372</v>
      </c>
      <c r="B375" s="21">
        <f>E375</f>
        <v>0</v>
      </c>
      <c r="C375" s="21" t="str">
        <f>F375</f>
        <v>199109182023212002</v>
      </c>
      <c r="D375" s="40" t="s">
        <v>1046</v>
      </c>
      <c r="E375" s="40"/>
      <c r="F375" s="163" t="s">
        <v>1047</v>
      </c>
      <c r="G375" s="21" t="s">
        <v>24</v>
      </c>
      <c r="H375" s="21" t="s">
        <v>880</v>
      </c>
      <c r="I375" s="35" t="s">
        <v>881</v>
      </c>
      <c r="J375" s="23" t="s">
        <v>724</v>
      </c>
      <c r="K375" s="27" t="s">
        <v>96</v>
      </c>
      <c r="L375" s="22" t="s">
        <v>724</v>
      </c>
      <c r="M375" s="28" t="s">
        <v>181</v>
      </c>
      <c r="N375" s="23" t="s">
        <v>461</v>
      </c>
      <c r="O375" s="24"/>
      <c r="P375" s="24"/>
      <c r="Q375" s="24" t="str">
        <f aca="1">DATEDIF(R375,NOW(),"Y")&amp;" Tahun "&amp;DATEDIF(R375,NOW(),"YM")&amp;" Bulan "&amp;DATEDIF(R375,NOW(),"MD")&amp;" Hari "</f>
        <v>2 Tahun 6 Bulan 6 Hari </v>
      </c>
      <c r="R375" s="41" t="n">
        <v>45017</v>
      </c>
      <c r="S375" s="41" t="n">
        <v>46477</v>
      </c>
      <c r="T375" s="56"/>
      <c r="U375" s="56"/>
    </row>
    <row r="376" spans="1:21">
      <c r="A376" s="21" t="n">
        <v>373</v>
      </c>
      <c r="B376" s="21">
        <f>E376</f>
        <v>0</v>
      </c>
      <c r="C376" s="21" t="str">
        <f>F376</f>
        <v>199102252023212001</v>
      </c>
      <c r="D376" s="40" t="s">
        <v>1048</v>
      </c>
      <c r="E376" s="40"/>
      <c r="F376" s="163" t="s">
        <v>1049</v>
      </c>
      <c r="G376" s="21" t="s">
        <v>24</v>
      </c>
      <c r="H376" s="21" t="s">
        <v>880</v>
      </c>
      <c r="I376" s="35" t="s">
        <v>881</v>
      </c>
      <c r="J376" s="23" t="s">
        <v>724</v>
      </c>
      <c r="K376" s="27" t="s">
        <v>96</v>
      </c>
      <c r="L376" s="22" t="s">
        <v>724</v>
      </c>
      <c r="M376" s="28" t="s">
        <v>181</v>
      </c>
      <c r="N376" s="23" t="s">
        <v>396</v>
      </c>
      <c r="O376" s="24"/>
      <c r="P376" s="24"/>
      <c r="Q376" s="24" t="str">
        <f aca="1">DATEDIF(R376,NOW(),"Y")&amp;" Tahun "&amp;DATEDIF(R376,NOW(),"YM")&amp;" Bulan "&amp;DATEDIF(R376,NOW(),"MD")&amp;" Hari "</f>
        <v>2 Tahun 6 Bulan 6 Hari </v>
      </c>
      <c r="R376" s="41" t="n">
        <v>45017</v>
      </c>
      <c r="S376" s="41" t="n">
        <v>46477</v>
      </c>
      <c r="T376" s="56"/>
      <c r="U376" s="56"/>
    </row>
    <row r="377" spans="1:21">
      <c r="A377" s="21" t="n">
        <v>374</v>
      </c>
      <c r="B377" s="21">
        <f>E377</f>
        <v>0</v>
      </c>
      <c r="C377" s="21" t="str">
        <f>F377</f>
        <v>198603172023212002</v>
      </c>
      <c r="D377" s="40" t="s">
        <v>1050</v>
      </c>
      <c r="E377" s="40"/>
      <c r="F377" s="163" t="s">
        <v>1051</v>
      </c>
      <c r="G377" s="21" t="s">
        <v>24</v>
      </c>
      <c r="H377" s="21" t="s">
        <v>880</v>
      </c>
      <c r="I377" s="35" t="s">
        <v>881</v>
      </c>
      <c r="J377" s="23" t="s">
        <v>724</v>
      </c>
      <c r="K377" s="27" t="s">
        <v>96</v>
      </c>
      <c r="L377" s="22" t="s">
        <v>724</v>
      </c>
      <c r="M377" s="28" t="s">
        <v>181</v>
      </c>
      <c r="N377" s="23" t="s">
        <v>331</v>
      </c>
      <c r="O377" s="24"/>
      <c r="P377" s="24"/>
      <c r="Q377" s="24" t="str">
        <f aca="1">DATEDIF(R377,NOW(),"Y")&amp;" Tahun "&amp;DATEDIF(R377,NOW(),"YM")&amp;" Bulan "&amp;DATEDIF(R377,NOW(),"MD")&amp;" Hari "</f>
        <v>2 Tahun 6 Bulan 6 Hari </v>
      </c>
      <c r="R377" s="41" t="n">
        <v>45017</v>
      </c>
      <c r="S377" s="41" t="n">
        <v>46477</v>
      </c>
      <c r="T377" s="56"/>
      <c r="U377" s="56"/>
    </row>
    <row r="378" spans="1:21">
      <c r="A378" s="21" t="n">
        <v>375</v>
      </c>
      <c r="B378" s="21">
        <f>E378</f>
        <v>0</v>
      </c>
      <c r="C378" s="21" t="str">
        <f>F378</f>
        <v>199009052023211001</v>
      </c>
      <c r="D378" s="40" t="s">
        <v>1052</v>
      </c>
      <c r="E378" s="40"/>
      <c r="F378" s="163" t="s">
        <v>1053</v>
      </c>
      <c r="G378" s="21" t="s">
        <v>33</v>
      </c>
      <c r="H378" s="21" t="s">
        <v>880</v>
      </c>
      <c r="I378" s="35" t="s">
        <v>881</v>
      </c>
      <c r="J378" s="23" t="s">
        <v>724</v>
      </c>
      <c r="K378" s="27" t="s">
        <v>96</v>
      </c>
      <c r="L378" s="22" t="s">
        <v>724</v>
      </c>
      <c r="M378" s="28" t="s">
        <v>181</v>
      </c>
      <c r="N378" s="23" t="s">
        <v>168</v>
      </c>
      <c r="O378" s="24"/>
      <c r="P378" s="24"/>
      <c r="Q378" s="24" t="str">
        <f aca="1">DATEDIF(R378,NOW(),"Y")&amp;" Tahun "&amp;DATEDIF(R378,NOW(),"YM")&amp;" Bulan "&amp;DATEDIF(R378,NOW(),"MD")&amp;" Hari "</f>
        <v>2 Tahun 6 Bulan 6 Hari </v>
      </c>
      <c r="R378" s="41" t="n">
        <v>45017</v>
      </c>
      <c r="S378" s="41" t="n">
        <v>46477</v>
      </c>
      <c r="T378" s="56"/>
      <c r="U378" s="56"/>
    </row>
    <row r="379" spans="1:21">
      <c r="A379" s="21" t="n">
        <v>376</v>
      </c>
      <c r="B379" s="21">
        <f>E379</f>
        <v>0</v>
      </c>
      <c r="C379" s="21" t="str">
        <f>F379</f>
        <v>199008122023212001</v>
      </c>
      <c r="D379" s="40" t="s">
        <v>1054</v>
      </c>
      <c r="E379" s="40"/>
      <c r="F379" s="163" t="s">
        <v>1055</v>
      </c>
      <c r="G379" s="21" t="s">
        <v>24</v>
      </c>
      <c r="H379" s="21" t="s">
        <v>880</v>
      </c>
      <c r="I379" s="21" t="s">
        <v>926</v>
      </c>
      <c r="J379" s="22" t="s">
        <v>631</v>
      </c>
      <c r="K379" s="27" t="s">
        <v>201</v>
      </c>
      <c r="L379" s="22" t="s">
        <v>631</v>
      </c>
      <c r="M379" s="28" t="s">
        <v>202</v>
      </c>
      <c r="N379" s="23" t="s">
        <v>737</v>
      </c>
      <c r="O379" s="24"/>
      <c r="P379" s="24"/>
      <c r="Q379" s="24" t="str">
        <f aca="1">DATEDIF(R379,NOW(),"Y")&amp;" Tahun "&amp;DATEDIF(R379,NOW(),"YM")&amp;" Bulan "&amp;DATEDIF(R379,NOW(),"MD")&amp;" Hari "</f>
        <v>2 Tahun 6 Bulan 6 Hari </v>
      </c>
      <c r="R379" s="41" t="n">
        <v>45017</v>
      </c>
      <c r="S379" s="41" t="n">
        <v>46477</v>
      </c>
      <c r="T379" s="56"/>
      <c r="U379" s="56"/>
    </row>
    <row r="380" spans="1:21">
      <c r="A380" s="21" t="n">
        <v>377</v>
      </c>
      <c r="B380" s="21">
        <f>E380</f>
        <v>0</v>
      </c>
      <c r="C380" s="21" t="str">
        <f>F380</f>
        <v>198303142023212001</v>
      </c>
      <c r="D380" s="40" t="s">
        <v>1056</v>
      </c>
      <c r="E380" s="40"/>
      <c r="F380" s="163" t="s">
        <v>1057</v>
      </c>
      <c r="G380" s="21" t="s">
        <v>24</v>
      </c>
      <c r="H380" s="21" t="s">
        <v>880</v>
      </c>
      <c r="I380" s="35" t="s">
        <v>881</v>
      </c>
      <c r="J380" s="23" t="s">
        <v>724</v>
      </c>
      <c r="K380" s="27" t="s">
        <v>96</v>
      </c>
      <c r="L380" s="22" t="s">
        <v>724</v>
      </c>
      <c r="M380" s="28" t="s">
        <v>181</v>
      </c>
      <c r="N380" s="29" t="s">
        <v>385</v>
      </c>
      <c r="O380" s="24"/>
      <c r="P380" s="24"/>
      <c r="Q380" s="24" t="str">
        <f aca="1">DATEDIF(R380,NOW(),"Y")&amp;" Tahun "&amp;DATEDIF(R380,NOW(),"YM")&amp;" Bulan "&amp;DATEDIF(R380,NOW(),"MD")&amp;" Hari "</f>
        <v>2 Tahun 6 Bulan 6 Hari </v>
      </c>
      <c r="R380" s="41" t="n">
        <v>45017</v>
      </c>
      <c r="S380" s="41" t="n">
        <v>46477</v>
      </c>
      <c r="T380" s="56"/>
      <c r="U380" s="56"/>
    </row>
    <row r="381" spans="1:21">
      <c r="A381" s="21" t="n">
        <v>378</v>
      </c>
      <c r="B381" s="21">
        <f>E381</f>
        <v>0</v>
      </c>
      <c r="C381" s="21" t="str">
        <f>F381</f>
        <v>198909102023211001</v>
      </c>
      <c r="D381" s="40" t="s">
        <v>1058</v>
      </c>
      <c r="E381" s="40"/>
      <c r="F381" s="163" t="s">
        <v>1059</v>
      </c>
      <c r="G381" s="21" t="s">
        <v>33</v>
      </c>
      <c r="H381" s="21" t="s">
        <v>880</v>
      </c>
      <c r="I381" s="21" t="s">
        <v>888</v>
      </c>
      <c r="J381" s="23" t="s">
        <v>291</v>
      </c>
      <c r="K381" s="27" t="s">
        <v>96</v>
      </c>
      <c r="L381" s="23" t="s">
        <v>291</v>
      </c>
      <c r="M381" s="23" t="s">
        <v>161</v>
      </c>
      <c r="N381" s="23" t="s">
        <v>331</v>
      </c>
      <c r="O381" s="24"/>
      <c r="P381" s="24"/>
      <c r="Q381" s="24" t="str">
        <f aca="1">DATEDIF(R381,NOW(),"Y")&amp;" Tahun "&amp;DATEDIF(R381,NOW(),"YM")&amp;" Bulan "&amp;DATEDIF(R381,NOW(),"MD")&amp;" Hari "</f>
        <v>2 Tahun 6 Bulan 6 Hari </v>
      </c>
      <c r="R381" s="41" t="n">
        <v>45017</v>
      </c>
      <c r="S381" s="41" t="n">
        <v>46477</v>
      </c>
      <c r="T381" s="56"/>
      <c r="U381" s="56"/>
    </row>
    <row r="382" spans="1:21">
      <c r="A382" s="21" t="n">
        <v>379</v>
      </c>
      <c r="B382" s="21">
        <f>E382</f>
        <v>0</v>
      </c>
      <c r="C382" s="21" t="str">
        <f>F382</f>
        <v>198605172023211003</v>
      </c>
      <c r="D382" s="40" t="s">
        <v>1060</v>
      </c>
      <c r="E382" s="40"/>
      <c r="F382" s="163" t="s">
        <v>1061</v>
      </c>
      <c r="G382" s="21" t="s">
        <v>33</v>
      </c>
      <c r="H382" s="21" t="s">
        <v>880</v>
      </c>
      <c r="I382" s="21" t="s">
        <v>888</v>
      </c>
      <c r="J382" s="23" t="s">
        <v>291</v>
      </c>
      <c r="K382" s="27" t="s">
        <v>96</v>
      </c>
      <c r="L382" s="23" t="s">
        <v>291</v>
      </c>
      <c r="M382" s="23" t="s">
        <v>161</v>
      </c>
      <c r="N382" s="23" t="s">
        <v>331</v>
      </c>
      <c r="O382" s="24"/>
      <c r="P382" s="24"/>
      <c r="Q382" s="24" t="str">
        <f aca="1">DATEDIF(R382,NOW(),"Y")&amp;" Tahun "&amp;DATEDIF(R382,NOW(),"YM")&amp;" Bulan "&amp;DATEDIF(R382,NOW(),"MD")&amp;" Hari "</f>
        <v>2 Tahun 6 Bulan 6 Hari </v>
      </c>
      <c r="R382" s="41" t="n">
        <v>45017</v>
      </c>
      <c r="S382" s="41" t="n">
        <v>46477</v>
      </c>
      <c r="T382" s="56"/>
      <c r="U382" s="56"/>
    </row>
    <row r="383" spans="1:21">
      <c r="A383" s="21" t="n">
        <v>380</v>
      </c>
      <c r="B383" s="21">
        <f>E383</f>
        <v>0</v>
      </c>
      <c r="C383" s="21" t="str">
        <f>F383</f>
        <v>199608182023212001</v>
      </c>
      <c r="D383" s="40" t="s">
        <v>1062</v>
      </c>
      <c r="E383" s="40"/>
      <c r="F383" s="163" t="s">
        <v>1063</v>
      </c>
      <c r="G383" s="21" t="s">
        <v>24</v>
      </c>
      <c r="H383" s="21" t="s">
        <v>880</v>
      </c>
      <c r="I383" s="35" t="s">
        <v>881</v>
      </c>
      <c r="J383" s="23" t="s">
        <v>724</v>
      </c>
      <c r="K383" s="27" t="s">
        <v>96</v>
      </c>
      <c r="L383" s="22" t="s">
        <v>724</v>
      </c>
      <c r="M383" s="28" t="s">
        <v>181</v>
      </c>
      <c r="N383" s="23" t="s">
        <v>158</v>
      </c>
      <c r="O383" s="24"/>
      <c r="P383" s="24"/>
      <c r="Q383" s="24" t="str">
        <f aca="1">DATEDIF(R383,NOW(),"Y")&amp;" Tahun "&amp;DATEDIF(R383,NOW(),"YM")&amp;" Bulan "&amp;DATEDIF(R383,NOW(),"MD")&amp;" Hari "</f>
        <v>2 Tahun 6 Bulan 6 Hari </v>
      </c>
      <c r="R383" s="41" t="n">
        <v>45017</v>
      </c>
      <c r="S383" s="41" t="n">
        <v>46477</v>
      </c>
      <c r="T383" s="56"/>
      <c r="U383" s="56"/>
    </row>
    <row r="384" spans="1:21">
      <c r="A384" s="21" t="n">
        <v>381</v>
      </c>
      <c r="B384" s="21">
        <f>E384</f>
        <v>0</v>
      </c>
      <c r="C384" s="21" t="str">
        <f>F384</f>
        <v>199208112023211001</v>
      </c>
      <c r="D384" s="40" t="s">
        <v>1064</v>
      </c>
      <c r="E384" s="40"/>
      <c r="F384" s="163" t="s">
        <v>1065</v>
      </c>
      <c r="G384" s="21" t="s">
        <v>33</v>
      </c>
      <c r="H384" s="21" t="s">
        <v>880</v>
      </c>
      <c r="I384" s="21" t="s">
        <v>888</v>
      </c>
      <c r="J384" s="23" t="s">
        <v>291</v>
      </c>
      <c r="K384" s="27" t="s">
        <v>96</v>
      </c>
      <c r="L384" s="23" t="s">
        <v>291</v>
      </c>
      <c r="M384" s="23" t="s">
        <v>161</v>
      </c>
      <c r="N384" s="23" t="s">
        <v>331</v>
      </c>
      <c r="O384" s="24"/>
      <c r="P384" s="24"/>
      <c r="Q384" s="24" t="str">
        <f aca="1">DATEDIF(R384,NOW(),"Y")&amp;" Tahun "&amp;DATEDIF(R384,NOW(),"YM")&amp;" Bulan "&amp;DATEDIF(R384,NOW(),"MD")&amp;" Hari "</f>
        <v>2 Tahun 6 Bulan 6 Hari </v>
      </c>
      <c r="R384" s="41" t="n">
        <v>45017</v>
      </c>
      <c r="S384" s="41" t="n">
        <v>46477</v>
      </c>
      <c r="T384" s="56"/>
      <c r="U384" s="56"/>
    </row>
    <row r="385" spans="1:21">
      <c r="A385" s="21" t="n">
        <v>382</v>
      </c>
      <c r="B385" s="21">
        <f>E385</f>
        <v>0</v>
      </c>
      <c r="C385" s="21" t="str">
        <f>F385</f>
        <v>199010302023212001</v>
      </c>
      <c r="D385" s="40" t="s">
        <v>1066</v>
      </c>
      <c r="E385" s="40"/>
      <c r="F385" s="163" t="s">
        <v>1067</v>
      </c>
      <c r="G385" s="21" t="s">
        <v>24</v>
      </c>
      <c r="H385" s="21" t="s">
        <v>880</v>
      </c>
      <c r="I385" s="21" t="s">
        <v>888</v>
      </c>
      <c r="J385" s="23" t="s">
        <v>291</v>
      </c>
      <c r="K385" s="27" t="s">
        <v>96</v>
      </c>
      <c r="L385" s="23" t="s">
        <v>291</v>
      </c>
      <c r="M385" s="23" t="s">
        <v>161</v>
      </c>
      <c r="N385" s="23" t="s">
        <v>97</v>
      </c>
      <c r="O385" s="24"/>
      <c r="P385" s="24"/>
      <c r="Q385" s="24" t="str">
        <f aca="1">DATEDIF(R385,NOW(),"Y")&amp;" Tahun "&amp;DATEDIF(R385,NOW(),"YM")&amp;" Bulan "&amp;DATEDIF(R385,NOW(),"MD")&amp;" Hari "</f>
        <v>2 Tahun 6 Bulan 6 Hari </v>
      </c>
      <c r="R385" s="41" t="n">
        <v>45017</v>
      </c>
      <c r="S385" s="36" t="n">
        <v>46477</v>
      </c>
      <c r="T385" s="56"/>
      <c r="U385" s="56"/>
    </row>
    <row r="386" spans="1:21">
      <c r="A386" s="21" t="n">
        <v>383</v>
      </c>
      <c r="B386" s="21">
        <f>E386</f>
        <v>0</v>
      </c>
      <c r="C386" s="21" t="str">
        <f>F386</f>
        <v>199208312023212003</v>
      </c>
      <c r="D386" s="40" t="s">
        <v>1068</v>
      </c>
      <c r="E386" s="40"/>
      <c r="F386" s="163" t="s">
        <v>1069</v>
      </c>
      <c r="G386" s="21" t="s">
        <v>24</v>
      </c>
      <c r="H386" s="21" t="s">
        <v>880</v>
      </c>
      <c r="I386" s="35" t="s">
        <v>881</v>
      </c>
      <c r="J386" s="22" t="s">
        <v>663</v>
      </c>
      <c r="K386" s="27" t="s">
        <v>201</v>
      </c>
      <c r="L386" s="22" t="s">
        <v>663</v>
      </c>
      <c r="M386" s="28" t="s">
        <v>209</v>
      </c>
      <c r="N386" s="23" t="s">
        <v>210</v>
      </c>
      <c r="O386" s="24"/>
      <c r="P386" s="24"/>
      <c r="Q386" s="24" t="str">
        <f aca="1">DATEDIF(R386,NOW(),"Y")&amp;" Tahun "&amp;DATEDIF(R386,NOW(),"YM")&amp;" Bulan "&amp;DATEDIF(R386,NOW(),"MD")&amp;" Hari "</f>
        <v>2 Tahun 6 Bulan 6 Hari </v>
      </c>
      <c r="R386" s="41" t="n">
        <v>45017</v>
      </c>
      <c r="S386" s="36" t="n">
        <v>46477</v>
      </c>
      <c r="T386" s="56"/>
      <c r="U386" s="56"/>
    </row>
    <row r="387" spans="1:21">
      <c r="A387" s="21" t="n">
        <v>384</v>
      </c>
      <c r="B387" s="21">
        <f>E387</f>
        <v>0</v>
      </c>
      <c r="C387" s="21" t="str">
        <f>F387</f>
        <v>198612222023212003</v>
      </c>
      <c r="D387" s="40" t="s">
        <v>1070</v>
      </c>
      <c r="E387" s="40"/>
      <c r="F387" s="163" t="s">
        <v>1071</v>
      </c>
      <c r="G387" s="21" t="s">
        <v>24</v>
      </c>
      <c r="H387" s="21" t="s">
        <v>880</v>
      </c>
      <c r="I387" s="35" t="s">
        <v>881</v>
      </c>
      <c r="J387" s="23" t="s">
        <v>724</v>
      </c>
      <c r="K387" s="27" t="s">
        <v>96</v>
      </c>
      <c r="L387" s="22" t="s">
        <v>724</v>
      </c>
      <c r="M387" s="28" t="s">
        <v>181</v>
      </c>
      <c r="N387" s="30" t="s">
        <v>197</v>
      </c>
      <c r="O387" s="24"/>
      <c r="P387" s="24"/>
      <c r="Q387" s="24" t="str">
        <f aca="1">DATEDIF(R387,NOW(),"Y")&amp;" Tahun "&amp;DATEDIF(R387,NOW(),"YM")&amp;" Bulan "&amp;DATEDIF(R387,NOW(),"MD")&amp;" Hari "</f>
        <v>2 Tahun 6 Bulan 6 Hari </v>
      </c>
      <c r="R387" s="41" t="n">
        <v>45017</v>
      </c>
      <c r="S387" s="36" t="n">
        <v>46477</v>
      </c>
      <c r="T387" s="56"/>
      <c r="U387" s="56"/>
    </row>
    <row r="388" spans="1:21">
      <c r="A388" s="21" t="n">
        <v>385</v>
      </c>
      <c r="B388" s="21">
        <f>E388</f>
        <v>0</v>
      </c>
      <c r="C388" s="21" t="str">
        <f>F388</f>
        <v>198304132023211002</v>
      </c>
      <c r="D388" s="40" t="s">
        <v>1072</v>
      </c>
      <c r="E388" s="40"/>
      <c r="F388" s="163" t="s">
        <v>1073</v>
      </c>
      <c r="G388" s="21" t="s">
        <v>33</v>
      </c>
      <c r="H388" s="21" t="s">
        <v>880</v>
      </c>
      <c r="I388" s="21" t="s">
        <v>888</v>
      </c>
      <c r="J388" s="23" t="s">
        <v>291</v>
      </c>
      <c r="K388" s="27" t="s">
        <v>96</v>
      </c>
      <c r="L388" s="23" t="s">
        <v>291</v>
      </c>
      <c r="M388" s="23" t="s">
        <v>161</v>
      </c>
      <c r="N388" s="30" t="s">
        <v>197</v>
      </c>
      <c r="O388" s="24"/>
      <c r="P388" s="24"/>
      <c r="Q388" s="24" t="str">
        <f aca="1">DATEDIF(R388,NOW(),"Y")&amp;" Tahun "&amp;DATEDIF(R388,NOW(),"YM")&amp;" Bulan "&amp;DATEDIF(R388,NOW(),"MD")&amp;" Hari "</f>
        <v>2 Tahun 6 Bulan 6 Hari </v>
      </c>
      <c r="R388" s="41" t="n">
        <v>45017</v>
      </c>
      <c r="S388" s="36" t="n">
        <v>46477</v>
      </c>
      <c r="T388" s="56"/>
      <c r="U388" s="56"/>
    </row>
    <row r="389" spans="1:21">
      <c r="A389" s="21" t="n">
        <v>386</v>
      </c>
      <c r="B389" s="21">
        <f>E389</f>
        <v>0</v>
      </c>
      <c r="C389" s="21" t="str">
        <f>F389</f>
        <v>198712052023211001</v>
      </c>
      <c r="D389" s="40" t="s">
        <v>1074</v>
      </c>
      <c r="E389" s="40"/>
      <c r="F389" s="163" t="s">
        <v>1075</v>
      </c>
      <c r="G389" s="21" t="s">
        <v>33</v>
      </c>
      <c r="H389" s="21" t="s">
        <v>880</v>
      </c>
      <c r="I389" s="35" t="s">
        <v>881</v>
      </c>
      <c r="J389" s="23" t="s">
        <v>724</v>
      </c>
      <c r="K389" s="27" t="s">
        <v>96</v>
      </c>
      <c r="L389" s="22" t="s">
        <v>724</v>
      </c>
      <c r="M389" s="28" t="s">
        <v>181</v>
      </c>
      <c r="N389" s="23" t="s">
        <v>68</v>
      </c>
      <c r="O389" s="24"/>
      <c r="P389" s="24"/>
      <c r="Q389" s="24" t="str">
        <f aca="1">DATEDIF(R389,NOW(),"Y")&amp;" Tahun "&amp;DATEDIF(R389,NOW(),"YM")&amp;" Bulan "&amp;DATEDIF(R389,NOW(),"MD")&amp;" Hari "</f>
        <v>2 Tahun 6 Bulan 6 Hari </v>
      </c>
      <c r="R389" s="41" t="n">
        <v>45017</v>
      </c>
      <c r="S389" s="36" t="n">
        <v>46477</v>
      </c>
      <c r="T389" s="56"/>
      <c r="U389" s="56"/>
    </row>
    <row r="390" spans="1:22">
      <c r="A390" s="21" t="n">
        <v>387</v>
      </c>
      <c r="B390" s="21">
        <f>E390</f>
        <v>0</v>
      </c>
      <c r="C390" s="21">
        <f>F390</f>
        <v>0</v>
      </c>
      <c r="D390" s="34" t="s">
        <v>1076</v>
      </c>
      <c r="E390" s="34"/>
      <c r="F390" s="38"/>
      <c r="G390" s="21" t="s">
        <v>33</v>
      </c>
      <c r="H390" s="21" t="s">
        <v>880</v>
      </c>
      <c r="I390" s="21" t="s">
        <v>888</v>
      </c>
      <c r="J390" s="23" t="s">
        <v>850</v>
      </c>
      <c r="K390" s="27" t="s">
        <v>96</v>
      </c>
      <c r="L390" s="23" t="s">
        <v>850</v>
      </c>
      <c r="M390" s="28" t="s">
        <v>274</v>
      </c>
      <c r="N390" s="23" t="s">
        <v>168</v>
      </c>
      <c r="O390" s="24"/>
      <c r="P390" s="24"/>
      <c r="Q390" s="24" t="str">
        <f aca="1">DATEDIF(F390,NOW(),"Y")&amp;" Tahun "&amp;DATEDIF(F390,NOW(),"YM")&amp;" Bulan "&amp;DATEDIF(F390,NOW(),"MD")&amp;" Hari "</f>
        <v>125 Tahun 9 Bulan 7 Hari </v>
      </c>
      <c r="R390" s="41">
        <f>F390</f>
        <v>0</v>
      </c>
      <c r="S390" s="36" t="n">
        <v>45258</v>
      </c>
      <c r="T390" s="51" t="n">
        <v>2475000</v>
      </c>
      <c r="U390" s="51">
        <f>T390</f>
        <v>2475000</v>
      </c>
      <c r="V390" s="72">
        <f>U390-T390</f>
        <v>0</v>
      </c>
    </row>
    <row r="391" spans="1:22">
      <c r="A391" s="21" t="n">
        <v>388</v>
      </c>
      <c r="B391" s="21">
        <f>E391</f>
        <v>0</v>
      </c>
      <c r="C391" s="21">
        <f>F391</f>
        <v>0</v>
      </c>
      <c r="D391" s="34" t="s">
        <v>1077</v>
      </c>
      <c r="E391" s="34"/>
      <c r="F391" s="38"/>
      <c r="G391" s="21" t="s">
        <v>24</v>
      </c>
      <c r="H391" s="21" t="s">
        <v>880</v>
      </c>
      <c r="I391" s="21" t="s">
        <v>881</v>
      </c>
      <c r="J391" s="40" t="s">
        <v>917</v>
      </c>
      <c r="K391" s="22" t="s">
        <v>101</v>
      </c>
      <c r="L391" s="40" t="s">
        <v>917</v>
      </c>
      <c r="M391" s="23" t="s">
        <v>143</v>
      </c>
      <c r="N391" s="23" t="s">
        <v>103</v>
      </c>
      <c r="O391" s="24"/>
      <c r="P391" s="24"/>
      <c r="Q391" s="24" t="str">
        <f aca="1">DATEDIF(F391,NOW(),"Y")&amp;" Tahun "&amp;DATEDIF(F391,NOW(),"YM")&amp;" Bulan "&amp;DATEDIF(F391,NOW(),"MD")&amp;" Hari "</f>
        <v>125 Tahun 9 Bulan 7 Hari </v>
      </c>
      <c r="R391" s="41">
        <f>F391</f>
        <v>0</v>
      </c>
      <c r="S391" s="36" t="n">
        <v>45258</v>
      </c>
      <c r="T391" s="51" t="n">
        <v>2325000</v>
      </c>
      <c r="U391" s="51">
        <f>T391</f>
        <v>2325000</v>
      </c>
      <c r="V391" s="72">
        <f>U391-T391</f>
        <v>0</v>
      </c>
    </row>
    <row r="392" spans="1:22">
      <c r="A392" s="21" t="n">
        <v>389</v>
      </c>
      <c r="B392" s="21">
        <f>E392</f>
        <v>0</v>
      </c>
      <c r="C392" s="21">
        <f>F392</f>
        <v>0</v>
      </c>
      <c r="D392" s="34" t="s">
        <v>1078</v>
      </c>
      <c r="E392" s="34"/>
      <c r="F392" s="38"/>
      <c r="G392" s="21" t="s">
        <v>24</v>
      </c>
      <c r="H392" s="21" t="s">
        <v>880</v>
      </c>
      <c r="I392" s="21" t="s">
        <v>881</v>
      </c>
      <c r="J392" s="40" t="s">
        <v>917</v>
      </c>
      <c r="K392" s="22" t="s">
        <v>101</v>
      </c>
      <c r="L392" s="40" t="s">
        <v>917</v>
      </c>
      <c r="M392" s="23" t="s">
        <v>143</v>
      </c>
      <c r="N392" s="23" t="s">
        <v>103</v>
      </c>
      <c r="O392" s="24"/>
      <c r="P392" s="24"/>
      <c r="Q392" s="24" t="str">
        <f aca="1">DATEDIF(F392,NOW(),"Y")&amp;" Tahun "&amp;DATEDIF(F392,NOW(),"YM")&amp;" Bulan "&amp;DATEDIF(F392,NOW(),"MD")&amp;" Hari "</f>
        <v>125 Tahun 9 Bulan 7 Hari </v>
      </c>
      <c r="R392" s="41">
        <f>F392</f>
        <v>0</v>
      </c>
      <c r="S392" s="36" t="n">
        <v>45258</v>
      </c>
      <c r="T392" s="51" t="n">
        <v>2325000</v>
      </c>
      <c r="U392" s="51">
        <f>T392</f>
        <v>2325000</v>
      </c>
      <c r="V392" s="72">
        <f>U392-T392</f>
        <v>0</v>
      </c>
    </row>
    <row r="393" spans="1:22">
      <c r="A393" s="21" t="n">
        <v>390</v>
      </c>
      <c r="B393" s="21">
        <f>E393</f>
        <v>0</v>
      </c>
      <c r="C393" s="21" t="str">
        <f>F393</f>
        <v>'199101172024212024</v>
      </c>
      <c r="D393" s="39" t="s">
        <v>1079</v>
      </c>
      <c r="E393" s="39"/>
      <c r="F393" s="38" t="s">
        <v>1080</v>
      </c>
      <c r="G393" s="21" t="s">
        <v>24</v>
      </c>
      <c r="H393" s="21" t="s">
        <v>880</v>
      </c>
      <c r="I393" s="21" t="s">
        <v>881</v>
      </c>
      <c r="J393" s="22" t="s">
        <v>663</v>
      </c>
      <c r="K393" s="27" t="s">
        <v>201</v>
      </c>
      <c r="L393" s="22" t="s">
        <v>663</v>
      </c>
      <c r="M393" s="28" t="s">
        <v>209</v>
      </c>
      <c r="N393" s="23" t="s">
        <v>162</v>
      </c>
      <c r="O393" s="24"/>
      <c r="P393" s="24"/>
      <c r="Q393" s="24" t="e">
        <f aca="1">DATEDIF(F393,NOW(),"Y")&amp;" Tahun "&amp;DATEDIF(F393,NOW(),"YM")&amp;" Bulan "&amp;DATEDIF(F393,NOW(),"MD")&amp;" Hari "</f>
        <v>#VALUE!</v>
      </c>
      <c r="R393" s="41" t="str">
        <f>F393</f>
        <v>'199101172024212024</v>
      </c>
      <c r="S393" s="36" t="n">
        <v>45258</v>
      </c>
      <c r="T393" s="51" t="n">
        <v>2425000</v>
      </c>
      <c r="U393" s="51">
        <f>T393</f>
        <v>2425000</v>
      </c>
      <c r="V393" s="72">
        <f>U393-T393</f>
        <v>0</v>
      </c>
    </row>
    <row r="394" spans="1:22">
      <c r="A394" s="21" t="n">
        <v>391</v>
      </c>
      <c r="B394" s="21">
        <f>E394</f>
        <v>0</v>
      </c>
      <c r="C394" s="21" t="str">
        <f>F394</f>
        <v>'199012172024212018</v>
      </c>
      <c r="D394" s="37" t="s">
        <v>1081</v>
      </c>
      <c r="E394" s="37"/>
      <c r="F394" s="38" t="s">
        <v>1082</v>
      </c>
      <c r="G394" s="21" t="s">
        <v>24</v>
      </c>
      <c r="H394" s="21" t="s">
        <v>880</v>
      </c>
      <c r="I394" s="21" t="s">
        <v>881</v>
      </c>
      <c r="J394" s="23" t="s">
        <v>724</v>
      </c>
      <c r="K394" s="27" t="s">
        <v>96</v>
      </c>
      <c r="L394" s="22" t="s">
        <v>724</v>
      </c>
      <c r="M394" s="28" t="s">
        <v>181</v>
      </c>
      <c r="N394" s="23" t="s">
        <v>235</v>
      </c>
      <c r="O394" s="24"/>
      <c r="P394" s="24"/>
      <c r="Q394" s="24" t="e">
        <f aca="1">DATEDIF(F394,NOW(),"Y")&amp;" Tahun "&amp;DATEDIF(F394,NOW(),"YM")&amp;" Bulan "&amp;DATEDIF(F394,NOW(),"MD")&amp;" Hari "</f>
        <v>#VALUE!</v>
      </c>
      <c r="R394" s="41" t="str">
        <f>F394</f>
        <v>'199012172024212018</v>
      </c>
      <c r="S394" s="36" t="n">
        <v>45258</v>
      </c>
      <c r="T394" s="51" t="n">
        <v>2425000</v>
      </c>
      <c r="U394" s="51">
        <f>T394</f>
        <v>2425000</v>
      </c>
      <c r="V394" s="72">
        <f>U394-T394</f>
        <v>0</v>
      </c>
    </row>
    <row r="395" spans="1:22">
      <c r="A395" s="21" t="n">
        <v>392</v>
      </c>
      <c r="B395" s="21">
        <f>E395</f>
        <v>0</v>
      </c>
      <c r="C395" s="21" t="str">
        <f>F395</f>
        <v>'199005172024212016</v>
      </c>
      <c r="D395" s="39" t="s">
        <v>1083</v>
      </c>
      <c r="E395" s="39"/>
      <c r="F395" s="38" t="s">
        <v>1084</v>
      </c>
      <c r="G395" s="21" t="s">
        <v>24</v>
      </c>
      <c r="H395" s="21" t="s">
        <v>880</v>
      </c>
      <c r="I395" s="21" t="s">
        <v>881</v>
      </c>
      <c r="J395" s="22" t="s">
        <v>663</v>
      </c>
      <c r="K395" s="27" t="s">
        <v>201</v>
      </c>
      <c r="L395" s="22" t="s">
        <v>663</v>
      </c>
      <c r="M395" s="28" t="s">
        <v>209</v>
      </c>
      <c r="N395" s="23" t="s">
        <v>622</v>
      </c>
      <c r="O395" s="24"/>
      <c r="P395" s="24"/>
      <c r="Q395" s="24" t="e">
        <f aca="1">DATEDIF(F395,NOW(),"Y")&amp;" Tahun "&amp;DATEDIF(F395,NOW(),"YM")&amp;" Bulan "&amp;DATEDIF(F395,NOW(),"MD")&amp;" Hari "</f>
        <v>#VALUE!</v>
      </c>
      <c r="R395" s="41" t="str">
        <f>F395</f>
        <v>'199005172024212016</v>
      </c>
      <c r="S395" s="36" t="n">
        <v>45258</v>
      </c>
      <c r="T395" s="51" t="n">
        <v>2425000</v>
      </c>
      <c r="U395" s="51">
        <f>T395</f>
        <v>2425000</v>
      </c>
      <c r="V395" s="72">
        <f>U395-T395</f>
        <v>0</v>
      </c>
    </row>
    <row r="396" spans="1:22">
      <c r="A396" s="21" t="n">
        <v>393</v>
      </c>
      <c r="B396" s="21">
        <f>E396</f>
        <v>0</v>
      </c>
      <c r="C396" s="21">
        <f>F396</f>
        <v>0</v>
      </c>
      <c r="D396" s="37" t="s">
        <v>1085</v>
      </c>
      <c r="E396" s="37"/>
      <c r="F396" s="38"/>
      <c r="G396" s="21" t="s">
        <v>24</v>
      </c>
      <c r="H396" s="21" t="s">
        <v>880</v>
      </c>
      <c r="I396" s="21" t="s">
        <v>926</v>
      </c>
      <c r="J396" s="23" t="s">
        <v>1086</v>
      </c>
      <c r="K396" s="22" t="s">
        <v>242</v>
      </c>
      <c r="L396" s="23" t="s">
        <v>1086</v>
      </c>
      <c r="M396" s="23" t="s">
        <v>1087</v>
      </c>
      <c r="N396" s="23" t="s">
        <v>523</v>
      </c>
      <c r="O396" s="24"/>
      <c r="P396" s="24"/>
      <c r="Q396" s="24" t="str">
        <f aca="1">DATEDIF(F396,NOW(),"Y")&amp;" Tahun "&amp;DATEDIF(F396,NOW(),"YM")&amp;" Bulan "&amp;DATEDIF(F396,NOW(),"MD")&amp;" Hari "</f>
        <v>125 Tahun 9 Bulan 7 Hari </v>
      </c>
      <c r="R396" s="41">
        <f>F396</f>
        <v>0</v>
      </c>
      <c r="S396" s="36" t="n">
        <v>45258</v>
      </c>
      <c r="T396" s="51" t="n">
        <v>2450000</v>
      </c>
      <c r="U396" s="51">
        <f>T396</f>
        <v>2450000</v>
      </c>
      <c r="V396" s="72">
        <f>U396-T396</f>
        <v>0</v>
      </c>
    </row>
    <row r="397" spans="1:22">
      <c r="A397" s="21" t="n">
        <v>394</v>
      </c>
      <c r="B397" s="21">
        <f>E397</f>
        <v>0</v>
      </c>
      <c r="C397" s="21" t="str">
        <f>F397</f>
        <v>'199008152024212019</v>
      </c>
      <c r="D397" s="22" t="s">
        <v>1088</v>
      </c>
      <c r="E397" s="22"/>
      <c r="F397" s="38" t="s">
        <v>1089</v>
      </c>
      <c r="G397" s="21" t="s">
        <v>24</v>
      </c>
      <c r="H397" s="21" t="s">
        <v>880</v>
      </c>
      <c r="I397" s="21" t="s">
        <v>881</v>
      </c>
      <c r="J397" s="22" t="s">
        <v>663</v>
      </c>
      <c r="K397" s="27" t="s">
        <v>201</v>
      </c>
      <c r="L397" s="22" t="s">
        <v>663</v>
      </c>
      <c r="M397" s="28" t="s">
        <v>209</v>
      </c>
      <c r="N397" s="29" t="s">
        <v>461</v>
      </c>
      <c r="O397" s="24"/>
      <c r="P397" s="24"/>
      <c r="Q397" s="24" t="e">
        <f aca="1">DATEDIF(F397,NOW(),"Y")&amp;" Tahun "&amp;DATEDIF(F397,NOW(),"YM")&amp;" Bulan "&amp;DATEDIF(F397,NOW(),"MD")&amp;" Hari "</f>
        <v>#VALUE!</v>
      </c>
      <c r="R397" s="41" t="str">
        <f>F397</f>
        <v>'199008152024212019</v>
      </c>
      <c r="S397" s="36" t="n">
        <v>45258</v>
      </c>
      <c r="T397" s="51" t="n">
        <v>2425000</v>
      </c>
      <c r="U397" s="51">
        <f>T397</f>
        <v>2425000</v>
      </c>
      <c r="V397" s="72">
        <f>U397-T397</f>
        <v>0</v>
      </c>
    </row>
    <row r="398" spans="1:22">
      <c r="A398" s="21" t="n">
        <v>395</v>
      </c>
      <c r="B398" s="21">
        <f>E398</f>
        <v>0</v>
      </c>
      <c r="C398" s="21">
        <f>F398</f>
        <v>0</v>
      </c>
      <c r="D398" s="22" t="s">
        <v>1090</v>
      </c>
      <c r="E398" s="22"/>
      <c r="F398" s="38"/>
      <c r="G398" s="21" t="s">
        <v>24</v>
      </c>
      <c r="H398" s="21" t="s">
        <v>880</v>
      </c>
      <c r="I398" s="21" t="s">
        <v>926</v>
      </c>
      <c r="J398" s="23" t="s">
        <v>1086</v>
      </c>
      <c r="K398" s="22" t="s">
        <v>242</v>
      </c>
      <c r="L398" s="23" t="s">
        <v>1086</v>
      </c>
      <c r="M398" s="23" t="s">
        <v>1087</v>
      </c>
      <c r="N398" s="23" t="s">
        <v>523</v>
      </c>
      <c r="O398" s="24"/>
      <c r="P398" s="24"/>
      <c r="Q398" s="24" t="str">
        <f aca="1">DATEDIF(F398,NOW(),"Y")&amp;" Tahun "&amp;DATEDIF(F398,NOW(),"YM")&amp;" Bulan "&amp;DATEDIF(F398,NOW(),"MD")&amp;" Hari "</f>
        <v>125 Tahun 9 Bulan 7 Hari </v>
      </c>
      <c r="R398" s="41">
        <f>F398</f>
        <v>0</v>
      </c>
      <c r="S398" s="36" t="n">
        <v>45258</v>
      </c>
      <c r="T398" s="51" t="n">
        <v>2400000</v>
      </c>
      <c r="U398" s="51" t="n">
        <v>2450000</v>
      </c>
      <c r="V398" s="72">
        <f>U398-T398</f>
        <v>50000</v>
      </c>
    </row>
    <row r="399" spans="1:22">
      <c r="A399" s="21" t="n">
        <v>396</v>
      </c>
      <c r="B399" s="21">
        <f>E399</f>
        <v>0</v>
      </c>
      <c r="C399" s="21" t="str">
        <f>F399</f>
        <v>'199010102024212049</v>
      </c>
      <c r="D399" s="39" t="s">
        <v>1091</v>
      </c>
      <c r="E399" s="39"/>
      <c r="F399" s="38" t="s">
        <v>1092</v>
      </c>
      <c r="G399" s="21" t="s">
        <v>24</v>
      </c>
      <c r="H399" s="21" t="s">
        <v>880</v>
      </c>
      <c r="I399" s="21" t="s">
        <v>881</v>
      </c>
      <c r="J399" s="23" t="s">
        <v>724</v>
      </c>
      <c r="K399" s="27" t="s">
        <v>96</v>
      </c>
      <c r="L399" s="22" t="s">
        <v>724</v>
      </c>
      <c r="M399" s="28" t="s">
        <v>181</v>
      </c>
      <c r="N399" s="23" t="s">
        <v>382</v>
      </c>
      <c r="O399" s="24"/>
      <c r="P399" s="24"/>
      <c r="Q399" s="24" t="e">
        <f aca="1">DATEDIF(F399,NOW(),"Y")&amp;" Tahun "&amp;DATEDIF(F399,NOW(),"YM")&amp;" Bulan "&amp;DATEDIF(F399,NOW(),"MD")&amp;" Hari "</f>
        <v>#VALUE!</v>
      </c>
      <c r="R399" s="41" t="str">
        <f>F399</f>
        <v>'199010102024212049</v>
      </c>
      <c r="S399" s="36" t="n">
        <v>45258</v>
      </c>
      <c r="T399" s="51" t="n">
        <v>2375000</v>
      </c>
      <c r="U399" s="51" t="n">
        <v>2425000</v>
      </c>
      <c r="V399" s="72">
        <f>U399-T399</f>
        <v>50000</v>
      </c>
    </row>
    <row r="400" spans="1:22">
      <c r="A400" s="21" t="n">
        <v>397</v>
      </c>
      <c r="B400" s="21">
        <f>E400</f>
        <v>0</v>
      </c>
      <c r="C400" s="21">
        <f>F400</f>
        <v>0</v>
      </c>
      <c r="D400" s="39" t="s">
        <v>1093</v>
      </c>
      <c r="E400" s="39"/>
      <c r="F400" s="38"/>
      <c r="G400" s="21" t="s">
        <v>24</v>
      </c>
      <c r="H400" s="21" t="s">
        <v>880</v>
      </c>
      <c r="I400" s="21" t="s">
        <v>888</v>
      </c>
      <c r="J400" s="23" t="s">
        <v>291</v>
      </c>
      <c r="K400" s="27" t="s">
        <v>96</v>
      </c>
      <c r="L400" s="23" t="s">
        <v>291</v>
      </c>
      <c r="M400" s="23" t="s">
        <v>161</v>
      </c>
      <c r="N400" s="23" t="s">
        <v>68</v>
      </c>
      <c r="O400" s="24"/>
      <c r="P400" s="24"/>
      <c r="Q400" s="24" t="str">
        <f aca="1">DATEDIF(F400,NOW(),"Y")&amp;" Tahun "&amp;DATEDIF(F400,NOW(),"YM")&amp;" Bulan "&amp;DATEDIF(F400,NOW(),"MD")&amp;" Hari "</f>
        <v>125 Tahun 9 Bulan 7 Hari </v>
      </c>
      <c r="R400" s="41">
        <f>F400</f>
        <v>0</v>
      </c>
      <c r="S400" s="36" t="n">
        <v>45258</v>
      </c>
      <c r="T400" s="51" t="n">
        <v>2400000</v>
      </c>
      <c r="U400" s="51" t="n">
        <v>2450000</v>
      </c>
      <c r="V400" s="72">
        <f>U400-T400</f>
        <v>50000</v>
      </c>
    </row>
    <row r="401" spans="1:22">
      <c r="A401" s="21" t="n">
        <v>398</v>
      </c>
      <c r="B401" s="21">
        <f>E401</f>
        <v>0</v>
      </c>
      <c r="C401" s="21" t="str">
        <f>F401</f>
        <v>199306122024212038</v>
      </c>
      <c r="D401" s="39" t="s">
        <v>1094</v>
      </c>
      <c r="E401" s="39"/>
      <c r="F401" s="161" t="s">
        <v>1095</v>
      </c>
      <c r="G401" s="21" t="s">
        <v>24</v>
      </c>
      <c r="H401" s="21" t="s">
        <v>880</v>
      </c>
      <c r="I401" s="21" t="s">
        <v>881</v>
      </c>
      <c r="J401" s="23" t="s">
        <v>724</v>
      </c>
      <c r="K401" s="27" t="s">
        <v>96</v>
      </c>
      <c r="L401" s="22" t="s">
        <v>724</v>
      </c>
      <c r="M401" s="28" t="s">
        <v>181</v>
      </c>
      <c r="N401" s="23" t="s">
        <v>331</v>
      </c>
      <c r="O401" s="24"/>
      <c r="P401" s="24"/>
      <c r="Q401" s="24" t="e">
        <f aca="1">DATEDIF(F401,NOW(),"Y")&amp;" Tahun "&amp;DATEDIF(F401,NOW(),"YM")&amp;" Bulan "&amp;DATEDIF(F401,NOW(),"MD")&amp;" Hari "</f>
        <v>#NUM!</v>
      </c>
      <c r="R401" s="41" t="str">
        <f>F401</f>
        <v>199306122024212038</v>
      </c>
      <c r="S401" s="36" t="n">
        <v>45258</v>
      </c>
      <c r="T401" s="51" t="n">
        <v>2375000</v>
      </c>
      <c r="U401" s="51" t="n">
        <v>2425000</v>
      </c>
      <c r="V401" s="72">
        <f>U401-T401</f>
        <v>50000</v>
      </c>
    </row>
    <row r="402" spans="1:22">
      <c r="A402" s="21" t="n">
        <v>399</v>
      </c>
      <c r="B402" s="21">
        <f>E402</f>
        <v>0</v>
      </c>
      <c r="C402" s="21" t="str">
        <f>F402</f>
        <v>'199203032024212033</v>
      </c>
      <c r="D402" s="39" t="s">
        <v>1096</v>
      </c>
      <c r="E402" s="39"/>
      <c r="F402" s="38" t="s">
        <v>1097</v>
      </c>
      <c r="G402" s="21" t="s">
        <v>24</v>
      </c>
      <c r="H402" s="21" t="s">
        <v>880</v>
      </c>
      <c r="I402" s="21" t="s">
        <v>881</v>
      </c>
      <c r="J402" s="22" t="s">
        <v>663</v>
      </c>
      <c r="K402" s="27" t="s">
        <v>201</v>
      </c>
      <c r="L402" s="22" t="s">
        <v>663</v>
      </c>
      <c r="M402" s="28" t="s">
        <v>209</v>
      </c>
      <c r="N402" s="23" t="s">
        <v>622</v>
      </c>
      <c r="O402" s="24"/>
      <c r="P402" s="24"/>
      <c r="Q402" s="24" t="e">
        <f aca="1">DATEDIF(F402,NOW(),"Y")&amp;" Tahun "&amp;DATEDIF(F402,NOW(),"YM")&amp;" Bulan "&amp;DATEDIF(F402,NOW(),"MD")&amp;" Hari "</f>
        <v>#VALUE!</v>
      </c>
      <c r="R402" s="41" t="str">
        <f>F402</f>
        <v>'199203032024212033</v>
      </c>
      <c r="S402" s="36" t="n">
        <v>45258</v>
      </c>
      <c r="T402" s="51" t="n">
        <v>2375000</v>
      </c>
      <c r="U402" s="51" t="n">
        <v>2425000</v>
      </c>
      <c r="V402" s="72">
        <f>U402-T402</f>
        <v>50000</v>
      </c>
    </row>
    <row r="403" spans="1:22">
      <c r="A403" s="21" t="n">
        <v>400</v>
      </c>
      <c r="B403" s="21">
        <f>E403</f>
        <v>0</v>
      </c>
      <c r="C403" s="21" t="str">
        <f>F403</f>
        <v>'199206222024212029</v>
      </c>
      <c r="D403" s="22" t="s">
        <v>1098</v>
      </c>
      <c r="E403" s="22"/>
      <c r="F403" s="38" t="s">
        <v>1099</v>
      </c>
      <c r="G403" s="21" t="s">
        <v>24</v>
      </c>
      <c r="H403" s="21" t="s">
        <v>880</v>
      </c>
      <c r="I403" s="21" t="s">
        <v>881</v>
      </c>
      <c r="J403" s="22" t="s">
        <v>663</v>
      </c>
      <c r="K403" s="27" t="s">
        <v>201</v>
      </c>
      <c r="L403" s="22" t="s">
        <v>663</v>
      </c>
      <c r="M403" s="28" t="s">
        <v>209</v>
      </c>
      <c r="N403" s="23" t="s">
        <v>162</v>
      </c>
      <c r="O403" s="24"/>
      <c r="P403" s="24"/>
      <c r="Q403" s="24" t="e">
        <f aca="1">DATEDIF(F403,NOW(),"Y")&amp;" Tahun "&amp;DATEDIF(F403,NOW(),"YM")&amp;" Bulan "&amp;DATEDIF(F403,NOW(),"MD")&amp;" Hari "</f>
        <v>#VALUE!</v>
      </c>
      <c r="R403" s="41" t="str">
        <f>F403</f>
        <v>'199206222024212029</v>
      </c>
      <c r="S403" s="36" t="n">
        <v>45258</v>
      </c>
      <c r="T403" s="51" t="n">
        <v>2375000</v>
      </c>
      <c r="U403" s="51" t="n">
        <v>2425000</v>
      </c>
      <c r="V403" s="72">
        <f>U403-T403</f>
        <v>50000</v>
      </c>
    </row>
    <row r="404" spans="1:22">
      <c r="A404" s="21" t="n">
        <v>401</v>
      </c>
      <c r="B404" s="21">
        <f>E404</f>
        <v>0</v>
      </c>
      <c r="C404" s="21" t="str">
        <f>F404</f>
        <v>'199107062024212033</v>
      </c>
      <c r="D404" s="22" t="s">
        <v>1100</v>
      </c>
      <c r="E404" s="22"/>
      <c r="F404" s="38" t="s">
        <v>1101</v>
      </c>
      <c r="G404" s="21" t="s">
        <v>24</v>
      </c>
      <c r="H404" s="21" t="s">
        <v>880</v>
      </c>
      <c r="I404" s="21" t="s">
        <v>881</v>
      </c>
      <c r="J404" s="22" t="s">
        <v>663</v>
      </c>
      <c r="K404" s="27" t="s">
        <v>201</v>
      </c>
      <c r="L404" s="22" t="s">
        <v>663</v>
      </c>
      <c r="M404" s="28" t="s">
        <v>209</v>
      </c>
      <c r="N404" s="23" t="s">
        <v>622</v>
      </c>
      <c r="O404" s="24"/>
      <c r="P404" s="24"/>
      <c r="Q404" s="24" t="e">
        <f aca="1">DATEDIF(F404,NOW(),"Y")&amp;" Tahun "&amp;DATEDIF(F404,NOW(),"YM")&amp;" Bulan "&amp;DATEDIF(F404,NOW(),"MD")&amp;" Hari "</f>
        <v>#VALUE!</v>
      </c>
      <c r="R404" s="41" t="str">
        <f>F404</f>
        <v>'199107062024212033</v>
      </c>
      <c r="S404" s="36" t="n">
        <v>45258</v>
      </c>
      <c r="T404" s="51" t="n">
        <v>2375000</v>
      </c>
      <c r="U404" s="51" t="n">
        <v>2425000</v>
      </c>
      <c r="V404" s="72">
        <f>U404-T404</f>
        <v>50000</v>
      </c>
    </row>
    <row r="405" spans="1:22">
      <c r="A405" s="21" t="n">
        <v>402</v>
      </c>
      <c r="B405" s="21">
        <f>E405</f>
        <v>0</v>
      </c>
      <c r="C405" s="21" t="str">
        <f>F405</f>
        <v>'199212212024212030</v>
      </c>
      <c r="D405" s="22" t="s">
        <v>1102</v>
      </c>
      <c r="E405" s="22"/>
      <c r="F405" s="38" t="s">
        <v>1103</v>
      </c>
      <c r="G405" s="21" t="s">
        <v>24</v>
      </c>
      <c r="H405" s="21" t="s">
        <v>880</v>
      </c>
      <c r="I405" s="21" t="s">
        <v>881</v>
      </c>
      <c r="J405" s="22" t="s">
        <v>663</v>
      </c>
      <c r="K405" s="27" t="s">
        <v>201</v>
      </c>
      <c r="L405" s="22" t="s">
        <v>663</v>
      </c>
      <c r="M405" s="28" t="s">
        <v>209</v>
      </c>
      <c r="N405" s="23" t="s">
        <v>210</v>
      </c>
      <c r="O405" s="24"/>
      <c r="P405" s="24"/>
      <c r="Q405" s="24" t="e">
        <f aca="1">DATEDIF(F405,NOW(),"Y")&amp;" Tahun "&amp;DATEDIF(F405,NOW(),"YM")&amp;" Bulan "&amp;DATEDIF(F405,NOW(),"MD")&amp;" Hari "</f>
        <v>#VALUE!</v>
      </c>
      <c r="R405" s="41" t="str">
        <f>F405</f>
        <v>'199212212024212030</v>
      </c>
      <c r="S405" s="36" t="n">
        <v>45258</v>
      </c>
      <c r="T405" s="51" t="n">
        <v>2375000</v>
      </c>
      <c r="U405" s="51" t="n">
        <v>2425000</v>
      </c>
      <c r="V405" s="72">
        <f>U405-T405</f>
        <v>50000</v>
      </c>
    </row>
    <row r="406" spans="1:22">
      <c r="A406" s="21" t="n">
        <v>403</v>
      </c>
      <c r="B406" s="21">
        <f>E406</f>
        <v>0</v>
      </c>
      <c r="C406" s="21" t="str">
        <f>F406</f>
        <v>'199011052024212025</v>
      </c>
      <c r="D406" s="22" t="s">
        <v>1104</v>
      </c>
      <c r="E406" s="22"/>
      <c r="F406" s="38" t="s">
        <v>1105</v>
      </c>
      <c r="G406" s="21" t="s">
        <v>24</v>
      </c>
      <c r="H406" s="21" t="s">
        <v>880</v>
      </c>
      <c r="I406" s="21" t="s">
        <v>881</v>
      </c>
      <c r="J406" s="22" t="s">
        <v>663</v>
      </c>
      <c r="K406" s="27" t="s">
        <v>201</v>
      </c>
      <c r="L406" s="22" t="s">
        <v>663</v>
      </c>
      <c r="M406" s="28" t="s">
        <v>209</v>
      </c>
      <c r="N406" s="23" t="s">
        <v>158</v>
      </c>
      <c r="O406" s="24"/>
      <c r="P406" s="24"/>
      <c r="Q406" s="24" t="e">
        <f aca="1">DATEDIF(F406,NOW(),"Y")&amp;" Tahun "&amp;DATEDIF(F406,NOW(),"YM")&amp;" Bulan "&amp;DATEDIF(F406,NOW(),"MD")&amp;" Hari "</f>
        <v>#VALUE!</v>
      </c>
      <c r="R406" s="41" t="str">
        <f>F406</f>
        <v>'199011052024212025</v>
      </c>
      <c r="S406" s="36" t="n">
        <v>45258</v>
      </c>
      <c r="T406" s="51" t="n">
        <v>2375000</v>
      </c>
      <c r="U406" s="51" t="n">
        <v>2425000</v>
      </c>
      <c r="V406" s="72">
        <f>U406-T406</f>
        <v>50000</v>
      </c>
    </row>
    <row r="407" spans="1:22">
      <c r="A407" s="21" t="n">
        <v>404</v>
      </c>
      <c r="B407" s="21">
        <f>E407</f>
        <v>0</v>
      </c>
      <c r="C407" s="21" t="str">
        <f>F407</f>
        <v>'198810312024212016</v>
      </c>
      <c r="D407" s="22" t="s">
        <v>1106</v>
      </c>
      <c r="E407" s="22"/>
      <c r="F407" s="38" t="s">
        <v>1107</v>
      </c>
      <c r="G407" s="21" t="s">
        <v>24</v>
      </c>
      <c r="H407" s="21" t="s">
        <v>880</v>
      </c>
      <c r="I407" s="21" t="s">
        <v>881</v>
      </c>
      <c r="J407" s="23" t="s">
        <v>724</v>
      </c>
      <c r="K407" s="27" t="s">
        <v>96</v>
      </c>
      <c r="L407" s="22" t="s">
        <v>724</v>
      </c>
      <c r="M407" s="28" t="s">
        <v>181</v>
      </c>
      <c r="N407" s="23" t="s">
        <v>68</v>
      </c>
      <c r="O407" s="24"/>
      <c r="P407" s="24"/>
      <c r="Q407" s="24" t="e">
        <f aca="1">DATEDIF(F407,NOW(),"Y")&amp;" Tahun "&amp;DATEDIF(F407,NOW(),"YM")&amp;" Bulan "&amp;DATEDIF(F407,NOW(),"MD")&amp;" Hari "</f>
        <v>#VALUE!</v>
      </c>
      <c r="R407" s="41" t="str">
        <f>F407</f>
        <v>'198810312024212016</v>
      </c>
      <c r="S407" s="36" t="n">
        <v>45258</v>
      </c>
      <c r="T407" s="51" t="n">
        <v>2375000</v>
      </c>
      <c r="U407" s="51" t="n">
        <v>2425000</v>
      </c>
      <c r="V407" s="72">
        <f>U407-T407</f>
        <v>50000</v>
      </c>
    </row>
    <row r="408" spans="1:22">
      <c r="A408" s="21" t="n">
        <v>405</v>
      </c>
      <c r="B408" s="21">
        <f>E408</f>
        <v>0</v>
      </c>
      <c r="C408" s="21">
        <f>F408</f>
        <v>0</v>
      </c>
      <c r="D408" s="22" t="s">
        <v>1108</v>
      </c>
      <c r="E408" s="22"/>
      <c r="F408" s="38"/>
      <c r="G408" s="21" t="s">
        <v>24</v>
      </c>
      <c r="H408" s="21" t="s">
        <v>880</v>
      </c>
      <c r="I408" s="21" t="s">
        <v>926</v>
      </c>
      <c r="J408" s="23" t="s">
        <v>1086</v>
      </c>
      <c r="K408" s="22" t="s">
        <v>242</v>
      </c>
      <c r="L408" s="23" t="s">
        <v>1086</v>
      </c>
      <c r="M408" s="23" t="s">
        <v>1087</v>
      </c>
      <c r="N408" s="23" t="s">
        <v>458</v>
      </c>
      <c r="O408" s="24"/>
      <c r="P408" s="24"/>
      <c r="Q408" s="24" t="str">
        <f aca="1">DATEDIF(F408,NOW(),"Y")&amp;" Tahun "&amp;DATEDIF(F408,NOW(),"YM")&amp;" Bulan "&amp;DATEDIF(F408,NOW(),"MD")&amp;" Hari "</f>
        <v>125 Tahun 9 Bulan 7 Hari </v>
      </c>
      <c r="R408" s="41">
        <f>F408</f>
        <v>0</v>
      </c>
      <c r="S408" s="36" t="n">
        <v>45258</v>
      </c>
      <c r="T408" s="51" t="n">
        <v>2350000</v>
      </c>
      <c r="U408" s="51">
        <f>T408</f>
        <v>2350000</v>
      </c>
      <c r="V408" s="72">
        <f>U408-T408</f>
        <v>0</v>
      </c>
    </row>
    <row r="409" spans="1:21">
      <c r="A409" s="21" t="n">
        <v>406</v>
      </c>
      <c r="B409" s="21">
        <f>E409</f>
        <v>0</v>
      </c>
      <c r="C409" s="21" t="str">
        <f>F409</f>
        <v>'199006062024212026</v>
      </c>
      <c r="D409" s="22" t="s">
        <v>1109</v>
      </c>
      <c r="E409" s="22"/>
      <c r="F409" s="38" t="s">
        <v>1110</v>
      </c>
      <c r="G409" s="21" t="s">
        <v>24</v>
      </c>
      <c r="H409" s="21" t="s">
        <v>880</v>
      </c>
      <c r="I409" s="21" t="s">
        <v>881</v>
      </c>
      <c r="J409" s="23" t="s">
        <v>724</v>
      </c>
      <c r="K409" s="27" t="s">
        <v>96</v>
      </c>
      <c r="L409" s="22" t="s">
        <v>724</v>
      </c>
      <c r="M409" s="28" t="s">
        <v>181</v>
      </c>
      <c r="N409" s="23" t="s">
        <v>382</v>
      </c>
      <c r="O409" s="24"/>
      <c r="P409" s="24"/>
      <c r="Q409" s="24" t="e">
        <f aca="1">DATEDIF(F409,NOW(),"Y")&amp;" Tahun "&amp;DATEDIF(F409,NOW(),"YM")&amp;" Bulan "&amp;DATEDIF(F409,NOW(),"MD")&amp;" Hari "</f>
        <v>#VALUE!</v>
      </c>
      <c r="R409" s="41" t="str">
        <f>F409</f>
        <v>'199006062024212026</v>
      </c>
      <c r="S409" s="36" t="n">
        <v>45258</v>
      </c>
      <c r="T409" s="51" t="n">
        <v>1200000</v>
      </c>
      <c r="U409" s="51"/>
    </row>
    <row r="410" spans="1:21">
      <c r="A410" s="21" t="n">
        <v>407</v>
      </c>
      <c r="B410" s="21">
        <f>E410</f>
        <v>0</v>
      </c>
      <c r="C410" s="21" t="str">
        <f>F410</f>
        <v>'199303202024212046</v>
      </c>
      <c r="D410" s="22" t="s">
        <v>1111</v>
      </c>
      <c r="E410" s="22"/>
      <c r="F410" s="38" t="s">
        <v>1112</v>
      </c>
      <c r="G410" s="21" t="s">
        <v>24</v>
      </c>
      <c r="H410" s="21" t="s">
        <v>880</v>
      </c>
      <c r="I410" s="21" t="s">
        <v>881</v>
      </c>
      <c r="J410" s="23" t="s">
        <v>724</v>
      </c>
      <c r="K410" s="27" t="s">
        <v>96</v>
      </c>
      <c r="L410" s="22" t="s">
        <v>724</v>
      </c>
      <c r="M410" s="28" t="s">
        <v>181</v>
      </c>
      <c r="N410" s="23" t="s">
        <v>235</v>
      </c>
      <c r="O410" s="24"/>
      <c r="P410" s="24"/>
      <c r="Q410" s="24" t="e">
        <f aca="1">DATEDIF(F410,NOW(),"Y")&amp;" Tahun "&amp;DATEDIF(F410,NOW(),"YM")&amp;" Bulan "&amp;DATEDIF(F410,NOW(),"MD")&amp;" Hari "</f>
        <v>#VALUE!</v>
      </c>
      <c r="R410" s="41" t="str">
        <f>F410</f>
        <v>'199303202024212046</v>
      </c>
      <c r="S410" s="36" t="n">
        <v>45258</v>
      </c>
      <c r="T410" s="51" t="n">
        <v>1200000</v>
      </c>
      <c r="U410" s="51"/>
    </row>
    <row r="411" spans="1:21">
      <c r="A411" s="21" t="n">
        <v>408</v>
      </c>
      <c r="B411" s="21">
        <f>E411</f>
        <v>0</v>
      </c>
      <c r="C411" s="21" t="str">
        <f>F411</f>
        <v>'199109122024212035</v>
      </c>
      <c r="D411" s="22" t="s">
        <v>1113</v>
      </c>
      <c r="E411" s="22"/>
      <c r="F411" s="38" t="s">
        <v>1114</v>
      </c>
      <c r="G411" s="21" t="s">
        <v>24</v>
      </c>
      <c r="H411" s="21" t="s">
        <v>880</v>
      </c>
      <c r="I411" s="21" t="s">
        <v>881</v>
      </c>
      <c r="J411" s="23" t="s">
        <v>724</v>
      </c>
      <c r="K411" s="27" t="s">
        <v>96</v>
      </c>
      <c r="L411" s="22" t="s">
        <v>724</v>
      </c>
      <c r="M411" s="28" t="s">
        <v>181</v>
      </c>
      <c r="N411" s="23" t="s">
        <v>737</v>
      </c>
      <c r="O411" s="24"/>
      <c r="P411" s="24"/>
      <c r="Q411" s="24" t="e">
        <f aca="1">DATEDIF(F411,NOW(),"Y")&amp;" Tahun "&amp;DATEDIF(F411,NOW(),"YM")&amp;" Bulan "&amp;DATEDIF(F411,NOW(),"MD")&amp;" Hari "</f>
        <v>#VALUE!</v>
      </c>
      <c r="R411" s="41" t="str">
        <f>F411</f>
        <v>'199109122024212035</v>
      </c>
      <c r="S411" s="36" t="n">
        <v>45258</v>
      </c>
      <c r="T411" s="51" t="n">
        <v>1200000</v>
      </c>
      <c r="U411" s="51"/>
    </row>
    <row r="412" spans="1:21">
      <c r="A412" s="21" t="n">
        <v>409</v>
      </c>
      <c r="B412" s="21">
        <f>E412</f>
        <v>0</v>
      </c>
      <c r="C412" s="21">
        <f>F412</f>
        <v>0</v>
      </c>
      <c r="D412" s="22" t="s">
        <v>1115</v>
      </c>
      <c r="E412" s="22"/>
      <c r="F412" s="42"/>
      <c r="G412" s="21" t="s">
        <v>24</v>
      </c>
      <c r="H412" s="21" t="s">
        <v>880</v>
      </c>
      <c r="I412" s="21" t="s">
        <v>888</v>
      </c>
      <c r="J412" s="23" t="s">
        <v>291</v>
      </c>
      <c r="K412" s="27" t="s">
        <v>96</v>
      </c>
      <c r="L412" s="23" t="s">
        <v>291</v>
      </c>
      <c r="M412" s="23" t="s">
        <v>161</v>
      </c>
      <c r="N412" s="23" t="s">
        <v>737</v>
      </c>
      <c r="O412" s="24"/>
      <c r="P412" s="24"/>
      <c r="Q412" s="24" t="str">
        <f aca="1">DATEDIF(F412,NOW(),"Y")&amp;" Tahun "&amp;DATEDIF(F412,NOW(),"YM")&amp;" Bulan "&amp;DATEDIF(F412,NOW(),"MD")&amp;" Hari "</f>
        <v>125 Tahun 9 Bulan 7 Hari </v>
      </c>
      <c r="R412" s="41">
        <f>F412</f>
        <v>0</v>
      </c>
      <c r="S412" s="36" t="n">
        <v>45258</v>
      </c>
      <c r="T412" s="51" t="n">
        <v>1350000</v>
      </c>
      <c r="U412" s="51"/>
    </row>
    <row r="413" spans="1:21">
      <c r="A413" s="21" t="n">
        <v>410</v>
      </c>
      <c r="B413" s="21">
        <f>E413</f>
        <v>0</v>
      </c>
      <c r="C413" s="21">
        <f>F413</f>
        <v>0</v>
      </c>
      <c r="D413" s="22" t="s">
        <v>1116</v>
      </c>
      <c r="E413" s="22"/>
      <c r="F413" s="38"/>
      <c r="G413" s="21" t="s">
        <v>24</v>
      </c>
      <c r="H413" s="21" t="s">
        <v>880</v>
      </c>
      <c r="I413" s="21" t="s">
        <v>888</v>
      </c>
      <c r="J413" s="23" t="s">
        <v>291</v>
      </c>
      <c r="K413" s="27" t="s">
        <v>96</v>
      </c>
      <c r="L413" s="23" t="s">
        <v>291</v>
      </c>
      <c r="M413" s="23" t="s">
        <v>161</v>
      </c>
      <c r="N413" s="23" t="s">
        <v>225</v>
      </c>
      <c r="O413" s="24"/>
      <c r="P413" s="24"/>
      <c r="Q413" s="24" t="str">
        <f aca="1">DATEDIF(F413,NOW(),"Y")&amp;" Tahun "&amp;DATEDIF(F413,NOW(),"YM")&amp;" Bulan "&amp;DATEDIF(F413,NOW(),"MD")&amp;" Hari "</f>
        <v>125 Tahun 9 Bulan 7 Hari </v>
      </c>
      <c r="R413" s="41">
        <f>F413</f>
        <v>0</v>
      </c>
      <c r="S413" s="36" t="n">
        <v>45258</v>
      </c>
      <c r="T413" s="51" t="n">
        <v>1350000</v>
      </c>
      <c r="U413" s="51"/>
    </row>
    <row r="414" spans="1:21">
      <c r="A414" s="21" t="n">
        <v>411</v>
      </c>
      <c r="B414" s="21">
        <f>E414</f>
        <v>0</v>
      </c>
      <c r="C414" s="21">
        <f>F414</f>
        <v>0</v>
      </c>
      <c r="D414" s="22" t="s">
        <v>1117</v>
      </c>
      <c r="E414" s="22"/>
      <c r="F414" s="38"/>
      <c r="G414" s="21" t="s">
        <v>33</v>
      </c>
      <c r="H414" s="21" t="s">
        <v>880</v>
      </c>
      <c r="I414" s="21" t="s">
        <v>888</v>
      </c>
      <c r="J414" s="23" t="s">
        <v>291</v>
      </c>
      <c r="K414" s="27" t="s">
        <v>96</v>
      </c>
      <c r="L414" s="23" t="s">
        <v>291</v>
      </c>
      <c r="M414" s="23" t="s">
        <v>161</v>
      </c>
      <c r="N414" s="23" t="s">
        <v>331</v>
      </c>
      <c r="O414" s="24"/>
      <c r="P414" s="24"/>
      <c r="Q414" s="24" t="str">
        <f aca="1">DATEDIF(F414,NOW(),"Y")&amp;" Tahun "&amp;DATEDIF(F414,NOW(),"YM")&amp;" Bulan "&amp;DATEDIF(F414,NOW(),"MD")&amp;" Hari "</f>
        <v>125 Tahun 9 Bulan 7 Hari </v>
      </c>
      <c r="R414" s="41">
        <f>F414</f>
        <v>0</v>
      </c>
      <c r="S414" s="36" t="n">
        <v>45258</v>
      </c>
      <c r="T414" s="51" t="n">
        <v>1350000</v>
      </c>
      <c r="U414" s="51"/>
    </row>
    <row r="415" spans="1:21">
      <c r="A415" s="21" t="n">
        <v>412</v>
      </c>
      <c r="B415" s="21">
        <f>E415</f>
        <v>0</v>
      </c>
      <c r="C415" s="21" t="str">
        <f>F415</f>
        <v>'199508252024211006</v>
      </c>
      <c r="D415" s="22" t="s">
        <v>1118</v>
      </c>
      <c r="E415" s="22"/>
      <c r="F415" s="38" t="s">
        <v>1119</v>
      </c>
      <c r="G415" s="21" t="s">
        <v>33</v>
      </c>
      <c r="H415" s="21" t="s">
        <v>880</v>
      </c>
      <c r="I415" s="21" t="s">
        <v>881</v>
      </c>
      <c r="J415" s="23" t="s">
        <v>724</v>
      </c>
      <c r="K415" s="27" t="s">
        <v>96</v>
      </c>
      <c r="L415" s="22" t="s">
        <v>724</v>
      </c>
      <c r="M415" s="28" t="s">
        <v>181</v>
      </c>
      <c r="N415" s="23" t="s">
        <v>168</v>
      </c>
      <c r="O415" s="24"/>
      <c r="P415" s="24"/>
      <c r="Q415" s="24" t="e">
        <f aca="1">DATEDIF(F415,NOW(),"Y")&amp;" Tahun "&amp;DATEDIF(F415,NOW(),"YM")&amp;" Bulan "&amp;DATEDIF(F415,NOW(),"MD")&amp;" Hari "</f>
        <v>#VALUE!</v>
      </c>
      <c r="R415" s="41" t="str">
        <f>F415</f>
        <v>'199508252024211006</v>
      </c>
      <c r="S415" s="36" t="n">
        <v>45258</v>
      </c>
      <c r="T415" s="51" t="n">
        <v>1200000</v>
      </c>
      <c r="U415" s="51"/>
    </row>
    <row r="416" spans="1:21">
      <c r="A416" s="21" t="n">
        <v>413</v>
      </c>
      <c r="B416" s="21">
        <f>E416</f>
        <v>0</v>
      </c>
      <c r="C416" s="21" t="str">
        <f>F416</f>
        <v>'199706052024212025</v>
      </c>
      <c r="D416" s="22" t="s">
        <v>1120</v>
      </c>
      <c r="E416" s="22"/>
      <c r="F416" s="38" t="s">
        <v>1121</v>
      </c>
      <c r="G416" s="21" t="s">
        <v>24</v>
      </c>
      <c r="H416" s="21" t="s">
        <v>880</v>
      </c>
      <c r="I416" s="21" t="s">
        <v>881</v>
      </c>
      <c r="J416" s="23" t="s">
        <v>724</v>
      </c>
      <c r="K416" s="27" t="s">
        <v>96</v>
      </c>
      <c r="L416" s="22" t="s">
        <v>724</v>
      </c>
      <c r="M416" s="28" t="s">
        <v>181</v>
      </c>
      <c r="N416" s="29" t="s">
        <v>97</v>
      </c>
      <c r="O416" s="24"/>
      <c r="P416" s="24"/>
      <c r="Q416" s="24" t="e">
        <f aca="1">DATEDIF(F416,NOW(),"Y")&amp;" Tahun "&amp;DATEDIF(F416,NOW(),"YM")&amp;" Bulan "&amp;DATEDIF(F416,NOW(),"MD")&amp;" Hari "</f>
        <v>#VALUE!</v>
      </c>
      <c r="R416" s="41" t="str">
        <f>F416</f>
        <v>'199706052024212025</v>
      </c>
      <c r="S416" s="36" t="n">
        <v>45258</v>
      </c>
      <c r="T416" s="51" t="n">
        <v>1200000</v>
      </c>
      <c r="U416" s="51"/>
    </row>
    <row r="417" spans="1:22">
      <c r="A417" s="21" t="n">
        <v>414</v>
      </c>
      <c r="B417" s="21">
        <f>E417</f>
        <v>0</v>
      </c>
      <c r="C417" s="21" t="str">
        <f>F417</f>
        <v>'199511022024211009</v>
      </c>
      <c r="D417" s="23" t="s">
        <v>1122</v>
      </c>
      <c r="E417" s="23"/>
      <c r="F417" s="38" t="s">
        <v>1123</v>
      </c>
      <c r="G417" s="21" t="s">
        <v>33</v>
      </c>
      <c r="H417" s="21" t="s">
        <v>880</v>
      </c>
      <c r="I417" s="21" t="s">
        <v>888</v>
      </c>
      <c r="J417" s="22" t="s">
        <v>464</v>
      </c>
      <c r="K417" s="27" t="s">
        <v>66</v>
      </c>
      <c r="L417" s="22" t="s">
        <v>464</v>
      </c>
      <c r="M417" s="23" t="s">
        <v>67</v>
      </c>
      <c r="N417" s="23" t="s">
        <v>68</v>
      </c>
      <c r="O417" s="24"/>
      <c r="P417" s="24"/>
      <c r="Q417" s="24" t="e">
        <f aca="1">DATEDIF(F417,NOW(),"Y")&amp;" Tahun "&amp;DATEDIF(F417,NOW(),"YM")&amp;" Bulan "&amp;DATEDIF(F417,NOW(),"MD")&amp;" Hari "</f>
        <v>#VALUE!</v>
      </c>
      <c r="R417" s="41" t="str">
        <f>F417</f>
        <v>'199511022024211009</v>
      </c>
      <c r="S417" s="36" t="n">
        <v>45258</v>
      </c>
      <c r="T417" s="51" t="n">
        <v>3500000</v>
      </c>
      <c r="U417" s="51" t="n">
        <v>3750000</v>
      </c>
      <c r="V417" s="72">
        <f>U417-T417</f>
        <v>250000</v>
      </c>
    </row>
    <row r="418" spans="1:22">
      <c r="A418" s="21" t="n">
        <v>415</v>
      </c>
      <c r="B418" s="21">
        <f>E418</f>
        <v>0</v>
      </c>
      <c r="C418" s="21">
        <f>F418</f>
        <v>0</v>
      </c>
      <c r="D418" s="43" t="s">
        <v>1124</v>
      </c>
      <c r="E418" s="43"/>
      <c r="F418" s="38"/>
      <c r="G418" s="21" t="s">
        <v>24</v>
      </c>
      <c r="H418" s="21" t="s">
        <v>880</v>
      </c>
      <c r="I418" s="21" t="s">
        <v>888</v>
      </c>
      <c r="J418" s="23" t="s">
        <v>291</v>
      </c>
      <c r="K418" s="27" t="s">
        <v>96</v>
      </c>
      <c r="L418" s="23" t="s">
        <v>291</v>
      </c>
      <c r="M418" s="23" t="s">
        <v>161</v>
      </c>
      <c r="N418" s="23" t="s">
        <v>278</v>
      </c>
      <c r="O418" s="24"/>
      <c r="P418" s="24"/>
      <c r="Q418" s="24" t="str">
        <f aca="1">DATEDIF(F418,NOW(),"Y")&amp;" Tahun "&amp;DATEDIF(F418,NOW(),"YM")&amp;" Bulan "&amp;DATEDIF(F418,NOW(),"MD")&amp;" Hari "</f>
        <v>125 Tahun 9 Bulan 7 Hari </v>
      </c>
      <c r="R418" s="41">
        <f>F418</f>
        <v>0</v>
      </c>
      <c r="S418" s="36" t="n">
        <v>45258</v>
      </c>
      <c r="T418" s="51" t="n">
        <v>1350000</v>
      </c>
      <c r="U418" s="51" t="n">
        <v>1350000</v>
      </c>
      <c r="V418" s="72">
        <f>U418-T418</f>
        <v>0</v>
      </c>
    </row>
    <row r="419" spans="1:22">
      <c r="A419" s="21" t="n">
        <v>416</v>
      </c>
      <c r="B419" s="21">
        <f>E419</f>
        <v>0</v>
      </c>
      <c r="C419" s="21" t="str">
        <f>F419</f>
        <v>199210072024212029</v>
      </c>
      <c r="D419" s="23" t="s">
        <v>1125</v>
      </c>
      <c r="E419" s="23"/>
      <c r="F419" s="161" t="s">
        <v>1126</v>
      </c>
      <c r="G419" s="21" t="s">
        <v>24</v>
      </c>
      <c r="H419" s="21" t="s">
        <v>880</v>
      </c>
      <c r="I419" s="159" t="s">
        <v>1127</v>
      </c>
      <c r="J419" s="22" t="s">
        <v>631</v>
      </c>
      <c r="K419" s="27" t="s">
        <v>201</v>
      </c>
      <c r="L419" s="22" t="s">
        <v>631</v>
      </c>
      <c r="M419" s="23" t="s">
        <v>1128</v>
      </c>
      <c r="N419" s="23" t="s">
        <v>162</v>
      </c>
      <c r="O419" s="24"/>
      <c r="P419" s="24"/>
      <c r="Q419" s="24" t="e">
        <f aca="1">DATEDIF(F419,NOW(),"Y")&amp;" Tahun "&amp;DATEDIF(F419,NOW(),"YM")&amp;" Bulan "&amp;DATEDIF(F419,NOW(),"MD")&amp;" Hari "</f>
        <v>#NUM!</v>
      </c>
      <c r="R419" s="41" t="str">
        <f>F419</f>
        <v>199210072024212029</v>
      </c>
      <c r="S419" s="36" t="n">
        <v>45258</v>
      </c>
      <c r="T419" s="51" t="n">
        <v>1350000</v>
      </c>
      <c r="U419" s="51" t="n">
        <v>1350000</v>
      </c>
      <c r="V419" s="72">
        <f>U419-T419</f>
        <v>0</v>
      </c>
    </row>
    <row r="420" spans="1:22">
      <c r="A420" s="21" t="n">
        <v>417</v>
      </c>
      <c r="B420" s="21">
        <f>E420</f>
        <v>0</v>
      </c>
      <c r="C420" s="21" t="str">
        <f>F420</f>
        <v>'199101202024212024</v>
      </c>
      <c r="D420" s="23" t="s">
        <v>1129</v>
      </c>
      <c r="E420" s="23"/>
      <c r="F420" s="38" t="s">
        <v>1130</v>
      </c>
      <c r="G420" s="21" t="s">
        <v>24</v>
      </c>
      <c r="H420" s="21" t="s">
        <v>880</v>
      </c>
      <c r="I420" s="21" t="s">
        <v>881</v>
      </c>
      <c r="J420" s="22" t="s">
        <v>663</v>
      </c>
      <c r="K420" s="27" t="s">
        <v>201</v>
      </c>
      <c r="L420" s="22" t="s">
        <v>663</v>
      </c>
      <c r="M420" s="28" t="s">
        <v>209</v>
      </c>
      <c r="N420" s="23" t="s">
        <v>158</v>
      </c>
      <c r="O420" s="24"/>
      <c r="P420" s="24"/>
      <c r="Q420" s="24" t="e">
        <f aca="1">DATEDIF(F420,NOW(),"Y")&amp;" Tahun "&amp;DATEDIF(F420,NOW(),"YM")&amp;" Bulan "&amp;DATEDIF(F420,NOW(),"MD")&amp;" Hari "</f>
        <v>#VALUE!</v>
      </c>
      <c r="R420" s="41" t="str">
        <f>F420</f>
        <v>'199101202024212024</v>
      </c>
      <c r="S420" s="36" t="n">
        <v>45258</v>
      </c>
      <c r="T420" s="51" t="n">
        <v>1200000</v>
      </c>
      <c r="U420" s="51" t="n">
        <v>1200000</v>
      </c>
      <c r="V420" s="72">
        <f>U420-T420</f>
        <v>0</v>
      </c>
    </row>
    <row r="421" spans="1:22">
      <c r="A421" s="21" t="n">
        <v>418</v>
      </c>
      <c r="B421" s="21">
        <f>E421</f>
        <v>0</v>
      </c>
      <c r="C421" s="21" t="str">
        <f>F421</f>
        <v>'199512212024212032</v>
      </c>
      <c r="D421" s="43" t="s">
        <v>1131</v>
      </c>
      <c r="E421" s="43"/>
      <c r="F421" s="38" t="s">
        <v>1132</v>
      </c>
      <c r="G421" s="21" t="s">
        <v>24</v>
      </c>
      <c r="H421" s="21" t="s">
        <v>880</v>
      </c>
      <c r="I421" s="21" t="s">
        <v>881</v>
      </c>
      <c r="J421" s="22" t="s">
        <v>663</v>
      </c>
      <c r="K421" s="27" t="s">
        <v>201</v>
      </c>
      <c r="L421" s="22" t="s">
        <v>663</v>
      </c>
      <c r="M421" s="28" t="s">
        <v>209</v>
      </c>
      <c r="N421" s="23" t="s">
        <v>461</v>
      </c>
      <c r="O421" s="24"/>
      <c r="P421" s="24"/>
      <c r="Q421" s="24" t="e">
        <f aca="1">DATEDIF(F421,NOW(),"Y")&amp;" Tahun "&amp;DATEDIF(F421,NOW(),"YM")&amp;" Bulan "&amp;DATEDIF(F421,NOW(),"MD")&amp;" Hari "</f>
        <v>#VALUE!</v>
      </c>
      <c r="R421" s="41" t="str">
        <f>F421</f>
        <v>'199512212024212032</v>
      </c>
      <c r="S421" s="36" t="n">
        <v>45258</v>
      </c>
      <c r="T421" s="51" t="n">
        <v>1200000</v>
      </c>
      <c r="U421" s="51" t="n">
        <v>1200000</v>
      </c>
      <c r="V421" s="72">
        <f>U421-T421</f>
        <v>0</v>
      </c>
    </row>
    <row r="422" spans="1:22">
      <c r="A422" s="21" t="n">
        <v>419</v>
      </c>
      <c r="B422" s="21">
        <f>E422</f>
        <v>0</v>
      </c>
      <c r="C422" s="21" t="str">
        <f>F422</f>
        <v>'199709212024212015</v>
      </c>
      <c r="D422" s="43" t="s">
        <v>1133</v>
      </c>
      <c r="E422" s="43"/>
      <c r="F422" s="38" t="s">
        <v>1134</v>
      </c>
      <c r="G422" s="21" t="s">
        <v>24</v>
      </c>
      <c r="H422" s="21" t="s">
        <v>880</v>
      </c>
      <c r="I422" s="21" t="s">
        <v>881</v>
      </c>
      <c r="J422" s="23" t="s">
        <v>724</v>
      </c>
      <c r="K422" s="27" t="s">
        <v>96</v>
      </c>
      <c r="L422" s="22" t="s">
        <v>724</v>
      </c>
      <c r="M422" s="28" t="s">
        <v>181</v>
      </c>
      <c r="N422" s="23" t="s">
        <v>97</v>
      </c>
      <c r="O422" s="24"/>
      <c r="P422" s="24"/>
      <c r="Q422" s="24" t="e">
        <f aca="1">DATEDIF(F422,NOW(),"Y")&amp;" Tahun "&amp;DATEDIF(F422,NOW(),"YM")&amp;" Bulan "&amp;DATEDIF(F422,NOW(),"MD")&amp;" Hari "</f>
        <v>#VALUE!</v>
      </c>
      <c r="R422" s="41" t="str">
        <f>F422</f>
        <v>'199709212024212015</v>
      </c>
      <c r="S422" s="36" t="n">
        <v>45258</v>
      </c>
      <c r="T422" s="51" t="n">
        <v>1200000</v>
      </c>
      <c r="U422" s="51" t="n">
        <v>1200000</v>
      </c>
      <c r="V422" s="72">
        <f>U422-T422</f>
        <v>0</v>
      </c>
    </row>
    <row r="423" spans="1:22">
      <c r="A423" s="21" t="n">
        <v>420</v>
      </c>
      <c r="B423" s="21">
        <f>E423</f>
        <v>0</v>
      </c>
      <c r="C423" s="21" t="str">
        <f>F423</f>
        <v>'199804022024211003</v>
      </c>
      <c r="D423" s="43" t="s">
        <v>1135</v>
      </c>
      <c r="E423" s="43"/>
      <c r="F423" s="38" t="s">
        <v>1136</v>
      </c>
      <c r="G423" s="21" t="s">
        <v>33</v>
      </c>
      <c r="H423" s="21" t="s">
        <v>880</v>
      </c>
      <c r="I423" s="21" t="s">
        <v>881</v>
      </c>
      <c r="J423" s="23" t="s">
        <v>724</v>
      </c>
      <c r="K423" s="27" t="s">
        <v>96</v>
      </c>
      <c r="L423" s="22" t="s">
        <v>724</v>
      </c>
      <c r="M423" s="28" t="s">
        <v>181</v>
      </c>
      <c r="N423" s="23" t="s">
        <v>382</v>
      </c>
      <c r="O423" s="24"/>
      <c r="P423" s="24"/>
      <c r="Q423" s="24" t="e">
        <f aca="1">DATEDIF(F423,NOW(),"Y")&amp;" Tahun "&amp;DATEDIF(F423,NOW(),"YM")&amp;" Bulan "&amp;DATEDIF(F423,NOW(),"MD")&amp;" Hari "</f>
        <v>#VALUE!</v>
      </c>
      <c r="R423" s="41" t="str">
        <f>F423</f>
        <v>'199804022024211003</v>
      </c>
      <c r="S423" s="36" t="n">
        <v>45258</v>
      </c>
      <c r="T423" s="51" t="n">
        <v>1200000</v>
      </c>
      <c r="U423" s="51" t="n">
        <v>1200000</v>
      </c>
      <c r="V423" s="72">
        <f>U423-T423</f>
        <v>0</v>
      </c>
    </row>
    <row r="424" spans="1:22">
      <c r="A424" s="21" t="n">
        <v>421</v>
      </c>
      <c r="B424" s="21">
        <f>E424</f>
        <v>0</v>
      </c>
      <c r="C424" s="21" t="str">
        <f>F424</f>
        <v>'199706102024212019</v>
      </c>
      <c r="D424" s="23" t="s">
        <v>1137</v>
      </c>
      <c r="E424" s="23"/>
      <c r="F424" s="38" t="s">
        <v>1138</v>
      </c>
      <c r="G424" s="21" t="s">
        <v>24</v>
      </c>
      <c r="H424" s="21" t="s">
        <v>880</v>
      </c>
      <c r="I424" s="21" t="s">
        <v>881</v>
      </c>
      <c r="J424" s="23" t="s">
        <v>724</v>
      </c>
      <c r="K424" s="27" t="s">
        <v>96</v>
      </c>
      <c r="L424" s="22" t="s">
        <v>724</v>
      </c>
      <c r="M424" s="28" t="s">
        <v>181</v>
      </c>
      <c r="N424" s="23" t="s">
        <v>97</v>
      </c>
      <c r="O424" s="24"/>
      <c r="P424" s="24"/>
      <c r="Q424" s="24" t="e">
        <f aca="1">DATEDIF(F424,NOW(),"Y")&amp;" Tahun "&amp;DATEDIF(F424,NOW(),"YM")&amp;" Bulan "&amp;DATEDIF(F424,NOW(),"MD")&amp;" Hari "</f>
        <v>#VALUE!</v>
      </c>
      <c r="R424" s="41" t="str">
        <f>F424</f>
        <v>'199706102024212019</v>
      </c>
      <c r="S424" s="36" t="n">
        <v>45258</v>
      </c>
      <c r="T424" s="51" t="n">
        <v>1200000</v>
      </c>
      <c r="U424" s="51" t="n">
        <v>1200000</v>
      </c>
      <c r="V424" s="72">
        <f>U424-T424</f>
        <v>0</v>
      </c>
    </row>
    <row r="425" spans="1:22">
      <c r="A425" s="21" t="n">
        <v>422</v>
      </c>
      <c r="B425" s="21">
        <f>E425</f>
        <v>0</v>
      </c>
      <c r="C425" s="21" t="str">
        <f>F425</f>
        <v>199806282024212017</v>
      </c>
      <c r="D425" s="22" t="s">
        <v>1139</v>
      </c>
      <c r="E425" s="22"/>
      <c r="F425" s="161" t="s">
        <v>1140</v>
      </c>
      <c r="G425" s="21" t="s">
        <v>24</v>
      </c>
      <c r="H425" s="21" t="s">
        <v>880</v>
      </c>
      <c r="I425" s="21" t="s">
        <v>881</v>
      </c>
      <c r="J425" s="23" t="s">
        <v>724</v>
      </c>
      <c r="K425" s="27" t="s">
        <v>96</v>
      </c>
      <c r="L425" s="22" t="s">
        <v>724</v>
      </c>
      <c r="M425" s="28" t="s">
        <v>181</v>
      </c>
      <c r="N425" s="23" t="s">
        <v>396</v>
      </c>
      <c r="O425" s="24"/>
      <c r="P425" s="24"/>
      <c r="Q425" s="24" t="e">
        <f aca="1">DATEDIF(F425,NOW(),"Y")&amp;" Tahun "&amp;DATEDIF(F425,NOW(),"YM")&amp;" Bulan "&amp;DATEDIF(F425,NOW(),"MD")&amp;" Hari "</f>
        <v>#NUM!</v>
      </c>
      <c r="R425" s="41" t="str">
        <f>F425</f>
        <v>199806282024212017</v>
      </c>
      <c r="S425" s="36" t="n">
        <v>45258</v>
      </c>
      <c r="T425" s="51" t="n">
        <v>1200000</v>
      </c>
      <c r="U425" s="51" t="n">
        <v>1200000</v>
      </c>
      <c r="V425" s="72">
        <f>U425-T425</f>
        <v>0</v>
      </c>
    </row>
    <row r="426" spans="1:22">
      <c r="A426" s="21" t="n">
        <v>423</v>
      </c>
      <c r="B426" s="21">
        <f>E426</f>
        <v>0</v>
      </c>
      <c r="C426" s="21" t="str">
        <f>F426</f>
        <v>199711232024212023</v>
      </c>
      <c r="D426" s="22" t="s">
        <v>1141</v>
      </c>
      <c r="E426" s="22"/>
      <c r="F426" s="161" t="s">
        <v>1142</v>
      </c>
      <c r="G426" s="21" t="s">
        <v>24</v>
      </c>
      <c r="H426" s="21" t="s">
        <v>880</v>
      </c>
      <c r="I426" s="159" t="s">
        <v>1127</v>
      </c>
      <c r="J426" s="22" t="s">
        <v>631</v>
      </c>
      <c r="K426" s="27" t="s">
        <v>201</v>
      </c>
      <c r="L426" s="22" t="s">
        <v>631</v>
      </c>
      <c r="M426" s="23" t="s">
        <v>588</v>
      </c>
      <c r="N426" s="23" t="s">
        <v>210</v>
      </c>
      <c r="O426" s="24"/>
      <c r="P426" s="24"/>
      <c r="Q426" s="24" t="e">
        <f aca="1">DATEDIF(F426,NOW(),"Y")&amp;" Tahun "&amp;DATEDIF(F426,NOW(),"YM")&amp;" Bulan "&amp;DATEDIF(F426,NOW(),"MD")&amp;" Hari "</f>
        <v>#NUM!</v>
      </c>
      <c r="R426" s="41" t="str">
        <f>F426</f>
        <v>199711232024212023</v>
      </c>
      <c r="S426" s="36" t="n">
        <v>45258</v>
      </c>
      <c r="T426" s="51" t="n">
        <v>1350000</v>
      </c>
      <c r="U426" s="51" t="n">
        <v>1350000</v>
      </c>
      <c r="V426" s="72">
        <f>U426-T426</f>
        <v>0</v>
      </c>
    </row>
    <row r="427" spans="1:22">
      <c r="A427" s="21" t="n">
        <v>424</v>
      </c>
      <c r="B427" s="21">
        <f>E427</f>
        <v>0</v>
      </c>
      <c r="C427" s="21" t="str">
        <f>F427</f>
        <v>'199509292024212035</v>
      </c>
      <c r="D427" s="22" t="s">
        <v>1143</v>
      </c>
      <c r="E427" s="22"/>
      <c r="F427" s="38" t="s">
        <v>1144</v>
      </c>
      <c r="G427" s="21" t="s">
        <v>24</v>
      </c>
      <c r="H427" s="21" t="s">
        <v>880</v>
      </c>
      <c r="I427" s="21" t="s">
        <v>881</v>
      </c>
      <c r="J427" s="23" t="s">
        <v>724</v>
      </c>
      <c r="K427" s="27" t="s">
        <v>96</v>
      </c>
      <c r="L427" s="22" t="s">
        <v>724</v>
      </c>
      <c r="M427" s="28" t="s">
        <v>181</v>
      </c>
      <c r="N427" s="23" t="s">
        <v>275</v>
      </c>
      <c r="O427" s="24"/>
      <c r="P427" s="24"/>
      <c r="Q427" s="24" t="e">
        <f aca="1">DATEDIF(F427,NOW(),"Y")&amp;" Tahun "&amp;DATEDIF(F427,NOW(),"YM")&amp;" Bulan "&amp;DATEDIF(F427,NOW(),"MD")&amp;" Hari "</f>
        <v>#VALUE!</v>
      </c>
      <c r="R427" s="41" t="str">
        <f>F427</f>
        <v>'199509292024212035</v>
      </c>
      <c r="S427" s="36" t="n">
        <v>45258</v>
      </c>
      <c r="T427" s="51" t="n">
        <v>1200000</v>
      </c>
      <c r="U427" s="51" t="n">
        <v>1200000</v>
      </c>
      <c r="V427" s="72">
        <f>U427-T427</f>
        <v>0</v>
      </c>
    </row>
    <row r="428" spans="1:21">
      <c r="A428" s="21" t="n">
        <v>425</v>
      </c>
      <c r="B428" s="21">
        <f>E428</f>
        <v>0</v>
      </c>
      <c r="C428" s="21">
        <f>F428</f>
        <v>0</v>
      </c>
      <c r="D428" s="22" t="s">
        <v>1145</v>
      </c>
      <c r="E428" s="22"/>
      <c r="F428" s="38"/>
      <c r="G428" s="21" t="s">
        <v>24</v>
      </c>
      <c r="H428" s="21" t="s">
        <v>880</v>
      </c>
      <c r="I428" s="21" t="s">
        <v>1146</v>
      </c>
      <c r="J428" s="22" t="s">
        <v>1147</v>
      </c>
      <c r="K428" s="27" t="s">
        <v>66</v>
      </c>
      <c r="L428" s="22" t="s">
        <v>1147</v>
      </c>
      <c r="M428" s="23" t="s">
        <v>1148</v>
      </c>
      <c r="N428" s="23" t="s">
        <v>150</v>
      </c>
      <c r="O428" s="24"/>
      <c r="P428" s="24"/>
      <c r="Q428" s="24" t="str">
        <f aca="1">DATEDIF(F428,NOW(),"Y")&amp;" Tahun "&amp;DATEDIF(F428,NOW(),"YM")&amp;" Bulan "&amp;DATEDIF(F428,NOW(),"MD")&amp;" Hari "</f>
        <v>125 Tahun 9 Bulan 7 Hari </v>
      </c>
      <c r="R428" s="25"/>
      <c r="S428" s="25"/>
      <c r="T428" s="51" t="n">
        <v>8350000</v>
      </c>
      <c r="U428" s="51"/>
    </row>
    <row r="429" spans="1:21">
      <c r="A429" s="21" t="n">
        <v>426</v>
      </c>
      <c r="B429" s="21">
        <f>E429</f>
        <v>0</v>
      </c>
      <c r="C429" s="21" t="str">
        <f>F429</f>
        <v>'199512102024211009</v>
      </c>
      <c r="D429" s="25" t="s">
        <v>1149</v>
      </c>
      <c r="E429" s="25"/>
      <c r="F429" s="36" t="s">
        <v>1150</v>
      </c>
      <c r="G429" s="21" t="s">
        <v>33</v>
      </c>
      <c r="H429" s="21" t="s">
        <v>880</v>
      </c>
      <c r="I429" s="21" t="s">
        <v>881</v>
      </c>
      <c r="J429" s="23" t="s">
        <v>724</v>
      </c>
      <c r="K429" s="27" t="s">
        <v>96</v>
      </c>
      <c r="L429" s="22" t="s">
        <v>724</v>
      </c>
      <c r="M429" s="28" t="s">
        <v>181</v>
      </c>
      <c r="N429" s="23" t="s">
        <v>68</v>
      </c>
      <c r="O429" s="24"/>
      <c r="P429" s="24"/>
      <c r="Q429" s="24" t="e">
        <f aca="1">DATEDIF(F429,NOW(),"Y")&amp;" Tahun "&amp;DATEDIF(F429,NOW(),"YM")&amp;" Bulan "&amp;DATEDIF(F429,NOW(),"MD")&amp;" Hari "</f>
        <v>#VALUE!</v>
      </c>
      <c r="R429" s="36" t="n">
        <v>45200</v>
      </c>
      <c r="S429" s="36" t="n">
        <v>45291</v>
      </c>
      <c r="T429" s="51" t="n">
        <v>1200000</v>
      </c>
      <c r="U429" s="51"/>
    </row>
    <row r="430" spans="1:21">
      <c r="A430" s="21" t="n">
        <v>427</v>
      </c>
      <c r="B430" s="21">
        <f>E430</f>
        <v>0</v>
      </c>
      <c r="C430" s="21">
        <f>F430</f>
        <v>0</v>
      </c>
      <c r="D430" s="44" t="s">
        <v>1151</v>
      </c>
      <c r="E430" s="44"/>
      <c r="F430" s="35"/>
      <c r="G430" s="21" t="s">
        <v>24</v>
      </c>
      <c r="H430" s="21" t="s">
        <v>880</v>
      </c>
      <c r="I430" s="35"/>
      <c r="J430" s="44" t="s">
        <v>1152</v>
      </c>
      <c r="K430" s="22" t="s">
        <v>28</v>
      </c>
      <c r="L430" s="44" t="s">
        <v>1152</v>
      </c>
      <c r="M430" s="28" t="s">
        <v>1153</v>
      </c>
      <c r="N430" s="23" t="s">
        <v>61</v>
      </c>
      <c r="O430" s="24"/>
      <c r="P430" s="24"/>
      <c r="Q430" s="24"/>
      <c r="R430" s="41"/>
      <c r="S430" s="36"/>
      <c r="T430" s="56"/>
      <c r="U430" s="56"/>
    </row>
    <row r="431" spans="1:21">
      <c r="A431" s="21" t="n">
        <v>428</v>
      </c>
      <c r="B431" s="21">
        <f>E431</f>
        <v>0</v>
      </c>
      <c r="C431" s="21">
        <f>F431</f>
        <v>0</v>
      </c>
      <c r="D431" s="44" t="s">
        <v>1154</v>
      </c>
      <c r="E431" s="44"/>
      <c r="F431" s="35"/>
      <c r="G431" s="21" t="s">
        <v>33</v>
      </c>
      <c r="H431" s="21" t="s">
        <v>880</v>
      </c>
      <c r="I431" s="35"/>
      <c r="J431" s="44" t="s">
        <v>1155</v>
      </c>
      <c r="K431" s="22" t="s">
        <v>28</v>
      </c>
      <c r="L431" s="44" t="s">
        <v>1155</v>
      </c>
      <c r="M431" s="28" t="s">
        <v>244</v>
      </c>
      <c r="N431" s="23" t="s">
        <v>520</v>
      </c>
      <c r="O431" s="24"/>
      <c r="P431" s="24"/>
      <c r="Q431" s="24"/>
      <c r="R431" s="41"/>
      <c r="S431" s="36"/>
      <c r="T431" s="56"/>
      <c r="U431" s="56"/>
    </row>
    <row r="432" spans="1:21">
      <c r="A432" s="21" t="n">
        <v>429</v>
      </c>
      <c r="B432" s="21">
        <f>E432</f>
        <v>0</v>
      </c>
      <c r="C432" s="21" t="str">
        <f>F432</f>
        <v>'199001172024212018</v>
      </c>
      <c r="D432" s="44" t="s">
        <v>1156</v>
      </c>
      <c r="E432" s="44"/>
      <c r="F432" s="163" t="s">
        <v>1157</v>
      </c>
      <c r="G432" s="21" t="s">
        <v>24</v>
      </c>
      <c r="H432" s="21" t="s">
        <v>880</v>
      </c>
      <c r="I432" s="21" t="s">
        <v>881</v>
      </c>
      <c r="J432" s="22" t="s">
        <v>663</v>
      </c>
      <c r="K432" s="27" t="s">
        <v>201</v>
      </c>
      <c r="L432" s="22" t="s">
        <v>663</v>
      </c>
      <c r="M432" s="28" t="s">
        <v>209</v>
      </c>
      <c r="N432" s="23" t="s">
        <v>158</v>
      </c>
      <c r="O432" s="24"/>
      <c r="P432" s="24"/>
      <c r="Q432" s="24"/>
      <c r="R432" s="41"/>
      <c r="S432" s="36"/>
      <c r="T432" s="56"/>
      <c r="U432" s="56"/>
    </row>
    <row r="433" spans="1:21">
      <c r="A433" s="21" t="n">
        <v>430</v>
      </c>
      <c r="B433" s="21">
        <f>E433</f>
        <v>0</v>
      </c>
      <c r="C433" s="21" t="str">
        <f>F433</f>
        <v>'199501092024212024</v>
      </c>
      <c r="D433" s="44" t="s">
        <v>1158</v>
      </c>
      <c r="E433" s="44"/>
      <c r="F433" s="163" t="s">
        <v>1159</v>
      </c>
      <c r="G433" s="21" t="s">
        <v>24</v>
      </c>
      <c r="H433" s="21" t="s">
        <v>880</v>
      </c>
      <c r="I433" s="21" t="s">
        <v>881</v>
      </c>
      <c r="J433" s="22" t="s">
        <v>663</v>
      </c>
      <c r="K433" s="27" t="s">
        <v>201</v>
      </c>
      <c r="L433" s="22" t="s">
        <v>663</v>
      </c>
      <c r="M433" s="28" t="s">
        <v>209</v>
      </c>
      <c r="N433" s="23" t="s">
        <v>396</v>
      </c>
      <c r="O433" s="24"/>
      <c r="P433" s="24"/>
      <c r="Q433" s="24"/>
      <c r="R433" s="41"/>
      <c r="S433" s="36"/>
      <c r="T433" s="56"/>
      <c r="U433" s="56"/>
    </row>
    <row r="434" spans="1:21">
      <c r="A434" s="21" t="n">
        <v>431</v>
      </c>
      <c r="B434" s="21">
        <f>E434</f>
        <v>0</v>
      </c>
      <c r="C434" s="21" t="str">
        <f>F434</f>
        <v>'199504022024212022</v>
      </c>
      <c r="D434" s="44" t="s">
        <v>1160</v>
      </c>
      <c r="E434" s="44"/>
      <c r="F434" s="163" t="s">
        <v>1161</v>
      </c>
      <c r="G434" s="21" t="s">
        <v>24</v>
      </c>
      <c r="H434" s="21" t="s">
        <v>880</v>
      </c>
      <c r="I434" s="21" t="s">
        <v>881</v>
      </c>
      <c r="J434" s="22" t="s">
        <v>663</v>
      </c>
      <c r="K434" s="27" t="s">
        <v>201</v>
      </c>
      <c r="L434" s="22" t="s">
        <v>663</v>
      </c>
      <c r="M434" s="28" t="s">
        <v>209</v>
      </c>
      <c r="N434" s="23" t="s">
        <v>158</v>
      </c>
      <c r="O434" s="24"/>
      <c r="P434" s="24"/>
      <c r="Q434" s="24"/>
      <c r="R434" s="41"/>
      <c r="S434" s="36"/>
      <c r="T434" s="56"/>
      <c r="U434" s="56"/>
    </row>
    <row r="435" spans="1:21">
      <c r="A435" s="21" t="n">
        <v>432</v>
      </c>
      <c r="B435" s="21">
        <f>E435</f>
        <v>0</v>
      </c>
      <c r="C435" s="21">
        <f>F435</f>
        <v>0</v>
      </c>
      <c r="D435" s="44" t="s">
        <v>1162</v>
      </c>
      <c r="E435" s="44"/>
      <c r="F435" s="35"/>
      <c r="G435" s="21" t="s">
        <v>24</v>
      </c>
      <c r="H435" s="21" t="s">
        <v>880</v>
      </c>
      <c r="I435" s="35" t="s">
        <v>888</v>
      </c>
      <c r="J435" s="23" t="s">
        <v>291</v>
      </c>
      <c r="K435" s="27" t="s">
        <v>96</v>
      </c>
      <c r="L435" s="23" t="s">
        <v>291</v>
      </c>
      <c r="M435" s="23" t="s">
        <v>161</v>
      </c>
      <c r="N435" s="23" t="s">
        <v>97</v>
      </c>
      <c r="O435" s="24"/>
      <c r="P435" s="24"/>
      <c r="Q435" s="24"/>
      <c r="R435" s="41"/>
      <c r="S435" s="36"/>
      <c r="T435" s="56"/>
      <c r="U435" s="56"/>
    </row>
    <row r="436" spans="1:21">
      <c r="A436" s="21" t="n">
        <v>433</v>
      </c>
      <c r="B436" s="21">
        <f>E436</f>
        <v>0</v>
      </c>
      <c r="C436" s="21">
        <f>F436</f>
        <v>0</v>
      </c>
      <c r="D436" s="44" t="s">
        <v>1163</v>
      </c>
      <c r="E436" s="44"/>
      <c r="F436" s="35"/>
      <c r="G436" s="21" t="s">
        <v>24</v>
      </c>
      <c r="H436" s="21" t="s">
        <v>880</v>
      </c>
      <c r="I436" s="35" t="s">
        <v>888</v>
      </c>
      <c r="J436" s="23" t="s">
        <v>291</v>
      </c>
      <c r="K436" s="27" t="s">
        <v>96</v>
      </c>
      <c r="L436" s="23" t="s">
        <v>291</v>
      </c>
      <c r="M436" s="23" t="s">
        <v>161</v>
      </c>
      <c r="N436" s="23" t="s">
        <v>1164</v>
      </c>
      <c r="O436" s="24"/>
      <c r="P436" s="24"/>
      <c r="Q436" s="24"/>
      <c r="R436" s="41"/>
      <c r="S436" s="36"/>
      <c r="T436" s="56"/>
      <c r="U436" s="56"/>
    </row>
    <row r="437" spans="1:21">
      <c r="A437" s="21" t="n">
        <v>434</v>
      </c>
      <c r="B437" s="21">
        <f>E437</f>
        <v>0</v>
      </c>
      <c r="C437" s="21" t="str">
        <f>F437</f>
        <v>'199212222024211010</v>
      </c>
      <c r="D437" s="44" t="s">
        <v>1165</v>
      </c>
      <c r="E437" s="44"/>
      <c r="F437" s="163" t="s">
        <v>1166</v>
      </c>
      <c r="G437" s="21" t="s">
        <v>24</v>
      </c>
      <c r="H437" s="21" t="s">
        <v>880</v>
      </c>
      <c r="I437" s="35" t="s">
        <v>881</v>
      </c>
      <c r="J437" s="23" t="s">
        <v>724</v>
      </c>
      <c r="K437" s="27" t="s">
        <v>96</v>
      </c>
      <c r="L437" s="22" t="s">
        <v>724</v>
      </c>
      <c r="M437" s="28" t="s">
        <v>181</v>
      </c>
      <c r="N437" s="23" t="s">
        <v>278</v>
      </c>
      <c r="O437" s="24"/>
      <c r="P437" s="24"/>
      <c r="Q437" s="24"/>
      <c r="R437" s="41"/>
      <c r="S437" s="36"/>
      <c r="T437" s="56"/>
      <c r="U437" s="56"/>
    </row>
    <row r="438" spans="1:21">
      <c r="A438" s="21" t="n">
        <v>435</v>
      </c>
      <c r="B438" s="21">
        <f>E438</f>
        <v>0</v>
      </c>
      <c r="C438" s="21" t="str">
        <f>F438</f>
        <v>'199501182024212029</v>
      </c>
      <c r="D438" s="44" t="s">
        <v>1167</v>
      </c>
      <c r="E438" s="44"/>
      <c r="F438" s="163" t="s">
        <v>1168</v>
      </c>
      <c r="G438" s="21" t="s">
        <v>24</v>
      </c>
      <c r="H438" s="21" t="s">
        <v>880</v>
      </c>
      <c r="I438" s="35" t="s">
        <v>881</v>
      </c>
      <c r="J438" s="23" t="s">
        <v>724</v>
      </c>
      <c r="K438" s="27" t="s">
        <v>96</v>
      </c>
      <c r="L438" s="22" t="s">
        <v>724</v>
      </c>
      <c r="M438" s="28" t="s">
        <v>181</v>
      </c>
      <c r="N438" s="23" t="s">
        <v>97</v>
      </c>
      <c r="O438" s="24"/>
      <c r="P438" s="24"/>
      <c r="Q438" s="24"/>
      <c r="R438" s="41"/>
      <c r="S438" s="36"/>
      <c r="T438" s="56"/>
      <c r="U438" s="56"/>
    </row>
    <row r="439" spans="1:21">
      <c r="A439" s="21" t="n">
        <v>436</v>
      </c>
      <c r="B439" s="21">
        <f>E439</f>
        <v>0</v>
      </c>
      <c r="C439" s="21" t="str">
        <f>F439</f>
        <v>'199008082024212038</v>
      </c>
      <c r="D439" s="44" t="s">
        <v>1169</v>
      </c>
      <c r="E439" s="44"/>
      <c r="F439" s="163" t="s">
        <v>1170</v>
      </c>
      <c r="G439" s="21" t="s">
        <v>24</v>
      </c>
      <c r="H439" s="21" t="s">
        <v>880</v>
      </c>
      <c r="I439" s="21" t="s">
        <v>881</v>
      </c>
      <c r="J439" s="22" t="s">
        <v>663</v>
      </c>
      <c r="K439" s="27" t="s">
        <v>201</v>
      </c>
      <c r="L439" s="22" t="s">
        <v>663</v>
      </c>
      <c r="M439" s="28" t="s">
        <v>209</v>
      </c>
      <c r="N439" s="23" t="s">
        <v>210</v>
      </c>
      <c r="O439" s="24"/>
      <c r="P439" s="24"/>
      <c r="Q439" s="24"/>
      <c r="R439" s="41"/>
      <c r="S439" s="36"/>
      <c r="T439" s="56"/>
      <c r="U439" s="56"/>
    </row>
    <row r="440" spans="1:21" s="71" customFormat="1">
      <c r="A440" s="21" t="n">
        <v>437</v>
      </c>
      <c r="B440" s="21">
        <f>E440</f>
        <v>0</v>
      </c>
      <c r="C440" s="21" t="str">
        <f>F440</f>
        <v>199408052025211002</v>
      </c>
      <c r="D440" s="22" t="s">
        <v>1171</v>
      </c>
      <c r="E440" s="22"/>
      <c r="F440" s="159" t="s">
        <v>1172</v>
      </c>
      <c r="G440" s="21" t="s">
        <v>33</v>
      </c>
      <c r="H440" s="21" t="s">
        <v>880</v>
      </c>
      <c r="I440" s="35" t="s">
        <v>881</v>
      </c>
      <c r="J440" s="23" t="s">
        <v>1173</v>
      </c>
      <c r="K440" s="27"/>
      <c r="L440" s="22"/>
      <c r="M440" s="23" t="s">
        <v>444</v>
      </c>
      <c r="N440" s="23" t="s">
        <v>1174</v>
      </c>
      <c r="O440" s="24"/>
      <c r="P440" s="24"/>
      <c r="Q440" s="24"/>
      <c r="R440" s="25"/>
      <c r="S440" s="25"/>
      <c r="T440" s="56"/>
      <c r="U440" s="56"/>
    </row>
    <row r="441" spans="1:22" s="71" customFormat="1">
      <c r="A441" s="21" t="n">
        <v>438</v>
      </c>
      <c r="B441" s="21" t="str">
        <f>E441</f>
        <v>3513151010810001</v>
      </c>
      <c r="C441" s="38">
        <f>F441</f>
        <v>38930</v>
      </c>
      <c r="D441" s="34" t="s">
        <v>1175</v>
      </c>
      <c r="E441" s="186" t="s">
        <v>1176</v>
      </c>
      <c r="F441" s="38" t="n">
        <v>38930</v>
      </c>
      <c r="G441" s="21" t="s">
        <v>33</v>
      </c>
      <c r="H441" s="21" t="s">
        <v>1177</v>
      </c>
      <c r="I441" s="159" t="s">
        <v>1127</v>
      </c>
      <c r="J441" s="22" t="s">
        <v>536</v>
      </c>
      <c r="K441" s="22" t="s">
        <v>28</v>
      </c>
      <c r="L441" s="25" t="s">
        <v>822</v>
      </c>
      <c r="M441" s="23" t="s">
        <v>823</v>
      </c>
      <c r="N441" s="23" t="s">
        <v>245</v>
      </c>
      <c r="O441" s="24">
        <f aca="1">DATEDIF(F441,TODAY(),"Y")</f>
        <v>19</v>
      </c>
      <c r="P441" s="24">
        <f aca="1">DATEDIF(F441,TODAY(),"YM")</f>
        <v>2</v>
      </c>
      <c r="Q441" s="24" t="str">
        <f aca="1">DATEDIF(F441,NOW(),"Y")&amp;" Tahun "&amp;DATEDIF(F441,NOW(),"YM")&amp;" Bulan "&amp;DATEDIF(F441,NOW(),"MD")&amp;" Hari "</f>
        <v>19 Tahun 2 Bulan 6 Hari </v>
      </c>
      <c r="R441" s="41">
        <f>F441</f>
        <v>38930</v>
      </c>
      <c r="S441" s="36" t="n">
        <v>45258</v>
      </c>
      <c r="T441" s="51" t="n">
        <v>2300000</v>
      </c>
      <c r="U441" s="51">
        <f>T441</f>
        <v>2300000</v>
      </c>
      <c r="V441" s="73">
        <f>U441-T441</f>
        <v>0</v>
      </c>
    </row>
    <row r="442" spans="1:22">
      <c r="A442" s="21" t="n">
        <v>439</v>
      </c>
      <c r="B442" s="21" t="str">
        <f>E442</f>
        <v>3513174507800007</v>
      </c>
      <c r="C442" s="42">
        <f>F442</f>
        <v>39083</v>
      </c>
      <c r="D442" s="34" t="s">
        <v>1178</v>
      </c>
      <c r="E442" s="186" t="s">
        <v>1179</v>
      </c>
      <c r="F442" s="42" t="n">
        <v>39083</v>
      </c>
      <c r="G442" s="21" t="s">
        <v>24</v>
      </c>
      <c r="H442" s="21" t="s">
        <v>1177</v>
      </c>
      <c r="I442" s="159" t="s">
        <v>1127</v>
      </c>
      <c r="J442" s="22" t="s">
        <v>818</v>
      </c>
      <c r="K442" s="22" t="s">
        <v>28</v>
      </c>
      <c r="L442" s="22" t="s">
        <v>673</v>
      </c>
      <c r="M442" s="23" t="s">
        <v>1180</v>
      </c>
      <c r="N442" s="23" t="s">
        <v>1181</v>
      </c>
      <c r="O442" s="24">
        <f aca="1">DATEDIF(F442,TODAY(),"Y")</f>
        <v>18</v>
      </c>
      <c r="P442" s="24">
        <f aca="1">DATEDIF(F442,TODAY(),"YM")</f>
        <v>9</v>
      </c>
      <c r="Q442" s="24" t="str">
        <f aca="1">DATEDIF(F442,NOW(),"Y")&amp;" Tahun "&amp;DATEDIF(F442,NOW(),"YM")&amp;" Bulan "&amp;DATEDIF(F442,NOW(),"MD")&amp;" Hari "</f>
        <v>18 Tahun 9 Bulan 6 Hari </v>
      </c>
      <c r="R442" s="41">
        <f>F442</f>
        <v>39083</v>
      </c>
      <c r="S442" s="36" t="n">
        <v>45258</v>
      </c>
      <c r="T442" s="51" t="n">
        <v>2425000</v>
      </c>
      <c r="U442" s="51" t="n">
        <v>2425000</v>
      </c>
      <c r="V442" s="72">
        <f>U442-T442</f>
        <v>0</v>
      </c>
    </row>
    <row r="443" spans="1:22">
      <c r="A443" s="21" t="n">
        <v>440</v>
      </c>
      <c r="B443" s="21" t="str">
        <f>E443</f>
        <v>3513144509840008</v>
      </c>
      <c r="C443" s="38">
        <f>F443</f>
        <v>39264</v>
      </c>
      <c r="D443" s="34" t="s">
        <v>1182</v>
      </c>
      <c r="E443" s="186" t="s">
        <v>1183</v>
      </c>
      <c r="F443" s="38" t="n">
        <v>39264</v>
      </c>
      <c r="G443" s="21" t="s">
        <v>24</v>
      </c>
      <c r="H443" s="21" t="s">
        <v>1177</v>
      </c>
      <c r="I443" s="159" t="s">
        <v>1127</v>
      </c>
      <c r="J443" s="23" t="s">
        <v>1184</v>
      </c>
      <c r="K443" s="27" t="s">
        <v>96</v>
      </c>
      <c r="L443" s="23" t="s">
        <v>1185</v>
      </c>
      <c r="M443" s="28" t="s">
        <v>181</v>
      </c>
      <c r="N443" s="23" t="s">
        <v>188</v>
      </c>
      <c r="O443" s="24">
        <f aca="1">DATEDIF(F443,TODAY(),"Y")</f>
        <v>18</v>
      </c>
      <c r="P443" s="24">
        <f aca="1">DATEDIF(F443,TODAY(),"YM")</f>
        <v>3</v>
      </c>
      <c r="Q443" s="24" t="str">
        <f aca="1">DATEDIF(F443,NOW(),"Y")&amp;" Tahun "&amp;DATEDIF(F443,NOW(),"YM")&amp;" Bulan "&amp;DATEDIF(F443,NOW(),"MD")&amp;" Hari "</f>
        <v>18 Tahun 3 Bulan 6 Hari </v>
      </c>
      <c r="R443" s="41">
        <f>F443</f>
        <v>39264</v>
      </c>
      <c r="S443" s="36" t="n">
        <v>45258</v>
      </c>
      <c r="T443" s="51" t="n">
        <v>2475000</v>
      </c>
      <c r="U443" s="51" t="n">
        <v>2525000</v>
      </c>
      <c r="V443" s="72">
        <f>U443-T443</f>
        <v>50000</v>
      </c>
    </row>
    <row r="444" spans="1:22">
      <c r="A444" s="21" t="n">
        <v>441</v>
      </c>
      <c r="B444" s="21" t="str">
        <f>E444</f>
        <v>3513141505850003</v>
      </c>
      <c r="C444" s="38">
        <f>F444</f>
        <v>39326</v>
      </c>
      <c r="D444" s="34" t="s">
        <v>1186</v>
      </c>
      <c r="E444" s="186" t="s">
        <v>1187</v>
      </c>
      <c r="F444" s="38" t="n">
        <v>39326</v>
      </c>
      <c r="G444" s="21" t="s">
        <v>33</v>
      </c>
      <c r="H444" s="21" t="s">
        <v>1177</v>
      </c>
      <c r="I444" s="159" t="s">
        <v>1127</v>
      </c>
      <c r="J444" s="22" t="s">
        <v>818</v>
      </c>
      <c r="K444" s="22" t="s">
        <v>28</v>
      </c>
      <c r="L444" s="22" t="s">
        <v>673</v>
      </c>
      <c r="M444" s="23" t="s">
        <v>1180</v>
      </c>
      <c r="N444" s="23" t="s">
        <v>222</v>
      </c>
      <c r="O444" s="24">
        <f aca="1">DATEDIF(F444,TODAY(),"Y")</f>
        <v>18</v>
      </c>
      <c r="P444" s="24">
        <f aca="1">DATEDIF(F444,TODAY(),"YM")</f>
        <v>1</v>
      </c>
      <c r="Q444" s="24" t="str">
        <f aca="1">DATEDIF(F444,NOW(),"Y")&amp;" Tahun "&amp;DATEDIF(F444,NOW(),"YM")&amp;" Bulan "&amp;DATEDIF(F444,NOW(),"MD")&amp;" Hari "</f>
        <v>18 Tahun 1 Bulan 6 Hari </v>
      </c>
      <c r="R444" s="41">
        <f>F444</f>
        <v>39326</v>
      </c>
      <c r="S444" s="36" t="n">
        <v>45258</v>
      </c>
      <c r="T444" s="51" t="n">
        <v>2425000</v>
      </c>
      <c r="U444" s="51">
        <f>T444</f>
        <v>2425000</v>
      </c>
      <c r="V444" s="72">
        <f>U444-T444</f>
        <v>0</v>
      </c>
    </row>
    <row r="445" spans="1:22">
      <c r="A445" s="21" t="n">
        <v>442</v>
      </c>
      <c r="B445" s="21" t="str">
        <f>E445</f>
        <v>3513141505830001</v>
      </c>
      <c r="C445" s="38">
        <f>F445</f>
        <v>39448</v>
      </c>
      <c r="D445" s="34" t="s">
        <v>1188</v>
      </c>
      <c r="E445" s="186" t="s">
        <v>1189</v>
      </c>
      <c r="F445" s="38" t="n">
        <v>39448</v>
      </c>
      <c r="G445" s="21" t="s">
        <v>33</v>
      </c>
      <c r="H445" s="21" t="s">
        <v>1177</v>
      </c>
      <c r="I445" s="159" t="s">
        <v>1127</v>
      </c>
      <c r="J445" s="22" t="s">
        <v>818</v>
      </c>
      <c r="K445" s="22" t="s">
        <v>28</v>
      </c>
      <c r="L445" s="22" t="s">
        <v>673</v>
      </c>
      <c r="M445" s="23" t="s">
        <v>1180</v>
      </c>
      <c r="N445" s="23" t="s">
        <v>1190</v>
      </c>
      <c r="O445" s="24">
        <f aca="1">DATEDIF(F445,TODAY(),"Y")</f>
        <v>17</v>
      </c>
      <c r="P445" s="24">
        <f aca="1">DATEDIF(F445,TODAY(),"YM")</f>
        <v>9</v>
      </c>
      <c r="Q445" s="24" t="str">
        <f aca="1">DATEDIF(F445,NOW(),"Y")&amp;" Tahun "&amp;DATEDIF(F445,NOW(),"YM")&amp;" Bulan "&amp;DATEDIF(F445,NOW(),"MD")&amp;" Hari "</f>
        <v>17 Tahun 9 Bulan 6 Hari </v>
      </c>
      <c r="R445" s="41">
        <f>F445</f>
        <v>39448</v>
      </c>
      <c r="S445" s="36" t="n">
        <v>45258</v>
      </c>
      <c r="T445" s="51" t="n">
        <v>2375000</v>
      </c>
      <c r="U445" s="51" t="n">
        <v>2425000</v>
      </c>
      <c r="V445" s="72">
        <f>U445-T445</f>
        <v>50000</v>
      </c>
    </row>
    <row r="446" spans="1:22">
      <c r="A446" s="21" t="n">
        <v>443</v>
      </c>
      <c r="B446" s="21" t="str">
        <f>E446</f>
        <v>3513161308780001</v>
      </c>
      <c r="C446" s="38">
        <f>F446</f>
        <v>39448</v>
      </c>
      <c r="D446" s="34" t="s">
        <v>1191</v>
      </c>
      <c r="E446" s="186" t="s">
        <v>1192</v>
      </c>
      <c r="F446" s="38" t="n">
        <v>39448</v>
      </c>
      <c r="G446" s="21" t="s">
        <v>33</v>
      </c>
      <c r="H446" s="21" t="s">
        <v>1177</v>
      </c>
      <c r="I446" s="159" t="s">
        <v>1127</v>
      </c>
      <c r="J446" s="22" t="s">
        <v>1193</v>
      </c>
      <c r="K446" s="22" t="s">
        <v>28</v>
      </c>
      <c r="L446" s="22" t="s">
        <v>673</v>
      </c>
      <c r="M446" s="23" t="s">
        <v>1194</v>
      </c>
      <c r="N446" s="23" t="s">
        <v>1195</v>
      </c>
      <c r="O446" s="24">
        <f aca="1">DATEDIF(F446,TODAY(),"Y")</f>
        <v>17</v>
      </c>
      <c r="P446" s="24">
        <f aca="1">DATEDIF(F446,TODAY(),"YM")</f>
        <v>9</v>
      </c>
      <c r="Q446" s="24" t="str">
        <f aca="1">DATEDIF(F446,NOW(),"Y")&amp;" Tahun "&amp;DATEDIF(F446,NOW(),"YM")&amp;" Bulan "&amp;DATEDIF(F446,NOW(),"MD")&amp;" Hari "</f>
        <v>17 Tahun 9 Bulan 6 Hari </v>
      </c>
      <c r="R446" s="41">
        <f>F446</f>
        <v>39448</v>
      </c>
      <c r="S446" s="36" t="n">
        <v>45258</v>
      </c>
      <c r="T446" s="51" t="n">
        <v>2375000</v>
      </c>
      <c r="U446" s="51" t="n">
        <v>2425000</v>
      </c>
      <c r="V446" s="72">
        <f>U446-T446</f>
        <v>50000</v>
      </c>
    </row>
    <row r="447" spans="1:22">
      <c r="A447" s="21" t="n">
        <v>444</v>
      </c>
      <c r="B447" s="21" t="str">
        <f>E447</f>
        <v>3513146106760003</v>
      </c>
      <c r="C447" s="38">
        <f>F447</f>
        <v>39539</v>
      </c>
      <c r="D447" s="34" t="s">
        <v>1196</v>
      </c>
      <c r="E447" s="186" t="s">
        <v>1197</v>
      </c>
      <c r="F447" s="38" t="n">
        <v>39539</v>
      </c>
      <c r="G447" s="21" t="s">
        <v>24</v>
      </c>
      <c r="H447" s="21" t="s">
        <v>1177</v>
      </c>
      <c r="I447" s="159" t="s">
        <v>1127</v>
      </c>
      <c r="J447" s="23" t="s">
        <v>1184</v>
      </c>
      <c r="K447" s="27" t="s">
        <v>96</v>
      </c>
      <c r="L447" s="23" t="s">
        <v>1185</v>
      </c>
      <c r="M447" s="28" t="s">
        <v>181</v>
      </c>
      <c r="N447" s="23" t="s">
        <v>68</v>
      </c>
      <c r="O447" s="24">
        <f aca="1">DATEDIF(F447,TODAY(),"Y")</f>
        <v>17</v>
      </c>
      <c r="P447" s="24">
        <f aca="1">DATEDIF(F447,TODAY(),"YM")</f>
        <v>6</v>
      </c>
      <c r="Q447" s="24" t="str">
        <f aca="1">DATEDIF(F447,NOW(),"Y")&amp;" Tahun "&amp;DATEDIF(F447,NOW(),"YM")&amp;" Bulan "&amp;DATEDIF(F447,NOW(),"MD")&amp;" Hari "</f>
        <v>17 Tahun 6 Bulan 6 Hari </v>
      </c>
      <c r="R447" s="41">
        <f>F447</f>
        <v>39539</v>
      </c>
      <c r="S447" s="36" t="n">
        <v>45258</v>
      </c>
      <c r="T447" s="51" t="n">
        <v>2475000</v>
      </c>
      <c r="U447" s="51">
        <f>T447</f>
        <v>2475000</v>
      </c>
      <c r="V447" s="72">
        <f>U447-T447</f>
        <v>0</v>
      </c>
    </row>
    <row r="448" spans="1:22">
      <c r="A448" s="21" t="n">
        <v>445</v>
      </c>
      <c r="B448" s="21" t="str">
        <f>E448</f>
        <v>3513144501820001</v>
      </c>
      <c r="C448" s="38">
        <f>F448</f>
        <v>40179</v>
      </c>
      <c r="D448" s="34" t="s">
        <v>1198</v>
      </c>
      <c r="E448" s="186" t="s">
        <v>1199</v>
      </c>
      <c r="F448" s="38" t="n">
        <v>40179</v>
      </c>
      <c r="G448" s="21" t="s">
        <v>24</v>
      </c>
      <c r="H448" s="21" t="s">
        <v>1177</v>
      </c>
      <c r="I448" s="159" t="s">
        <v>1127</v>
      </c>
      <c r="J448" s="23" t="s">
        <v>499</v>
      </c>
      <c r="K448" s="22" t="s">
        <v>28</v>
      </c>
      <c r="L448" s="25" t="s">
        <v>822</v>
      </c>
      <c r="M448" s="23" t="s">
        <v>828</v>
      </c>
      <c r="N448" s="23" t="s">
        <v>92</v>
      </c>
      <c r="O448" s="24">
        <f aca="1">DATEDIF(F448,TODAY(),"Y")</f>
        <v>15</v>
      </c>
      <c r="P448" s="24">
        <f aca="1">DATEDIF(F448,TODAY(),"YM")</f>
        <v>9</v>
      </c>
      <c r="Q448" s="24" t="str">
        <f aca="1">DATEDIF(F448,NOW(),"Y")&amp;" Tahun "&amp;DATEDIF(F448,NOW(),"YM")&amp;" Bulan "&amp;DATEDIF(F448,NOW(),"MD")&amp;" Hari "</f>
        <v>15 Tahun 9 Bulan 6 Hari </v>
      </c>
      <c r="R448" s="41">
        <f>F448</f>
        <v>40179</v>
      </c>
      <c r="S448" s="36" t="n">
        <v>45258</v>
      </c>
      <c r="T448" s="51" t="n">
        <v>2250000</v>
      </c>
      <c r="U448" s="51">
        <f>T448</f>
        <v>2250000</v>
      </c>
      <c r="V448" s="72">
        <f>U448-T448</f>
        <v>0</v>
      </c>
    </row>
    <row r="449" spans="1:22">
      <c r="A449" s="21" t="n">
        <v>446</v>
      </c>
      <c r="B449" s="21" t="str">
        <f>E449</f>
        <v>3513146705830002</v>
      </c>
      <c r="C449" s="38">
        <f>F449</f>
        <v>40179</v>
      </c>
      <c r="D449" s="34" t="s">
        <v>1200</v>
      </c>
      <c r="E449" s="186" t="s">
        <v>1201</v>
      </c>
      <c r="F449" s="38" t="n">
        <v>40179</v>
      </c>
      <c r="G449" s="21" t="s">
        <v>24</v>
      </c>
      <c r="H449" s="21" t="s">
        <v>1177</v>
      </c>
      <c r="I449" s="159" t="s">
        <v>1127</v>
      </c>
      <c r="J449" s="23" t="s">
        <v>499</v>
      </c>
      <c r="K449" s="22" t="s">
        <v>28</v>
      </c>
      <c r="L449" s="22" t="s">
        <v>673</v>
      </c>
      <c r="M449" s="23" t="s">
        <v>1180</v>
      </c>
      <c r="N449" s="23" t="s">
        <v>92</v>
      </c>
      <c r="O449" s="24">
        <f aca="1">DATEDIF(F449,TODAY(),"Y")</f>
        <v>15</v>
      </c>
      <c r="P449" s="24">
        <f aca="1">DATEDIF(F449,TODAY(),"YM")</f>
        <v>9</v>
      </c>
      <c r="Q449" s="24" t="str">
        <f aca="1">DATEDIF(F449,NOW(),"Y")&amp;" Tahun "&amp;DATEDIF(F449,NOW(),"YM")&amp;" Bulan "&amp;DATEDIF(F449,NOW(),"MD")&amp;" Hari "</f>
        <v>15 Tahun 9 Bulan 6 Hari </v>
      </c>
      <c r="R449" s="41">
        <f>F449</f>
        <v>40179</v>
      </c>
      <c r="S449" s="36" t="n">
        <v>45258</v>
      </c>
      <c r="T449" s="51" t="n">
        <v>2375000</v>
      </c>
      <c r="U449" s="51">
        <f>T449</f>
        <v>2375000</v>
      </c>
      <c r="V449" s="72">
        <f>U449-T449</f>
        <v>0</v>
      </c>
    </row>
    <row r="450" spans="1:22">
      <c r="A450" s="21" t="n">
        <v>447</v>
      </c>
      <c r="B450" s="21" t="str">
        <f>E450</f>
        <v>3513144708880003</v>
      </c>
      <c r="C450" s="38">
        <f>F450</f>
        <v>40179</v>
      </c>
      <c r="D450" s="34" t="s">
        <v>1202</v>
      </c>
      <c r="E450" s="186" t="s">
        <v>1203</v>
      </c>
      <c r="F450" s="38" t="n">
        <v>40179</v>
      </c>
      <c r="G450" s="21" t="s">
        <v>24</v>
      </c>
      <c r="H450" s="21" t="s">
        <v>1177</v>
      </c>
      <c r="I450" s="159" t="s">
        <v>1127</v>
      </c>
      <c r="J450" s="23" t="s">
        <v>499</v>
      </c>
      <c r="K450" s="22" t="s">
        <v>28</v>
      </c>
      <c r="L450" s="25" t="s">
        <v>822</v>
      </c>
      <c r="M450" s="23" t="s">
        <v>823</v>
      </c>
      <c r="N450" s="23" t="s">
        <v>92</v>
      </c>
      <c r="O450" s="24">
        <f aca="1">DATEDIF(F450,TODAY(),"Y")</f>
        <v>15</v>
      </c>
      <c r="P450" s="24">
        <f aca="1">DATEDIF(F450,TODAY(),"YM")</f>
        <v>9</v>
      </c>
      <c r="Q450" s="24" t="str">
        <f aca="1">DATEDIF(F450,NOW(),"Y")&amp;" Tahun "&amp;DATEDIF(F450,NOW(),"YM")&amp;" Bulan "&amp;DATEDIF(F450,NOW(),"MD")&amp;" Hari "</f>
        <v>15 Tahun 9 Bulan 6 Hari </v>
      </c>
      <c r="R450" s="41">
        <f>F450</f>
        <v>40179</v>
      </c>
      <c r="S450" s="36" t="n">
        <v>45258</v>
      </c>
      <c r="T450" s="51" t="n">
        <v>2250000</v>
      </c>
      <c r="U450" s="51">
        <f>T450</f>
        <v>2250000</v>
      </c>
      <c r="V450" s="72">
        <f>U450-T450</f>
        <v>0</v>
      </c>
    </row>
    <row r="451" spans="1:22">
      <c r="A451" s="21" t="n">
        <v>448</v>
      </c>
      <c r="B451" s="21" t="str">
        <f>E451</f>
        <v>3513144509910005</v>
      </c>
      <c r="C451" s="38">
        <f>F451</f>
        <v>40179</v>
      </c>
      <c r="D451" s="34" t="s">
        <v>1204</v>
      </c>
      <c r="E451" s="186" t="s">
        <v>1205</v>
      </c>
      <c r="F451" s="38" t="n">
        <v>40179</v>
      </c>
      <c r="G451" s="21" t="s">
        <v>24</v>
      </c>
      <c r="H451" s="21" t="s">
        <v>1177</v>
      </c>
      <c r="I451" s="159" t="s">
        <v>1127</v>
      </c>
      <c r="J451" s="22" t="s">
        <v>818</v>
      </c>
      <c r="K451" s="22" t="s">
        <v>28</v>
      </c>
      <c r="L451" s="22" t="s">
        <v>673</v>
      </c>
      <c r="M451" s="23" t="s">
        <v>1194</v>
      </c>
      <c r="N451" s="23" t="s">
        <v>458</v>
      </c>
      <c r="O451" s="24">
        <f aca="1">DATEDIF(F451,TODAY(),"Y")</f>
        <v>15</v>
      </c>
      <c r="P451" s="24">
        <f aca="1">DATEDIF(F451,TODAY(),"YM")</f>
        <v>9</v>
      </c>
      <c r="Q451" s="24" t="str">
        <f aca="1">DATEDIF(F451,NOW(),"Y")&amp;" Tahun "&amp;DATEDIF(F451,NOW(),"YM")&amp;" Bulan "&amp;DATEDIF(F451,NOW(),"MD")&amp;" Hari "</f>
        <v>15 Tahun 9 Bulan 6 Hari </v>
      </c>
      <c r="R451" s="41">
        <f>F451</f>
        <v>40179</v>
      </c>
      <c r="S451" s="36" t="n">
        <v>45258</v>
      </c>
      <c r="T451" s="51" t="n">
        <v>2375000</v>
      </c>
      <c r="U451" s="51">
        <f>T451</f>
        <v>2375000</v>
      </c>
      <c r="V451" s="72">
        <f>U451-T451</f>
        <v>0</v>
      </c>
    </row>
    <row r="452" spans="1:22">
      <c r="A452" s="21" t="n">
        <v>449</v>
      </c>
      <c r="B452" s="21" t="str">
        <f>E452</f>
        <v>3513146011780003</v>
      </c>
      <c r="C452" s="38">
        <f>F452</f>
        <v>40179</v>
      </c>
      <c r="D452" s="34" t="s">
        <v>1206</v>
      </c>
      <c r="E452" s="186" t="s">
        <v>1207</v>
      </c>
      <c r="F452" s="38" t="n">
        <v>40179</v>
      </c>
      <c r="G452" s="21" t="s">
        <v>24</v>
      </c>
      <c r="H452" s="21" t="s">
        <v>1177</v>
      </c>
      <c r="I452" s="159" t="s">
        <v>1127</v>
      </c>
      <c r="J452" s="22" t="s">
        <v>818</v>
      </c>
      <c r="K452" s="22" t="s">
        <v>28</v>
      </c>
      <c r="L452" s="22" t="s">
        <v>673</v>
      </c>
      <c r="M452" s="23" t="s">
        <v>1194</v>
      </c>
      <c r="N452" s="23" t="s">
        <v>496</v>
      </c>
      <c r="O452" s="24">
        <f aca="1">DATEDIF(F452,TODAY(),"Y")</f>
        <v>15</v>
      </c>
      <c r="P452" s="24">
        <f aca="1">DATEDIF(F452,TODAY(),"YM")</f>
        <v>9</v>
      </c>
      <c r="Q452" s="24" t="str">
        <f aca="1">DATEDIF(F452,NOW(),"Y")&amp;" Tahun "&amp;DATEDIF(F452,NOW(),"YM")&amp;" Bulan "&amp;DATEDIF(F452,NOW(),"MD")&amp;" Hari "</f>
        <v>15 Tahun 9 Bulan 6 Hari </v>
      </c>
      <c r="R452" s="41">
        <f>F452</f>
        <v>40179</v>
      </c>
      <c r="S452" s="36" t="n">
        <v>45258</v>
      </c>
      <c r="T452" s="51" t="n">
        <v>2375000</v>
      </c>
      <c r="U452" s="51">
        <f>T452</f>
        <v>2375000</v>
      </c>
      <c r="V452" s="72">
        <f>U452-T452</f>
        <v>0</v>
      </c>
    </row>
    <row r="453" spans="1:22">
      <c r="A453" s="21" t="n">
        <v>450</v>
      </c>
      <c r="B453" s="21" t="str">
        <f>E453</f>
        <v>3513171904840002</v>
      </c>
      <c r="C453" s="38">
        <f>F453</f>
        <v>40179</v>
      </c>
      <c r="D453" s="45" t="s">
        <v>1208</v>
      </c>
      <c r="E453" s="187" t="s">
        <v>1209</v>
      </c>
      <c r="F453" s="38" t="n">
        <v>40179</v>
      </c>
      <c r="G453" s="21" t="s">
        <v>33</v>
      </c>
      <c r="H453" s="21" t="s">
        <v>1177</v>
      </c>
      <c r="I453" s="159" t="s">
        <v>1127</v>
      </c>
      <c r="J453" s="22" t="s">
        <v>818</v>
      </c>
      <c r="K453" s="22" t="s">
        <v>28</v>
      </c>
      <c r="L453" s="25" t="s">
        <v>262</v>
      </c>
      <c r="M453" s="23" t="s">
        <v>1210</v>
      </c>
      <c r="N453" s="23" t="s">
        <v>520</v>
      </c>
      <c r="O453" s="24">
        <f aca="1">DATEDIF(F453,TODAY(),"Y")</f>
        <v>15</v>
      </c>
      <c r="P453" s="24">
        <f aca="1">DATEDIF(F453,TODAY(),"YM")</f>
        <v>9</v>
      </c>
      <c r="Q453" s="24" t="str">
        <f aca="1">DATEDIF(F453,NOW(),"Y")&amp;" Tahun "&amp;DATEDIF(F453,NOW(),"YM")&amp;" Bulan "&amp;DATEDIF(F453,NOW(),"MD")&amp;" Hari "</f>
        <v>15 Tahun 9 Bulan 6 Hari </v>
      </c>
      <c r="R453" s="41">
        <f>F453</f>
        <v>40179</v>
      </c>
      <c r="S453" s="36" t="n">
        <v>45258</v>
      </c>
      <c r="T453" s="51" t="n">
        <v>2500000</v>
      </c>
      <c r="U453" s="51">
        <f>T453</f>
        <v>2500000</v>
      </c>
      <c r="V453" s="72">
        <f>U453-T453</f>
        <v>0</v>
      </c>
    </row>
    <row r="454" spans="1:22">
      <c r="A454" s="21" t="n">
        <v>451</v>
      </c>
      <c r="B454" s="21" t="str">
        <f>E454</f>
        <v>3513165106900002</v>
      </c>
      <c r="C454" s="38">
        <f>F454</f>
        <v>40179</v>
      </c>
      <c r="D454" s="34" t="s">
        <v>1211</v>
      </c>
      <c r="E454" s="186" t="s">
        <v>1212</v>
      </c>
      <c r="F454" s="38" t="n">
        <v>40179</v>
      </c>
      <c r="G454" s="21" t="s">
        <v>24</v>
      </c>
      <c r="H454" s="21" t="s">
        <v>1177</v>
      </c>
      <c r="I454" s="159" t="s">
        <v>1127</v>
      </c>
      <c r="J454" s="22" t="s">
        <v>818</v>
      </c>
      <c r="K454" s="22" t="s">
        <v>28</v>
      </c>
      <c r="L454" s="22" t="s">
        <v>673</v>
      </c>
      <c r="M454" s="23" t="s">
        <v>1194</v>
      </c>
      <c r="N454" s="23" t="s">
        <v>103</v>
      </c>
      <c r="O454" s="24">
        <f aca="1">DATEDIF(F454,TODAY(),"Y")</f>
        <v>15</v>
      </c>
      <c r="P454" s="24">
        <f aca="1">DATEDIF(F454,TODAY(),"YM")</f>
        <v>9</v>
      </c>
      <c r="Q454" s="24" t="str">
        <f aca="1">DATEDIF(F454,NOW(),"Y")&amp;" Tahun "&amp;DATEDIF(F454,NOW(),"YM")&amp;" Bulan "&amp;DATEDIF(F454,NOW(),"MD")&amp;" Hari "</f>
        <v>15 Tahun 9 Bulan 6 Hari </v>
      </c>
      <c r="R454" s="41">
        <f>F454</f>
        <v>40179</v>
      </c>
      <c r="S454" s="36" t="n">
        <v>45258</v>
      </c>
      <c r="T454" s="51" t="n">
        <v>2375000</v>
      </c>
      <c r="U454" s="51">
        <f>T454</f>
        <v>2375000</v>
      </c>
      <c r="V454" s="72">
        <f>U454-T454</f>
        <v>0</v>
      </c>
    </row>
    <row r="455" spans="1:22">
      <c r="A455" s="21" t="n">
        <v>452</v>
      </c>
      <c r="B455" s="21" t="str">
        <f>E455</f>
        <v>3513132404890002</v>
      </c>
      <c r="C455" s="38">
        <f>F455</f>
        <v>39448</v>
      </c>
      <c r="D455" s="34" t="s">
        <v>1213</v>
      </c>
      <c r="E455" s="186" t="s">
        <v>1214</v>
      </c>
      <c r="F455" s="38" t="n">
        <v>39448</v>
      </c>
      <c r="G455" s="21" t="s">
        <v>33</v>
      </c>
      <c r="H455" s="21" t="s">
        <v>1177</v>
      </c>
      <c r="I455" s="159" t="s">
        <v>1127</v>
      </c>
      <c r="J455" s="22" t="s">
        <v>1193</v>
      </c>
      <c r="K455" s="22" t="s">
        <v>28</v>
      </c>
      <c r="L455" s="22" t="s">
        <v>822</v>
      </c>
      <c r="M455" s="23" t="s">
        <v>1215</v>
      </c>
      <c r="N455" s="23" t="s">
        <v>68</v>
      </c>
      <c r="O455" s="24">
        <f aca="1">DATEDIF(F455,TODAY(),"Y")</f>
        <v>17</v>
      </c>
      <c r="P455" s="24">
        <f aca="1">DATEDIF(F455,TODAY(),"YM")</f>
        <v>9</v>
      </c>
      <c r="Q455" s="24" t="str">
        <f aca="1">DATEDIF(F455,NOW(),"Y")&amp;" Tahun "&amp;DATEDIF(F455,NOW(),"YM")&amp;" Bulan "&amp;DATEDIF(F455,NOW(),"MD")&amp;" Hari "</f>
        <v>17 Tahun 9 Bulan 6 Hari </v>
      </c>
      <c r="R455" s="41">
        <f>F455</f>
        <v>39448</v>
      </c>
      <c r="S455" s="36" t="n">
        <v>45258</v>
      </c>
      <c r="T455" s="51" t="n">
        <v>2250000</v>
      </c>
      <c r="U455" s="51" t="n">
        <v>2300000</v>
      </c>
      <c r="V455" s="72">
        <f>U455-T455</f>
        <v>50000</v>
      </c>
    </row>
    <row r="456" spans="1:22">
      <c r="A456" s="21" t="n">
        <v>453</v>
      </c>
      <c r="B456" s="21" t="str">
        <f>E456</f>
        <v>3513142409750004</v>
      </c>
      <c r="C456" s="38">
        <f>F456</f>
        <v>40544</v>
      </c>
      <c r="D456" s="34" t="s">
        <v>1216</v>
      </c>
      <c r="E456" s="186" t="s">
        <v>1217</v>
      </c>
      <c r="F456" s="38" t="n">
        <v>40544</v>
      </c>
      <c r="G456" s="21" t="s">
        <v>33</v>
      </c>
      <c r="H456" s="21" t="s">
        <v>1177</v>
      </c>
      <c r="I456" s="159" t="s">
        <v>1127</v>
      </c>
      <c r="J456" s="22" t="s">
        <v>818</v>
      </c>
      <c r="K456" s="22" t="s">
        <v>28</v>
      </c>
      <c r="L456" s="22" t="s">
        <v>673</v>
      </c>
      <c r="M456" s="23" t="s">
        <v>1218</v>
      </c>
      <c r="N456" s="23" t="s">
        <v>531</v>
      </c>
      <c r="O456" s="24">
        <f aca="1">DATEDIF(F456,TODAY(),"Y")</f>
        <v>14</v>
      </c>
      <c r="P456" s="24">
        <f aca="1">DATEDIF(F456,TODAY(),"YM")</f>
        <v>9</v>
      </c>
      <c r="Q456" s="24" t="str">
        <f aca="1">DATEDIF(F456,NOW(),"Y")&amp;" Tahun "&amp;DATEDIF(F456,NOW(),"YM")&amp;" Bulan "&amp;DATEDIF(F456,NOW(),"MD")&amp;" Hari "</f>
        <v>14 Tahun 9 Bulan 6 Hari </v>
      </c>
      <c r="R456" s="41">
        <f>F456</f>
        <v>40544</v>
      </c>
      <c r="S456" s="36" t="n">
        <v>45258</v>
      </c>
      <c r="T456" s="51" t="n">
        <v>2375000</v>
      </c>
      <c r="U456" s="51" t="n">
        <v>2425000</v>
      </c>
      <c r="V456" s="72">
        <f>U456-T456</f>
        <v>50000</v>
      </c>
    </row>
    <row r="457" spans="1:22">
      <c r="A457" s="21" t="n">
        <v>454</v>
      </c>
      <c r="B457" s="21" t="str">
        <f>E457</f>
        <v>3513152405880002</v>
      </c>
      <c r="C457" s="38">
        <f>F457</f>
        <v>40544</v>
      </c>
      <c r="D457" s="34" t="s">
        <v>1219</v>
      </c>
      <c r="E457" s="186" t="s">
        <v>1220</v>
      </c>
      <c r="F457" s="38" t="n">
        <v>40544</v>
      </c>
      <c r="G457" s="21" t="s">
        <v>33</v>
      </c>
      <c r="H457" s="21" t="s">
        <v>1177</v>
      </c>
      <c r="I457" s="159" t="s">
        <v>1127</v>
      </c>
      <c r="J457" s="22" t="s">
        <v>818</v>
      </c>
      <c r="K457" s="22" t="s">
        <v>28</v>
      </c>
      <c r="L457" s="22" t="s">
        <v>673</v>
      </c>
      <c r="M457" s="23" t="s">
        <v>1194</v>
      </c>
      <c r="N457" s="23" t="s">
        <v>173</v>
      </c>
      <c r="O457" s="24">
        <f aca="1">DATEDIF(F457,TODAY(),"Y")</f>
        <v>14</v>
      </c>
      <c r="P457" s="24">
        <f aca="1">DATEDIF(F457,TODAY(),"YM")</f>
        <v>9</v>
      </c>
      <c r="Q457" s="24" t="str">
        <f aca="1">DATEDIF(F457,NOW(),"Y")&amp;" Tahun "&amp;DATEDIF(F457,NOW(),"YM")&amp;" Bulan "&amp;DATEDIF(F457,NOW(),"MD")&amp;" Hari "</f>
        <v>14 Tahun 9 Bulan 6 Hari </v>
      </c>
      <c r="R457" s="41">
        <f>F457</f>
        <v>40544</v>
      </c>
      <c r="S457" s="36" t="n">
        <v>45258</v>
      </c>
      <c r="T457" s="51" t="n">
        <v>2375000</v>
      </c>
      <c r="U457" s="51" t="n">
        <v>2425000</v>
      </c>
      <c r="V457" s="72">
        <f>U457-T457</f>
        <v>50000</v>
      </c>
    </row>
    <row r="458" spans="1:22">
      <c r="A458" s="21" t="n">
        <v>455</v>
      </c>
      <c r="B458" s="21" t="str">
        <f>E458</f>
        <v>3513102206870004</v>
      </c>
      <c r="C458" s="38">
        <f>F458</f>
        <v>40544</v>
      </c>
      <c r="D458" s="34" t="s">
        <v>1221</v>
      </c>
      <c r="E458" s="186" t="s">
        <v>1222</v>
      </c>
      <c r="F458" s="38" t="n">
        <v>40544</v>
      </c>
      <c r="G458" s="21" t="s">
        <v>33</v>
      </c>
      <c r="H458" s="21" t="s">
        <v>1177</v>
      </c>
      <c r="I458" s="159" t="s">
        <v>1127</v>
      </c>
      <c r="J458" s="22" t="s">
        <v>818</v>
      </c>
      <c r="K458" s="22" t="s">
        <v>28</v>
      </c>
      <c r="L458" s="22" t="s">
        <v>673</v>
      </c>
      <c r="M458" s="23" t="s">
        <v>1180</v>
      </c>
      <c r="N458" s="23" t="s">
        <v>480</v>
      </c>
      <c r="O458" s="24">
        <f aca="1">DATEDIF(F458,TODAY(),"Y")</f>
        <v>14</v>
      </c>
      <c r="P458" s="24">
        <f aca="1">DATEDIF(F458,TODAY(),"YM")</f>
        <v>9</v>
      </c>
      <c r="Q458" s="24" t="str">
        <f aca="1">DATEDIF(F458,NOW(),"Y")&amp;" Tahun "&amp;DATEDIF(F458,NOW(),"YM")&amp;" Bulan "&amp;DATEDIF(F458,NOW(),"MD")&amp;" Hari "</f>
        <v>14 Tahun 9 Bulan 6 Hari </v>
      </c>
      <c r="R458" s="41">
        <f>F458</f>
        <v>40544</v>
      </c>
      <c r="S458" s="36" t="n">
        <v>45258</v>
      </c>
      <c r="T458" s="51" t="n">
        <v>2375000</v>
      </c>
      <c r="U458" s="51" t="n">
        <v>2425000</v>
      </c>
      <c r="V458" s="72">
        <f>U458-T458</f>
        <v>50000</v>
      </c>
    </row>
    <row r="459" spans="1:22">
      <c r="A459" s="21" t="n">
        <v>456</v>
      </c>
      <c r="B459" s="21" t="str">
        <f>E459</f>
        <v>3513142206870003</v>
      </c>
      <c r="C459" s="38">
        <f>F459</f>
        <v>40544</v>
      </c>
      <c r="D459" s="34" t="s">
        <v>1223</v>
      </c>
      <c r="E459" s="186" t="s">
        <v>1224</v>
      </c>
      <c r="F459" s="38" t="n">
        <v>40544</v>
      </c>
      <c r="G459" s="21" t="s">
        <v>33</v>
      </c>
      <c r="H459" s="21" t="s">
        <v>1177</v>
      </c>
      <c r="I459" s="159" t="s">
        <v>1127</v>
      </c>
      <c r="J459" s="22" t="s">
        <v>818</v>
      </c>
      <c r="K459" s="22" t="s">
        <v>28</v>
      </c>
      <c r="L459" s="22" t="s">
        <v>673</v>
      </c>
      <c r="M459" s="23" t="s">
        <v>1180</v>
      </c>
      <c r="N459" s="23" t="s">
        <v>87</v>
      </c>
      <c r="O459" s="24">
        <f aca="1">DATEDIF(F459,TODAY(),"Y")</f>
        <v>14</v>
      </c>
      <c r="P459" s="24">
        <f aca="1">DATEDIF(F459,TODAY(),"YM")</f>
        <v>9</v>
      </c>
      <c r="Q459" s="24" t="str">
        <f aca="1">DATEDIF(F459,NOW(),"Y")&amp;" Tahun "&amp;DATEDIF(F459,NOW(),"YM")&amp;" Bulan "&amp;DATEDIF(F459,NOW(),"MD")&amp;" Hari "</f>
        <v>14 Tahun 9 Bulan 6 Hari </v>
      </c>
      <c r="R459" s="41">
        <f>F459</f>
        <v>40544</v>
      </c>
      <c r="S459" s="36" t="n">
        <v>45258</v>
      </c>
      <c r="T459" s="51" t="n">
        <v>2375000</v>
      </c>
      <c r="U459" s="51" t="n">
        <v>2425000</v>
      </c>
      <c r="V459" s="72">
        <f>U459-T459</f>
        <v>50000</v>
      </c>
    </row>
    <row r="460" spans="1:22">
      <c r="A460" s="21" t="n">
        <v>457</v>
      </c>
      <c r="B460" s="21" t="str">
        <f>E460</f>
        <v>3513090606860001</v>
      </c>
      <c r="C460" s="38">
        <f>F460</f>
        <v>39448</v>
      </c>
      <c r="D460" s="34" t="s">
        <v>1225</v>
      </c>
      <c r="E460" s="186" t="s">
        <v>1226</v>
      </c>
      <c r="F460" s="38" t="n">
        <v>39448</v>
      </c>
      <c r="G460" s="21" t="s">
        <v>33</v>
      </c>
      <c r="H460" s="21" t="s">
        <v>1177</v>
      </c>
      <c r="I460" s="159" t="s">
        <v>1127</v>
      </c>
      <c r="J460" s="22" t="s">
        <v>1227</v>
      </c>
      <c r="K460" s="22" t="s">
        <v>28</v>
      </c>
      <c r="L460" s="22" t="s">
        <v>822</v>
      </c>
      <c r="M460" s="23" t="s">
        <v>1228</v>
      </c>
      <c r="N460" s="23" t="s">
        <v>606</v>
      </c>
      <c r="O460" s="24">
        <f aca="1">DATEDIF(F460,TODAY(),"Y")</f>
        <v>17</v>
      </c>
      <c r="P460" s="24">
        <f aca="1">DATEDIF(F460,TODAY(),"YM")</f>
        <v>9</v>
      </c>
      <c r="Q460" s="24" t="str">
        <f aca="1">DATEDIF(F460,NOW(),"Y")&amp;" Tahun "&amp;DATEDIF(F460,NOW(),"YM")&amp;" Bulan "&amp;DATEDIF(F460,NOW(),"MD")&amp;" Hari "</f>
        <v>17 Tahun 9 Bulan 6 Hari </v>
      </c>
      <c r="R460" s="41">
        <f>F460</f>
        <v>39448</v>
      </c>
      <c r="S460" s="36" t="n">
        <v>45258</v>
      </c>
      <c r="T460" s="51" t="n">
        <v>2250000</v>
      </c>
      <c r="U460" s="51" t="n">
        <v>2300000</v>
      </c>
      <c r="V460" s="72">
        <f>U460-T460</f>
        <v>50000</v>
      </c>
    </row>
    <row r="461" spans="1:22">
      <c r="A461" s="21" t="n">
        <v>458</v>
      </c>
      <c r="B461" s="21" t="str">
        <f>E461</f>
        <v>3513144311870006</v>
      </c>
      <c r="C461" s="38">
        <f>F461</f>
        <v>40544</v>
      </c>
      <c r="D461" s="34" t="s">
        <v>1229</v>
      </c>
      <c r="E461" s="186" t="s">
        <v>1230</v>
      </c>
      <c r="F461" s="38" t="n">
        <v>40544</v>
      </c>
      <c r="G461" s="21" t="s">
        <v>24</v>
      </c>
      <c r="H461" s="21" t="s">
        <v>1177</v>
      </c>
      <c r="I461" s="159" t="s">
        <v>1127</v>
      </c>
      <c r="J461" s="22" t="s">
        <v>818</v>
      </c>
      <c r="K461" s="22" t="s">
        <v>28</v>
      </c>
      <c r="L461" s="22" t="s">
        <v>673</v>
      </c>
      <c r="M461" s="23" t="s">
        <v>1231</v>
      </c>
      <c r="N461" s="23" t="s">
        <v>531</v>
      </c>
      <c r="O461" s="24">
        <f aca="1">DATEDIF(F461,TODAY(),"Y")</f>
        <v>14</v>
      </c>
      <c r="P461" s="24">
        <f aca="1">DATEDIF(F461,TODAY(),"YM")</f>
        <v>9</v>
      </c>
      <c r="Q461" s="24" t="str">
        <f aca="1">DATEDIF(F461,NOW(),"Y")&amp;" Tahun "&amp;DATEDIF(F461,NOW(),"YM")&amp;" Bulan "&amp;DATEDIF(F461,NOW(),"MD")&amp;" Hari "</f>
        <v>14 Tahun 9 Bulan 6 Hari </v>
      </c>
      <c r="R461" s="41">
        <f>F461</f>
        <v>40544</v>
      </c>
      <c r="S461" s="36" t="n">
        <v>45258</v>
      </c>
      <c r="T461" s="51" t="n">
        <v>2375000</v>
      </c>
      <c r="U461" s="51" t="n">
        <v>2425000</v>
      </c>
      <c r="V461" s="72">
        <f>U461-T461</f>
        <v>50000</v>
      </c>
    </row>
    <row r="462" spans="1:22">
      <c r="A462" s="21" t="n">
        <v>459</v>
      </c>
      <c r="B462" s="21" t="str">
        <f>E462</f>
        <v>3574030110750005</v>
      </c>
      <c r="C462" s="38">
        <f>F462</f>
        <v>40544</v>
      </c>
      <c r="D462" s="34" t="s">
        <v>1232</v>
      </c>
      <c r="E462" s="186" t="s">
        <v>1233</v>
      </c>
      <c r="F462" s="38" t="n">
        <v>40544</v>
      </c>
      <c r="G462" s="21" t="s">
        <v>33</v>
      </c>
      <c r="H462" s="21" t="s">
        <v>1177</v>
      </c>
      <c r="I462" s="159" t="s">
        <v>1127</v>
      </c>
      <c r="J462" s="22" t="s">
        <v>818</v>
      </c>
      <c r="K462" s="22" t="s">
        <v>28</v>
      </c>
      <c r="L462" s="25" t="s">
        <v>262</v>
      </c>
      <c r="M462" s="23" t="s">
        <v>1234</v>
      </c>
      <c r="N462" s="23" t="s">
        <v>549</v>
      </c>
      <c r="O462" s="24">
        <f aca="1">DATEDIF(F462,TODAY(),"Y")</f>
        <v>14</v>
      </c>
      <c r="P462" s="24">
        <f aca="1">DATEDIF(F462,TODAY(),"YM")</f>
        <v>9</v>
      </c>
      <c r="Q462" s="24" t="str">
        <f aca="1">DATEDIF(F462,NOW(),"Y")&amp;" Tahun "&amp;DATEDIF(F462,NOW(),"YM")&amp;" Bulan "&amp;DATEDIF(F462,NOW(),"MD")&amp;" Hari "</f>
        <v>14 Tahun 9 Bulan 6 Hari </v>
      </c>
      <c r="R462" s="41">
        <f>F462</f>
        <v>40544</v>
      </c>
      <c r="S462" s="36" t="n">
        <v>45258</v>
      </c>
      <c r="T462" s="51" t="n">
        <v>2500000</v>
      </c>
      <c r="U462" s="51">
        <f>T462</f>
        <v>2500000</v>
      </c>
      <c r="V462" s="72">
        <f>U462-T462</f>
        <v>0</v>
      </c>
    </row>
    <row r="463" spans="1:22">
      <c r="A463" s="21" t="n">
        <v>460</v>
      </c>
      <c r="B463" s="21" t="str">
        <f>E463</f>
        <v>3513142812820003</v>
      </c>
      <c r="C463" s="38">
        <f>F463</f>
        <v>40544</v>
      </c>
      <c r="D463" s="34" t="s">
        <v>1235</v>
      </c>
      <c r="E463" s="186" t="s">
        <v>1236</v>
      </c>
      <c r="F463" s="38" t="n">
        <v>40544</v>
      </c>
      <c r="G463" s="21" t="s">
        <v>33</v>
      </c>
      <c r="H463" s="21" t="s">
        <v>1177</v>
      </c>
      <c r="I463" s="159" t="s">
        <v>1127</v>
      </c>
      <c r="J463" s="22" t="s">
        <v>1237</v>
      </c>
      <c r="K463" s="22" t="s">
        <v>28</v>
      </c>
      <c r="L463" s="22" t="s">
        <v>822</v>
      </c>
      <c r="M463" s="23" t="s">
        <v>1228</v>
      </c>
      <c r="N463" s="23" t="s">
        <v>523</v>
      </c>
      <c r="O463" s="24">
        <f aca="1">DATEDIF(F463,TODAY(),"Y")</f>
        <v>14</v>
      </c>
      <c r="P463" s="24">
        <f aca="1">DATEDIF(F463,TODAY(),"YM")</f>
        <v>9</v>
      </c>
      <c r="Q463" s="24" t="str">
        <f aca="1">DATEDIF(F463,NOW(),"Y")&amp;" Tahun "&amp;DATEDIF(F463,NOW(),"YM")&amp;" Bulan "&amp;DATEDIF(F463,NOW(),"MD")&amp;" Hari "</f>
        <v>14 Tahun 9 Bulan 6 Hari </v>
      </c>
      <c r="R463" s="41">
        <f>F463</f>
        <v>40544</v>
      </c>
      <c r="S463" s="36" t="n">
        <v>45258</v>
      </c>
      <c r="T463" s="51" t="n">
        <v>2250000</v>
      </c>
      <c r="U463" s="51">
        <f>T463</f>
        <v>2250000</v>
      </c>
      <c r="V463" s="72">
        <f>U463-T463</f>
        <v>0</v>
      </c>
    </row>
    <row r="464" spans="1:22">
      <c r="A464" s="21" t="n">
        <v>461</v>
      </c>
      <c r="B464" s="21" t="str">
        <f>E464</f>
        <v>3513151612850001</v>
      </c>
      <c r="C464" s="38">
        <f>F464</f>
        <v>40544</v>
      </c>
      <c r="D464" s="34" t="s">
        <v>1238</v>
      </c>
      <c r="E464" s="186" t="s">
        <v>1239</v>
      </c>
      <c r="F464" s="38" t="n">
        <v>40544</v>
      </c>
      <c r="G464" s="21" t="s">
        <v>33</v>
      </c>
      <c r="H464" s="21" t="s">
        <v>1177</v>
      </c>
      <c r="I464" s="159" t="s">
        <v>1127</v>
      </c>
      <c r="J464" s="22" t="s">
        <v>818</v>
      </c>
      <c r="K464" s="22" t="s">
        <v>28</v>
      </c>
      <c r="L464" s="22" t="s">
        <v>673</v>
      </c>
      <c r="M464" s="23" t="s">
        <v>1240</v>
      </c>
      <c r="N464" s="23" t="s">
        <v>1190</v>
      </c>
      <c r="O464" s="24">
        <f aca="1">DATEDIF(F464,TODAY(),"Y")</f>
        <v>14</v>
      </c>
      <c r="P464" s="24">
        <f aca="1">DATEDIF(F464,TODAY(),"YM")</f>
        <v>9</v>
      </c>
      <c r="Q464" s="24" t="str">
        <f aca="1">DATEDIF(F464,NOW(),"Y")&amp;" Tahun "&amp;DATEDIF(F464,NOW(),"YM")&amp;" Bulan "&amp;DATEDIF(F464,NOW(),"MD")&amp;" Hari "</f>
        <v>14 Tahun 9 Bulan 6 Hari </v>
      </c>
      <c r="R464" s="41">
        <f>F464</f>
        <v>40544</v>
      </c>
      <c r="S464" s="36" t="n">
        <v>45258</v>
      </c>
      <c r="T464" s="51" t="n">
        <v>2375000</v>
      </c>
      <c r="U464" s="51">
        <f>T464</f>
        <v>2375000</v>
      </c>
      <c r="V464" s="72">
        <f>U464-T464</f>
        <v>0</v>
      </c>
    </row>
    <row r="465" spans="1:22">
      <c r="A465" s="21" t="n">
        <v>462</v>
      </c>
      <c r="B465" s="21" t="str">
        <f>E465</f>
        <v>3513142709860003</v>
      </c>
      <c r="C465" s="38">
        <f>F465</f>
        <v>40544</v>
      </c>
      <c r="D465" s="34" t="s">
        <v>1241</v>
      </c>
      <c r="E465" s="186" t="s">
        <v>1242</v>
      </c>
      <c r="F465" s="38" t="n">
        <v>40544</v>
      </c>
      <c r="G465" s="21" t="s">
        <v>33</v>
      </c>
      <c r="H465" s="21" t="s">
        <v>1177</v>
      </c>
      <c r="I465" s="159" t="s">
        <v>1127</v>
      </c>
      <c r="J465" s="23" t="s">
        <v>1243</v>
      </c>
      <c r="K465" s="22" t="s">
        <v>28</v>
      </c>
      <c r="L465" s="22" t="s">
        <v>673</v>
      </c>
      <c r="M465" s="23" t="s">
        <v>1218</v>
      </c>
      <c r="N465" s="23" t="s">
        <v>1244</v>
      </c>
      <c r="O465" s="24">
        <f aca="1">DATEDIF(F465,TODAY(),"Y")</f>
        <v>14</v>
      </c>
      <c r="P465" s="24">
        <f aca="1">DATEDIF(F465,TODAY(),"YM")</f>
        <v>9</v>
      </c>
      <c r="Q465" s="24" t="str">
        <f aca="1">DATEDIF(F465,NOW(),"Y")&amp;" Tahun "&amp;DATEDIF(F465,NOW(),"YM")&amp;" Bulan "&amp;DATEDIF(F465,NOW(),"MD")&amp;" Hari "</f>
        <v>14 Tahun 9 Bulan 6 Hari </v>
      </c>
      <c r="R465" s="41">
        <f>F465</f>
        <v>40544</v>
      </c>
      <c r="S465" s="36" t="n">
        <v>45258</v>
      </c>
      <c r="T465" s="51" t="n">
        <v>2375000</v>
      </c>
      <c r="U465" s="51">
        <f>T465</f>
        <v>2375000</v>
      </c>
      <c r="V465" s="72">
        <f>U465-T465</f>
        <v>0</v>
      </c>
    </row>
    <row r="466" spans="1:22">
      <c r="A466" s="21" t="n">
        <v>463</v>
      </c>
      <c r="B466" s="21" t="str">
        <f>E466</f>
        <v>3513125708910001</v>
      </c>
      <c r="C466" s="38">
        <f>F466</f>
        <v>40544</v>
      </c>
      <c r="D466" s="34" t="s">
        <v>1245</v>
      </c>
      <c r="E466" s="186" t="s">
        <v>1246</v>
      </c>
      <c r="F466" s="38" t="n">
        <v>40544</v>
      </c>
      <c r="G466" s="21" t="s">
        <v>24</v>
      </c>
      <c r="H466" s="21" t="s">
        <v>1177</v>
      </c>
      <c r="I466" s="159" t="s">
        <v>1127</v>
      </c>
      <c r="J466" s="22" t="s">
        <v>818</v>
      </c>
      <c r="K466" s="22" t="s">
        <v>28</v>
      </c>
      <c r="L466" s="22" t="s">
        <v>673</v>
      </c>
      <c r="M466" s="23" t="s">
        <v>1231</v>
      </c>
      <c r="N466" s="23" t="s">
        <v>480</v>
      </c>
      <c r="O466" s="24">
        <f aca="1">DATEDIF(F466,TODAY(),"Y")</f>
        <v>14</v>
      </c>
      <c r="P466" s="24">
        <f aca="1">DATEDIF(F466,TODAY(),"YM")</f>
        <v>9</v>
      </c>
      <c r="Q466" s="24" t="str">
        <f aca="1">DATEDIF(F466,NOW(),"Y")&amp;" Tahun "&amp;DATEDIF(F466,NOW(),"YM")&amp;" Bulan "&amp;DATEDIF(F466,NOW(),"MD")&amp;" Hari "</f>
        <v>14 Tahun 9 Bulan 6 Hari </v>
      </c>
      <c r="R466" s="41">
        <f>F466</f>
        <v>40544</v>
      </c>
      <c r="S466" s="36" t="n">
        <v>45258</v>
      </c>
      <c r="T466" s="51" t="n">
        <v>2375000</v>
      </c>
      <c r="U466" s="51">
        <f>T466</f>
        <v>2375000</v>
      </c>
      <c r="V466" s="72">
        <f>U466-T466</f>
        <v>0</v>
      </c>
    </row>
    <row r="467" spans="1:22">
      <c r="A467" s="21" t="n">
        <v>464</v>
      </c>
      <c r="B467" s="21" t="str">
        <f>E467</f>
        <v>3517013112800001</v>
      </c>
      <c r="C467" s="38">
        <f>F467</f>
        <v>40544</v>
      </c>
      <c r="D467" s="34" t="s">
        <v>1247</v>
      </c>
      <c r="E467" s="186" t="s">
        <v>1248</v>
      </c>
      <c r="F467" s="38" t="n">
        <v>40544</v>
      </c>
      <c r="G467" s="21" t="s">
        <v>33</v>
      </c>
      <c r="H467" s="21" t="s">
        <v>1177</v>
      </c>
      <c r="I467" s="159" t="s">
        <v>1127</v>
      </c>
      <c r="J467" s="22" t="s">
        <v>818</v>
      </c>
      <c r="K467" s="22" t="s">
        <v>28</v>
      </c>
      <c r="L467" s="22" t="s">
        <v>673</v>
      </c>
      <c r="M467" s="23" t="s">
        <v>1231</v>
      </c>
      <c r="N467" s="23" t="s">
        <v>458</v>
      </c>
      <c r="O467" s="24">
        <f aca="1">DATEDIF(F467,TODAY(),"Y")</f>
        <v>14</v>
      </c>
      <c r="P467" s="24">
        <f aca="1">DATEDIF(F467,TODAY(),"YM")</f>
        <v>9</v>
      </c>
      <c r="Q467" s="24" t="str">
        <f aca="1">DATEDIF(F467,NOW(),"Y")&amp;" Tahun "&amp;DATEDIF(F467,NOW(),"YM")&amp;" Bulan "&amp;DATEDIF(F467,NOW(),"MD")&amp;" Hari "</f>
        <v>14 Tahun 9 Bulan 6 Hari </v>
      </c>
      <c r="R467" s="41">
        <f>F467</f>
        <v>40544</v>
      </c>
      <c r="S467" s="36" t="n">
        <v>45258</v>
      </c>
      <c r="T467" s="51" t="n">
        <v>2375000</v>
      </c>
      <c r="U467" s="51">
        <f>T467</f>
        <v>2375000</v>
      </c>
      <c r="V467" s="72">
        <f>U467-T467</f>
        <v>0</v>
      </c>
    </row>
    <row r="468" spans="1:22">
      <c r="A468" s="21" t="n">
        <v>465</v>
      </c>
      <c r="B468" s="21" t="str">
        <f>E468</f>
        <v>3513142907920002</v>
      </c>
      <c r="C468" s="38">
        <f>F468</f>
        <v>40544</v>
      </c>
      <c r="D468" s="34" t="s">
        <v>1249</v>
      </c>
      <c r="E468" s="186" t="s">
        <v>1250</v>
      </c>
      <c r="F468" s="38" t="n">
        <v>40544</v>
      </c>
      <c r="G468" s="21" t="s">
        <v>33</v>
      </c>
      <c r="H468" s="21" t="s">
        <v>1177</v>
      </c>
      <c r="I468" s="159" t="s">
        <v>1127</v>
      </c>
      <c r="J468" s="22" t="s">
        <v>536</v>
      </c>
      <c r="K468" s="22" t="s">
        <v>28</v>
      </c>
      <c r="L468" s="22" t="s">
        <v>673</v>
      </c>
      <c r="M468" s="23" t="s">
        <v>1231</v>
      </c>
      <c r="N468" s="23" t="s">
        <v>245</v>
      </c>
      <c r="O468" s="24">
        <f aca="1">DATEDIF(F468,TODAY(),"Y")</f>
        <v>14</v>
      </c>
      <c r="P468" s="24">
        <f aca="1">DATEDIF(F468,TODAY(),"YM")</f>
        <v>9</v>
      </c>
      <c r="Q468" s="24" t="str">
        <f aca="1">DATEDIF(F468,NOW(),"Y")&amp;" Tahun "&amp;DATEDIF(F468,NOW(),"YM")&amp;" Bulan "&amp;DATEDIF(F468,NOW(),"MD")&amp;" Hari "</f>
        <v>14 Tahun 9 Bulan 6 Hari </v>
      </c>
      <c r="R468" s="41">
        <f>F468</f>
        <v>40544</v>
      </c>
      <c r="S468" s="36" t="n">
        <v>45258</v>
      </c>
      <c r="T468" s="51" t="n">
        <v>2375000</v>
      </c>
      <c r="U468" s="51">
        <f>T468</f>
        <v>2375000</v>
      </c>
      <c r="V468" s="72">
        <f>U468-T468</f>
        <v>0</v>
      </c>
    </row>
    <row r="469" spans="1:22">
      <c r="A469" s="21" t="n">
        <v>466</v>
      </c>
      <c r="B469" s="21" t="str">
        <f>E469</f>
        <v>3513135408900005</v>
      </c>
      <c r="C469" s="38">
        <f>F469</f>
        <v>40544</v>
      </c>
      <c r="D469" s="34" t="s">
        <v>1251</v>
      </c>
      <c r="E469" s="186" t="s">
        <v>1252</v>
      </c>
      <c r="F469" s="38" t="n">
        <v>40544</v>
      </c>
      <c r="G469" s="21" t="s">
        <v>24</v>
      </c>
      <c r="H469" s="21" t="s">
        <v>1177</v>
      </c>
      <c r="I469" s="159" t="s">
        <v>1127</v>
      </c>
      <c r="J469" s="22" t="s">
        <v>818</v>
      </c>
      <c r="K469" s="22" t="s">
        <v>28</v>
      </c>
      <c r="L469" s="22" t="s">
        <v>673</v>
      </c>
      <c r="M469" s="23" t="s">
        <v>1180</v>
      </c>
      <c r="N469" s="23" t="s">
        <v>103</v>
      </c>
      <c r="O469" s="24">
        <f aca="1">DATEDIF(F469,TODAY(),"Y")</f>
        <v>14</v>
      </c>
      <c r="P469" s="24">
        <f aca="1">DATEDIF(F469,TODAY(),"YM")</f>
        <v>9</v>
      </c>
      <c r="Q469" s="24" t="str">
        <f aca="1">DATEDIF(F469,NOW(),"Y")&amp;" Tahun "&amp;DATEDIF(F469,NOW(),"YM")&amp;" Bulan "&amp;DATEDIF(F469,NOW(),"MD")&amp;" Hari "</f>
        <v>14 Tahun 9 Bulan 6 Hari </v>
      </c>
      <c r="R469" s="41">
        <f>F469</f>
        <v>40544</v>
      </c>
      <c r="S469" s="36" t="n">
        <v>45258</v>
      </c>
      <c r="T469" s="51" t="n">
        <v>2375000</v>
      </c>
      <c r="U469" s="51">
        <f>T469</f>
        <v>2375000</v>
      </c>
      <c r="V469" s="72">
        <f>U469-T469</f>
        <v>0</v>
      </c>
    </row>
    <row r="470" spans="1:22">
      <c r="A470" s="21" t="n">
        <v>467</v>
      </c>
      <c r="B470" s="21" t="str">
        <f>E470</f>
        <v>3513125103920001</v>
      </c>
      <c r="C470" s="38">
        <f>F470</f>
        <v>40544</v>
      </c>
      <c r="D470" s="34" t="s">
        <v>1253</v>
      </c>
      <c r="E470" s="186" t="s">
        <v>1254</v>
      </c>
      <c r="F470" s="38" t="n">
        <v>40544</v>
      </c>
      <c r="G470" s="21" t="s">
        <v>24</v>
      </c>
      <c r="H470" s="21" t="s">
        <v>1177</v>
      </c>
      <c r="I470" s="159" t="s">
        <v>1127</v>
      </c>
      <c r="J470" s="22" t="s">
        <v>818</v>
      </c>
      <c r="K470" s="22" t="s">
        <v>28</v>
      </c>
      <c r="L470" s="22" t="s">
        <v>673</v>
      </c>
      <c r="M470" s="23" t="s">
        <v>1194</v>
      </c>
      <c r="N470" s="23" t="s">
        <v>173</v>
      </c>
      <c r="O470" s="24">
        <f aca="1">DATEDIF(F470,TODAY(),"Y")</f>
        <v>14</v>
      </c>
      <c r="P470" s="24">
        <f aca="1">DATEDIF(F470,TODAY(),"YM")</f>
        <v>9</v>
      </c>
      <c r="Q470" s="24" t="str">
        <f aca="1">DATEDIF(F470,NOW(),"Y")&amp;" Tahun "&amp;DATEDIF(F470,NOW(),"YM")&amp;" Bulan "&amp;DATEDIF(F470,NOW(),"MD")&amp;" Hari "</f>
        <v>14 Tahun 9 Bulan 6 Hari </v>
      </c>
      <c r="R470" s="41">
        <f>F470</f>
        <v>40544</v>
      </c>
      <c r="S470" s="36" t="n">
        <v>45258</v>
      </c>
      <c r="T470" s="51" t="n">
        <v>2375000</v>
      </c>
      <c r="U470" s="51">
        <f>T470</f>
        <v>2375000</v>
      </c>
      <c r="V470" s="72">
        <f>U470-T470</f>
        <v>0</v>
      </c>
    </row>
    <row r="471" spans="1:22">
      <c r="A471" s="21" t="n">
        <v>468</v>
      </c>
      <c r="B471" s="21" t="str">
        <f>E471</f>
        <v>3513132207830003</v>
      </c>
      <c r="C471" s="38">
        <f>F471</f>
        <v>40544</v>
      </c>
      <c r="D471" s="34" t="s">
        <v>1255</v>
      </c>
      <c r="E471" s="186" t="s">
        <v>1256</v>
      </c>
      <c r="F471" s="38" t="n">
        <v>40544</v>
      </c>
      <c r="G471" s="21" t="s">
        <v>33</v>
      </c>
      <c r="H471" s="21" t="s">
        <v>1177</v>
      </c>
      <c r="I471" s="159" t="s">
        <v>1127</v>
      </c>
      <c r="J471" s="22" t="s">
        <v>818</v>
      </c>
      <c r="K471" s="22" t="s">
        <v>28</v>
      </c>
      <c r="L471" s="25" t="s">
        <v>262</v>
      </c>
      <c r="M471" s="23" t="s">
        <v>1257</v>
      </c>
      <c r="N471" s="23" t="s">
        <v>162</v>
      </c>
      <c r="O471" s="24">
        <f aca="1">DATEDIF(F471,TODAY(),"Y")</f>
        <v>14</v>
      </c>
      <c r="P471" s="24">
        <f aca="1">DATEDIF(F471,TODAY(),"YM")</f>
        <v>9</v>
      </c>
      <c r="Q471" s="24" t="str">
        <f aca="1">DATEDIF(F471,NOW(),"Y")&amp;" Tahun "&amp;DATEDIF(F471,NOW(),"YM")&amp;" Bulan "&amp;DATEDIF(F471,NOW(),"MD")&amp;" Hari "</f>
        <v>14 Tahun 9 Bulan 6 Hari </v>
      </c>
      <c r="R471" s="41">
        <f>F471</f>
        <v>40544</v>
      </c>
      <c r="S471" s="36" t="n">
        <v>45258</v>
      </c>
      <c r="T471" s="51" t="n">
        <v>2500000</v>
      </c>
      <c r="U471" s="51">
        <f>T471</f>
        <v>2500000</v>
      </c>
      <c r="V471" s="72">
        <f>U471-T471</f>
        <v>0</v>
      </c>
    </row>
    <row r="472" spans="1:22">
      <c r="A472" s="21" t="n">
        <v>469</v>
      </c>
      <c r="B472" s="21" t="str">
        <f>E472</f>
        <v>3513151506880005</v>
      </c>
      <c r="C472" s="38">
        <f>F472</f>
        <v>40909</v>
      </c>
      <c r="D472" s="34" t="s">
        <v>1258</v>
      </c>
      <c r="E472" s="186" t="s">
        <v>1259</v>
      </c>
      <c r="F472" s="38" t="n">
        <v>40909</v>
      </c>
      <c r="G472" s="21" t="s">
        <v>33</v>
      </c>
      <c r="H472" s="21" t="s">
        <v>1177</v>
      </c>
      <c r="I472" s="159" t="s">
        <v>1127</v>
      </c>
      <c r="J472" s="22" t="s">
        <v>818</v>
      </c>
      <c r="K472" s="22" t="s">
        <v>28</v>
      </c>
      <c r="L472" s="22" t="s">
        <v>673</v>
      </c>
      <c r="M472" s="23" t="s">
        <v>1231</v>
      </c>
      <c r="N472" s="23" t="s">
        <v>1190</v>
      </c>
      <c r="O472" s="24">
        <f aca="1">DATEDIF(F472,TODAY(),"Y")</f>
        <v>13</v>
      </c>
      <c r="P472" s="24">
        <f aca="1">DATEDIF(F472,TODAY(),"YM")</f>
        <v>9</v>
      </c>
      <c r="Q472" s="24" t="str">
        <f aca="1">DATEDIF(F472,NOW(),"Y")&amp;" Tahun "&amp;DATEDIF(F472,NOW(),"YM")&amp;" Bulan "&amp;DATEDIF(F472,NOW(),"MD")&amp;" Hari "</f>
        <v>13 Tahun 9 Bulan 6 Hari </v>
      </c>
      <c r="R472" s="41">
        <f>F472</f>
        <v>40909</v>
      </c>
      <c r="S472" s="36" t="n">
        <v>45258</v>
      </c>
      <c r="T472" s="51" t="n">
        <v>2325000</v>
      </c>
      <c r="U472" s="51" t="n">
        <v>2375000</v>
      </c>
      <c r="V472" s="72">
        <f>U472-T472</f>
        <v>50000</v>
      </c>
    </row>
    <row r="473" spans="1:22">
      <c r="A473" s="21" t="n">
        <v>470</v>
      </c>
      <c r="B473" s="21" t="str">
        <f>E473</f>
        <v>3513141310720001</v>
      </c>
      <c r="C473" s="38">
        <f>F473</f>
        <v>40544</v>
      </c>
      <c r="D473" s="34" t="s">
        <v>1260</v>
      </c>
      <c r="E473" s="186" t="s">
        <v>1261</v>
      </c>
      <c r="F473" s="38" t="n">
        <v>40544</v>
      </c>
      <c r="G473" s="21" t="s">
        <v>33</v>
      </c>
      <c r="H473" s="21" t="s">
        <v>1177</v>
      </c>
      <c r="I473" s="159" t="s">
        <v>1127</v>
      </c>
      <c r="J473" s="22" t="s">
        <v>818</v>
      </c>
      <c r="K473" s="22" t="s">
        <v>28</v>
      </c>
      <c r="L473" s="22" t="s">
        <v>673</v>
      </c>
      <c r="M473" s="23" t="s">
        <v>1262</v>
      </c>
      <c r="N473" s="23" t="s">
        <v>520</v>
      </c>
      <c r="O473" s="24">
        <f aca="1">DATEDIF(F473,TODAY(),"Y")</f>
        <v>14</v>
      </c>
      <c r="P473" s="24">
        <f aca="1">DATEDIF(F473,TODAY(),"YM")</f>
        <v>9</v>
      </c>
      <c r="Q473" s="24" t="str">
        <f aca="1">DATEDIF(F473,NOW(),"Y")&amp;" Tahun "&amp;DATEDIF(F473,NOW(),"YM")&amp;" Bulan "&amp;DATEDIF(F473,NOW(),"MD")&amp;" Hari "</f>
        <v>14 Tahun 9 Bulan 6 Hari </v>
      </c>
      <c r="R473" s="41">
        <f>F473</f>
        <v>40544</v>
      </c>
      <c r="S473" s="36" t="n">
        <v>45258</v>
      </c>
      <c r="T473" s="51" t="n">
        <v>2375000</v>
      </c>
      <c r="U473" s="51">
        <f>T473</f>
        <v>2375000</v>
      </c>
      <c r="V473" s="72">
        <f>U473-T473</f>
        <v>0</v>
      </c>
    </row>
    <row r="474" spans="1:22">
      <c r="A474" s="21" t="n">
        <v>471</v>
      </c>
      <c r="B474" s="21" t="str">
        <f>E474</f>
        <v>3513140107770001</v>
      </c>
      <c r="C474" s="38">
        <f>F474</f>
        <v>40544</v>
      </c>
      <c r="D474" s="34" t="s">
        <v>1263</v>
      </c>
      <c r="E474" s="186" t="s">
        <v>1264</v>
      </c>
      <c r="F474" s="38" t="n">
        <v>40544</v>
      </c>
      <c r="G474" s="21" t="s">
        <v>33</v>
      </c>
      <c r="H474" s="21" t="s">
        <v>1177</v>
      </c>
      <c r="I474" s="159" t="s">
        <v>1127</v>
      </c>
      <c r="J474" s="23" t="s">
        <v>1265</v>
      </c>
      <c r="K474" s="22" t="s">
        <v>28</v>
      </c>
      <c r="L474" s="22" t="s">
        <v>822</v>
      </c>
      <c r="M474" s="23" t="s">
        <v>1228</v>
      </c>
      <c r="N474" s="23" t="s">
        <v>103</v>
      </c>
      <c r="O474" s="24">
        <f aca="1">DATEDIF(F474,TODAY(),"Y")</f>
        <v>14</v>
      </c>
      <c r="P474" s="24">
        <f aca="1">DATEDIF(F474,TODAY(),"YM")</f>
        <v>9</v>
      </c>
      <c r="Q474" s="24" t="str">
        <f aca="1">DATEDIF(F474,NOW(),"Y")&amp;" Tahun "&amp;DATEDIF(F474,NOW(),"YM")&amp;" Bulan "&amp;DATEDIF(F474,NOW(),"MD")&amp;" Hari "</f>
        <v>14 Tahun 9 Bulan 6 Hari </v>
      </c>
      <c r="R474" s="41">
        <f>F474</f>
        <v>40544</v>
      </c>
      <c r="S474" s="36" t="n">
        <v>45258</v>
      </c>
      <c r="T474" s="51" t="n">
        <v>2250000</v>
      </c>
      <c r="U474" s="51">
        <f>T474</f>
        <v>2250000</v>
      </c>
      <c r="V474" s="72">
        <f>U474-T474</f>
        <v>0</v>
      </c>
    </row>
    <row r="475" spans="1:22">
      <c r="A475" s="21" t="n">
        <v>472</v>
      </c>
      <c r="B475" s="21" t="str">
        <f>E475</f>
        <v>3513102311840003</v>
      </c>
      <c r="C475" s="38">
        <f>F475</f>
        <v>40544</v>
      </c>
      <c r="D475" s="34" t="s">
        <v>1266</v>
      </c>
      <c r="E475" s="186" t="s">
        <v>1267</v>
      </c>
      <c r="F475" s="38" t="n">
        <v>40544</v>
      </c>
      <c r="G475" s="21" t="s">
        <v>33</v>
      </c>
      <c r="H475" s="21" t="s">
        <v>1177</v>
      </c>
      <c r="I475" s="159" t="s">
        <v>1127</v>
      </c>
      <c r="J475" s="22" t="s">
        <v>1268</v>
      </c>
      <c r="K475" s="22" t="s">
        <v>28</v>
      </c>
      <c r="L475" s="22" t="s">
        <v>822</v>
      </c>
      <c r="M475" s="23" t="s">
        <v>1269</v>
      </c>
      <c r="N475" s="23" t="s">
        <v>92</v>
      </c>
      <c r="O475" s="24">
        <f aca="1">DATEDIF(F475,TODAY(),"Y")</f>
        <v>14</v>
      </c>
      <c r="P475" s="24">
        <f aca="1">DATEDIF(F475,TODAY(),"YM")</f>
        <v>9</v>
      </c>
      <c r="Q475" s="24" t="str">
        <f aca="1">DATEDIF(F475,NOW(),"Y")&amp;" Tahun "&amp;DATEDIF(F475,NOW(),"YM")&amp;" Bulan "&amp;DATEDIF(F475,NOW(),"MD")&amp;" Hari "</f>
        <v>14 Tahun 9 Bulan 6 Hari </v>
      </c>
      <c r="R475" s="41">
        <f>F475</f>
        <v>40544</v>
      </c>
      <c r="S475" s="36" t="n">
        <v>45258</v>
      </c>
      <c r="T475" s="51" t="n">
        <v>2375000</v>
      </c>
      <c r="U475" s="51">
        <f>T475</f>
        <v>2375000</v>
      </c>
      <c r="V475" s="72">
        <f>U475-T475</f>
        <v>0</v>
      </c>
    </row>
    <row r="476" spans="1:22">
      <c r="A476" s="21" t="n">
        <v>473</v>
      </c>
      <c r="B476" s="21" t="str">
        <f>E476</f>
        <v>3513142310840001</v>
      </c>
      <c r="C476" s="38">
        <f>F476</f>
        <v>40544</v>
      </c>
      <c r="D476" s="34" t="s">
        <v>1270</v>
      </c>
      <c r="E476" s="186" t="s">
        <v>1271</v>
      </c>
      <c r="F476" s="38" t="n">
        <v>40544</v>
      </c>
      <c r="G476" s="21" t="s">
        <v>33</v>
      </c>
      <c r="H476" s="21" t="s">
        <v>1177</v>
      </c>
      <c r="I476" s="159" t="s">
        <v>1127</v>
      </c>
      <c r="J476" s="23" t="s">
        <v>1265</v>
      </c>
      <c r="K476" s="22" t="s">
        <v>28</v>
      </c>
      <c r="L476" s="22" t="s">
        <v>822</v>
      </c>
      <c r="M476" s="23" t="s">
        <v>1272</v>
      </c>
      <c r="N476" s="23" t="s">
        <v>103</v>
      </c>
      <c r="O476" s="24">
        <f aca="1">DATEDIF(F476,TODAY(),"Y")</f>
        <v>14</v>
      </c>
      <c r="P476" s="24">
        <f aca="1">DATEDIF(F476,TODAY(),"YM")</f>
        <v>9</v>
      </c>
      <c r="Q476" s="24" t="str">
        <f aca="1">DATEDIF(F476,NOW(),"Y")&amp;" Tahun "&amp;DATEDIF(F476,NOW(),"YM")&amp;" Bulan "&amp;DATEDIF(F476,NOW(),"MD")&amp;" Hari "</f>
        <v>14 Tahun 9 Bulan 6 Hari </v>
      </c>
      <c r="R476" s="41">
        <f>F476</f>
        <v>40544</v>
      </c>
      <c r="S476" s="36" t="n">
        <v>45258</v>
      </c>
      <c r="T476" s="51" t="n">
        <v>2250000</v>
      </c>
      <c r="U476" s="51">
        <f>T476</f>
        <v>2250000</v>
      </c>
      <c r="V476" s="72">
        <f>U476-T476</f>
        <v>0</v>
      </c>
    </row>
    <row r="477" spans="1:22">
      <c r="A477" s="21" t="n">
        <v>474</v>
      </c>
      <c r="B477" s="21" t="str">
        <f>E477</f>
        <v>3513150506880004</v>
      </c>
      <c r="C477" s="38">
        <f>F477</f>
        <v>40544</v>
      </c>
      <c r="D477" s="34" t="s">
        <v>1273</v>
      </c>
      <c r="E477" s="186" t="s">
        <v>1274</v>
      </c>
      <c r="F477" s="38" t="n">
        <v>40544</v>
      </c>
      <c r="G477" s="21" t="s">
        <v>33</v>
      </c>
      <c r="H477" s="21" t="s">
        <v>1177</v>
      </c>
      <c r="I477" s="159" t="s">
        <v>1127</v>
      </c>
      <c r="J477" s="22" t="s">
        <v>818</v>
      </c>
      <c r="K477" s="22" t="s">
        <v>28</v>
      </c>
      <c r="L477" s="22" t="s">
        <v>673</v>
      </c>
      <c r="M477" s="23" t="s">
        <v>1180</v>
      </c>
      <c r="N477" s="23" t="s">
        <v>268</v>
      </c>
      <c r="O477" s="24">
        <f aca="1">DATEDIF(F477,TODAY(),"Y")</f>
        <v>14</v>
      </c>
      <c r="P477" s="24">
        <f aca="1">DATEDIF(F477,TODAY(),"YM")</f>
        <v>9</v>
      </c>
      <c r="Q477" s="24" t="str">
        <f aca="1">DATEDIF(F477,NOW(),"Y")&amp;" Tahun "&amp;DATEDIF(F477,NOW(),"YM")&amp;" Bulan "&amp;DATEDIF(F477,NOW(),"MD")&amp;" Hari "</f>
        <v>14 Tahun 9 Bulan 6 Hari </v>
      </c>
      <c r="R477" s="41">
        <f>F477</f>
        <v>40544</v>
      </c>
      <c r="S477" s="36" t="n">
        <v>45258</v>
      </c>
      <c r="T477" s="51" t="n">
        <v>2375000</v>
      </c>
      <c r="U477" s="51">
        <f>T477</f>
        <v>2375000</v>
      </c>
      <c r="V477" s="72">
        <f>U477-T477</f>
        <v>0</v>
      </c>
    </row>
    <row r="478" spans="1:22">
      <c r="A478" s="21" t="n">
        <v>475</v>
      </c>
      <c r="B478" s="21" t="str">
        <f>E478</f>
        <v>3503025604900002</v>
      </c>
      <c r="C478" s="38">
        <f>F478</f>
        <v>40544</v>
      </c>
      <c r="D478" s="34" t="s">
        <v>1275</v>
      </c>
      <c r="E478" s="186" t="s">
        <v>1276</v>
      </c>
      <c r="F478" s="38" t="n">
        <v>40544</v>
      </c>
      <c r="G478" s="21" t="s">
        <v>24</v>
      </c>
      <c r="H478" s="21" t="s">
        <v>1177</v>
      </c>
      <c r="I478" s="159" t="s">
        <v>1127</v>
      </c>
      <c r="J478" s="22" t="s">
        <v>818</v>
      </c>
      <c r="K478" s="22" t="s">
        <v>28</v>
      </c>
      <c r="L478" s="22" t="s">
        <v>673</v>
      </c>
      <c r="M478" s="23" t="s">
        <v>1194</v>
      </c>
      <c r="N478" s="23" t="s">
        <v>103</v>
      </c>
      <c r="O478" s="24">
        <f aca="1">DATEDIF(F478,TODAY(),"Y")</f>
        <v>14</v>
      </c>
      <c r="P478" s="24">
        <f aca="1">DATEDIF(F478,TODAY(),"YM")</f>
        <v>9</v>
      </c>
      <c r="Q478" s="24" t="str">
        <f aca="1">DATEDIF(F478,NOW(),"Y")&amp;" Tahun "&amp;DATEDIF(F478,NOW(),"YM")&amp;" Bulan "&amp;DATEDIF(F478,NOW(),"MD")&amp;" Hari "</f>
        <v>14 Tahun 9 Bulan 6 Hari </v>
      </c>
      <c r="R478" s="41">
        <f>F478</f>
        <v>40544</v>
      </c>
      <c r="S478" s="36" t="n">
        <v>45258</v>
      </c>
      <c r="T478" s="51" t="n">
        <v>2375000</v>
      </c>
      <c r="U478" s="51">
        <f>T478</f>
        <v>2375000</v>
      </c>
      <c r="V478" s="72">
        <f>U478-T478</f>
        <v>0</v>
      </c>
    </row>
    <row r="479" spans="1:22">
      <c r="A479" s="21" t="n">
        <v>476</v>
      </c>
      <c r="B479" s="21" t="str">
        <f>E479</f>
        <v>3513170703890002</v>
      </c>
      <c r="C479" s="38">
        <f>F479</f>
        <v>41275</v>
      </c>
      <c r="D479" s="37" t="s">
        <v>1277</v>
      </c>
      <c r="E479" s="188" t="s">
        <v>1278</v>
      </c>
      <c r="F479" s="38" t="n">
        <v>41275</v>
      </c>
      <c r="G479" s="21" t="s">
        <v>33</v>
      </c>
      <c r="H479" s="21" t="s">
        <v>1177</v>
      </c>
      <c r="I479" s="159" t="s">
        <v>1127</v>
      </c>
      <c r="J479" s="46" t="s">
        <v>1279</v>
      </c>
      <c r="K479" s="27" t="s">
        <v>96</v>
      </c>
      <c r="L479" s="23" t="s">
        <v>1185</v>
      </c>
      <c r="M479" s="23" t="s">
        <v>161</v>
      </c>
      <c r="N479" s="23" t="s">
        <v>68</v>
      </c>
      <c r="O479" s="24">
        <f aca="1">DATEDIF(F479,TODAY(),"Y")</f>
        <v>12</v>
      </c>
      <c r="P479" s="24">
        <f aca="1">DATEDIF(F479,TODAY(),"YM")</f>
        <v>9</v>
      </c>
      <c r="Q479" s="24" t="str">
        <f aca="1">DATEDIF(F479,NOW(),"Y")&amp;" Tahun "&amp;DATEDIF(F479,NOW(),"YM")&amp;" Bulan "&amp;DATEDIF(F479,NOW(),"MD")&amp;" Hari "</f>
        <v>12 Tahun 9 Bulan 6 Hari </v>
      </c>
      <c r="R479" s="41">
        <f>F479</f>
        <v>41275</v>
      </c>
      <c r="S479" s="36" t="n">
        <v>45258</v>
      </c>
      <c r="T479" s="51" t="n">
        <v>2450000</v>
      </c>
      <c r="U479" s="51">
        <f>T479</f>
        <v>2450000</v>
      </c>
      <c r="V479" s="72">
        <f>U479-T479</f>
        <v>0</v>
      </c>
    </row>
    <row r="480" spans="1:22">
      <c r="A480" s="21" t="n">
        <v>477</v>
      </c>
      <c r="B480" s="21" t="str">
        <f>E480</f>
        <v>3513144306820002</v>
      </c>
      <c r="C480" s="38">
        <f>F480</f>
        <v>40179</v>
      </c>
      <c r="D480" s="34" t="s">
        <v>1280</v>
      </c>
      <c r="E480" s="186" t="s">
        <v>1281</v>
      </c>
      <c r="F480" s="38" t="n">
        <v>40179</v>
      </c>
      <c r="G480" s="21" t="s">
        <v>24</v>
      </c>
      <c r="H480" s="21" t="s">
        <v>1177</v>
      </c>
      <c r="I480" s="159" t="s">
        <v>1127</v>
      </c>
      <c r="J480" s="22" t="s">
        <v>818</v>
      </c>
      <c r="K480" s="22" t="s">
        <v>28</v>
      </c>
      <c r="L480" s="22" t="s">
        <v>673</v>
      </c>
      <c r="M480" s="23" t="s">
        <v>1194</v>
      </c>
      <c r="N480" s="23" t="s">
        <v>1282</v>
      </c>
      <c r="O480" s="24">
        <f aca="1">DATEDIF(F480,TODAY(),"Y")</f>
        <v>15</v>
      </c>
      <c r="P480" s="24">
        <f aca="1">DATEDIF(F480,TODAY(),"YM")</f>
        <v>9</v>
      </c>
      <c r="Q480" s="24" t="str">
        <f aca="1">DATEDIF(F480,NOW(),"Y")&amp;" Tahun "&amp;DATEDIF(F480,NOW(),"YM")&amp;" Bulan "&amp;DATEDIF(F480,NOW(),"MD")&amp;" Hari "</f>
        <v>15 Tahun 9 Bulan 6 Hari </v>
      </c>
      <c r="R480" s="41">
        <f>F480</f>
        <v>40179</v>
      </c>
      <c r="S480" s="36" t="n">
        <v>45258</v>
      </c>
      <c r="T480" s="51" t="n">
        <v>2375000</v>
      </c>
      <c r="U480" s="51">
        <f>T480</f>
        <v>2375000</v>
      </c>
      <c r="V480" s="72">
        <f>U480-T480</f>
        <v>0</v>
      </c>
    </row>
    <row r="481" spans="1:22">
      <c r="A481" s="21" t="n">
        <v>478</v>
      </c>
      <c r="B481" s="21" t="str">
        <f>E481</f>
        <v>3520082812880001</v>
      </c>
      <c r="C481" s="38">
        <f>F481</f>
        <v>41275</v>
      </c>
      <c r="D481" s="47" t="s">
        <v>1283</v>
      </c>
      <c r="E481" s="189" t="s">
        <v>1284</v>
      </c>
      <c r="F481" s="38" t="n">
        <v>41275</v>
      </c>
      <c r="G481" s="21" t="s">
        <v>33</v>
      </c>
      <c r="H481" s="21" t="s">
        <v>1177</v>
      </c>
      <c r="I481" s="159" t="s">
        <v>1127</v>
      </c>
      <c r="J481" s="22" t="s">
        <v>818</v>
      </c>
      <c r="K481" s="22" t="s">
        <v>28</v>
      </c>
      <c r="L481" s="22" t="s">
        <v>673</v>
      </c>
      <c r="M481" s="23" t="s">
        <v>1194</v>
      </c>
      <c r="N481" s="23" t="s">
        <v>480</v>
      </c>
      <c r="O481" s="24">
        <f aca="1">DATEDIF(F481,TODAY(),"Y")</f>
        <v>12</v>
      </c>
      <c r="P481" s="24">
        <f aca="1">DATEDIF(F481,TODAY(),"YM")</f>
        <v>9</v>
      </c>
      <c r="Q481" s="24" t="str">
        <f aca="1">DATEDIF(F481,NOW(),"Y")&amp;" Tahun "&amp;DATEDIF(F481,NOW(),"YM")&amp;" Bulan "&amp;DATEDIF(F481,NOW(),"MD")&amp;" Hari "</f>
        <v>12 Tahun 9 Bulan 6 Hari </v>
      </c>
      <c r="R481" s="41">
        <f>F481</f>
        <v>41275</v>
      </c>
      <c r="S481" s="36" t="n">
        <v>45258</v>
      </c>
      <c r="T481" s="51" t="n">
        <v>2325000</v>
      </c>
      <c r="U481" s="51">
        <f>T481</f>
        <v>2325000</v>
      </c>
      <c r="V481" s="72">
        <f>U481-T481</f>
        <v>0</v>
      </c>
    </row>
    <row r="482" spans="1:22">
      <c r="A482" s="21" t="n">
        <v>479</v>
      </c>
      <c r="B482" s="21" t="str">
        <f>E482</f>
        <v>3513130406830005</v>
      </c>
      <c r="C482" s="38">
        <f>F482</f>
        <v>41275</v>
      </c>
      <c r="D482" s="47" t="s">
        <v>1285</v>
      </c>
      <c r="E482" s="189" t="s">
        <v>1286</v>
      </c>
      <c r="F482" s="38" t="n">
        <v>41275</v>
      </c>
      <c r="G482" s="21" t="s">
        <v>33</v>
      </c>
      <c r="H482" s="21" t="s">
        <v>1177</v>
      </c>
      <c r="I482" s="159" t="s">
        <v>1127</v>
      </c>
      <c r="J482" s="23" t="s">
        <v>1243</v>
      </c>
      <c r="K482" s="22" t="s">
        <v>28</v>
      </c>
      <c r="L482" s="22" t="s">
        <v>822</v>
      </c>
      <c r="M482" s="23" t="s">
        <v>1215</v>
      </c>
      <c r="N482" s="23" t="s">
        <v>1287</v>
      </c>
      <c r="O482" s="24">
        <f aca="1">DATEDIF(F482,TODAY(),"Y")</f>
        <v>12</v>
      </c>
      <c r="P482" s="24">
        <f aca="1">DATEDIF(F482,TODAY(),"YM")</f>
        <v>9</v>
      </c>
      <c r="Q482" s="24" t="str">
        <f aca="1">DATEDIF(F482,NOW(),"Y")&amp;" Tahun "&amp;DATEDIF(F482,NOW(),"YM")&amp;" Bulan "&amp;DATEDIF(F482,NOW(),"MD")&amp;" Hari "</f>
        <v>12 Tahun 9 Bulan 6 Hari </v>
      </c>
      <c r="R482" s="41">
        <f>F482</f>
        <v>41275</v>
      </c>
      <c r="S482" s="36" t="n">
        <v>45258</v>
      </c>
      <c r="T482" s="51" t="n">
        <v>2200000</v>
      </c>
      <c r="U482" s="51">
        <f>T482</f>
        <v>2200000</v>
      </c>
      <c r="V482" s="72">
        <f>U482-T482</f>
        <v>0</v>
      </c>
    </row>
    <row r="483" spans="1:22">
      <c r="A483" s="21" t="n">
        <v>480</v>
      </c>
      <c r="B483" s="21" t="str">
        <f>E483</f>
        <v>3513154510880001</v>
      </c>
      <c r="C483" s="38">
        <f>F483</f>
        <v>41275</v>
      </c>
      <c r="D483" s="47" t="s">
        <v>1288</v>
      </c>
      <c r="E483" s="189" t="s">
        <v>1289</v>
      </c>
      <c r="F483" s="38" t="n">
        <v>41275</v>
      </c>
      <c r="G483" s="21" t="s">
        <v>24</v>
      </c>
      <c r="H483" s="21" t="s">
        <v>1177</v>
      </c>
      <c r="I483" s="159" t="s">
        <v>1127</v>
      </c>
      <c r="J483" s="22" t="s">
        <v>818</v>
      </c>
      <c r="K483" s="22" t="s">
        <v>28</v>
      </c>
      <c r="L483" s="25" t="s">
        <v>262</v>
      </c>
      <c r="M483" s="23" t="s">
        <v>1210</v>
      </c>
      <c r="N483" s="23" t="s">
        <v>480</v>
      </c>
      <c r="O483" s="24">
        <f aca="1">DATEDIF(F483,TODAY(),"Y")</f>
        <v>12</v>
      </c>
      <c r="P483" s="24">
        <f aca="1">DATEDIF(F483,TODAY(),"YM")</f>
        <v>9</v>
      </c>
      <c r="Q483" s="24" t="str">
        <f aca="1">DATEDIF(F483,NOW(),"Y")&amp;" Tahun "&amp;DATEDIF(F483,NOW(),"YM")&amp;" Bulan "&amp;DATEDIF(F483,NOW(),"MD")&amp;" Hari "</f>
        <v>12 Tahun 9 Bulan 6 Hari </v>
      </c>
      <c r="R483" s="41">
        <f>F483</f>
        <v>41275</v>
      </c>
      <c r="S483" s="36" t="n">
        <v>45258</v>
      </c>
      <c r="T483" s="51" t="n">
        <v>2450000</v>
      </c>
      <c r="U483" s="51">
        <f>T483</f>
        <v>2450000</v>
      </c>
      <c r="V483" s="72">
        <f>U483-T483</f>
        <v>0</v>
      </c>
    </row>
    <row r="484" spans="1:22">
      <c r="A484" s="21" t="n">
        <v>481</v>
      </c>
      <c r="B484" s="21" t="str">
        <f>E484</f>
        <v>3513121009840007</v>
      </c>
      <c r="C484" s="38">
        <f>F484</f>
        <v>41275</v>
      </c>
      <c r="D484" s="47" t="s">
        <v>1290</v>
      </c>
      <c r="E484" s="189" t="s">
        <v>1291</v>
      </c>
      <c r="F484" s="38" t="n">
        <v>41275</v>
      </c>
      <c r="G484" s="21" t="s">
        <v>33</v>
      </c>
      <c r="H484" s="21" t="s">
        <v>1177</v>
      </c>
      <c r="I484" s="159" t="s">
        <v>1127</v>
      </c>
      <c r="J484" s="22" t="s">
        <v>818</v>
      </c>
      <c r="K484" s="22" t="s">
        <v>28</v>
      </c>
      <c r="L484" s="25" t="s">
        <v>262</v>
      </c>
      <c r="M484" s="23" t="s">
        <v>1292</v>
      </c>
      <c r="N484" s="23" t="s">
        <v>458</v>
      </c>
      <c r="O484" s="24">
        <f aca="1">DATEDIF(F484,TODAY(),"Y")</f>
        <v>12</v>
      </c>
      <c r="P484" s="24">
        <f aca="1">DATEDIF(F484,TODAY(),"YM")</f>
        <v>9</v>
      </c>
      <c r="Q484" s="24" t="str">
        <f aca="1">DATEDIF(F484,NOW(),"Y")&amp;" Tahun "&amp;DATEDIF(F484,NOW(),"YM")&amp;" Bulan "&amp;DATEDIF(F484,NOW(),"MD")&amp;" Hari "</f>
        <v>12 Tahun 9 Bulan 6 Hari </v>
      </c>
      <c r="R484" s="41">
        <f>F484</f>
        <v>41275</v>
      </c>
      <c r="S484" s="36" t="n">
        <v>45258</v>
      </c>
      <c r="T484" s="51" t="n">
        <v>2450000</v>
      </c>
      <c r="U484" s="51">
        <f>T484</f>
        <v>2450000</v>
      </c>
      <c r="V484" s="72">
        <f>U484-T484</f>
        <v>0</v>
      </c>
    </row>
    <row r="485" spans="1:22">
      <c r="A485" s="21" t="n">
        <v>482</v>
      </c>
      <c r="B485" s="21" t="str">
        <f>E485</f>
        <v>3574045607870007</v>
      </c>
      <c r="C485" s="38">
        <f>F485</f>
        <v>41275</v>
      </c>
      <c r="D485" s="47" t="s">
        <v>1293</v>
      </c>
      <c r="E485" s="189" t="s">
        <v>1294</v>
      </c>
      <c r="F485" s="38" t="n">
        <v>41275</v>
      </c>
      <c r="G485" s="21" t="s">
        <v>24</v>
      </c>
      <c r="H485" s="21" t="s">
        <v>1177</v>
      </c>
      <c r="I485" s="159" t="s">
        <v>1127</v>
      </c>
      <c r="J485" s="22" t="s">
        <v>818</v>
      </c>
      <c r="K485" s="22" t="s">
        <v>28</v>
      </c>
      <c r="L485" s="22" t="s">
        <v>347</v>
      </c>
      <c r="M485" s="23" t="s">
        <v>1295</v>
      </c>
      <c r="N485" s="23" t="s">
        <v>325</v>
      </c>
      <c r="O485" s="24">
        <f aca="1">DATEDIF(F485,TODAY(),"Y")</f>
        <v>12</v>
      </c>
      <c r="P485" s="24">
        <f aca="1">DATEDIF(F485,TODAY(),"YM")</f>
        <v>9</v>
      </c>
      <c r="Q485" s="24" t="str">
        <f aca="1">DATEDIF(F485,NOW(),"Y")&amp;" Tahun "&amp;DATEDIF(F485,NOW(),"YM")&amp;" Bulan "&amp;DATEDIF(F485,NOW(),"MD")&amp;" Hari "</f>
        <v>12 Tahun 9 Bulan 6 Hari </v>
      </c>
      <c r="R485" s="41">
        <f>F485</f>
        <v>41275</v>
      </c>
      <c r="S485" s="36" t="n">
        <v>45258</v>
      </c>
      <c r="T485" s="51" t="n">
        <v>2425000</v>
      </c>
      <c r="U485" s="51">
        <f>T485</f>
        <v>2425000</v>
      </c>
      <c r="V485" s="72">
        <f>U485-T485</f>
        <v>0</v>
      </c>
    </row>
    <row r="486" spans="1:22">
      <c r="A486" s="21" t="n">
        <v>483</v>
      </c>
      <c r="B486" s="21" t="str">
        <f>E486</f>
        <v>3513091708810005</v>
      </c>
      <c r="C486" s="38">
        <f>F486</f>
        <v>41275</v>
      </c>
      <c r="D486" s="47" t="s">
        <v>1296</v>
      </c>
      <c r="E486" s="189" t="s">
        <v>1297</v>
      </c>
      <c r="F486" s="38" t="n">
        <v>41275</v>
      </c>
      <c r="G486" s="21" t="s">
        <v>33</v>
      </c>
      <c r="H486" s="21" t="s">
        <v>1177</v>
      </c>
      <c r="I486" s="159" t="s">
        <v>1127</v>
      </c>
      <c r="J486" s="23" t="s">
        <v>1243</v>
      </c>
      <c r="K486" s="22" t="s">
        <v>28</v>
      </c>
      <c r="L486" s="22" t="s">
        <v>673</v>
      </c>
      <c r="M486" s="23" t="s">
        <v>1194</v>
      </c>
      <c r="N486" s="23" t="s">
        <v>1298</v>
      </c>
      <c r="O486" s="24">
        <f aca="1">DATEDIF(F486,TODAY(),"Y")</f>
        <v>12</v>
      </c>
      <c r="P486" s="24">
        <f aca="1">DATEDIF(F486,TODAY(),"YM")</f>
        <v>9</v>
      </c>
      <c r="Q486" s="24" t="str">
        <f aca="1">DATEDIF(F486,NOW(),"Y")&amp;" Tahun "&amp;DATEDIF(F486,NOW(),"YM")&amp;" Bulan "&amp;DATEDIF(F486,NOW(),"MD")&amp;" Hari "</f>
        <v>12 Tahun 9 Bulan 6 Hari </v>
      </c>
      <c r="R486" s="41">
        <f>F486</f>
        <v>41275</v>
      </c>
      <c r="S486" s="36" t="n">
        <v>45258</v>
      </c>
      <c r="T486" s="51" t="n">
        <v>2325000</v>
      </c>
      <c r="U486" s="51">
        <f>T486</f>
        <v>2325000</v>
      </c>
      <c r="V486" s="72">
        <f>U486-T486</f>
        <v>0</v>
      </c>
    </row>
    <row r="487" spans="1:22">
      <c r="A487" s="21" t="n">
        <v>484</v>
      </c>
      <c r="B487" s="21" t="str">
        <f>E487</f>
        <v>3513210608890001</v>
      </c>
      <c r="C487" s="38">
        <f>F487</f>
        <v>41275</v>
      </c>
      <c r="D487" s="47" t="s">
        <v>1299</v>
      </c>
      <c r="E487" s="189" t="s">
        <v>1300</v>
      </c>
      <c r="F487" s="38" t="n">
        <v>41275</v>
      </c>
      <c r="G487" s="21" t="s">
        <v>33</v>
      </c>
      <c r="H487" s="21" t="s">
        <v>1177</v>
      </c>
      <c r="I487" s="159" t="s">
        <v>1127</v>
      </c>
      <c r="J487" s="22" t="s">
        <v>818</v>
      </c>
      <c r="K487" s="22" t="s">
        <v>28</v>
      </c>
      <c r="L487" s="25" t="s">
        <v>262</v>
      </c>
      <c r="M487" s="23" t="s">
        <v>1257</v>
      </c>
      <c r="N487" s="23" t="s">
        <v>122</v>
      </c>
      <c r="O487" s="24">
        <f aca="1">DATEDIF(F487,TODAY(),"Y")</f>
        <v>12</v>
      </c>
      <c r="P487" s="24">
        <f aca="1">DATEDIF(F487,TODAY(),"YM")</f>
        <v>9</v>
      </c>
      <c r="Q487" s="24" t="str">
        <f aca="1">DATEDIF(F487,NOW(),"Y")&amp;" Tahun "&amp;DATEDIF(F487,NOW(),"YM")&amp;" Bulan "&amp;DATEDIF(F487,NOW(),"MD")&amp;" Hari "</f>
        <v>12 Tahun 9 Bulan 6 Hari </v>
      </c>
      <c r="R487" s="41">
        <f>F487</f>
        <v>41275</v>
      </c>
      <c r="S487" s="36" t="n">
        <v>45258</v>
      </c>
      <c r="T487" s="51" t="n">
        <v>2450000</v>
      </c>
      <c r="U487" s="51">
        <f>T487</f>
        <v>2450000</v>
      </c>
      <c r="V487" s="72">
        <f>U487-T487</f>
        <v>0</v>
      </c>
    </row>
    <row r="488" spans="1:22">
      <c r="A488" s="21" t="n">
        <v>485</v>
      </c>
      <c r="B488" s="21" t="str">
        <f>E488</f>
        <v>3513141307920002</v>
      </c>
      <c r="C488" s="38">
        <f>F488</f>
        <v>41275</v>
      </c>
      <c r="D488" s="47" t="s">
        <v>1301</v>
      </c>
      <c r="E488" s="189" t="s">
        <v>1302</v>
      </c>
      <c r="F488" s="38" t="n">
        <v>41275</v>
      </c>
      <c r="G488" s="21" t="s">
        <v>33</v>
      </c>
      <c r="H488" s="21" t="s">
        <v>1177</v>
      </c>
      <c r="I488" s="159" t="s">
        <v>1127</v>
      </c>
      <c r="J488" s="22" t="s">
        <v>818</v>
      </c>
      <c r="K488" s="22" t="s">
        <v>28</v>
      </c>
      <c r="L488" s="22" t="s">
        <v>673</v>
      </c>
      <c r="M488" s="23" t="s">
        <v>1194</v>
      </c>
      <c r="N488" s="23" t="s">
        <v>128</v>
      </c>
      <c r="O488" s="24">
        <f aca="1">DATEDIF(F488,TODAY(),"Y")</f>
        <v>12</v>
      </c>
      <c r="P488" s="24">
        <f aca="1">DATEDIF(F488,TODAY(),"YM")</f>
        <v>9</v>
      </c>
      <c r="Q488" s="24" t="str">
        <f aca="1">DATEDIF(F488,NOW(),"Y")&amp;" Tahun "&amp;DATEDIF(F488,NOW(),"YM")&amp;" Bulan "&amp;DATEDIF(F488,NOW(),"MD")&amp;" Hari "</f>
        <v>12 Tahun 9 Bulan 6 Hari </v>
      </c>
      <c r="R488" s="41">
        <f>F488</f>
        <v>41275</v>
      </c>
      <c r="S488" s="36" t="n">
        <v>45258</v>
      </c>
      <c r="T488" s="51" t="n">
        <v>2325000</v>
      </c>
      <c r="U488" s="51">
        <f>T488</f>
        <v>2325000</v>
      </c>
      <c r="V488" s="72">
        <f>U488-T488</f>
        <v>0</v>
      </c>
    </row>
    <row r="489" spans="1:22">
      <c r="A489" s="21" t="n">
        <v>486</v>
      </c>
      <c r="B489" s="21" t="str">
        <f>E489</f>
        <v>3513101710810002</v>
      </c>
      <c r="C489" s="38">
        <f>F489</f>
        <v>41275</v>
      </c>
      <c r="D489" s="47" t="s">
        <v>1303</v>
      </c>
      <c r="E489" s="189" t="s">
        <v>1304</v>
      </c>
      <c r="F489" s="38" t="n">
        <v>41275</v>
      </c>
      <c r="G489" s="21" t="s">
        <v>33</v>
      </c>
      <c r="H489" s="21" t="s">
        <v>1177</v>
      </c>
      <c r="I489" s="159" t="s">
        <v>1127</v>
      </c>
      <c r="J489" s="22" t="s">
        <v>818</v>
      </c>
      <c r="K489" s="22" t="s">
        <v>28</v>
      </c>
      <c r="L489" s="25" t="s">
        <v>262</v>
      </c>
      <c r="M489" s="23" t="s">
        <v>1305</v>
      </c>
      <c r="N489" s="23" t="s">
        <v>331</v>
      </c>
      <c r="O489" s="24">
        <f aca="1">DATEDIF(F489,TODAY(),"Y")</f>
        <v>12</v>
      </c>
      <c r="P489" s="24">
        <f aca="1">DATEDIF(F489,TODAY(),"YM")</f>
        <v>9</v>
      </c>
      <c r="Q489" s="24" t="str">
        <f aca="1">DATEDIF(F489,NOW(),"Y")&amp;" Tahun "&amp;DATEDIF(F489,NOW(),"YM")&amp;" Bulan "&amp;DATEDIF(F489,NOW(),"MD")&amp;" Hari "</f>
        <v>12 Tahun 9 Bulan 6 Hari </v>
      </c>
      <c r="R489" s="41">
        <f>F489</f>
        <v>41275</v>
      </c>
      <c r="S489" s="36" t="n">
        <v>45258</v>
      </c>
      <c r="T489" s="51" t="n">
        <v>2450000</v>
      </c>
      <c r="U489" s="51">
        <f>T489</f>
        <v>2450000</v>
      </c>
      <c r="V489" s="72">
        <f>U489-T489</f>
        <v>0</v>
      </c>
    </row>
    <row r="490" spans="1:22">
      <c r="A490" s="21" t="n">
        <v>487</v>
      </c>
      <c r="B490" s="21" t="str">
        <f>E490</f>
        <v>3513141709680002</v>
      </c>
      <c r="C490" s="38">
        <f>F490</f>
        <v>41275</v>
      </c>
      <c r="D490" s="48" t="s">
        <v>1306</v>
      </c>
      <c r="E490" s="190" t="s">
        <v>1307</v>
      </c>
      <c r="F490" s="38" t="n">
        <v>41275</v>
      </c>
      <c r="G490" s="21" t="s">
        <v>33</v>
      </c>
      <c r="H490" s="21" t="s">
        <v>1177</v>
      </c>
      <c r="I490" s="159" t="s">
        <v>1127</v>
      </c>
      <c r="J490" s="23" t="s">
        <v>1243</v>
      </c>
      <c r="K490" s="22" t="s">
        <v>28</v>
      </c>
      <c r="L490" s="22" t="s">
        <v>822</v>
      </c>
      <c r="M490" s="23" t="s">
        <v>1215</v>
      </c>
      <c r="N490" s="23" t="s">
        <v>1244</v>
      </c>
      <c r="O490" s="24">
        <f aca="1">DATEDIF(F490,TODAY(),"Y")</f>
        <v>12</v>
      </c>
      <c r="P490" s="24">
        <f aca="1">DATEDIF(F490,TODAY(),"YM")</f>
        <v>9</v>
      </c>
      <c r="Q490" s="24" t="str">
        <f aca="1">DATEDIF(F490,NOW(),"Y")&amp;" Tahun "&amp;DATEDIF(F490,NOW(),"YM")&amp;" Bulan "&amp;DATEDIF(F490,NOW(),"MD")&amp;" Hari "</f>
        <v>12 Tahun 9 Bulan 6 Hari </v>
      </c>
      <c r="R490" s="41">
        <f>F490</f>
        <v>41275</v>
      </c>
      <c r="S490" s="36" t="n">
        <v>45258</v>
      </c>
      <c r="T490" s="51" t="n">
        <v>2200000</v>
      </c>
      <c r="U490" s="51">
        <f>T490</f>
        <v>2200000</v>
      </c>
      <c r="V490" s="72">
        <f>U490-T490</f>
        <v>0</v>
      </c>
    </row>
    <row r="491" spans="1:22">
      <c r="A491" s="21" t="n">
        <v>488</v>
      </c>
      <c r="B491" s="21" t="str">
        <f>E491</f>
        <v>3513144809850004</v>
      </c>
      <c r="C491" s="38">
        <f>F491</f>
        <v>41275</v>
      </c>
      <c r="D491" s="48" t="s">
        <v>1308</v>
      </c>
      <c r="E491" s="190" t="s">
        <v>1309</v>
      </c>
      <c r="F491" s="38" t="n">
        <v>41275</v>
      </c>
      <c r="G491" s="21" t="s">
        <v>24</v>
      </c>
      <c r="H491" s="21" t="s">
        <v>1177</v>
      </c>
      <c r="I491" s="159" t="s">
        <v>1127</v>
      </c>
      <c r="J491" s="22" t="s">
        <v>818</v>
      </c>
      <c r="K491" s="22" t="s">
        <v>28</v>
      </c>
      <c r="L491" s="25" t="s">
        <v>262</v>
      </c>
      <c r="M491" s="23" t="s">
        <v>1305</v>
      </c>
      <c r="N491" s="23" t="s">
        <v>523</v>
      </c>
      <c r="O491" s="24">
        <f aca="1">DATEDIF(F491,TODAY(),"Y")</f>
        <v>12</v>
      </c>
      <c r="P491" s="24">
        <f aca="1">DATEDIF(F491,TODAY(),"YM")</f>
        <v>9</v>
      </c>
      <c r="Q491" s="24" t="str">
        <f aca="1">DATEDIF(F491,NOW(),"Y")&amp;" Tahun "&amp;DATEDIF(F491,NOW(),"YM")&amp;" Bulan "&amp;DATEDIF(F491,NOW(),"MD")&amp;" Hari "</f>
        <v>12 Tahun 9 Bulan 6 Hari </v>
      </c>
      <c r="R491" s="41">
        <f>F491</f>
        <v>41275</v>
      </c>
      <c r="S491" s="36" t="n">
        <v>45258</v>
      </c>
      <c r="T491" s="51" t="n">
        <v>2450000</v>
      </c>
      <c r="U491" s="51">
        <f>T491</f>
        <v>2450000</v>
      </c>
      <c r="V491" s="72">
        <f>U491-T491</f>
        <v>0</v>
      </c>
    </row>
    <row r="492" spans="1:22">
      <c r="A492" s="21" t="n">
        <v>489</v>
      </c>
      <c r="B492" s="21" t="str">
        <f>E492</f>
        <v>3513144402850002</v>
      </c>
      <c r="C492" s="38">
        <f>F492</f>
        <v>41275</v>
      </c>
      <c r="D492" s="48" t="s">
        <v>1310</v>
      </c>
      <c r="E492" s="190" t="s">
        <v>1311</v>
      </c>
      <c r="F492" s="38" t="n">
        <v>41275</v>
      </c>
      <c r="G492" s="21" t="s">
        <v>24</v>
      </c>
      <c r="H492" s="21" t="s">
        <v>1177</v>
      </c>
      <c r="I492" s="159" t="s">
        <v>1127</v>
      </c>
      <c r="J492" s="23" t="s">
        <v>499</v>
      </c>
      <c r="K492" s="22" t="s">
        <v>28</v>
      </c>
      <c r="L492" s="22" t="s">
        <v>673</v>
      </c>
      <c r="M492" s="23" t="s">
        <v>1180</v>
      </c>
      <c r="N492" s="23" t="s">
        <v>92</v>
      </c>
      <c r="O492" s="24">
        <f aca="1">DATEDIF(F492,TODAY(),"Y")</f>
        <v>12</v>
      </c>
      <c r="P492" s="24">
        <f aca="1">DATEDIF(F492,TODAY(),"YM")</f>
        <v>9</v>
      </c>
      <c r="Q492" s="24" t="str">
        <f aca="1">DATEDIF(F492,NOW(),"Y")&amp;" Tahun "&amp;DATEDIF(F492,NOW(),"YM")&amp;" Bulan "&amp;DATEDIF(F492,NOW(),"MD")&amp;" Hari "</f>
        <v>12 Tahun 9 Bulan 6 Hari </v>
      </c>
      <c r="R492" s="41">
        <f>F492</f>
        <v>41275</v>
      </c>
      <c r="S492" s="36" t="n">
        <v>45258</v>
      </c>
      <c r="T492" s="51" t="n">
        <v>2325000</v>
      </c>
      <c r="U492" s="51">
        <f>T492</f>
        <v>2325000</v>
      </c>
      <c r="V492" s="72">
        <f>U492-T492</f>
        <v>0</v>
      </c>
    </row>
    <row r="493" spans="1:22">
      <c r="A493" s="21" t="n">
        <v>490</v>
      </c>
      <c r="B493" s="21" t="str">
        <f>E493</f>
        <v>3513144305840001</v>
      </c>
      <c r="C493" s="38">
        <f>F493</f>
        <v>41275</v>
      </c>
      <c r="D493" s="48" t="s">
        <v>1312</v>
      </c>
      <c r="E493" s="190" t="s">
        <v>1313</v>
      </c>
      <c r="F493" s="38" t="n">
        <v>41275</v>
      </c>
      <c r="G493" s="21" t="s">
        <v>24</v>
      </c>
      <c r="H493" s="21" t="s">
        <v>1177</v>
      </c>
      <c r="I493" s="159" t="s">
        <v>1127</v>
      </c>
      <c r="J493" s="23" t="s">
        <v>499</v>
      </c>
      <c r="K493" s="22" t="s">
        <v>28</v>
      </c>
      <c r="L493" s="22" t="s">
        <v>673</v>
      </c>
      <c r="M493" s="23" t="s">
        <v>1180</v>
      </c>
      <c r="N493" s="23" t="s">
        <v>92</v>
      </c>
      <c r="O493" s="24">
        <f aca="1">DATEDIF(F493,TODAY(),"Y")</f>
        <v>12</v>
      </c>
      <c r="P493" s="24">
        <f aca="1">DATEDIF(F493,TODAY(),"YM")</f>
        <v>9</v>
      </c>
      <c r="Q493" s="24" t="str">
        <f aca="1">DATEDIF(F493,NOW(),"Y")&amp;" Tahun "&amp;DATEDIF(F493,NOW(),"YM")&amp;" Bulan "&amp;DATEDIF(F493,NOW(),"MD")&amp;" Hari "</f>
        <v>12 Tahun 9 Bulan 6 Hari </v>
      </c>
      <c r="R493" s="41">
        <f>F493</f>
        <v>41275</v>
      </c>
      <c r="S493" s="36" t="n">
        <v>45258</v>
      </c>
      <c r="T493" s="51" t="n">
        <v>2325000</v>
      </c>
      <c r="U493" s="51">
        <f>T493</f>
        <v>2325000</v>
      </c>
      <c r="V493" s="72">
        <f>U493-T493</f>
        <v>0</v>
      </c>
    </row>
    <row r="494" spans="1:22">
      <c r="A494" s="21" t="n">
        <v>491</v>
      </c>
      <c r="B494" s="21" t="str">
        <f>E494</f>
        <v>3513154607860002</v>
      </c>
      <c r="C494" s="38">
        <f>F494</f>
        <v>41275</v>
      </c>
      <c r="D494" s="48" t="s">
        <v>1314</v>
      </c>
      <c r="E494" s="190" t="s">
        <v>1315</v>
      </c>
      <c r="F494" s="38" t="n">
        <v>41275</v>
      </c>
      <c r="G494" s="21" t="s">
        <v>24</v>
      </c>
      <c r="H494" s="21" t="s">
        <v>1177</v>
      </c>
      <c r="I494" s="159" t="s">
        <v>1127</v>
      </c>
      <c r="J494" s="29" t="s">
        <v>499</v>
      </c>
      <c r="K494" s="49" t="s">
        <v>28</v>
      </c>
      <c r="L494" s="49" t="s">
        <v>673</v>
      </c>
      <c r="M494" s="29" t="s">
        <v>1218</v>
      </c>
      <c r="N494" s="29" t="s">
        <v>1316</v>
      </c>
      <c r="O494" s="24">
        <f aca="1">DATEDIF(F494,TODAY(),"Y")</f>
        <v>12</v>
      </c>
      <c r="P494" s="24">
        <f aca="1">DATEDIF(F494,TODAY(),"YM")</f>
        <v>9</v>
      </c>
      <c r="Q494" s="24" t="str">
        <f aca="1">DATEDIF(F494,NOW(),"Y")&amp;" Tahun "&amp;DATEDIF(F494,NOW(),"YM")&amp;" Bulan "&amp;DATEDIF(F494,NOW(),"MD")&amp;" Hari "</f>
        <v>12 Tahun 9 Bulan 6 Hari </v>
      </c>
      <c r="R494" s="41">
        <f>F494</f>
        <v>41275</v>
      </c>
      <c r="S494" s="36" t="n">
        <v>45258</v>
      </c>
      <c r="T494" s="51" t="n">
        <v>2325000</v>
      </c>
      <c r="U494" s="51">
        <f>T494</f>
        <v>2325000</v>
      </c>
      <c r="V494" s="72">
        <f>U494-T494</f>
        <v>0</v>
      </c>
    </row>
    <row r="495" spans="1:22">
      <c r="A495" s="21" t="n">
        <v>492</v>
      </c>
      <c r="B495" s="21" t="str">
        <f>E495</f>
        <v>3513155402890002</v>
      </c>
      <c r="C495" s="38">
        <f>F495</f>
        <v>41275</v>
      </c>
      <c r="D495" s="48" t="s">
        <v>1317</v>
      </c>
      <c r="E495" s="190" t="s">
        <v>1318</v>
      </c>
      <c r="F495" s="38" t="n">
        <v>41275</v>
      </c>
      <c r="G495" s="21" t="s">
        <v>24</v>
      </c>
      <c r="H495" s="21" t="s">
        <v>1177</v>
      </c>
      <c r="I495" s="159" t="s">
        <v>1127</v>
      </c>
      <c r="J495" s="23" t="s">
        <v>499</v>
      </c>
      <c r="K495" s="22" t="s">
        <v>28</v>
      </c>
      <c r="L495" s="22" t="s">
        <v>673</v>
      </c>
      <c r="M495" s="23" t="s">
        <v>1228</v>
      </c>
      <c r="N495" s="23" t="s">
        <v>92</v>
      </c>
      <c r="O495" s="24">
        <f aca="1">DATEDIF(F495,TODAY(),"Y")</f>
        <v>12</v>
      </c>
      <c r="P495" s="24">
        <f aca="1">DATEDIF(F495,TODAY(),"YM")</f>
        <v>9</v>
      </c>
      <c r="Q495" s="24" t="str">
        <f aca="1">DATEDIF(F495,NOW(),"Y")&amp;" Tahun "&amp;DATEDIF(F495,NOW(),"YM")&amp;" Bulan "&amp;DATEDIF(F495,NOW(),"MD")&amp;" Hari "</f>
        <v>12 Tahun 9 Bulan 6 Hari </v>
      </c>
      <c r="R495" s="41">
        <f>F495</f>
        <v>41275</v>
      </c>
      <c r="S495" s="36" t="n">
        <v>45258</v>
      </c>
      <c r="T495" s="51" t="n">
        <v>2200000</v>
      </c>
      <c r="U495" s="51">
        <f>T495</f>
        <v>2200000</v>
      </c>
      <c r="V495" s="72">
        <f>U495-T495</f>
        <v>0</v>
      </c>
    </row>
    <row r="496" spans="1:22">
      <c r="A496" s="21" t="n">
        <v>493</v>
      </c>
      <c r="B496" s="21" t="str">
        <f>E496</f>
        <v>3513111501850001</v>
      </c>
      <c r="C496" s="38">
        <f>F496</f>
        <v>41640</v>
      </c>
      <c r="D496" s="37" t="s">
        <v>1319</v>
      </c>
      <c r="E496" s="188" t="s">
        <v>1320</v>
      </c>
      <c r="F496" s="38" t="n">
        <v>41640</v>
      </c>
      <c r="G496" s="21" t="s">
        <v>33</v>
      </c>
      <c r="H496" s="21" t="s">
        <v>1177</v>
      </c>
      <c r="I496" s="159" t="s">
        <v>1127</v>
      </c>
      <c r="J496" s="46" t="s">
        <v>1279</v>
      </c>
      <c r="K496" s="27" t="s">
        <v>96</v>
      </c>
      <c r="L496" s="23" t="s">
        <v>1185</v>
      </c>
      <c r="M496" s="23" t="s">
        <v>161</v>
      </c>
      <c r="N496" s="23" t="s">
        <v>68</v>
      </c>
      <c r="O496" s="24">
        <f aca="1">DATEDIF(F496,TODAY(),"Y")</f>
        <v>11</v>
      </c>
      <c r="P496" s="24">
        <f aca="1">DATEDIF(F496,TODAY(),"YM")</f>
        <v>9</v>
      </c>
      <c r="Q496" s="24" t="str">
        <f aca="1">DATEDIF(F496,NOW(),"Y")&amp;" Tahun "&amp;DATEDIF(F496,NOW(),"YM")&amp;" Bulan "&amp;DATEDIF(F496,NOW(),"MD")&amp;" Hari "</f>
        <v>11 Tahun 9 Bulan 6 Hari </v>
      </c>
      <c r="R496" s="41">
        <f>F496</f>
        <v>41640</v>
      </c>
      <c r="S496" s="36" t="n">
        <v>45258</v>
      </c>
      <c r="T496" s="51" t="n">
        <v>2450000</v>
      </c>
      <c r="U496" s="51">
        <f>T496</f>
        <v>2450000</v>
      </c>
      <c r="V496" s="72">
        <f>U496-T496</f>
        <v>0</v>
      </c>
    </row>
    <row r="497" spans="1:22">
      <c r="A497" s="21" t="n">
        <v>494</v>
      </c>
      <c r="B497" s="21" t="str">
        <f>E497</f>
        <v>3513175206910002</v>
      </c>
      <c r="C497" s="38">
        <f>F497</f>
        <v>41640</v>
      </c>
      <c r="D497" s="48" t="s">
        <v>1321</v>
      </c>
      <c r="E497" s="190" t="s">
        <v>1322</v>
      </c>
      <c r="F497" s="38" t="n">
        <v>41640</v>
      </c>
      <c r="G497" s="21" t="s">
        <v>24</v>
      </c>
      <c r="H497" s="21" t="s">
        <v>1177</v>
      </c>
      <c r="I497" s="159" t="s">
        <v>1127</v>
      </c>
      <c r="J497" s="23" t="s">
        <v>499</v>
      </c>
      <c r="K497" s="22" t="s">
        <v>28</v>
      </c>
      <c r="L497" s="22" t="s">
        <v>673</v>
      </c>
      <c r="M497" s="23" t="s">
        <v>1194</v>
      </c>
      <c r="N497" s="23" t="s">
        <v>92</v>
      </c>
      <c r="O497" s="24">
        <f aca="1">DATEDIF(F497,TODAY(),"Y")</f>
        <v>11</v>
      </c>
      <c r="P497" s="24">
        <f aca="1">DATEDIF(F497,TODAY(),"YM")</f>
        <v>9</v>
      </c>
      <c r="Q497" s="24" t="str">
        <f aca="1">DATEDIF(F497,NOW(),"Y")&amp;" Tahun "&amp;DATEDIF(F497,NOW(),"YM")&amp;" Bulan "&amp;DATEDIF(F497,NOW(),"MD")&amp;" Hari "</f>
        <v>11 Tahun 9 Bulan 6 Hari </v>
      </c>
      <c r="R497" s="41">
        <f>F497</f>
        <v>41640</v>
      </c>
      <c r="S497" s="36" t="n">
        <v>45258</v>
      </c>
      <c r="T497" s="51" t="n">
        <v>2325000</v>
      </c>
      <c r="U497" s="51">
        <f>T497</f>
        <v>2325000</v>
      </c>
      <c r="V497" s="72">
        <f>U497-T497</f>
        <v>0</v>
      </c>
    </row>
    <row r="498" spans="1:22">
      <c r="A498" s="21" t="n">
        <v>495</v>
      </c>
      <c r="B498" s="21" t="str">
        <f>E498</f>
        <v>3513211609890001</v>
      </c>
      <c r="C498" s="38">
        <f>F498</f>
        <v>41640</v>
      </c>
      <c r="D498" s="48" t="s">
        <v>1323</v>
      </c>
      <c r="E498" s="190" t="s">
        <v>1324</v>
      </c>
      <c r="F498" s="38" t="n">
        <v>41640</v>
      </c>
      <c r="G498" s="21" t="s">
        <v>33</v>
      </c>
      <c r="H498" s="21" t="s">
        <v>1177</v>
      </c>
      <c r="I498" s="159" t="s">
        <v>1127</v>
      </c>
      <c r="J498" s="22" t="s">
        <v>818</v>
      </c>
      <c r="K498" s="22" t="s">
        <v>28</v>
      </c>
      <c r="L498" s="22" t="s">
        <v>347</v>
      </c>
      <c r="M498" s="23" t="s">
        <v>1325</v>
      </c>
      <c r="N498" s="23" t="s">
        <v>122</v>
      </c>
      <c r="O498" s="24">
        <f aca="1">DATEDIF(F498,TODAY(),"Y")</f>
        <v>11</v>
      </c>
      <c r="P498" s="24">
        <f aca="1">DATEDIF(F498,TODAY(),"YM")</f>
        <v>9</v>
      </c>
      <c r="Q498" s="24" t="str">
        <f aca="1">DATEDIF(F498,NOW(),"Y")&amp;" Tahun "&amp;DATEDIF(F498,NOW(),"YM")&amp;" Bulan "&amp;DATEDIF(F498,NOW(),"MD")&amp;" Hari "</f>
        <v>11 Tahun 9 Bulan 6 Hari </v>
      </c>
      <c r="R498" s="41">
        <f>F498</f>
        <v>41640</v>
      </c>
      <c r="S498" s="36" t="n">
        <v>45258</v>
      </c>
      <c r="T498" s="51" t="n">
        <v>2425000</v>
      </c>
      <c r="U498" s="51">
        <f>T498</f>
        <v>2425000</v>
      </c>
      <c r="V498" s="72">
        <f>U498-T498</f>
        <v>0</v>
      </c>
    </row>
    <row r="499" spans="1:22">
      <c r="A499" s="21" t="n">
        <v>496</v>
      </c>
      <c r="B499" s="21" t="str">
        <f>E499</f>
        <v>3513141701880003</v>
      </c>
      <c r="C499" s="38">
        <f>F499</f>
        <v>42005</v>
      </c>
      <c r="D499" s="47" t="s">
        <v>1326</v>
      </c>
      <c r="E499" s="189" t="s">
        <v>1327</v>
      </c>
      <c r="F499" s="38" t="n">
        <v>42005</v>
      </c>
      <c r="G499" s="21" t="s">
        <v>33</v>
      </c>
      <c r="H499" s="21" t="s">
        <v>1177</v>
      </c>
      <c r="I499" s="159" t="s">
        <v>1127</v>
      </c>
      <c r="J499" s="23" t="s">
        <v>1243</v>
      </c>
      <c r="K499" s="22" t="s">
        <v>28</v>
      </c>
      <c r="L499" s="22" t="s">
        <v>673</v>
      </c>
      <c r="M499" s="23" t="s">
        <v>1231</v>
      </c>
      <c r="N499" s="23" t="s">
        <v>1328</v>
      </c>
      <c r="O499" s="24">
        <f aca="1">DATEDIF(F499,TODAY(),"Y")</f>
        <v>10</v>
      </c>
      <c r="P499" s="24">
        <f aca="1">DATEDIF(F499,TODAY(),"YM")</f>
        <v>9</v>
      </c>
      <c r="Q499" s="24" t="str">
        <f aca="1">DATEDIF(F499,NOW(),"Y")&amp;" Tahun "&amp;DATEDIF(F499,NOW(),"YM")&amp;" Bulan "&amp;DATEDIF(F499,NOW(),"MD")&amp;" Hari "</f>
        <v>10 Tahun 9 Bulan 6 Hari </v>
      </c>
      <c r="R499" s="41">
        <f>F499</f>
        <v>42005</v>
      </c>
      <c r="S499" s="36" t="n">
        <v>45258</v>
      </c>
      <c r="T499" s="51" t="n">
        <v>2325000</v>
      </c>
      <c r="U499" s="51">
        <f>T499</f>
        <v>2325000</v>
      </c>
      <c r="V499" s="72">
        <f>U499-T499</f>
        <v>0</v>
      </c>
    </row>
    <row r="500" spans="1:22">
      <c r="A500" s="21" t="n">
        <v>497</v>
      </c>
      <c r="B500" s="21" t="str">
        <f>E500</f>
        <v>3513140407900001</v>
      </c>
      <c r="C500" s="38">
        <f>F500</f>
        <v>42278</v>
      </c>
      <c r="D500" s="22" t="s">
        <v>1329</v>
      </c>
      <c r="E500" s="191" t="s">
        <v>1330</v>
      </c>
      <c r="F500" s="38" t="n">
        <v>42278</v>
      </c>
      <c r="G500" s="21" t="s">
        <v>33</v>
      </c>
      <c r="H500" s="21" t="s">
        <v>1177</v>
      </c>
      <c r="I500" s="159" t="s">
        <v>1127</v>
      </c>
      <c r="J500" s="46" t="s">
        <v>1279</v>
      </c>
      <c r="K500" s="27" t="s">
        <v>96</v>
      </c>
      <c r="L500" s="23" t="s">
        <v>1185</v>
      </c>
      <c r="M500" s="23" t="s">
        <v>161</v>
      </c>
      <c r="N500" s="23" t="s">
        <v>222</v>
      </c>
      <c r="O500" s="24">
        <f aca="1">DATEDIF(F500,TODAY(),"Y")</f>
        <v>10</v>
      </c>
      <c r="P500" s="24">
        <f aca="1">DATEDIF(F500,TODAY(),"YM")</f>
        <v>0</v>
      </c>
      <c r="Q500" s="24" t="str">
        <f aca="1">DATEDIF(F500,NOW(),"Y")&amp;" Tahun "&amp;DATEDIF(F500,NOW(),"YM")&amp;" Bulan "&amp;DATEDIF(F500,NOW(),"MD")&amp;" Hari "</f>
        <v>10 Tahun 0 Bulan 6 Hari </v>
      </c>
      <c r="R500" s="41">
        <f>F500</f>
        <v>42278</v>
      </c>
      <c r="S500" s="36" t="n">
        <v>45258</v>
      </c>
      <c r="T500" s="51" t="n">
        <v>2400000</v>
      </c>
      <c r="U500" s="51" t="n">
        <v>2450000</v>
      </c>
      <c r="V500" s="72">
        <f>U500-T500</f>
        <v>50000</v>
      </c>
    </row>
    <row r="501" spans="1:22">
      <c r="A501" s="21" t="n">
        <v>498</v>
      </c>
      <c r="B501" s="21" t="str">
        <f>E501</f>
        <v>3513155202930002</v>
      </c>
      <c r="C501" s="38">
        <f>F501</f>
        <v>42370</v>
      </c>
      <c r="D501" s="39" t="s">
        <v>1331</v>
      </c>
      <c r="E501" s="192" t="s">
        <v>1332</v>
      </c>
      <c r="F501" s="38" t="n">
        <v>42370</v>
      </c>
      <c r="G501" s="21" t="s">
        <v>24</v>
      </c>
      <c r="H501" s="21" t="s">
        <v>1177</v>
      </c>
      <c r="I501" s="159" t="s">
        <v>1127</v>
      </c>
      <c r="J501" s="23" t="s">
        <v>1184</v>
      </c>
      <c r="K501" s="27" t="s">
        <v>96</v>
      </c>
      <c r="L501" s="23" t="s">
        <v>1185</v>
      </c>
      <c r="M501" s="28" t="s">
        <v>181</v>
      </c>
      <c r="N501" s="23" t="s">
        <v>222</v>
      </c>
      <c r="O501" s="24">
        <f aca="1">DATEDIF(F501,TODAY(),"Y")</f>
        <v>9</v>
      </c>
      <c r="P501" s="24">
        <f aca="1">DATEDIF(F501,TODAY(),"YM")</f>
        <v>9</v>
      </c>
      <c r="Q501" s="24" t="str">
        <f aca="1">DATEDIF(F501,NOW(),"Y")&amp;" Tahun "&amp;DATEDIF(F501,NOW(),"YM")&amp;" Bulan "&amp;DATEDIF(F501,NOW(),"MD")&amp;" Hari "</f>
        <v>9 Tahun 9 Bulan 6 Hari </v>
      </c>
      <c r="R501" s="41">
        <f>F501</f>
        <v>42370</v>
      </c>
      <c r="S501" s="36" t="n">
        <v>45258</v>
      </c>
      <c r="T501" s="51" t="n">
        <v>2375000</v>
      </c>
      <c r="U501" s="51" t="n">
        <v>2425000</v>
      </c>
      <c r="V501" s="72">
        <f>U501-T501</f>
        <v>50000</v>
      </c>
    </row>
    <row r="502" spans="1:22">
      <c r="A502" s="21" t="n">
        <v>499</v>
      </c>
      <c r="B502" s="21" t="str">
        <f>E502</f>
        <v>3513104702920003</v>
      </c>
      <c r="C502" s="38">
        <f>F502</f>
        <v>42370</v>
      </c>
      <c r="D502" s="39" t="s">
        <v>1333</v>
      </c>
      <c r="E502" s="192" t="s">
        <v>1334</v>
      </c>
      <c r="F502" s="38" t="n">
        <v>42370</v>
      </c>
      <c r="G502" s="21" t="s">
        <v>24</v>
      </c>
      <c r="H502" s="21" t="s">
        <v>1177</v>
      </c>
      <c r="I502" s="159" t="s">
        <v>1127</v>
      </c>
      <c r="J502" s="22" t="s">
        <v>1335</v>
      </c>
      <c r="K502" s="27" t="s">
        <v>201</v>
      </c>
      <c r="L502" s="22" t="s">
        <v>1335</v>
      </c>
      <c r="M502" s="28" t="s">
        <v>209</v>
      </c>
      <c r="N502" s="23" t="s">
        <v>737</v>
      </c>
      <c r="O502" s="24">
        <f aca="1">DATEDIF(F502,TODAY(),"Y")</f>
        <v>9</v>
      </c>
      <c r="P502" s="24">
        <f aca="1">DATEDIF(F502,TODAY(),"YM")</f>
        <v>9</v>
      </c>
      <c r="Q502" s="24" t="str">
        <f aca="1">DATEDIF(F502,NOW(),"Y")&amp;" Tahun "&amp;DATEDIF(F502,NOW(),"YM")&amp;" Bulan "&amp;DATEDIF(F502,NOW(),"MD")&amp;" Hari "</f>
        <v>9 Tahun 9 Bulan 6 Hari </v>
      </c>
      <c r="R502" s="41">
        <f>F502</f>
        <v>42370</v>
      </c>
      <c r="S502" s="36" t="n">
        <v>45258</v>
      </c>
      <c r="T502" s="51" t="n">
        <v>2375000</v>
      </c>
      <c r="U502" s="51" t="n">
        <v>2425000</v>
      </c>
      <c r="V502" s="72">
        <f>U502-T502</f>
        <v>50000</v>
      </c>
    </row>
    <row r="503" spans="1:22">
      <c r="A503" s="21" t="n">
        <v>500</v>
      </c>
      <c r="B503" s="21" t="str">
        <f>E503</f>
        <v>3513127001900001</v>
      </c>
      <c r="C503" s="38">
        <f>F503</f>
        <v>42370</v>
      </c>
      <c r="D503" s="22" t="s">
        <v>1336</v>
      </c>
      <c r="E503" s="191" t="s">
        <v>1337</v>
      </c>
      <c r="F503" s="38" t="n">
        <v>42370</v>
      </c>
      <c r="G503" s="21" t="s">
        <v>24</v>
      </c>
      <c r="H503" s="21" t="s">
        <v>1177</v>
      </c>
      <c r="I503" s="159" t="s">
        <v>1127</v>
      </c>
      <c r="J503" s="22" t="s">
        <v>1335</v>
      </c>
      <c r="K503" s="27" t="s">
        <v>201</v>
      </c>
      <c r="L503" s="22" t="s">
        <v>1335</v>
      </c>
      <c r="M503" s="28" t="s">
        <v>209</v>
      </c>
      <c r="N503" s="23" t="s">
        <v>210</v>
      </c>
      <c r="O503" s="24">
        <f aca="1">DATEDIF(F503,TODAY(),"Y")</f>
        <v>9</v>
      </c>
      <c r="P503" s="24">
        <f aca="1">DATEDIF(F503,TODAY(),"YM")</f>
        <v>9</v>
      </c>
      <c r="Q503" s="24" t="str">
        <f aca="1">DATEDIF(F503,NOW(),"Y")&amp;" Tahun "&amp;DATEDIF(F503,NOW(),"YM")&amp;" Bulan "&amp;DATEDIF(F503,NOW(),"MD")&amp;" Hari "</f>
        <v>9 Tahun 9 Bulan 6 Hari </v>
      </c>
      <c r="R503" s="41">
        <f>F503</f>
        <v>42370</v>
      </c>
      <c r="S503" s="36" t="n">
        <v>45258</v>
      </c>
      <c r="T503" s="51" t="n">
        <v>2375000</v>
      </c>
      <c r="U503" s="51" t="n">
        <v>2425000</v>
      </c>
      <c r="V503" s="72">
        <f>U503-T503</f>
        <v>50000</v>
      </c>
    </row>
    <row r="504" spans="1:22">
      <c r="A504" s="21" t="n">
        <v>501</v>
      </c>
      <c r="B504" s="21" t="str">
        <f>E504</f>
        <v>3513140307880001</v>
      </c>
      <c r="C504" s="38">
        <f>F504</f>
        <v>42370</v>
      </c>
      <c r="D504" s="22" t="s">
        <v>1338</v>
      </c>
      <c r="E504" s="191" t="s">
        <v>1339</v>
      </c>
      <c r="F504" s="38" t="n">
        <v>42370</v>
      </c>
      <c r="G504" s="21" t="s">
        <v>33</v>
      </c>
      <c r="H504" s="21" t="s">
        <v>1177</v>
      </c>
      <c r="I504" s="159" t="s">
        <v>1127</v>
      </c>
      <c r="J504" s="46" t="s">
        <v>1279</v>
      </c>
      <c r="K504" s="27" t="s">
        <v>96</v>
      </c>
      <c r="L504" s="23" t="s">
        <v>1185</v>
      </c>
      <c r="M504" s="23" t="s">
        <v>161</v>
      </c>
      <c r="N504" s="23" t="s">
        <v>222</v>
      </c>
      <c r="O504" s="24">
        <f aca="1">DATEDIF(F504,TODAY(),"Y")</f>
        <v>9</v>
      </c>
      <c r="P504" s="24">
        <f aca="1">DATEDIF(F504,TODAY(),"YM")</f>
        <v>9</v>
      </c>
      <c r="Q504" s="24" t="str">
        <f aca="1">DATEDIF(F504,NOW(),"Y")&amp;" Tahun "&amp;DATEDIF(F504,NOW(),"YM")&amp;" Bulan "&amp;DATEDIF(F504,NOW(),"MD")&amp;" Hari "</f>
        <v>9 Tahun 9 Bulan 6 Hari </v>
      </c>
      <c r="R504" s="41">
        <f>F504</f>
        <v>42370</v>
      </c>
      <c r="S504" s="36" t="n">
        <v>45258</v>
      </c>
      <c r="T504" s="51" t="n">
        <v>2400000</v>
      </c>
      <c r="U504" s="51" t="n">
        <v>2450000</v>
      </c>
      <c r="V504" s="72">
        <f>U504-T504</f>
        <v>50000</v>
      </c>
    </row>
    <row r="505" spans="1:22">
      <c r="A505" s="21" t="n">
        <v>502</v>
      </c>
      <c r="B505" s="21" t="str">
        <f>E505</f>
        <v>3513135209910002</v>
      </c>
      <c r="C505" s="38">
        <f>F505</f>
        <v>42370</v>
      </c>
      <c r="D505" s="22" t="s">
        <v>1340</v>
      </c>
      <c r="E505" s="191" t="s">
        <v>1341</v>
      </c>
      <c r="F505" s="38" t="n">
        <v>42370</v>
      </c>
      <c r="G505" s="21" t="s">
        <v>24</v>
      </c>
      <c r="H505" s="21" t="s">
        <v>1177</v>
      </c>
      <c r="I505" s="159" t="s">
        <v>1127</v>
      </c>
      <c r="J505" s="22" t="s">
        <v>1342</v>
      </c>
      <c r="K505" s="27" t="s">
        <v>201</v>
      </c>
      <c r="L505" s="22" t="s">
        <v>1342</v>
      </c>
      <c r="M505" s="28" t="s">
        <v>202</v>
      </c>
      <c r="N505" s="23" t="s">
        <v>158</v>
      </c>
      <c r="O505" s="24">
        <f aca="1">DATEDIF(F505,TODAY(),"Y")</f>
        <v>9</v>
      </c>
      <c r="P505" s="24">
        <f aca="1">DATEDIF(F505,TODAY(),"YM")</f>
        <v>9</v>
      </c>
      <c r="Q505" s="24" t="str">
        <f aca="1">DATEDIF(F505,NOW(),"Y")&amp;" Tahun "&amp;DATEDIF(F505,NOW(),"YM")&amp;" Bulan "&amp;DATEDIF(F505,NOW(),"MD")&amp;" Hari "</f>
        <v>9 Tahun 9 Bulan 6 Hari </v>
      </c>
      <c r="R505" s="41">
        <f>F505</f>
        <v>42370</v>
      </c>
      <c r="S505" s="36" t="n">
        <v>45258</v>
      </c>
      <c r="T505" s="51" t="n">
        <v>2400000</v>
      </c>
      <c r="U505" s="51" t="n">
        <v>2450000</v>
      </c>
      <c r="V505" s="72">
        <f>U505-T505</f>
        <v>50000</v>
      </c>
    </row>
    <row r="506" spans="1:22">
      <c r="A506" s="21" t="n">
        <v>503</v>
      </c>
      <c r="B506" s="21" t="str">
        <f>E506</f>
        <v>3513145105930004</v>
      </c>
      <c r="C506" s="38">
        <f>F506</f>
        <v>42370</v>
      </c>
      <c r="D506" s="50" t="s">
        <v>1343</v>
      </c>
      <c r="E506" s="193" t="s">
        <v>1344</v>
      </c>
      <c r="F506" s="38" t="n">
        <v>42370</v>
      </c>
      <c r="G506" s="21" t="s">
        <v>24</v>
      </c>
      <c r="H506" s="21" t="s">
        <v>1177</v>
      </c>
      <c r="I506" s="159" t="s">
        <v>1127</v>
      </c>
      <c r="J506" s="22" t="s">
        <v>818</v>
      </c>
      <c r="K506" s="22" t="s">
        <v>28</v>
      </c>
      <c r="L506" s="22" t="s">
        <v>673</v>
      </c>
      <c r="M506" s="23" t="s">
        <v>1194</v>
      </c>
      <c r="N506" s="23" t="s">
        <v>103</v>
      </c>
      <c r="O506" s="24">
        <f aca="1">DATEDIF(F506,TODAY(),"Y")</f>
        <v>9</v>
      </c>
      <c r="P506" s="24">
        <f aca="1">DATEDIF(F506,TODAY(),"YM")</f>
        <v>9</v>
      </c>
      <c r="Q506" s="24" t="str">
        <f aca="1">DATEDIF(F506,NOW(),"Y")&amp;" Tahun "&amp;DATEDIF(F506,NOW(),"YM")&amp;" Bulan "&amp;DATEDIF(F506,NOW(),"MD")&amp;" Hari "</f>
        <v>9 Tahun 9 Bulan 6 Hari </v>
      </c>
      <c r="R506" s="41">
        <f>F506</f>
        <v>42370</v>
      </c>
      <c r="S506" s="36" t="n">
        <v>45258</v>
      </c>
      <c r="T506" s="51" t="n">
        <v>2275000</v>
      </c>
      <c r="U506" s="51" t="n">
        <v>2325000</v>
      </c>
      <c r="V506" s="72">
        <f>U506-T506</f>
        <v>50000</v>
      </c>
    </row>
    <row r="507" spans="1:22">
      <c r="A507" s="21" t="n">
        <v>504</v>
      </c>
      <c r="B507" s="21" t="str">
        <f>E507</f>
        <v>3514075607910001</v>
      </c>
      <c r="C507" s="38">
        <f>F507</f>
        <v>42370</v>
      </c>
      <c r="D507" s="47" t="s">
        <v>1345</v>
      </c>
      <c r="E507" s="194" t="s">
        <v>1346</v>
      </c>
      <c r="F507" s="38" t="n">
        <v>42370</v>
      </c>
      <c r="G507" s="21" t="s">
        <v>24</v>
      </c>
      <c r="H507" s="21" t="s">
        <v>1177</v>
      </c>
      <c r="I507" s="159" t="s">
        <v>1127</v>
      </c>
      <c r="J507" s="22" t="s">
        <v>818</v>
      </c>
      <c r="K507" s="22" t="s">
        <v>28</v>
      </c>
      <c r="L507" s="22" t="s">
        <v>673</v>
      </c>
      <c r="M507" s="23" t="s">
        <v>1347</v>
      </c>
      <c r="N507" s="23" t="s">
        <v>53</v>
      </c>
      <c r="O507" s="24">
        <f aca="1">DATEDIF(F507,TODAY(),"Y")</f>
        <v>9</v>
      </c>
      <c r="P507" s="24">
        <f aca="1">DATEDIF(F507,TODAY(),"YM")</f>
        <v>9</v>
      </c>
      <c r="Q507" s="24" t="str">
        <f aca="1">DATEDIF(F507,NOW(),"Y")&amp;" Tahun "&amp;DATEDIF(F507,NOW(),"YM")&amp;" Bulan "&amp;DATEDIF(F507,NOW(),"MD")&amp;" Hari "</f>
        <v>9 Tahun 9 Bulan 6 Hari </v>
      </c>
      <c r="R507" s="41">
        <f>F507</f>
        <v>42370</v>
      </c>
      <c r="S507" s="36" t="n">
        <v>45258</v>
      </c>
      <c r="T507" s="51" t="n">
        <v>2275000</v>
      </c>
      <c r="U507" s="51" t="n">
        <v>2325000</v>
      </c>
      <c r="V507" s="72">
        <f>U507-T507</f>
        <v>50000</v>
      </c>
    </row>
    <row r="508" spans="1:22">
      <c r="A508" s="21" t="n">
        <v>505</v>
      </c>
      <c r="B508" s="21" t="str">
        <f>E508</f>
        <v>3513124103880004</v>
      </c>
      <c r="C508" s="38">
        <f>F508</f>
        <v>42370</v>
      </c>
      <c r="D508" s="22" t="s">
        <v>1348</v>
      </c>
      <c r="E508" s="191" t="s">
        <v>1349</v>
      </c>
      <c r="F508" s="38" t="n">
        <v>42370</v>
      </c>
      <c r="G508" s="21" t="s">
        <v>24</v>
      </c>
      <c r="H508" s="21" t="s">
        <v>1177</v>
      </c>
      <c r="I508" s="159" t="s">
        <v>1127</v>
      </c>
      <c r="J508" s="22" t="s">
        <v>1335</v>
      </c>
      <c r="K508" s="27" t="s">
        <v>201</v>
      </c>
      <c r="L508" s="22" t="s">
        <v>1335</v>
      </c>
      <c r="M508" s="28" t="s">
        <v>209</v>
      </c>
      <c r="N508" s="23" t="s">
        <v>461</v>
      </c>
      <c r="O508" s="24">
        <f aca="1">DATEDIF(F508,TODAY(),"Y")</f>
        <v>9</v>
      </c>
      <c r="P508" s="24">
        <f aca="1">DATEDIF(F508,TODAY(),"YM")</f>
        <v>9</v>
      </c>
      <c r="Q508" s="24" t="str">
        <f aca="1">DATEDIF(F508,NOW(),"Y")&amp;" Tahun "&amp;DATEDIF(F508,NOW(),"YM")&amp;" Bulan "&amp;DATEDIF(F508,NOW(),"MD")&amp;" Hari "</f>
        <v>9 Tahun 9 Bulan 6 Hari </v>
      </c>
      <c r="R508" s="41">
        <f>F508</f>
        <v>42370</v>
      </c>
      <c r="S508" s="36" t="n">
        <v>45258</v>
      </c>
      <c r="T508" s="51" t="n">
        <v>2375000</v>
      </c>
      <c r="U508" s="51" t="n">
        <v>2425000</v>
      </c>
      <c r="V508" s="72">
        <f>U508-T508</f>
        <v>50000</v>
      </c>
    </row>
    <row r="509" spans="1:22">
      <c r="A509" s="21" t="n">
        <v>506</v>
      </c>
      <c r="B509" s="21" t="str">
        <f>E509</f>
        <v>3513145702910001</v>
      </c>
      <c r="C509" s="38">
        <f>F509</f>
        <v>42370</v>
      </c>
      <c r="D509" s="22" t="s">
        <v>1350</v>
      </c>
      <c r="E509" s="191" t="s">
        <v>1351</v>
      </c>
      <c r="F509" s="38" t="n">
        <v>42370</v>
      </c>
      <c r="G509" s="21" t="s">
        <v>24</v>
      </c>
      <c r="H509" s="21" t="s">
        <v>1177</v>
      </c>
      <c r="I509" s="159" t="s">
        <v>1127</v>
      </c>
      <c r="J509" s="22" t="s">
        <v>818</v>
      </c>
      <c r="K509" s="22" t="s">
        <v>28</v>
      </c>
      <c r="L509" s="25" t="s">
        <v>262</v>
      </c>
      <c r="M509" s="23" t="s">
        <v>1352</v>
      </c>
      <c r="N509" s="23" t="s">
        <v>496</v>
      </c>
      <c r="O509" s="24">
        <f aca="1">DATEDIF(F509,TODAY(),"Y")</f>
        <v>9</v>
      </c>
      <c r="P509" s="24">
        <f aca="1">DATEDIF(F509,TODAY(),"YM")</f>
        <v>9</v>
      </c>
      <c r="Q509" s="24" t="str">
        <f aca="1">DATEDIF(F509,NOW(),"Y")&amp;" Tahun "&amp;DATEDIF(F509,NOW(),"YM")&amp;" Bulan "&amp;DATEDIF(F509,NOW(),"MD")&amp;" Hari "</f>
        <v>9 Tahun 9 Bulan 6 Hari </v>
      </c>
      <c r="R509" s="41">
        <f>F509</f>
        <v>42370</v>
      </c>
      <c r="S509" s="36" t="n">
        <v>45258</v>
      </c>
      <c r="T509" s="51" t="n">
        <v>2400000</v>
      </c>
      <c r="U509" s="51" t="n">
        <v>2450000</v>
      </c>
      <c r="V509" s="72">
        <f>U509-T509</f>
        <v>50000</v>
      </c>
    </row>
    <row r="510" spans="1:22">
      <c r="A510" s="21" t="n">
        <v>507</v>
      </c>
      <c r="B510" s="21" t="str">
        <f>E510</f>
        <v>3513142004840001</v>
      </c>
      <c r="C510" s="38">
        <f>F510</f>
        <v>42370</v>
      </c>
      <c r="D510" s="22" t="s">
        <v>1353</v>
      </c>
      <c r="E510" s="191" t="s">
        <v>1354</v>
      </c>
      <c r="F510" s="38" t="n">
        <v>42370</v>
      </c>
      <c r="G510" s="21" t="s">
        <v>33</v>
      </c>
      <c r="H510" s="21" t="s">
        <v>1177</v>
      </c>
      <c r="I510" s="159" t="s">
        <v>1127</v>
      </c>
      <c r="J510" s="22" t="s">
        <v>818</v>
      </c>
      <c r="K510" s="22" t="s">
        <v>28</v>
      </c>
      <c r="L510" s="22" t="s">
        <v>673</v>
      </c>
      <c r="M510" s="23" t="s">
        <v>1231</v>
      </c>
      <c r="N510" s="23" t="s">
        <v>68</v>
      </c>
      <c r="O510" s="24">
        <f aca="1">DATEDIF(F510,TODAY(),"Y")</f>
        <v>9</v>
      </c>
      <c r="P510" s="24">
        <f aca="1">DATEDIF(F510,TODAY(),"YM")</f>
        <v>9</v>
      </c>
      <c r="Q510" s="24" t="str">
        <f aca="1">DATEDIF(F510,NOW(),"Y")&amp;" Tahun "&amp;DATEDIF(F510,NOW(),"YM")&amp;" Bulan "&amp;DATEDIF(F510,NOW(),"MD")&amp;" Hari "</f>
        <v>9 Tahun 9 Bulan 6 Hari </v>
      </c>
      <c r="R510" s="41">
        <f>F510</f>
        <v>42370</v>
      </c>
      <c r="S510" s="36" t="n">
        <v>45258</v>
      </c>
      <c r="T510" s="51" t="n">
        <v>2275000</v>
      </c>
      <c r="U510" s="51" t="n">
        <v>2325000</v>
      </c>
      <c r="V510" s="72">
        <f>U510-T510</f>
        <v>50000</v>
      </c>
    </row>
    <row r="511" spans="1:22">
      <c r="A511" s="21" t="n">
        <v>508</v>
      </c>
      <c r="B511" s="21" t="str">
        <f>E511</f>
        <v>3513132207880002</v>
      </c>
      <c r="C511" s="38">
        <f>F511</f>
        <v>42370</v>
      </c>
      <c r="D511" s="22" t="s">
        <v>1355</v>
      </c>
      <c r="E511" s="191" t="s">
        <v>1356</v>
      </c>
      <c r="F511" s="38" t="n">
        <v>42370</v>
      </c>
      <c r="G511" s="21" t="s">
        <v>33</v>
      </c>
      <c r="H511" s="21" t="s">
        <v>1177</v>
      </c>
      <c r="I511" s="159" t="s">
        <v>1127</v>
      </c>
      <c r="J511" s="22" t="s">
        <v>818</v>
      </c>
      <c r="K511" s="22" t="s">
        <v>28</v>
      </c>
      <c r="L511" s="22" t="s">
        <v>673</v>
      </c>
      <c r="M511" s="23" t="s">
        <v>1231</v>
      </c>
      <c r="N511" s="23" t="s">
        <v>268</v>
      </c>
      <c r="O511" s="24">
        <f aca="1">DATEDIF(F511,TODAY(),"Y")</f>
        <v>9</v>
      </c>
      <c r="P511" s="24">
        <f aca="1">DATEDIF(F511,TODAY(),"YM")</f>
        <v>9</v>
      </c>
      <c r="Q511" s="24" t="str">
        <f aca="1">DATEDIF(F511,NOW(),"Y")&amp;" Tahun "&amp;DATEDIF(F511,NOW(),"YM")&amp;" Bulan "&amp;DATEDIF(F511,NOW(),"MD")&amp;" Hari "</f>
        <v>9 Tahun 9 Bulan 6 Hari </v>
      </c>
      <c r="R511" s="41">
        <f>F511</f>
        <v>42370</v>
      </c>
      <c r="S511" s="36" t="n">
        <v>45258</v>
      </c>
      <c r="T511" s="51" t="n">
        <v>2275000</v>
      </c>
      <c r="U511" s="51" t="n">
        <v>2325000</v>
      </c>
      <c r="V511" s="72">
        <f>U511-T511</f>
        <v>50000</v>
      </c>
    </row>
    <row r="512" spans="1:22">
      <c r="A512" s="21" t="n">
        <v>509</v>
      </c>
      <c r="B512" s="21" t="str">
        <f>E512</f>
        <v>3513110101910005</v>
      </c>
      <c r="C512" s="38">
        <f>F512</f>
        <v>42370</v>
      </c>
      <c r="D512" s="22" t="s">
        <v>1357</v>
      </c>
      <c r="E512" s="191" t="s">
        <v>1358</v>
      </c>
      <c r="F512" s="38" t="n">
        <v>42370</v>
      </c>
      <c r="G512" s="21" t="s">
        <v>33</v>
      </c>
      <c r="H512" s="21" t="s">
        <v>1177</v>
      </c>
      <c r="I512" s="159" t="s">
        <v>1127</v>
      </c>
      <c r="J512" s="46" t="s">
        <v>1279</v>
      </c>
      <c r="K512" s="27" t="s">
        <v>96</v>
      </c>
      <c r="L512" s="23" t="s">
        <v>1185</v>
      </c>
      <c r="M512" s="23" t="s">
        <v>161</v>
      </c>
      <c r="N512" s="23" t="s">
        <v>396</v>
      </c>
      <c r="O512" s="24">
        <f aca="1">DATEDIF(F512,TODAY(),"Y")</f>
        <v>9</v>
      </c>
      <c r="P512" s="24">
        <f aca="1">DATEDIF(F512,TODAY(),"YM")</f>
        <v>9</v>
      </c>
      <c r="Q512" s="24" t="str">
        <f aca="1">DATEDIF(F512,NOW(),"Y")&amp;" Tahun "&amp;DATEDIF(F512,NOW(),"YM")&amp;" Bulan "&amp;DATEDIF(F512,NOW(),"MD")&amp;" Hari "</f>
        <v>9 Tahun 9 Bulan 6 Hari </v>
      </c>
      <c r="R512" s="41">
        <f>F512</f>
        <v>42370</v>
      </c>
      <c r="S512" s="36" t="n">
        <v>45258</v>
      </c>
      <c r="T512" s="51" t="n">
        <v>2400000</v>
      </c>
      <c r="U512" s="51" t="n">
        <v>2450000</v>
      </c>
      <c r="V512" s="72">
        <f>U512-T512</f>
        <v>50000</v>
      </c>
    </row>
    <row r="513" spans="1:22">
      <c r="A513" s="21" t="n">
        <v>510</v>
      </c>
      <c r="B513" s="21" t="str">
        <f>E513</f>
        <v>3513175912940002</v>
      </c>
      <c r="C513" s="38">
        <f>F513</f>
        <v>42370</v>
      </c>
      <c r="D513" s="22" t="s">
        <v>1359</v>
      </c>
      <c r="E513" s="191" t="s">
        <v>1360</v>
      </c>
      <c r="F513" s="38" t="n">
        <v>42370</v>
      </c>
      <c r="G513" s="21" t="s">
        <v>24</v>
      </c>
      <c r="H513" s="21" t="s">
        <v>1177</v>
      </c>
      <c r="I513" s="159" t="s">
        <v>1127</v>
      </c>
      <c r="J513" s="22" t="s">
        <v>1335</v>
      </c>
      <c r="K513" s="27" t="s">
        <v>201</v>
      </c>
      <c r="L513" s="22" t="s">
        <v>1335</v>
      </c>
      <c r="M513" s="28" t="s">
        <v>209</v>
      </c>
      <c r="N513" s="23" t="s">
        <v>162</v>
      </c>
      <c r="O513" s="24">
        <f aca="1">DATEDIF(F513,TODAY(),"Y")</f>
        <v>9</v>
      </c>
      <c r="P513" s="24">
        <f aca="1">DATEDIF(F513,TODAY(),"YM")</f>
        <v>9</v>
      </c>
      <c r="Q513" s="24" t="str">
        <f aca="1">DATEDIF(F513,NOW(),"Y")&amp;" Tahun "&amp;DATEDIF(F513,NOW(),"YM")&amp;" Bulan "&amp;DATEDIF(F513,NOW(),"MD")&amp;" Hari "</f>
        <v>9 Tahun 9 Bulan 6 Hari </v>
      </c>
      <c r="R513" s="41">
        <f>F513</f>
        <v>42370</v>
      </c>
      <c r="S513" s="36" t="n">
        <v>45258</v>
      </c>
      <c r="T513" s="51" t="n">
        <v>2375000</v>
      </c>
      <c r="U513" s="51" t="n">
        <v>2425000</v>
      </c>
      <c r="V513" s="72">
        <f>U513-T513</f>
        <v>50000</v>
      </c>
    </row>
    <row r="514" spans="1:22">
      <c r="A514" s="21" t="n">
        <v>511</v>
      </c>
      <c r="B514" s="21" t="str">
        <f>E514</f>
        <v>3574032809890004</v>
      </c>
      <c r="C514" s="38">
        <f>F514</f>
        <v>42370</v>
      </c>
      <c r="D514" s="22" t="s">
        <v>1361</v>
      </c>
      <c r="E514" s="191" t="s">
        <v>1362</v>
      </c>
      <c r="F514" s="38" t="n">
        <v>42370</v>
      </c>
      <c r="G514" s="21" t="s">
        <v>33</v>
      </c>
      <c r="H514" s="21" t="s">
        <v>1177</v>
      </c>
      <c r="I514" s="159" t="s">
        <v>1127</v>
      </c>
      <c r="J514" s="22" t="s">
        <v>818</v>
      </c>
      <c r="K514" s="22" t="s">
        <v>28</v>
      </c>
      <c r="L514" s="25" t="s">
        <v>262</v>
      </c>
      <c r="M514" s="23" t="s">
        <v>1305</v>
      </c>
      <c r="N514" s="23" t="s">
        <v>128</v>
      </c>
      <c r="O514" s="24">
        <f aca="1">DATEDIF(F514,TODAY(),"Y")</f>
        <v>9</v>
      </c>
      <c r="P514" s="24">
        <f aca="1">DATEDIF(F514,TODAY(),"YM")</f>
        <v>9</v>
      </c>
      <c r="Q514" s="24" t="str">
        <f aca="1">DATEDIF(F514,NOW(),"Y")&amp;" Tahun "&amp;DATEDIF(F514,NOW(),"YM")&amp;" Bulan "&amp;DATEDIF(F514,NOW(),"MD")&amp;" Hari "</f>
        <v>9 Tahun 9 Bulan 6 Hari </v>
      </c>
      <c r="R514" s="41">
        <f>F514</f>
        <v>42370</v>
      </c>
      <c r="S514" s="36" t="n">
        <v>45258</v>
      </c>
      <c r="T514" s="51" t="n">
        <v>2400000</v>
      </c>
      <c r="U514" s="51" t="n">
        <v>2450000</v>
      </c>
      <c r="V514" s="72">
        <f>U514-T514</f>
        <v>50000</v>
      </c>
    </row>
    <row r="515" spans="1:22">
      <c r="A515" s="21" t="n">
        <v>512</v>
      </c>
      <c r="B515" s="21" t="str">
        <f>E515</f>
        <v>3513104504890001</v>
      </c>
      <c r="C515" s="38">
        <f>F515</f>
        <v>42583</v>
      </c>
      <c r="D515" s="22" t="s">
        <v>1363</v>
      </c>
      <c r="E515" s="191" t="s">
        <v>1364</v>
      </c>
      <c r="F515" s="38" t="n">
        <v>42583</v>
      </c>
      <c r="G515" s="21" t="s">
        <v>24</v>
      </c>
      <c r="H515" s="21" t="s">
        <v>1177</v>
      </c>
      <c r="I515" s="159" t="s">
        <v>1127</v>
      </c>
      <c r="J515" s="22" t="s">
        <v>1342</v>
      </c>
      <c r="K515" s="27" t="s">
        <v>201</v>
      </c>
      <c r="L515" s="22" t="s">
        <v>1342</v>
      </c>
      <c r="M515" s="28" t="s">
        <v>202</v>
      </c>
      <c r="N515" s="23" t="s">
        <v>210</v>
      </c>
      <c r="O515" s="24">
        <f aca="1">DATEDIF(F515,TODAY(),"Y")</f>
        <v>9</v>
      </c>
      <c r="P515" s="24">
        <f aca="1">DATEDIF(F515,TODAY(),"YM")</f>
        <v>2</v>
      </c>
      <c r="Q515" s="24" t="str">
        <f aca="1">DATEDIF(F515,NOW(),"Y")&amp;" Tahun "&amp;DATEDIF(F515,NOW(),"YM")&amp;" Bulan "&amp;DATEDIF(F515,NOW(),"MD")&amp;" Hari "</f>
        <v>9 Tahun 2 Bulan 6 Hari </v>
      </c>
      <c r="R515" s="41">
        <f>F515</f>
        <v>42583</v>
      </c>
      <c r="S515" s="36" t="n">
        <v>45258</v>
      </c>
      <c r="T515" s="51" t="n">
        <v>2400000</v>
      </c>
      <c r="U515" s="51" t="n">
        <v>2450000</v>
      </c>
      <c r="V515" s="72">
        <f>U515-T515</f>
        <v>50000</v>
      </c>
    </row>
    <row r="516" spans="1:22">
      <c r="A516" s="21" t="n">
        <v>513</v>
      </c>
      <c r="B516" s="21" t="str">
        <f>E516</f>
        <v>3513136009910002</v>
      </c>
      <c r="C516" s="38">
        <f>F516</f>
        <v>43040</v>
      </c>
      <c r="D516" s="22" t="s">
        <v>1365</v>
      </c>
      <c r="E516" s="191" t="s">
        <v>1366</v>
      </c>
      <c r="F516" s="38" t="n">
        <v>43040</v>
      </c>
      <c r="G516" s="21" t="s">
        <v>24</v>
      </c>
      <c r="H516" s="21" t="s">
        <v>1177</v>
      </c>
      <c r="I516" s="159" t="s">
        <v>1127</v>
      </c>
      <c r="J516" s="22" t="s">
        <v>1367</v>
      </c>
      <c r="K516" s="22" t="s">
        <v>28</v>
      </c>
      <c r="L516" s="25" t="s">
        <v>262</v>
      </c>
      <c r="M516" s="23" t="s">
        <v>1368</v>
      </c>
      <c r="N516" s="23" t="s">
        <v>119</v>
      </c>
      <c r="O516" s="24">
        <f aca="1">DATEDIF(F516,TODAY(),"Y")</f>
        <v>7</v>
      </c>
      <c r="P516" s="24">
        <f aca="1">DATEDIF(F516,TODAY(),"YM")</f>
        <v>11</v>
      </c>
      <c r="Q516" s="24" t="str">
        <f aca="1">DATEDIF(F516,NOW(),"Y")&amp;" Tahun "&amp;DATEDIF(F516,NOW(),"YM")&amp;" Bulan "&amp;DATEDIF(F516,NOW(),"MD")&amp;" Hari "</f>
        <v>7 Tahun 11 Bulan 6 Hari </v>
      </c>
      <c r="R516" s="41">
        <f>F516</f>
        <v>43040</v>
      </c>
      <c r="S516" s="36" t="n">
        <v>45258</v>
      </c>
      <c r="T516" s="51" t="n">
        <v>3100000</v>
      </c>
      <c r="U516" s="51" t="n">
        <v>3100000</v>
      </c>
      <c r="V516" s="72">
        <f>U516-T516</f>
        <v>0</v>
      </c>
    </row>
    <row r="517" spans="1:22">
      <c r="A517" s="21" t="n">
        <v>514</v>
      </c>
      <c r="B517" s="21" t="str">
        <f>E517</f>
        <v>3513090111900002</v>
      </c>
      <c r="C517" s="38">
        <f>F517</f>
        <v>43101</v>
      </c>
      <c r="D517" s="22" t="s">
        <v>1369</v>
      </c>
      <c r="E517" s="191" t="s">
        <v>1370</v>
      </c>
      <c r="F517" s="38" t="n">
        <v>43101</v>
      </c>
      <c r="G517" s="21" t="s">
        <v>33</v>
      </c>
      <c r="H517" s="21" t="s">
        <v>1177</v>
      </c>
      <c r="I517" s="159" t="s">
        <v>1127</v>
      </c>
      <c r="J517" s="46" t="s">
        <v>1279</v>
      </c>
      <c r="K517" s="27" t="s">
        <v>96</v>
      </c>
      <c r="L517" s="23" t="s">
        <v>1185</v>
      </c>
      <c r="M517" s="23" t="s">
        <v>161</v>
      </c>
      <c r="N517" s="23" t="s">
        <v>222</v>
      </c>
      <c r="O517" s="24">
        <f aca="1">DATEDIF(F517,TODAY(),"Y")</f>
        <v>7</v>
      </c>
      <c r="P517" s="24">
        <f aca="1">DATEDIF(F517,TODAY(),"YM")</f>
        <v>9</v>
      </c>
      <c r="Q517" s="24" t="str">
        <f aca="1">DATEDIF(F517,NOW(),"Y")&amp;" Tahun "&amp;DATEDIF(F517,NOW(),"YM")&amp;" Bulan "&amp;DATEDIF(F517,NOW(),"MD")&amp;" Hari "</f>
        <v>7 Tahun 9 Bulan 6 Hari </v>
      </c>
      <c r="R517" s="41">
        <f>F517</f>
        <v>43101</v>
      </c>
      <c r="S517" s="36" t="n">
        <v>45258</v>
      </c>
      <c r="T517" s="51" t="n">
        <v>2400000</v>
      </c>
      <c r="U517" s="51">
        <f>T517</f>
        <v>2400000</v>
      </c>
      <c r="V517" s="72">
        <f>U517-T517</f>
        <v>0</v>
      </c>
    </row>
    <row r="518" spans="1:22">
      <c r="A518" s="21" t="n">
        <v>515</v>
      </c>
      <c r="B518" s="21" t="str">
        <f>E518</f>
        <v>3513201507810002</v>
      </c>
      <c r="C518" s="38">
        <f>F518</f>
        <v>38504</v>
      </c>
      <c r="D518" s="25" t="s">
        <v>1371</v>
      </c>
      <c r="E518" s="195" t="s">
        <v>1372</v>
      </c>
      <c r="F518" s="36" t="n">
        <v>38504</v>
      </c>
      <c r="G518" s="25" t="s">
        <v>33</v>
      </c>
      <c r="H518" s="21" t="s">
        <v>1177</v>
      </c>
      <c r="I518" s="159" t="s">
        <v>1127</v>
      </c>
      <c r="J518" s="23" t="s">
        <v>1184</v>
      </c>
      <c r="K518" s="27" t="s">
        <v>96</v>
      </c>
      <c r="L518" s="23" t="s">
        <v>1185</v>
      </c>
      <c r="M518" s="28" t="s">
        <v>181</v>
      </c>
      <c r="N518" s="23" t="s">
        <v>225</v>
      </c>
      <c r="O518" s="24">
        <f aca="1">DATEDIF(F518,TODAY(),"Y")</f>
        <v>20</v>
      </c>
      <c r="P518" s="24">
        <f aca="1">DATEDIF(F518,TODAY(),"YM")</f>
        <v>4</v>
      </c>
      <c r="Q518" s="24" t="str">
        <f aca="1">DATEDIF(F518,NOW(),"Y")&amp;" Tahun "&amp;DATEDIF(F518,NOW(),"YM")&amp;" Bulan "&amp;DATEDIF(F518,NOW(),"MD")&amp;" Hari "</f>
        <v>20 Tahun 4 Bulan 6 Hari </v>
      </c>
      <c r="R518" s="41">
        <f>F518</f>
        <v>38504</v>
      </c>
      <c r="S518" s="36" t="n">
        <v>45258</v>
      </c>
      <c r="T518" s="51" t="n">
        <v>2425000</v>
      </c>
      <c r="U518" s="51" t="n">
        <v>2525000</v>
      </c>
      <c r="V518" s="72">
        <f>U518-T518</f>
        <v>100000</v>
      </c>
    </row>
    <row r="519" spans="1:22" s="56" customFormat="1">
      <c r="A519" s="21" t="n">
        <v>516</v>
      </c>
      <c r="B519" s="21" t="str">
        <f>E519</f>
        <v>3513200102760003</v>
      </c>
      <c r="C519" s="38">
        <f>F519</f>
        <v>38504</v>
      </c>
      <c r="D519" s="25" t="s">
        <v>1373</v>
      </c>
      <c r="E519" s="195" t="s">
        <v>1374</v>
      </c>
      <c r="F519" s="36" t="n">
        <v>38504</v>
      </c>
      <c r="G519" s="21" t="s">
        <v>33</v>
      </c>
      <c r="H519" s="21" t="s">
        <v>1177</v>
      </c>
      <c r="I519" s="21"/>
      <c r="J519" s="23" t="s">
        <v>1184</v>
      </c>
      <c r="K519" s="27" t="s">
        <v>96</v>
      </c>
      <c r="L519" s="23" t="s">
        <v>1185</v>
      </c>
      <c r="M519" s="28" t="s">
        <v>181</v>
      </c>
      <c r="N519" s="23" t="s">
        <v>549</v>
      </c>
      <c r="O519" s="24">
        <f aca="1">DATEDIF(F519,TODAY(),"Y")</f>
        <v>20</v>
      </c>
      <c r="P519" s="24">
        <f aca="1">DATEDIF(F519,TODAY(),"YM")</f>
        <v>4</v>
      </c>
      <c r="Q519" s="24" t="str">
        <f aca="1">DATEDIF(F519,NOW(),"Y")&amp;" Tahun "&amp;DATEDIF(F519,NOW(),"YM")&amp;" Bulan "&amp;DATEDIF(F519,NOW(),"MD")&amp;" Hari "</f>
        <v>20 Tahun 4 Bulan 6 Hari </v>
      </c>
      <c r="R519" s="41">
        <f>F519</f>
        <v>38504</v>
      </c>
      <c r="S519" s="36"/>
      <c r="T519" s="51"/>
      <c r="U519" s="51" t="n">
        <v>2525000</v>
      </c>
      <c r="V519" s="52"/>
    </row>
    <row r="520" spans="1:22" s="56" customFormat="1">
      <c r="A520" s="21" t="n">
        <v>517</v>
      </c>
      <c r="B520" s="21" t="str">
        <f>E520</f>
        <v>3513140906830001</v>
      </c>
      <c r="C520" s="38">
        <f>F520</f>
        <v>39264</v>
      </c>
      <c r="D520" s="25" t="s">
        <v>1375</v>
      </c>
      <c r="E520" s="195" t="s">
        <v>1376</v>
      </c>
      <c r="F520" s="36" t="n">
        <v>39264</v>
      </c>
      <c r="G520" s="21" t="s">
        <v>33</v>
      </c>
      <c r="H520" s="21" t="s">
        <v>1177</v>
      </c>
      <c r="I520" s="21"/>
      <c r="J520" s="23" t="s">
        <v>1184</v>
      </c>
      <c r="K520" s="27" t="s">
        <v>96</v>
      </c>
      <c r="L520" s="23" t="s">
        <v>1185</v>
      </c>
      <c r="M520" s="28" t="s">
        <v>181</v>
      </c>
      <c r="N520" s="23" t="s">
        <v>1377</v>
      </c>
      <c r="O520" s="24"/>
      <c r="P520" s="24"/>
      <c r="Q520" s="24" t="str">
        <f aca="1">DATEDIF(F520,NOW(),"Y")&amp;" Tahun "&amp;DATEDIF(F520,NOW(),"YM")&amp;" Bulan "&amp;DATEDIF(F520,NOW(),"MD")&amp;" Hari "</f>
        <v>18 Tahun 3 Bulan 6 Hari </v>
      </c>
      <c r="R520" s="41">
        <f>F520</f>
        <v>39264</v>
      </c>
      <c r="S520" s="36"/>
      <c r="T520" s="51"/>
      <c r="U520" s="51" t="n">
        <v>2525000</v>
      </c>
      <c r="V520" s="52"/>
    </row>
    <row r="521" spans="1:22" s="56" customFormat="1">
      <c r="A521" s="21" t="n">
        <v>518</v>
      </c>
      <c r="B521" s="21" t="str">
        <f>E521</f>
        <v>3513140603810001</v>
      </c>
      <c r="C521" s="38">
        <f>F521</f>
        <v>40715</v>
      </c>
      <c r="D521" s="25" t="s">
        <v>1378</v>
      </c>
      <c r="E521" s="195" t="s">
        <v>1379</v>
      </c>
      <c r="F521" s="36" t="n">
        <v>40715</v>
      </c>
      <c r="G521" s="21" t="s">
        <v>33</v>
      </c>
      <c r="H521" s="21" t="s">
        <v>1177</v>
      </c>
      <c r="I521" s="21"/>
      <c r="J521" s="23" t="s">
        <v>1184</v>
      </c>
      <c r="K521" s="27" t="s">
        <v>96</v>
      </c>
      <c r="L521" s="23" t="s">
        <v>1185</v>
      </c>
      <c r="M521" s="28" t="s">
        <v>181</v>
      </c>
      <c r="N521" s="23" t="s">
        <v>225</v>
      </c>
      <c r="O521" s="24"/>
      <c r="P521" s="24"/>
      <c r="Q521" s="24" t="str">
        <f aca="1">DATEDIF(F521,NOW(),"Y")&amp;" Tahun "&amp;DATEDIF(F521,NOW(),"YM")&amp;" Bulan "&amp;DATEDIF(F521,NOW(),"MD")&amp;" Hari "</f>
        <v>14 Tahun 3 Bulan 16 Hari </v>
      </c>
      <c r="R521" s="41">
        <f>F521</f>
        <v>40715</v>
      </c>
      <c r="S521" s="36"/>
      <c r="T521" s="51"/>
      <c r="U521" s="51" t="n">
        <v>2475000</v>
      </c>
      <c r="V521" s="52"/>
    </row>
    <row r="522" spans="1:22" s="56" customFormat="1">
      <c r="A522" s="21" t="n">
        <v>519</v>
      </c>
      <c r="B522" s="21" t="str">
        <f>E522</f>
        <v>3513065911920015</v>
      </c>
      <c r="C522" s="38">
        <f>F522</f>
        <v>43739</v>
      </c>
      <c r="D522" s="25" t="s">
        <v>1380</v>
      </c>
      <c r="E522" s="195" t="s">
        <v>1381</v>
      </c>
      <c r="F522" s="36" t="n">
        <v>43739</v>
      </c>
      <c r="G522" s="21" t="s">
        <v>24</v>
      </c>
      <c r="H522" s="21" t="s">
        <v>1177</v>
      </c>
      <c r="I522" s="159" t="s">
        <v>1127</v>
      </c>
      <c r="J522" s="22" t="s">
        <v>1335</v>
      </c>
      <c r="K522" s="27" t="s">
        <v>201</v>
      </c>
      <c r="L522" s="22" t="s">
        <v>1335</v>
      </c>
      <c r="M522" s="28" t="s">
        <v>209</v>
      </c>
      <c r="N522" s="23" t="s">
        <v>210</v>
      </c>
      <c r="O522" s="24"/>
      <c r="P522" s="24"/>
      <c r="Q522" s="24" t="str">
        <f aca="1">DATEDIF(F522,NOW(),"Y")&amp;" Tahun "&amp;DATEDIF(F522,NOW(),"YM")&amp;" Bulan "&amp;DATEDIF(F522,NOW(),"MD")&amp;" Hari "</f>
        <v>6 Tahun 0 Bulan 6 Hari </v>
      </c>
      <c r="R522" s="41">
        <f>F522</f>
        <v>43739</v>
      </c>
      <c r="S522" s="36"/>
      <c r="U522" s="51" t="n">
        <v>2375000</v>
      </c>
      <c r="V522" s="52"/>
    </row>
    <row r="523" spans="1:22">
      <c r="A523" s="21" t="n">
        <v>520</v>
      </c>
      <c r="B523" s="21" t="str">
        <f>E523</f>
        <v>3513074804960004</v>
      </c>
      <c r="C523" s="38">
        <f>F523</f>
        <v>44197</v>
      </c>
      <c r="D523" s="22" t="s">
        <v>1382</v>
      </c>
      <c r="E523" s="191" t="s">
        <v>1383</v>
      </c>
      <c r="F523" s="38" t="n">
        <v>44197</v>
      </c>
      <c r="G523" s="21" t="s">
        <v>24</v>
      </c>
      <c r="H523" s="21" t="s">
        <v>1177</v>
      </c>
      <c r="I523" s="159" t="s">
        <v>1127</v>
      </c>
      <c r="J523" s="46" t="s">
        <v>1279</v>
      </c>
      <c r="K523" s="27" t="s">
        <v>96</v>
      </c>
      <c r="L523" s="23" t="s">
        <v>1185</v>
      </c>
      <c r="M523" s="23" t="s">
        <v>161</v>
      </c>
      <c r="N523" s="23" t="s">
        <v>396</v>
      </c>
      <c r="O523" s="24">
        <f aca="1">DATEDIF(F523,TODAY(),"Y")</f>
        <v>4</v>
      </c>
      <c r="P523" s="24">
        <f aca="1">DATEDIF(F523,TODAY(),"YM")</f>
        <v>9</v>
      </c>
      <c r="Q523" s="24" t="str">
        <f aca="1">DATEDIF(F523,NOW(),"Y")&amp;" Tahun "&amp;DATEDIF(F523,NOW(),"YM")&amp;" Bulan "&amp;DATEDIF(F523,NOW(),"MD")&amp;" Hari "</f>
        <v>4 Tahun 9 Bulan 6 Hari </v>
      </c>
      <c r="R523" s="41">
        <f>F523</f>
        <v>44197</v>
      </c>
      <c r="S523" s="36" t="n">
        <v>45258</v>
      </c>
      <c r="T523" s="51" t="n">
        <v>1350000</v>
      </c>
      <c r="U523" s="51" t="n">
        <v>1350000</v>
      </c>
      <c r="V523" s="72">
        <f>U523-T523</f>
        <v>0</v>
      </c>
    </row>
    <row r="524" spans="1:22">
      <c r="A524" s="21" t="n">
        <v>521</v>
      </c>
      <c r="B524" s="21" t="str">
        <f>E524</f>
        <v>3518144205950007</v>
      </c>
      <c r="C524" s="38">
        <f>F524</f>
        <v>44197</v>
      </c>
      <c r="D524" s="22" t="s">
        <v>1384</v>
      </c>
      <c r="E524" s="191" t="s">
        <v>1385</v>
      </c>
      <c r="F524" s="38" t="n">
        <v>44197</v>
      </c>
      <c r="G524" s="21" t="s">
        <v>24</v>
      </c>
      <c r="H524" s="21" t="s">
        <v>1177</v>
      </c>
      <c r="I524" s="159" t="s">
        <v>1127</v>
      </c>
      <c r="J524" s="22" t="s">
        <v>1335</v>
      </c>
      <c r="K524" s="27" t="s">
        <v>201</v>
      </c>
      <c r="L524" s="22" t="s">
        <v>1335</v>
      </c>
      <c r="M524" s="28" t="s">
        <v>209</v>
      </c>
      <c r="N524" s="23" t="s">
        <v>737</v>
      </c>
      <c r="O524" s="24">
        <f aca="1">DATEDIF(F524,TODAY(),"Y")</f>
        <v>4</v>
      </c>
      <c r="P524" s="24">
        <f aca="1">DATEDIF(F524,TODAY(),"YM")</f>
        <v>9</v>
      </c>
      <c r="Q524" s="24" t="str">
        <f aca="1">DATEDIF(F524,NOW(),"Y")&amp;" Tahun "&amp;DATEDIF(F524,NOW(),"YM")&amp;" Bulan "&amp;DATEDIF(F524,NOW(),"MD")&amp;" Hari "</f>
        <v>4 Tahun 9 Bulan 6 Hari </v>
      </c>
      <c r="R524" s="41">
        <f>F524</f>
        <v>44197</v>
      </c>
      <c r="S524" s="36" t="n">
        <v>45258</v>
      </c>
      <c r="T524" s="51" t="n">
        <v>1200000</v>
      </c>
      <c r="U524" s="51" t="n">
        <v>1200000</v>
      </c>
      <c r="V524" s="72">
        <f>U524-T524</f>
        <v>0</v>
      </c>
    </row>
    <row r="525" spans="1:22">
      <c r="A525" s="21" t="n">
        <v>522</v>
      </c>
      <c r="B525" s="21" t="str">
        <f>E525</f>
        <v>3574034107960040</v>
      </c>
      <c r="C525" s="38">
        <f>F525</f>
        <v>44197</v>
      </c>
      <c r="D525" s="22" t="s">
        <v>1386</v>
      </c>
      <c r="E525" s="196" t="s">
        <v>1387</v>
      </c>
      <c r="F525" s="38" t="n">
        <v>44197</v>
      </c>
      <c r="G525" s="21" t="s">
        <v>24</v>
      </c>
      <c r="H525" s="21" t="s">
        <v>1177</v>
      </c>
      <c r="I525" s="159" t="s">
        <v>1127</v>
      </c>
      <c r="J525" s="22" t="s">
        <v>1342</v>
      </c>
      <c r="K525" s="27" t="s">
        <v>201</v>
      </c>
      <c r="L525" s="22" t="s">
        <v>1342</v>
      </c>
      <c r="M525" s="28" t="s">
        <v>202</v>
      </c>
      <c r="N525" s="23" t="s">
        <v>158</v>
      </c>
      <c r="O525" s="24">
        <f aca="1">DATEDIF(F525,TODAY(),"Y")</f>
        <v>4</v>
      </c>
      <c r="P525" s="24">
        <f aca="1">DATEDIF(F525,TODAY(),"YM")</f>
        <v>9</v>
      </c>
      <c r="Q525" s="24" t="str">
        <f aca="1">DATEDIF(F525,NOW(),"Y")&amp;" Tahun "&amp;DATEDIF(F525,NOW(),"YM")&amp;" Bulan "&amp;DATEDIF(F525,NOW(),"MD")&amp;" Hari "</f>
        <v>4 Tahun 9 Bulan 6 Hari </v>
      </c>
      <c r="R525" s="41">
        <f>F525</f>
        <v>44197</v>
      </c>
      <c r="S525" s="36" t="n">
        <v>45258</v>
      </c>
      <c r="T525" s="51" t="n">
        <v>1350000</v>
      </c>
      <c r="U525" s="51" t="n">
        <v>1350000</v>
      </c>
      <c r="V525" s="72">
        <f>U525-T525</f>
        <v>0</v>
      </c>
    </row>
    <row r="526" spans="1:22">
      <c r="A526" s="21" t="n">
        <v>523</v>
      </c>
      <c r="B526" s="21">
        <f>E526</f>
        <v>0</v>
      </c>
      <c r="C526" s="38">
        <f>F526</f>
        <v>42186</v>
      </c>
      <c r="D526" s="22" t="s">
        <v>1388</v>
      </c>
      <c r="E526" s="22"/>
      <c r="F526" s="38" t="n">
        <v>42186</v>
      </c>
      <c r="G526" s="21" t="s">
        <v>33</v>
      </c>
      <c r="H526" s="21" t="s">
        <v>1389</v>
      </c>
      <c r="I526" s="159" t="s">
        <v>1127</v>
      </c>
      <c r="J526" s="23" t="s">
        <v>1390</v>
      </c>
      <c r="K526" s="27" t="s">
        <v>66</v>
      </c>
      <c r="L526" s="23" t="s">
        <v>1390</v>
      </c>
      <c r="M526" s="23" t="s">
        <v>1391</v>
      </c>
      <c r="N526" s="23" t="s">
        <v>218</v>
      </c>
      <c r="O526" s="24">
        <f aca="1">DATEDIF(F526,TODAY(),"Y")</f>
        <v>10</v>
      </c>
      <c r="P526" s="24">
        <f aca="1">DATEDIF(F526,TODAY(),"YM")</f>
        <v>3</v>
      </c>
      <c r="Q526" s="24" t="str">
        <f aca="1">DATEDIF(F526,NOW(),"Y")&amp;" Tahun "&amp;DATEDIF(F526,NOW(),"YM")&amp;" Bulan "&amp;DATEDIF(F526,NOW(),"MD")&amp;" Hari "</f>
        <v>10 Tahun 3 Bulan 6 Hari </v>
      </c>
      <c r="R526" s="41">
        <f>F526</f>
        <v>42186</v>
      </c>
      <c r="S526" s="36" t="n">
        <v>45258</v>
      </c>
      <c r="T526" s="51" t="n">
        <v>3800000</v>
      </c>
      <c r="U526" s="51" t="n">
        <v>3850000</v>
      </c>
      <c r="V526" s="72">
        <f>U526-T526</f>
        <v>50000</v>
      </c>
    </row>
    <row r="527" spans="1:21" s="56" customFormat="1">
      <c r="A527" s="21" t="n">
        <v>524</v>
      </c>
      <c r="B527" s="21" t="str">
        <f>E527</f>
        <v>3513147108860001</v>
      </c>
      <c r="C527" s="38">
        <f>F527</f>
        <v>42795</v>
      </c>
      <c r="D527" s="22" t="s">
        <v>1392</v>
      </c>
      <c r="E527" s="191" t="s">
        <v>1393</v>
      </c>
      <c r="F527" s="38" t="n">
        <v>42795</v>
      </c>
      <c r="G527" s="21" t="s">
        <v>24</v>
      </c>
      <c r="H527" s="38" t="s">
        <v>1394</v>
      </c>
      <c r="I527" s="159" t="s">
        <v>1127</v>
      </c>
      <c r="J527" s="22" t="s">
        <v>818</v>
      </c>
      <c r="K527" s="22" t="s">
        <v>28</v>
      </c>
      <c r="L527" s="22" t="s">
        <v>676</v>
      </c>
      <c r="M527" s="23" t="s">
        <v>1395</v>
      </c>
      <c r="N527" s="23" t="s">
        <v>103</v>
      </c>
      <c r="O527" s="24">
        <f aca="1">DATEDIF(F527,TODAY(),"Y")</f>
        <v>8</v>
      </c>
      <c r="P527" s="24">
        <f aca="1">DATEDIF(F527,TODAY(),"YM")</f>
        <v>7</v>
      </c>
      <c r="Q527" s="24" t="str">
        <f aca="1">DATEDIF(F527,NOW(),"Y")&amp;" Tahun "&amp;DATEDIF(F527,NOW(),"YM")&amp;" Bulan "&amp;DATEDIF(F527,NOW(),"MD")&amp;" Hari "</f>
        <v>8 Tahun 7 Bulan 6 Hari </v>
      </c>
      <c r="R527" s="41">
        <f>F527</f>
        <v>42795</v>
      </c>
      <c r="S527" s="36" t="n">
        <v>45258</v>
      </c>
      <c r="T527" s="51" t="n">
        <v>1100000</v>
      </c>
      <c r="U527" s="51" t="n">
        <v>1100000</v>
      </c>
    </row>
    <row r="528" spans="1:21">
      <c r="A528" s="21" t="n">
        <v>525</v>
      </c>
      <c r="B528" s="21" t="str">
        <f>E528</f>
        <v>3513154704930002</v>
      </c>
      <c r="C528" s="38">
        <f>F528</f>
        <v>42795</v>
      </c>
      <c r="D528" s="22" t="s">
        <v>1396</v>
      </c>
      <c r="E528" s="191" t="s">
        <v>1397</v>
      </c>
      <c r="F528" s="38" t="n">
        <v>42795</v>
      </c>
      <c r="G528" s="21" t="s">
        <v>24</v>
      </c>
      <c r="H528" s="38" t="s">
        <v>1394</v>
      </c>
      <c r="I528" s="159" t="s">
        <v>1127</v>
      </c>
      <c r="J528" s="22" t="s">
        <v>818</v>
      </c>
      <c r="K528" s="22" t="s">
        <v>28</v>
      </c>
      <c r="L528" s="25" t="s">
        <v>262</v>
      </c>
      <c r="M528" s="23" t="s">
        <v>1398</v>
      </c>
      <c r="N528" s="23" t="s">
        <v>531</v>
      </c>
      <c r="O528" s="24">
        <f aca="1">DATEDIF(F528,TODAY(),"Y")</f>
        <v>8</v>
      </c>
      <c r="P528" s="24">
        <f aca="1">DATEDIF(F528,TODAY(),"YM")</f>
        <v>7</v>
      </c>
      <c r="Q528" s="24" t="str">
        <f aca="1">DATEDIF(F528,NOW(),"Y")&amp;" Tahun "&amp;DATEDIF(F528,NOW(),"YM")&amp;" Bulan "&amp;DATEDIF(F528,NOW(),"MD")&amp;" Hari "</f>
        <v>8 Tahun 7 Bulan 6 Hari </v>
      </c>
      <c r="R528" s="41">
        <f>F528</f>
        <v>42795</v>
      </c>
      <c r="S528" s="36" t="n">
        <v>45258</v>
      </c>
      <c r="T528" s="51" t="n">
        <v>1200000</v>
      </c>
      <c r="U528" s="51" t="n">
        <v>1200000</v>
      </c>
    </row>
    <row r="529" spans="1:21">
      <c r="A529" s="21" t="n">
        <v>526</v>
      </c>
      <c r="B529" s="21" t="str">
        <f>E529</f>
        <v>3513140701920001</v>
      </c>
      <c r="C529" s="38">
        <f>F529</f>
        <v>42795</v>
      </c>
      <c r="D529" s="22" t="s">
        <v>1399</v>
      </c>
      <c r="E529" s="191" t="s">
        <v>1400</v>
      </c>
      <c r="F529" s="38" t="n">
        <v>42795</v>
      </c>
      <c r="G529" s="21" t="s">
        <v>33</v>
      </c>
      <c r="H529" s="38" t="s">
        <v>1394</v>
      </c>
      <c r="I529" s="159" t="s">
        <v>1127</v>
      </c>
      <c r="J529" s="22" t="s">
        <v>818</v>
      </c>
      <c r="K529" s="22" t="s">
        <v>28</v>
      </c>
      <c r="L529" s="25" t="s">
        <v>262</v>
      </c>
      <c r="M529" s="23" t="s">
        <v>1398</v>
      </c>
      <c r="N529" s="23" t="s">
        <v>993</v>
      </c>
      <c r="O529" s="24">
        <f aca="1">DATEDIF(F529,TODAY(),"Y")</f>
        <v>8</v>
      </c>
      <c r="P529" s="24">
        <f aca="1">DATEDIF(F529,TODAY(),"YM")</f>
        <v>7</v>
      </c>
      <c r="Q529" s="24" t="str">
        <f aca="1">DATEDIF(F529,NOW(),"Y")&amp;" Tahun "&amp;DATEDIF(F529,NOW(),"YM")&amp;" Bulan "&amp;DATEDIF(F529,NOW(),"MD")&amp;" Hari "</f>
        <v>8 Tahun 7 Bulan 6 Hari </v>
      </c>
      <c r="R529" s="41">
        <f>F529</f>
        <v>42795</v>
      </c>
      <c r="S529" s="36" t="n">
        <v>45258</v>
      </c>
      <c r="T529" s="51" t="n">
        <v>1200000</v>
      </c>
      <c r="U529" s="51" t="n">
        <v>1200000</v>
      </c>
    </row>
    <row r="530" spans="1:21">
      <c r="A530" s="21" t="n">
        <v>527</v>
      </c>
      <c r="B530" s="21" t="str">
        <f>E530</f>
        <v>3513102112860001</v>
      </c>
      <c r="C530" s="38">
        <f>F530</f>
        <v>42856</v>
      </c>
      <c r="D530" s="22" t="s">
        <v>1401</v>
      </c>
      <c r="E530" s="191" t="s">
        <v>1402</v>
      </c>
      <c r="F530" s="38" t="n">
        <v>42856</v>
      </c>
      <c r="G530" s="21" t="s">
        <v>33</v>
      </c>
      <c r="H530" s="38" t="s">
        <v>1394</v>
      </c>
      <c r="I530" s="159" t="s">
        <v>1127</v>
      </c>
      <c r="J530" s="22" t="s">
        <v>1403</v>
      </c>
      <c r="K530" s="22" t="s">
        <v>91</v>
      </c>
      <c r="L530" s="22" t="s">
        <v>1403</v>
      </c>
      <c r="M530" s="23" t="s">
        <v>1404</v>
      </c>
      <c r="N530" s="23" t="s">
        <v>92</v>
      </c>
      <c r="O530" s="24">
        <f aca="1">DATEDIF(F530,TODAY(),"Y")</f>
        <v>8</v>
      </c>
      <c r="P530" s="24">
        <f aca="1">DATEDIF(F530,TODAY(),"YM")</f>
        <v>5</v>
      </c>
      <c r="Q530" s="24" t="str">
        <f aca="1">DATEDIF(F530,NOW(),"Y")&amp;" Tahun "&amp;DATEDIF(F530,NOW(),"YM")&amp;" Bulan "&amp;DATEDIF(F530,NOW(),"MD")&amp;" Hari "</f>
        <v>8 Tahun 5 Bulan 6 Hari </v>
      </c>
      <c r="R530" s="41">
        <f>F530</f>
        <v>42856</v>
      </c>
      <c r="S530" s="36" t="n">
        <v>45258</v>
      </c>
      <c r="T530" s="51" t="n">
        <v>1350000</v>
      </c>
      <c r="U530" s="51" t="n">
        <v>1350000</v>
      </c>
    </row>
    <row r="531" spans="1:21">
      <c r="A531" s="21" t="n">
        <v>528</v>
      </c>
      <c r="B531" s="21" t="str">
        <f>E531</f>
        <v>3513170502900003</v>
      </c>
      <c r="C531" s="38">
        <f>F531</f>
        <v>42888</v>
      </c>
      <c r="D531" s="22" t="s">
        <v>1405</v>
      </c>
      <c r="E531" s="191" t="s">
        <v>1406</v>
      </c>
      <c r="F531" s="38" t="n">
        <v>42888</v>
      </c>
      <c r="G531" s="21" t="s">
        <v>24</v>
      </c>
      <c r="H531" s="38" t="s">
        <v>1394</v>
      </c>
      <c r="I531" s="159" t="s">
        <v>1127</v>
      </c>
      <c r="J531" s="22" t="s">
        <v>818</v>
      </c>
      <c r="K531" s="22" t="s">
        <v>28</v>
      </c>
      <c r="L531" s="22" t="s">
        <v>676</v>
      </c>
      <c r="M531" s="23" t="s">
        <v>1194</v>
      </c>
      <c r="N531" s="23" t="s">
        <v>1190</v>
      </c>
      <c r="O531" s="24">
        <f aca="1">DATEDIF(F531,TODAY(),"Y")</f>
        <v>8</v>
      </c>
      <c r="P531" s="24">
        <f aca="1">DATEDIF(F531,TODAY(),"YM")</f>
        <v>4</v>
      </c>
      <c r="Q531" s="24" t="str">
        <f aca="1">DATEDIF(F531,NOW(),"Y")&amp;" Tahun "&amp;DATEDIF(F531,NOW(),"YM")&amp;" Bulan "&amp;DATEDIF(F531,NOW(),"MD")&amp;" Hari "</f>
        <v>8 Tahun 4 Bulan 5 Hari </v>
      </c>
      <c r="R531" s="41">
        <f>F531</f>
        <v>42888</v>
      </c>
      <c r="S531" s="36" t="n">
        <v>45258</v>
      </c>
      <c r="T531" s="51" t="n">
        <v>1000000</v>
      </c>
      <c r="U531" s="51" t="n">
        <v>1000000</v>
      </c>
    </row>
    <row r="532" spans="1:21">
      <c r="A532" s="21" t="n">
        <v>529</v>
      </c>
      <c r="B532" s="21" t="str">
        <f>E532</f>
        <v>3513141212880003</v>
      </c>
      <c r="C532" s="38">
        <f>F532</f>
        <v>42888</v>
      </c>
      <c r="D532" s="22" t="s">
        <v>1407</v>
      </c>
      <c r="E532" s="191" t="s">
        <v>1408</v>
      </c>
      <c r="F532" s="38" t="n">
        <v>42888</v>
      </c>
      <c r="G532" s="21" t="s">
        <v>33</v>
      </c>
      <c r="H532" s="38" t="s">
        <v>1394</v>
      </c>
      <c r="I532" s="159" t="s">
        <v>1127</v>
      </c>
      <c r="J532" s="23" t="s">
        <v>1184</v>
      </c>
      <c r="K532" s="27" t="s">
        <v>96</v>
      </c>
      <c r="L532" s="23" t="s">
        <v>1185</v>
      </c>
      <c r="M532" s="28" t="s">
        <v>181</v>
      </c>
      <c r="N532" s="23" t="s">
        <v>168</v>
      </c>
      <c r="O532" s="24">
        <f aca="1">DATEDIF(F532,TODAY(),"Y")</f>
        <v>8</v>
      </c>
      <c r="P532" s="24">
        <f aca="1">DATEDIF(F532,TODAY(),"YM")</f>
        <v>4</v>
      </c>
      <c r="Q532" s="24" t="str">
        <f aca="1">DATEDIF(F532,NOW(),"Y")&amp;" Tahun "&amp;DATEDIF(F532,NOW(),"YM")&amp;" Bulan "&amp;DATEDIF(F532,NOW(),"MD")&amp;" Hari "</f>
        <v>8 Tahun 4 Bulan 5 Hari </v>
      </c>
      <c r="R532" s="41">
        <f>F532</f>
        <v>42888</v>
      </c>
      <c r="S532" s="36" t="n">
        <v>45258</v>
      </c>
      <c r="T532" s="51" t="n">
        <v>1200000</v>
      </c>
      <c r="U532" s="51" t="n">
        <v>1200000</v>
      </c>
    </row>
    <row r="533" spans="1:21">
      <c r="A533" s="21" t="n">
        <v>530</v>
      </c>
      <c r="B533" s="21" t="str">
        <f>E533</f>
        <v>3513140309920002</v>
      </c>
      <c r="C533" s="38">
        <f>F533</f>
        <v>43073</v>
      </c>
      <c r="D533" s="22" t="s">
        <v>1409</v>
      </c>
      <c r="E533" s="191" t="s">
        <v>1410</v>
      </c>
      <c r="F533" s="38" t="n">
        <v>43073</v>
      </c>
      <c r="G533" s="21" t="s">
        <v>33</v>
      </c>
      <c r="H533" s="38" t="s">
        <v>1394</v>
      </c>
      <c r="I533" s="159" t="s">
        <v>1127</v>
      </c>
      <c r="J533" s="22" t="s">
        <v>818</v>
      </c>
      <c r="K533" s="22" t="s">
        <v>28</v>
      </c>
      <c r="L533" s="22" t="s">
        <v>676</v>
      </c>
      <c r="M533" s="23" t="s">
        <v>1231</v>
      </c>
      <c r="N533" s="23" t="s">
        <v>382</v>
      </c>
      <c r="O533" s="24">
        <f aca="1">DATEDIF(F533,TODAY(),"Y")</f>
        <v>7</v>
      </c>
      <c r="P533" s="24">
        <f aca="1">DATEDIF(F533,TODAY(),"YM")</f>
        <v>10</v>
      </c>
      <c r="Q533" s="24" t="str">
        <f aca="1">DATEDIF(F533,NOW(),"Y")&amp;" Tahun "&amp;DATEDIF(F533,NOW(),"YM")&amp;" Bulan "&amp;DATEDIF(F533,NOW(),"MD")&amp;" Hari "</f>
        <v>7 Tahun 10 Bulan 3 Hari </v>
      </c>
      <c r="R533" s="41">
        <f>F533</f>
        <v>43073</v>
      </c>
      <c r="S533" s="36" t="n">
        <v>45258</v>
      </c>
      <c r="T533" s="51" t="n">
        <v>1000000</v>
      </c>
      <c r="U533" s="51" t="n">
        <v>1000000</v>
      </c>
    </row>
    <row r="534" spans="1:21">
      <c r="A534" s="21" t="n">
        <v>531</v>
      </c>
      <c r="B534" s="21" t="str">
        <f>E534</f>
        <v>3513142112820002</v>
      </c>
      <c r="C534" s="38">
        <f>F534</f>
        <v>43087</v>
      </c>
      <c r="D534" s="22" t="s">
        <v>1411</v>
      </c>
      <c r="E534" s="191" t="s">
        <v>1412</v>
      </c>
      <c r="F534" s="38" t="n">
        <v>43087</v>
      </c>
      <c r="G534" s="21" t="s">
        <v>33</v>
      </c>
      <c r="H534" s="38" t="s">
        <v>1394</v>
      </c>
      <c r="I534" s="159" t="s">
        <v>1127</v>
      </c>
      <c r="J534" s="22" t="s">
        <v>1413</v>
      </c>
      <c r="K534" s="22" t="s">
        <v>28</v>
      </c>
      <c r="L534" s="22" t="s">
        <v>676</v>
      </c>
      <c r="M534" s="23" t="s">
        <v>157</v>
      </c>
      <c r="N534" s="23" t="s">
        <v>119</v>
      </c>
      <c r="O534" s="24">
        <f aca="1">DATEDIF(F534,TODAY(),"Y")</f>
        <v>7</v>
      </c>
      <c r="P534" s="24">
        <f aca="1">DATEDIF(F534,TODAY(),"YM")</f>
        <v>9</v>
      </c>
      <c r="Q534" s="24" t="str">
        <f aca="1">DATEDIF(F534,NOW(),"Y")&amp;" Tahun "&amp;DATEDIF(F534,NOW(),"YM")&amp;" Bulan "&amp;DATEDIF(F534,NOW(),"MD")&amp;" Hari "</f>
        <v>7 Tahun 9 Bulan 19 Hari </v>
      </c>
      <c r="R534" s="41">
        <f>F534</f>
        <v>43087</v>
      </c>
      <c r="S534" s="36" t="n">
        <v>45258</v>
      </c>
      <c r="T534" s="51" t="n">
        <v>1000000</v>
      </c>
      <c r="U534" s="51" t="n">
        <v>1000000</v>
      </c>
    </row>
    <row r="535" spans="1:21" s="56" customFormat="1">
      <c r="A535" s="21" t="n">
        <v>532</v>
      </c>
      <c r="B535" s="21" t="str">
        <f>E535</f>
        <v>3513140109890002</v>
      </c>
      <c r="C535" s="38">
        <f>F535</f>
        <v>43087</v>
      </c>
      <c r="D535" s="22" t="s">
        <v>1414</v>
      </c>
      <c r="E535" s="191" t="s">
        <v>1415</v>
      </c>
      <c r="F535" s="38" t="n">
        <v>43087</v>
      </c>
      <c r="G535" s="21" t="s">
        <v>33</v>
      </c>
      <c r="H535" s="38" t="s">
        <v>1394</v>
      </c>
      <c r="I535" s="159" t="s">
        <v>1127</v>
      </c>
      <c r="J535" s="22" t="s">
        <v>1243</v>
      </c>
      <c r="K535" s="22" t="s">
        <v>28</v>
      </c>
      <c r="L535" s="22" t="s">
        <v>673</v>
      </c>
      <c r="M535" s="23" t="s">
        <v>1416</v>
      </c>
      <c r="N535" s="23" t="s">
        <v>1417</v>
      </c>
      <c r="O535" s="24">
        <f aca="1">DATEDIF(F535,TODAY(),"Y")</f>
        <v>7</v>
      </c>
      <c r="P535" s="24">
        <f aca="1">DATEDIF(F535,TODAY(),"YM")</f>
        <v>9</v>
      </c>
      <c r="Q535" s="24" t="str">
        <f aca="1">DATEDIF(F535,NOW(),"Y")&amp;" Tahun "&amp;DATEDIF(F535,NOW(),"YM")&amp;" Bulan "&amp;DATEDIF(F535,NOW(),"MD")&amp;" Hari "</f>
        <v>7 Tahun 9 Bulan 19 Hari </v>
      </c>
      <c r="R535" s="41">
        <f>F535</f>
        <v>43087</v>
      </c>
      <c r="S535" s="36" t="n">
        <v>45258</v>
      </c>
      <c r="T535" s="51" t="n">
        <v>1000000</v>
      </c>
      <c r="U535" s="51" t="n">
        <v>1000000</v>
      </c>
    </row>
    <row r="536" spans="1:21">
      <c r="A536" s="21" t="n">
        <v>533</v>
      </c>
      <c r="B536" s="21" t="str">
        <f>E536</f>
        <v>3513140303940001</v>
      </c>
      <c r="C536" s="38">
        <f>F536</f>
        <v>43101</v>
      </c>
      <c r="D536" s="22" t="s">
        <v>1418</v>
      </c>
      <c r="E536" s="191" t="s">
        <v>1419</v>
      </c>
      <c r="F536" s="38" t="n">
        <v>43101</v>
      </c>
      <c r="G536" s="21" t="s">
        <v>33</v>
      </c>
      <c r="H536" s="38" t="s">
        <v>1394</v>
      </c>
      <c r="I536" s="159" t="s">
        <v>1127</v>
      </c>
      <c r="J536" s="22" t="s">
        <v>1420</v>
      </c>
      <c r="K536" s="22" t="s">
        <v>28</v>
      </c>
      <c r="L536" s="22" t="s">
        <v>673</v>
      </c>
      <c r="M536" s="23" t="s">
        <v>1231</v>
      </c>
      <c r="N536" s="23" t="s">
        <v>103</v>
      </c>
      <c r="O536" s="24">
        <f aca="1">DATEDIF(F536,TODAY(),"Y")</f>
        <v>7</v>
      </c>
      <c r="P536" s="24">
        <f aca="1">DATEDIF(F536,TODAY(),"YM")</f>
        <v>9</v>
      </c>
      <c r="Q536" s="24" t="str">
        <f aca="1">DATEDIF(F536,NOW(),"Y")&amp;" Tahun "&amp;DATEDIF(F536,NOW(),"YM")&amp;" Bulan "&amp;DATEDIF(F536,NOW(),"MD")&amp;" Hari "</f>
        <v>7 Tahun 9 Bulan 6 Hari </v>
      </c>
      <c r="R536" s="41">
        <f>F536</f>
        <v>43101</v>
      </c>
      <c r="S536" s="36" t="n">
        <v>45258</v>
      </c>
      <c r="T536" s="51" t="n">
        <v>1000000</v>
      </c>
      <c r="U536" s="51" t="n">
        <v>1000000</v>
      </c>
    </row>
    <row r="537" spans="1:21">
      <c r="A537" s="21" t="n">
        <v>534</v>
      </c>
      <c r="B537" s="21" t="str">
        <f>E537</f>
        <v>3513130707940002</v>
      </c>
      <c r="C537" s="38">
        <f>F537</f>
        <v>43101</v>
      </c>
      <c r="D537" s="22" t="s">
        <v>1421</v>
      </c>
      <c r="E537" s="191" t="s">
        <v>1422</v>
      </c>
      <c r="F537" s="38" t="n">
        <v>43101</v>
      </c>
      <c r="G537" s="21" t="s">
        <v>33</v>
      </c>
      <c r="H537" s="38" t="s">
        <v>1394</v>
      </c>
      <c r="I537" s="159" t="s">
        <v>1127</v>
      </c>
      <c r="J537" s="22" t="s">
        <v>818</v>
      </c>
      <c r="K537" s="22" t="s">
        <v>28</v>
      </c>
      <c r="L537" s="22" t="s">
        <v>676</v>
      </c>
      <c r="M537" s="23" t="s">
        <v>1423</v>
      </c>
      <c r="N537" s="23" t="s">
        <v>1424</v>
      </c>
      <c r="O537" s="24">
        <f aca="1">DATEDIF(F537,TODAY(),"Y")</f>
        <v>7</v>
      </c>
      <c r="P537" s="24">
        <f aca="1">DATEDIF(F537,TODAY(),"YM")</f>
        <v>9</v>
      </c>
      <c r="Q537" s="24" t="str">
        <f aca="1">DATEDIF(F537,NOW(),"Y")&amp;" Tahun "&amp;DATEDIF(F537,NOW(),"YM")&amp;" Bulan "&amp;DATEDIF(F537,NOW(),"MD")&amp;" Hari "</f>
        <v>7 Tahun 9 Bulan 6 Hari </v>
      </c>
      <c r="R537" s="41">
        <f>F537</f>
        <v>43101</v>
      </c>
      <c r="S537" s="36" t="n">
        <v>45258</v>
      </c>
      <c r="T537" s="51" t="n">
        <v>1000000</v>
      </c>
      <c r="U537" s="51" t="n">
        <v>1000000</v>
      </c>
    </row>
    <row r="538" spans="1:21">
      <c r="A538" s="21" t="n">
        <v>535</v>
      </c>
      <c r="B538" s="21" t="str">
        <f>E538</f>
        <v>3513150103880008</v>
      </c>
      <c r="C538" s="38">
        <f>F538</f>
        <v>43101</v>
      </c>
      <c r="D538" s="22" t="s">
        <v>1425</v>
      </c>
      <c r="E538" s="191" t="s">
        <v>1426</v>
      </c>
      <c r="F538" s="38" t="n">
        <v>43101</v>
      </c>
      <c r="G538" s="21" t="s">
        <v>33</v>
      </c>
      <c r="H538" s="38" t="s">
        <v>1394</v>
      </c>
      <c r="I538" s="159" t="s">
        <v>1127</v>
      </c>
      <c r="J538" s="22" t="s">
        <v>1427</v>
      </c>
      <c r="K538" s="22" t="s">
        <v>28</v>
      </c>
      <c r="L538" s="22" t="s">
        <v>676</v>
      </c>
      <c r="M538" s="23" t="s">
        <v>1231</v>
      </c>
      <c r="N538" s="23" t="s">
        <v>1244</v>
      </c>
      <c r="O538" s="24">
        <f aca="1">DATEDIF(F538,TODAY(),"Y")</f>
        <v>7</v>
      </c>
      <c r="P538" s="24">
        <f aca="1">DATEDIF(F538,TODAY(),"YM")</f>
        <v>9</v>
      </c>
      <c r="Q538" s="24" t="str">
        <f aca="1">DATEDIF(F538,NOW(),"Y")&amp;" Tahun "&amp;DATEDIF(F538,NOW(),"YM")&amp;" Bulan "&amp;DATEDIF(F538,NOW(),"MD")&amp;" Hari "</f>
        <v>7 Tahun 9 Bulan 6 Hari </v>
      </c>
      <c r="R538" s="41">
        <f>F538</f>
        <v>43101</v>
      </c>
      <c r="S538" s="36" t="n">
        <v>45258</v>
      </c>
      <c r="T538" s="51" t="n">
        <v>1000000</v>
      </c>
      <c r="U538" s="51" t="n">
        <v>1000000</v>
      </c>
    </row>
    <row r="539" spans="1:21">
      <c r="A539" s="21" t="n">
        <v>536</v>
      </c>
      <c r="B539" s="21" t="str">
        <f>E539</f>
        <v>3513140605920002</v>
      </c>
      <c r="C539" s="38">
        <f>F539</f>
        <v>43101</v>
      </c>
      <c r="D539" s="22" t="s">
        <v>1428</v>
      </c>
      <c r="E539" s="191" t="s">
        <v>1429</v>
      </c>
      <c r="F539" s="38" t="n">
        <v>43101</v>
      </c>
      <c r="G539" s="21" t="s">
        <v>33</v>
      </c>
      <c r="H539" s="38" t="s">
        <v>1394</v>
      </c>
      <c r="I539" s="159" t="s">
        <v>1127</v>
      </c>
      <c r="J539" s="22" t="s">
        <v>1430</v>
      </c>
      <c r="K539" s="22" t="s">
        <v>28</v>
      </c>
      <c r="L539" s="22" t="s">
        <v>673</v>
      </c>
      <c r="M539" s="23" t="s">
        <v>1231</v>
      </c>
      <c r="N539" s="23" t="s">
        <v>696</v>
      </c>
      <c r="O539" s="24">
        <f aca="1">DATEDIF(F539,TODAY(),"Y")</f>
        <v>7</v>
      </c>
      <c r="P539" s="24">
        <f aca="1">DATEDIF(F539,TODAY(),"YM")</f>
        <v>9</v>
      </c>
      <c r="Q539" s="24" t="str">
        <f aca="1">DATEDIF(F539,NOW(),"Y")&amp;" Tahun "&amp;DATEDIF(F539,NOW(),"YM")&amp;" Bulan "&amp;DATEDIF(F539,NOW(),"MD")&amp;" Hari "</f>
        <v>7 Tahun 9 Bulan 6 Hari </v>
      </c>
      <c r="R539" s="41">
        <f>F539</f>
        <v>43101</v>
      </c>
      <c r="S539" s="36" t="n">
        <v>45258</v>
      </c>
      <c r="T539" s="51" t="n">
        <v>1000000</v>
      </c>
      <c r="U539" s="51" t="n">
        <v>1000000</v>
      </c>
    </row>
    <row r="540" spans="1:21">
      <c r="A540" s="21" t="n">
        <v>537</v>
      </c>
      <c r="B540" s="21" t="str">
        <f>E540</f>
        <v>3513122507920004</v>
      </c>
      <c r="C540" s="38">
        <f>F540</f>
        <v>43101</v>
      </c>
      <c r="D540" s="22" t="s">
        <v>1431</v>
      </c>
      <c r="E540" s="191" t="s">
        <v>1432</v>
      </c>
      <c r="F540" s="38" t="n">
        <v>43101</v>
      </c>
      <c r="G540" s="21" t="s">
        <v>33</v>
      </c>
      <c r="H540" s="38" t="s">
        <v>1394</v>
      </c>
      <c r="I540" s="159" t="s">
        <v>1127</v>
      </c>
      <c r="J540" s="22" t="s">
        <v>1420</v>
      </c>
      <c r="K540" s="22" t="s">
        <v>28</v>
      </c>
      <c r="L540" s="22" t="s">
        <v>673</v>
      </c>
      <c r="M540" s="23" t="s">
        <v>1231</v>
      </c>
      <c r="N540" s="23" t="s">
        <v>103</v>
      </c>
      <c r="O540" s="24">
        <f aca="1">DATEDIF(F540,TODAY(),"Y")</f>
        <v>7</v>
      </c>
      <c r="P540" s="24">
        <f aca="1">DATEDIF(F540,TODAY(),"YM")</f>
        <v>9</v>
      </c>
      <c r="Q540" s="24" t="str">
        <f aca="1">DATEDIF(F540,NOW(),"Y")&amp;" Tahun "&amp;DATEDIF(F540,NOW(),"YM")&amp;" Bulan "&amp;DATEDIF(F540,NOW(),"MD")&amp;" Hari "</f>
        <v>7 Tahun 9 Bulan 6 Hari </v>
      </c>
      <c r="R540" s="41">
        <f>F540</f>
        <v>43101</v>
      </c>
      <c r="S540" s="36" t="n">
        <v>45258</v>
      </c>
      <c r="T540" s="51" t="n">
        <v>1000000</v>
      </c>
      <c r="U540" s="51" t="n">
        <v>1000000</v>
      </c>
    </row>
    <row r="541" spans="1:21">
      <c r="A541" s="21" t="n">
        <v>538</v>
      </c>
      <c r="B541" s="21" t="str">
        <f>E541</f>
        <v>3513156507910002</v>
      </c>
      <c r="C541" s="38">
        <f>F541</f>
        <v>43101</v>
      </c>
      <c r="D541" s="22" t="s">
        <v>1433</v>
      </c>
      <c r="E541" s="191" t="s">
        <v>1434</v>
      </c>
      <c r="F541" s="38" t="n">
        <v>43101</v>
      </c>
      <c r="G541" s="21" t="s">
        <v>24</v>
      </c>
      <c r="H541" s="38" t="s">
        <v>1394</v>
      </c>
      <c r="I541" s="159" t="s">
        <v>1127</v>
      </c>
      <c r="J541" s="23" t="s">
        <v>1435</v>
      </c>
      <c r="K541" s="22" t="s">
        <v>28</v>
      </c>
      <c r="L541" s="22" t="s">
        <v>673</v>
      </c>
      <c r="M541" s="23" t="s">
        <v>1436</v>
      </c>
      <c r="N541" s="23" t="s">
        <v>92</v>
      </c>
      <c r="O541" s="24">
        <f aca="1">DATEDIF(F541,TODAY(),"Y")</f>
        <v>7</v>
      </c>
      <c r="P541" s="24">
        <f aca="1">DATEDIF(F541,TODAY(),"YM")</f>
        <v>9</v>
      </c>
      <c r="Q541" s="24" t="str">
        <f aca="1">DATEDIF(F541,NOW(),"Y")&amp;" Tahun "&amp;DATEDIF(F541,NOW(),"YM")&amp;" Bulan "&amp;DATEDIF(F541,NOW(),"MD")&amp;" Hari "</f>
        <v>7 Tahun 9 Bulan 6 Hari </v>
      </c>
      <c r="R541" s="41">
        <f>F541</f>
        <v>43101</v>
      </c>
      <c r="S541" s="36" t="n">
        <v>45258</v>
      </c>
      <c r="T541" s="51" t="n">
        <v>1000000</v>
      </c>
      <c r="U541" s="51" t="n">
        <v>1000000</v>
      </c>
    </row>
    <row r="542" spans="1:21">
      <c r="A542" s="21" t="n">
        <v>539</v>
      </c>
      <c r="B542" s="21" t="str">
        <f>E542</f>
        <v>3513146011870003</v>
      </c>
      <c r="C542" s="38">
        <f>F542</f>
        <v>43101</v>
      </c>
      <c r="D542" s="22" t="s">
        <v>1437</v>
      </c>
      <c r="E542" s="191" t="s">
        <v>1438</v>
      </c>
      <c r="F542" s="38" t="n">
        <v>43101</v>
      </c>
      <c r="G542" s="21" t="s">
        <v>24</v>
      </c>
      <c r="H542" s="38" t="s">
        <v>1394</v>
      </c>
      <c r="I542" s="159" t="s">
        <v>1127</v>
      </c>
      <c r="J542" s="23" t="s">
        <v>1435</v>
      </c>
      <c r="K542" s="22" t="s">
        <v>28</v>
      </c>
      <c r="L542" s="22" t="s">
        <v>673</v>
      </c>
      <c r="M542" s="23" t="s">
        <v>1194</v>
      </c>
      <c r="N542" s="23" t="s">
        <v>92</v>
      </c>
      <c r="O542" s="24">
        <f aca="1">DATEDIF(F542,TODAY(),"Y")</f>
        <v>7</v>
      </c>
      <c r="P542" s="24">
        <f aca="1">DATEDIF(F542,TODAY(),"YM")</f>
        <v>9</v>
      </c>
      <c r="Q542" s="24" t="str">
        <f aca="1">DATEDIF(F542,NOW(),"Y")&amp;" Tahun "&amp;DATEDIF(F542,NOW(),"YM")&amp;" Bulan "&amp;DATEDIF(F542,NOW(),"MD")&amp;" Hari "</f>
        <v>7 Tahun 9 Bulan 6 Hari </v>
      </c>
      <c r="R542" s="41">
        <f>F542</f>
        <v>43101</v>
      </c>
      <c r="S542" s="36" t="n">
        <v>45258</v>
      </c>
      <c r="T542" s="51" t="n">
        <v>1000000</v>
      </c>
      <c r="U542" s="51" t="n">
        <v>1000000</v>
      </c>
    </row>
    <row r="543" spans="1:21">
      <c r="A543" s="21" t="n">
        <v>540</v>
      </c>
      <c r="B543" s="21" t="str">
        <f>E543</f>
        <v>3513142512860002</v>
      </c>
      <c r="C543" s="38">
        <f>F543</f>
        <v>43101</v>
      </c>
      <c r="D543" s="22" t="s">
        <v>1439</v>
      </c>
      <c r="E543" s="191" t="s">
        <v>1440</v>
      </c>
      <c r="F543" s="38" t="n">
        <v>43101</v>
      </c>
      <c r="G543" s="21" t="s">
        <v>33</v>
      </c>
      <c r="H543" s="38" t="s">
        <v>1394</v>
      </c>
      <c r="I543" s="159" t="s">
        <v>1127</v>
      </c>
      <c r="J543" s="22" t="s">
        <v>818</v>
      </c>
      <c r="K543" s="22" t="s">
        <v>28</v>
      </c>
      <c r="L543" s="22" t="s">
        <v>676</v>
      </c>
      <c r="M543" s="23" t="s">
        <v>1231</v>
      </c>
      <c r="N543" s="23" t="s">
        <v>173</v>
      </c>
      <c r="O543" s="24">
        <f aca="1">DATEDIF(F543,TODAY(),"Y")</f>
        <v>7</v>
      </c>
      <c r="P543" s="24">
        <f aca="1">DATEDIF(F543,TODAY(),"YM")</f>
        <v>9</v>
      </c>
      <c r="Q543" s="24" t="str">
        <f aca="1">DATEDIF(F543,NOW(),"Y")&amp;" Tahun "&amp;DATEDIF(F543,NOW(),"YM")&amp;" Bulan "&amp;DATEDIF(F543,NOW(),"MD")&amp;" Hari "</f>
        <v>7 Tahun 9 Bulan 6 Hari </v>
      </c>
      <c r="R543" s="41">
        <f>F543</f>
        <v>43101</v>
      </c>
      <c r="S543" s="36" t="n">
        <v>45258</v>
      </c>
      <c r="T543" s="51" t="n">
        <v>1000000</v>
      </c>
      <c r="U543" s="51" t="n">
        <v>1000000</v>
      </c>
    </row>
    <row r="544" spans="1:21">
      <c r="A544" s="21" t="n">
        <v>541</v>
      </c>
      <c r="B544" s="21" t="str">
        <f>E544</f>
        <v>3513142003960002</v>
      </c>
      <c r="C544" s="38">
        <f>F544</f>
        <v>43101</v>
      </c>
      <c r="D544" s="22" t="s">
        <v>1441</v>
      </c>
      <c r="E544" s="191" t="s">
        <v>1442</v>
      </c>
      <c r="F544" s="38" t="n">
        <v>43101</v>
      </c>
      <c r="G544" s="21" t="s">
        <v>33</v>
      </c>
      <c r="H544" s="38" t="s">
        <v>1394</v>
      </c>
      <c r="I544" s="159" t="s">
        <v>1127</v>
      </c>
      <c r="J544" s="22" t="s">
        <v>818</v>
      </c>
      <c r="K544" s="22" t="s">
        <v>28</v>
      </c>
      <c r="L544" s="22" t="s">
        <v>676</v>
      </c>
      <c r="M544" s="23" t="s">
        <v>1231</v>
      </c>
      <c r="N544" s="30" t="s">
        <v>197</v>
      </c>
      <c r="O544" s="24">
        <f aca="1">DATEDIF(F544,TODAY(),"Y")</f>
        <v>7</v>
      </c>
      <c r="P544" s="24">
        <f aca="1">DATEDIF(F544,TODAY(),"YM")</f>
        <v>9</v>
      </c>
      <c r="Q544" s="24" t="str">
        <f aca="1">DATEDIF(F544,NOW(),"Y")&amp;" Tahun "&amp;DATEDIF(F544,NOW(),"YM")&amp;" Bulan "&amp;DATEDIF(F544,NOW(),"MD")&amp;" Hari "</f>
        <v>7 Tahun 9 Bulan 6 Hari </v>
      </c>
      <c r="R544" s="41">
        <f>F544</f>
        <v>43101</v>
      </c>
      <c r="S544" s="36" t="n">
        <v>45258</v>
      </c>
      <c r="T544" s="51" t="n">
        <v>1000000</v>
      </c>
      <c r="U544" s="51" t="n">
        <v>1000000</v>
      </c>
    </row>
    <row r="545" spans="1:21">
      <c r="A545" s="21" t="n">
        <v>542</v>
      </c>
      <c r="B545" s="21" t="str">
        <f>E545</f>
        <v>3513141106920002</v>
      </c>
      <c r="C545" s="38">
        <f>F545</f>
        <v>43101</v>
      </c>
      <c r="D545" s="22" t="s">
        <v>1443</v>
      </c>
      <c r="E545" s="191" t="s">
        <v>1444</v>
      </c>
      <c r="F545" s="38" t="n">
        <v>43101</v>
      </c>
      <c r="G545" s="21" t="s">
        <v>33</v>
      </c>
      <c r="H545" s="38" t="s">
        <v>1394</v>
      </c>
      <c r="I545" s="159" t="s">
        <v>1127</v>
      </c>
      <c r="J545" s="22" t="s">
        <v>1445</v>
      </c>
      <c r="K545" s="22" t="s">
        <v>28</v>
      </c>
      <c r="L545" s="22" t="s">
        <v>673</v>
      </c>
      <c r="M545" s="23" t="s">
        <v>1231</v>
      </c>
      <c r="N545" s="23" t="s">
        <v>245</v>
      </c>
      <c r="O545" s="24">
        <f aca="1">DATEDIF(F545,TODAY(),"Y")</f>
        <v>7</v>
      </c>
      <c r="P545" s="24">
        <f aca="1">DATEDIF(F545,TODAY(),"YM")</f>
        <v>9</v>
      </c>
      <c r="Q545" s="24" t="str">
        <f aca="1">DATEDIF(F545,NOW(),"Y")&amp;" Tahun "&amp;DATEDIF(F545,NOW(),"YM")&amp;" Bulan "&amp;DATEDIF(F545,NOW(),"MD")&amp;" Hari "</f>
        <v>7 Tahun 9 Bulan 6 Hari </v>
      </c>
      <c r="R545" s="41">
        <f>F545</f>
        <v>43101</v>
      </c>
      <c r="S545" s="36" t="n">
        <v>45258</v>
      </c>
      <c r="T545" s="51" t="n">
        <v>1000000</v>
      </c>
      <c r="U545" s="51" t="n">
        <v>1000000</v>
      </c>
    </row>
    <row r="546" spans="1:21">
      <c r="A546" s="21" t="n">
        <v>543</v>
      </c>
      <c r="B546" s="21" t="str">
        <f>E546</f>
        <v>3513140501910001</v>
      </c>
      <c r="C546" s="38">
        <f>F546</f>
        <v>43101</v>
      </c>
      <c r="D546" s="22" t="s">
        <v>1446</v>
      </c>
      <c r="E546" s="191" t="s">
        <v>1447</v>
      </c>
      <c r="F546" s="38" t="n">
        <v>43101</v>
      </c>
      <c r="G546" s="21" t="s">
        <v>33</v>
      </c>
      <c r="H546" s="38" t="s">
        <v>1394</v>
      </c>
      <c r="I546" s="159" t="s">
        <v>1127</v>
      </c>
      <c r="J546" s="22" t="s">
        <v>1448</v>
      </c>
      <c r="K546" s="22" t="s">
        <v>28</v>
      </c>
      <c r="L546" s="22" t="s">
        <v>673</v>
      </c>
      <c r="M546" s="23" t="s">
        <v>1423</v>
      </c>
      <c r="N546" s="23" t="s">
        <v>1449</v>
      </c>
      <c r="O546" s="24">
        <f aca="1">DATEDIF(F546,TODAY(),"Y")</f>
        <v>7</v>
      </c>
      <c r="P546" s="24">
        <f aca="1">DATEDIF(F546,TODAY(),"YM")</f>
        <v>9</v>
      </c>
      <c r="Q546" s="24" t="str">
        <f aca="1">DATEDIF(F546,NOW(),"Y")&amp;" Tahun "&amp;DATEDIF(F546,NOW(),"YM")&amp;" Bulan "&amp;DATEDIF(F546,NOW(),"MD")&amp;" Hari "</f>
        <v>7 Tahun 9 Bulan 6 Hari </v>
      </c>
      <c r="R546" s="41">
        <f>F546</f>
        <v>43101</v>
      </c>
      <c r="S546" s="36" t="n">
        <v>45258</v>
      </c>
      <c r="T546" s="51" t="n">
        <v>1000000</v>
      </c>
      <c r="U546" s="51" t="n">
        <v>1000000</v>
      </c>
    </row>
    <row r="547" spans="1:21">
      <c r="A547" s="21" t="n">
        <v>544</v>
      </c>
      <c r="B547" s="21" t="str">
        <f>E547</f>
        <v>3513141901980001</v>
      </c>
      <c r="C547" s="38">
        <f>F547</f>
        <v>43101</v>
      </c>
      <c r="D547" s="22" t="s">
        <v>1450</v>
      </c>
      <c r="E547" s="191" t="s">
        <v>1451</v>
      </c>
      <c r="F547" s="38" t="n">
        <v>43101</v>
      </c>
      <c r="G547" s="21" t="s">
        <v>33</v>
      </c>
      <c r="H547" s="38" t="s">
        <v>1394</v>
      </c>
      <c r="I547" s="159" t="s">
        <v>1127</v>
      </c>
      <c r="J547" s="22" t="s">
        <v>818</v>
      </c>
      <c r="K547" s="22" t="s">
        <v>28</v>
      </c>
      <c r="L547" s="22" t="s">
        <v>676</v>
      </c>
      <c r="M547" s="23" t="s">
        <v>1231</v>
      </c>
      <c r="N547" s="23" t="s">
        <v>134</v>
      </c>
      <c r="O547" s="24">
        <f aca="1">DATEDIF(F547,TODAY(),"Y")</f>
        <v>7</v>
      </c>
      <c r="P547" s="24">
        <f aca="1">DATEDIF(F547,TODAY(),"YM")</f>
        <v>9</v>
      </c>
      <c r="Q547" s="24" t="str">
        <f aca="1">DATEDIF(F547,NOW(),"Y")&amp;" Tahun "&amp;DATEDIF(F547,NOW(),"YM")&amp;" Bulan "&amp;DATEDIF(F547,NOW(),"MD")&amp;" Hari "</f>
        <v>7 Tahun 9 Bulan 6 Hari </v>
      </c>
      <c r="R547" s="41">
        <f>F547</f>
        <v>43101</v>
      </c>
      <c r="S547" s="36" t="n">
        <v>45258</v>
      </c>
      <c r="T547" s="51" t="n">
        <v>1000000</v>
      </c>
      <c r="U547" s="51" t="n">
        <v>1000000</v>
      </c>
    </row>
    <row r="548" spans="1:21">
      <c r="A548" s="21" t="n">
        <v>545</v>
      </c>
      <c r="B548" s="21" t="str">
        <f>E548</f>
        <v>3513130501730001</v>
      </c>
      <c r="C548" s="38">
        <f>F548</f>
        <v>43101</v>
      </c>
      <c r="D548" s="22" t="s">
        <v>1452</v>
      </c>
      <c r="E548" s="191" t="s">
        <v>1453</v>
      </c>
      <c r="F548" s="38" t="n">
        <v>43101</v>
      </c>
      <c r="G548" s="21" t="s">
        <v>33</v>
      </c>
      <c r="H548" s="38" t="s">
        <v>1394</v>
      </c>
      <c r="I548" s="159" t="s">
        <v>1127</v>
      </c>
      <c r="J548" s="22" t="s">
        <v>1430</v>
      </c>
      <c r="K548" s="22" t="s">
        <v>28</v>
      </c>
      <c r="L548" s="22" t="s">
        <v>673</v>
      </c>
      <c r="M548" s="23" t="s">
        <v>1454</v>
      </c>
      <c r="N548" s="23" t="s">
        <v>696</v>
      </c>
      <c r="O548" s="24">
        <f aca="1">DATEDIF(F548,TODAY(),"Y")</f>
        <v>7</v>
      </c>
      <c r="P548" s="24">
        <f aca="1">DATEDIF(F548,TODAY(),"YM")</f>
        <v>9</v>
      </c>
      <c r="Q548" s="24" t="str">
        <f aca="1">DATEDIF(F548,NOW(),"Y")&amp;" Tahun "&amp;DATEDIF(F548,NOW(),"YM")&amp;" Bulan "&amp;DATEDIF(F548,NOW(),"MD")&amp;" Hari "</f>
        <v>7 Tahun 9 Bulan 6 Hari </v>
      </c>
      <c r="R548" s="41">
        <f>F548</f>
        <v>43101</v>
      </c>
      <c r="S548" s="36" t="n">
        <v>45258</v>
      </c>
      <c r="T548" s="51" t="n">
        <v>1000000</v>
      </c>
      <c r="U548" s="51" t="n">
        <v>1000000</v>
      </c>
    </row>
    <row r="549" spans="1:21">
      <c r="A549" s="21" t="n">
        <v>546</v>
      </c>
      <c r="B549" s="21" t="str">
        <f>E549</f>
        <v>3513142106960002</v>
      </c>
      <c r="C549" s="38">
        <f>F549</f>
        <v>43101</v>
      </c>
      <c r="D549" s="22" t="s">
        <v>1455</v>
      </c>
      <c r="E549" s="191" t="s">
        <v>1456</v>
      </c>
      <c r="F549" s="38" t="n">
        <v>43101</v>
      </c>
      <c r="G549" s="21" t="s">
        <v>33</v>
      </c>
      <c r="H549" s="38" t="s">
        <v>1394</v>
      </c>
      <c r="I549" s="159" t="s">
        <v>1127</v>
      </c>
      <c r="J549" s="22" t="s">
        <v>346</v>
      </c>
      <c r="K549" s="22" t="s">
        <v>28</v>
      </c>
      <c r="L549" s="22" t="s">
        <v>673</v>
      </c>
      <c r="M549" s="23" t="s">
        <v>1231</v>
      </c>
      <c r="N549" s="23" t="s">
        <v>128</v>
      </c>
      <c r="O549" s="24">
        <f aca="1">DATEDIF(F549,TODAY(),"Y")</f>
        <v>7</v>
      </c>
      <c r="P549" s="24">
        <f aca="1">DATEDIF(F549,TODAY(),"YM")</f>
        <v>9</v>
      </c>
      <c r="Q549" s="24" t="str">
        <f aca="1">DATEDIF(F549,NOW(),"Y")&amp;" Tahun "&amp;DATEDIF(F549,NOW(),"YM")&amp;" Bulan "&amp;DATEDIF(F549,NOW(),"MD")&amp;" Hari "</f>
        <v>7 Tahun 9 Bulan 6 Hari </v>
      </c>
      <c r="R549" s="41">
        <f>F549</f>
        <v>43101</v>
      </c>
      <c r="S549" s="36" t="n">
        <v>45258</v>
      </c>
      <c r="T549" s="51" t="n">
        <v>1000000</v>
      </c>
      <c r="U549" s="51" t="n">
        <v>1000000</v>
      </c>
    </row>
    <row r="550" spans="1:21">
      <c r="A550" s="21" t="n">
        <v>547</v>
      </c>
      <c r="B550" s="21" t="str">
        <f>E550</f>
        <v>3513150706910002</v>
      </c>
      <c r="C550" s="38">
        <f>F550</f>
        <v>43101</v>
      </c>
      <c r="D550" s="22" t="s">
        <v>1457</v>
      </c>
      <c r="E550" s="191" t="s">
        <v>1458</v>
      </c>
      <c r="F550" s="38" t="n">
        <v>43101</v>
      </c>
      <c r="G550" s="21" t="s">
        <v>33</v>
      </c>
      <c r="H550" s="38" t="s">
        <v>1394</v>
      </c>
      <c r="I550" s="159" t="s">
        <v>1127</v>
      </c>
      <c r="J550" s="22" t="s">
        <v>346</v>
      </c>
      <c r="K550" s="22" t="s">
        <v>28</v>
      </c>
      <c r="L550" s="22" t="s">
        <v>673</v>
      </c>
      <c r="M550" s="23" t="s">
        <v>1231</v>
      </c>
      <c r="N550" s="23" t="s">
        <v>128</v>
      </c>
      <c r="O550" s="24">
        <f aca="1">DATEDIF(F550,TODAY(),"Y")</f>
        <v>7</v>
      </c>
      <c r="P550" s="24">
        <f aca="1">DATEDIF(F550,TODAY(),"YM")</f>
        <v>9</v>
      </c>
      <c r="Q550" s="24" t="str">
        <f aca="1">DATEDIF(F550,NOW(),"Y")&amp;" Tahun "&amp;DATEDIF(F550,NOW(),"YM")&amp;" Bulan "&amp;DATEDIF(F550,NOW(),"MD")&amp;" Hari "</f>
        <v>7 Tahun 9 Bulan 6 Hari </v>
      </c>
      <c r="R550" s="41">
        <f>F550</f>
        <v>43101</v>
      </c>
      <c r="S550" s="36" t="n">
        <v>45258</v>
      </c>
      <c r="T550" s="51" t="n">
        <v>1000000</v>
      </c>
      <c r="U550" s="51" t="n">
        <v>1000000</v>
      </c>
    </row>
    <row r="551" spans="1:21">
      <c r="A551" s="21" t="n">
        <v>548</v>
      </c>
      <c r="B551" s="21" t="str">
        <f>E551</f>
        <v>3513152606900002</v>
      </c>
      <c r="C551" s="38">
        <f>F551</f>
        <v>43101</v>
      </c>
      <c r="D551" s="22" t="s">
        <v>1459</v>
      </c>
      <c r="E551" s="191" t="s">
        <v>1460</v>
      </c>
      <c r="F551" s="38" t="n">
        <v>43101</v>
      </c>
      <c r="G551" s="21" t="s">
        <v>33</v>
      </c>
      <c r="H551" s="38" t="s">
        <v>1394</v>
      </c>
      <c r="I551" s="159" t="s">
        <v>1127</v>
      </c>
      <c r="J551" s="22" t="s">
        <v>1445</v>
      </c>
      <c r="K551" s="22" t="s">
        <v>28</v>
      </c>
      <c r="L551" s="22" t="s">
        <v>673</v>
      </c>
      <c r="M551" s="23" t="s">
        <v>1231</v>
      </c>
      <c r="N551" s="23" t="s">
        <v>245</v>
      </c>
      <c r="O551" s="24">
        <f aca="1">DATEDIF(F551,TODAY(),"Y")</f>
        <v>7</v>
      </c>
      <c r="P551" s="24">
        <f aca="1">DATEDIF(F551,TODAY(),"YM")</f>
        <v>9</v>
      </c>
      <c r="Q551" s="24" t="str">
        <f aca="1">DATEDIF(F551,NOW(),"Y")&amp;" Tahun "&amp;DATEDIF(F551,NOW(),"YM")&amp;" Bulan "&amp;DATEDIF(F551,NOW(),"MD")&amp;" Hari "</f>
        <v>7 Tahun 9 Bulan 6 Hari </v>
      </c>
      <c r="R551" s="41">
        <f>F551</f>
        <v>43101</v>
      </c>
      <c r="S551" s="36" t="n">
        <v>45258</v>
      </c>
      <c r="T551" s="51" t="n">
        <v>1000000</v>
      </c>
      <c r="U551" s="51" t="n">
        <v>1000000</v>
      </c>
    </row>
    <row r="552" spans="1:21">
      <c r="A552" s="21" t="n">
        <v>549</v>
      </c>
      <c r="B552" s="21" t="str">
        <f>E552</f>
        <v>3513155603700003</v>
      </c>
      <c r="C552" s="38">
        <f>F552</f>
        <v>43101</v>
      </c>
      <c r="D552" s="22" t="s">
        <v>1461</v>
      </c>
      <c r="E552" s="191" t="s">
        <v>1462</v>
      </c>
      <c r="F552" s="38" t="n">
        <v>43101</v>
      </c>
      <c r="G552" s="21" t="s">
        <v>24</v>
      </c>
      <c r="H552" s="38" t="s">
        <v>1394</v>
      </c>
      <c r="I552" s="159" t="s">
        <v>1127</v>
      </c>
      <c r="J552" s="23" t="s">
        <v>1435</v>
      </c>
      <c r="K552" s="22" t="s">
        <v>28</v>
      </c>
      <c r="L552" s="22" t="s">
        <v>673</v>
      </c>
      <c r="M552" s="23" t="s">
        <v>1454</v>
      </c>
      <c r="N552" s="23" t="s">
        <v>92</v>
      </c>
      <c r="O552" s="24">
        <f aca="1">DATEDIF(F552,TODAY(),"Y")</f>
        <v>7</v>
      </c>
      <c r="P552" s="24">
        <f aca="1">DATEDIF(F552,TODAY(),"YM")</f>
        <v>9</v>
      </c>
      <c r="Q552" s="24" t="str">
        <f aca="1">DATEDIF(F552,NOW(),"Y")&amp;" Tahun "&amp;DATEDIF(F552,NOW(),"YM")&amp;" Bulan "&amp;DATEDIF(F552,NOW(),"MD")&amp;" Hari "</f>
        <v>7 Tahun 9 Bulan 6 Hari </v>
      </c>
      <c r="R552" s="41">
        <f>F552</f>
        <v>43101</v>
      </c>
      <c r="S552" s="36" t="n">
        <v>45258</v>
      </c>
      <c r="T552" s="51" t="n">
        <v>1000000</v>
      </c>
      <c r="U552" s="51" t="n">
        <v>1000000</v>
      </c>
    </row>
    <row r="553" spans="1:21">
      <c r="A553" s="21" t="n">
        <v>550</v>
      </c>
      <c r="B553" s="21" t="str">
        <f>E553</f>
        <v>3513155902980002</v>
      </c>
      <c r="C553" s="38">
        <f>F553</f>
        <v>43101</v>
      </c>
      <c r="D553" s="22" t="s">
        <v>1463</v>
      </c>
      <c r="E553" s="191" t="s">
        <v>1464</v>
      </c>
      <c r="F553" s="38" t="n">
        <v>43101</v>
      </c>
      <c r="G553" s="21" t="s">
        <v>24</v>
      </c>
      <c r="H553" s="38" t="s">
        <v>1394</v>
      </c>
      <c r="I553" s="159" t="s">
        <v>1127</v>
      </c>
      <c r="J553" s="23" t="s">
        <v>1435</v>
      </c>
      <c r="K553" s="22" t="s">
        <v>28</v>
      </c>
      <c r="L553" s="22" t="s">
        <v>673</v>
      </c>
      <c r="M553" s="23" t="s">
        <v>1231</v>
      </c>
      <c r="N553" s="23" t="s">
        <v>92</v>
      </c>
      <c r="O553" s="24">
        <f aca="1">DATEDIF(F553,TODAY(),"Y")</f>
        <v>7</v>
      </c>
      <c r="P553" s="24">
        <f aca="1">DATEDIF(F553,TODAY(),"YM")</f>
        <v>9</v>
      </c>
      <c r="Q553" s="24" t="str">
        <f aca="1">DATEDIF(F553,NOW(),"Y")&amp;" Tahun "&amp;DATEDIF(F553,NOW(),"YM")&amp;" Bulan "&amp;DATEDIF(F553,NOW(),"MD")&amp;" Hari "</f>
        <v>7 Tahun 9 Bulan 6 Hari </v>
      </c>
      <c r="R553" s="41">
        <f>F553</f>
        <v>43101</v>
      </c>
      <c r="S553" s="36" t="n">
        <v>45258</v>
      </c>
      <c r="T553" s="51" t="n">
        <v>1000000</v>
      </c>
      <c r="U553" s="51" t="n">
        <v>1000000</v>
      </c>
    </row>
    <row r="554" spans="1:21">
      <c r="A554" s="21" t="n">
        <v>551</v>
      </c>
      <c r="B554" s="21" t="str">
        <f>E554</f>
        <v>3513130507960001</v>
      </c>
      <c r="C554" s="38">
        <f>F554</f>
        <v>43101</v>
      </c>
      <c r="D554" s="22" t="s">
        <v>1465</v>
      </c>
      <c r="E554" s="191" t="s">
        <v>1466</v>
      </c>
      <c r="F554" s="38" t="n">
        <v>43101</v>
      </c>
      <c r="G554" s="21" t="s">
        <v>33</v>
      </c>
      <c r="H554" s="38" t="s">
        <v>1394</v>
      </c>
      <c r="I554" s="159" t="s">
        <v>1127</v>
      </c>
      <c r="J554" s="22" t="s">
        <v>818</v>
      </c>
      <c r="K554" s="22" t="s">
        <v>28</v>
      </c>
      <c r="L554" s="22" t="s">
        <v>676</v>
      </c>
      <c r="M554" s="23" t="s">
        <v>1194</v>
      </c>
      <c r="N554" s="23" t="s">
        <v>134</v>
      </c>
      <c r="O554" s="24">
        <f aca="1">DATEDIF(F554,TODAY(),"Y")</f>
        <v>7</v>
      </c>
      <c r="P554" s="24">
        <f aca="1">DATEDIF(F554,TODAY(),"YM")</f>
        <v>9</v>
      </c>
      <c r="Q554" s="24" t="str">
        <f aca="1">DATEDIF(F554,NOW(),"Y")&amp;" Tahun "&amp;DATEDIF(F554,NOW(),"YM")&amp;" Bulan "&amp;DATEDIF(F554,NOW(),"MD")&amp;" Hari "</f>
        <v>7 Tahun 9 Bulan 6 Hari </v>
      </c>
      <c r="R554" s="41">
        <f>F554</f>
        <v>43101</v>
      </c>
      <c r="S554" s="36" t="n">
        <v>45258</v>
      </c>
      <c r="T554" s="51" t="n">
        <v>1000000</v>
      </c>
      <c r="U554" s="51" t="n">
        <v>1000000</v>
      </c>
    </row>
    <row r="555" spans="1:21">
      <c r="A555" s="21" t="n">
        <v>552</v>
      </c>
      <c r="B555" s="21" t="str">
        <f>E555</f>
        <v>3513144803930003</v>
      </c>
      <c r="C555" s="38">
        <f>F555</f>
        <v>43101</v>
      </c>
      <c r="D555" s="22" t="s">
        <v>1467</v>
      </c>
      <c r="E555" s="191" t="s">
        <v>1468</v>
      </c>
      <c r="F555" s="38" t="n">
        <v>43101</v>
      </c>
      <c r="G555" s="21" t="s">
        <v>24</v>
      </c>
      <c r="H555" s="38" t="s">
        <v>1394</v>
      </c>
      <c r="I555" s="159" t="s">
        <v>1127</v>
      </c>
      <c r="J555" s="23" t="s">
        <v>1435</v>
      </c>
      <c r="K555" s="22" t="s">
        <v>28</v>
      </c>
      <c r="L555" s="22" t="s">
        <v>673</v>
      </c>
      <c r="M555" s="23" t="s">
        <v>1231</v>
      </c>
      <c r="N555" s="23" t="s">
        <v>92</v>
      </c>
      <c r="O555" s="24">
        <f aca="1">DATEDIF(F555,TODAY(),"Y")</f>
        <v>7</v>
      </c>
      <c r="P555" s="24">
        <f aca="1">DATEDIF(F555,TODAY(),"YM")</f>
        <v>9</v>
      </c>
      <c r="Q555" s="24" t="str">
        <f aca="1">DATEDIF(F555,NOW(),"Y")&amp;" Tahun "&amp;DATEDIF(F555,NOW(),"YM")&amp;" Bulan "&amp;DATEDIF(F555,NOW(),"MD")&amp;" Hari "</f>
        <v>7 Tahun 9 Bulan 6 Hari </v>
      </c>
      <c r="R555" s="41">
        <f>F555</f>
        <v>43101</v>
      </c>
      <c r="S555" s="36" t="n">
        <v>45258</v>
      </c>
      <c r="T555" s="51" t="n">
        <v>1000000</v>
      </c>
      <c r="U555" s="51" t="n">
        <v>1000000</v>
      </c>
    </row>
    <row r="556" spans="1:21">
      <c r="A556" s="21" t="n">
        <v>553</v>
      </c>
      <c r="B556" s="21" t="str">
        <f>E556</f>
        <v>3574036611720005</v>
      </c>
      <c r="C556" s="38">
        <f>F556</f>
        <v>43101</v>
      </c>
      <c r="D556" s="22" t="s">
        <v>1469</v>
      </c>
      <c r="E556" s="191" t="s">
        <v>1470</v>
      </c>
      <c r="F556" s="38" t="n">
        <v>43101</v>
      </c>
      <c r="G556" s="21" t="s">
        <v>24</v>
      </c>
      <c r="H556" s="38" t="s">
        <v>1394</v>
      </c>
      <c r="I556" s="159" t="s">
        <v>1127</v>
      </c>
      <c r="J556" s="22" t="s">
        <v>536</v>
      </c>
      <c r="K556" s="22" t="s">
        <v>28</v>
      </c>
      <c r="L556" s="22" t="s">
        <v>673</v>
      </c>
      <c r="M556" s="23" t="s">
        <v>1471</v>
      </c>
      <c r="N556" s="23" t="s">
        <v>245</v>
      </c>
      <c r="O556" s="24">
        <f aca="1">DATEDIF(F556,TODAY(),"Y")</f>
        <v>7</v>
      </c>
      <c r="P556" s="24">
        <f aca="1">DATEDIF(F556,TODAY(),"YM")</f>
        <v>9</v>
      </c>
      <c r="Q556" s="24" t="str">
        <f aca="1">DATEDIF(F556,NOW(),"Y")&amp;" Tahun "&amp;DATEDIF(F556,NOW(),"YM")&amp;" Bulan "&amp;DATEDIF(F556,NOW(),"MD")&amp;" Hari "</f>
        <v>7 Tahun 9 Bulan 6 Hari </v>
      </c>
      <c r="R556" s="41">
        <f>F556</f>
        <v>43101</v>
      </c>
      <c r="S556" s="36" t="n">
        <v>45258</v>
      </c>
      <c r="T556" s="51" t="n">
        <v>1000000</v>
      </c>
      <c r="U556" s="51" t="n">
        <v>1000000</v>
      </c>
    </row>
    <row r="557" spans="1:21">
      <c r="A557" s="21" t="n">
        <v>554</v>
      </c>
      <c r="B557" s="21" t="str">
        <f>E557</f>
        <v>3513132112930002</v>
      </c>
      <c r="C557" s="38">
        <f>F557</f>
        <v>43101</v>
      </c>
      <c r="D557" s="22" t="s">
        <v>1472</v>
      </c>
      <c r="E557" s="191" t="s">
        <v>1473</v>
      </c>
      <c r="F557" s="38" t="n">
        <v>43101</v>
      </c>
      <c r="G557" s="21" t="s">
        <v>33</v>
      </c>
      <c r="H557" s="38" t="s">
        <v>1394</v>
      </c>
      <c r="I557" s="159" t="s">
        <v>1127</v>
      </c>
      <c r="J557" s="22" t="s">
        <v>818</v>
      </c>
      <c r="K557" s="22" t="s">
        <v>28</v>
      </c>
      <c r="L557" s="22" t="s">
        <v>676</v>
      </c>
      <c r="M557" s="23" t="s">
        <v>1194</v>
      </c>
      <c r="N557" s="23" t="s">
        <v>523</v>
      </c>
      <c r="O557" s="24">
        <f aca="1">DATEDIF(F557,TODAY(),"Y")</f>
        <v>7</v>
      </c>
      <c r="P557" s="24">
        <f aca="1">DATEDIF(F557,TODAY(),"YM")</f>
        <v>9</v>
      </c>
      <c r="Q557" s="24" t="str">
        <f aca="1">DATEDIF(F557,NOW(),"Y")&amp;" Tahun "&amp;DATEDIF(F557,NOW(),"YM")&amp;" Bulan "&amp;DATEDIF(F557,NOW(),"MD")&amp;" Hari "</f>
        <v>7 Tahun 9 Bulan 6 Hari </v>
      </c>
      <c r="R557" s="41">
        <f>F557</f>
        <v>43101</v>
      </c>
      <c r="S557" s="36" t="n">
        <v>45258</v>
      </c>
      <c r="T557" s="51" t="n">
        <v>1000000</v>
      </c>
      <c r="U557" s="51" t="n">
        <v>1000000</v>
      </c>
    </row>
    <row r="558" spans="1:21">
      <c r="A558" s="21" t="n">
        <v>555</v>
      </c>
      <c r="B558" s="21" t="str">
        <f>E558</f>
        <v>3513157001890001</v>
      </c>
      <c r="C558" s="38">
        <f>F558</f>
        <v>43101</v>
      </c>
      <c r="D558" s="22" t="s">
        <v>1474</v>
      </c>
      <c r="E558" s="191" t="s">
        <v>1475</v>
      </c>
      <c r="F558" s="38" t="n">
        <v>43101</v>
      </c>
      <c r="G558" s="21" t="s">
        <v>24</v>
      </c>
      <c r="H558" s="38" t="s">
        <v>1394</v>
      </c>
      <c r="I558" s="159" t="s">
        <v>1127</v>
      </c>
      <c r="J558" s="23" t="s">
        <v>1435</v>
      </c>
      <c r="K558" s="22" t="s">
        <v>28</v>
      </c>
      <c r="L558" s="22" t="s">
        <v>673</v>
      </c>
      <c r="M558" s="23" t="s">
        <v>1454</v>
      </c>
      <c r="N558" s="23" t="s">
        <v>92</v>
      </c>
      <c r="O558" s="24">
        <f aca="1">DATEDIF(F558,TODAY(),"Y")</f>
        <v>7</v>
      </c>
      <c r="P558" s="24">
        <f aca="1">DATEDIF(F558,TODAY(),"YM")</f>
        <v>9</v>
      </c>
      <c r="Q558" s="24" t="str">
        <f aca="1">DATEDIF(F558,NOW(),"Y")&amp;" Tahun "&amp;DATEDIF(F558,NOW(),"YM")&amp;" Bulan "&amp;DATEDIF(F558,NOW(),"MD")&amp;" Hari "</f>
        <v>7 Tahun 9 Bulan 6 Hari </v>
      </c>
      <c r="R558" s="41">
        <f>F558</f>
        <v>43101</v>
      </c>
      <c r="S558" s="36" t="n">
        <v>45258</v>
      </c>
      <c r="T558" s="51" t="n">
        <v>1000000</v>
      </c>
      <c r="U558" s="51" t="n">
        <v>1000000</v>
      </c>
    </row>
    <row r="559" spans="1:21">
      <c r="A559" s="21" t="n">
        <v>556</v>
      </c>
      <c r="B559" s="21" t="str">
        <f>E559</f>
        <v>3513142710820001</v>
      </c>
      <c r="C559" s="38">
        <f>F559</f>
        <v>43101</v>
      </c>
      <c r="D559" s="22" t="s">
        <v>1476</v>
      </c>
      <c r="E559" s="191" t="s">
        <v>1477</v>
      </c>
      <c r="F559" s="38" t="n">
        <v>43101</v>
      </c>
      <c r="G559" s="21" t="s">
        <v>33</v>
      </c>
      <c r="H559" s="38" t="s">
        <v>1394</v>
      </c>
      <c r="I559" s="159" t="s">
        <v>1127</v>
      </c>
      <c r="J559" s="22" t="s">
        <v>1445</v>
      </c>
      <c r="K559" s="22" t="s">
        <v>28</v>
      </c>
      <c r="L559" s="22" t="s">
        <v>673</v>
      </c>
      <c r="M559" s="23" t="s">
        <v>1454</v>
      </c>
      <c r="N559" s="23" t="s">
        <v>245</v>
      </c>
      <c r="O559" s="24">
        <f aca="1">DATEDIF(F559,TODAY(),"Y")</f>
        <v>7</v>
      </c>
      <c r="P559" s="24">
        <f aca="1">DATEDIF(F559,TODAY(),"YM")</f>
        <v>9</v>
      </c>
      <c r="Q559" s="24" t="str">
        <f aca="1">DATEDIF(F559,NOW(),"Y")&amp;" Tahun "&amp;DATEDIF(F559,NOW(),"YM")&amp;" Bulan "&amp;DATEDIF(F559,NOW(),"MD")&amp;" Hari "</f>
        <v>7 Tahun 9 Bulan 6 Hari </v>
      </c>
      <c r="R559" s="41">
        <f>F559</f>
        <v>43101</v>
      </c>
      <c r="S559" s="36" t="n">
        <v>45258</v>
      </c>
      <c r="T559" s="51" t="n">
        <v>1000000</v>
      </c>
      <c r="U559" s="51" t="n">
        <v>1000000</v>
      </c>
    </row>
    <row r="560" spans="1:21">
      <c r="A560" s="21" t="n">
        <v>557</v>
      </c>
      <c r="B560" s="21" t="str">
        <f>E560</f>
        <v>3513140701980002</v>
      </c>
      <c r="C560" s="38">
        <f>F560</f>
        <v>43101</v>
      </c>
      <c r="D560" s="22" t="s">
        <v>1478</v>
      </c>
      <c r="E560" s="191" t="s">
        <v>1479</v>
      </c>
      <c r="F560" s="38" t="n">
        <v>43101</v>
      </c>
      <c r="G560" s="21" t="s">
        <v>33</v>
      </c>
      <c r="H560" s="38" t="s">
        <v>1394</v>
      </c>
      <c r="I560" s="159" t="s">
        <v>1127</v>
      </c>
      <c r="J560" s="22" t="s">
        <v>818</v>
      </c>
      <c r="K560" s="22" t="s">
        <v>28</v>
      </c>
      <c r="L560" s="22" t="s">
        <v>676</v>
      </c>
      <c r="M560" s="23" t="s">
        <v>1231</v>
      </c>
      <c r="N560" s="23" t="s">
        <v>331</v>
      </c>
      <c r="O560" s="24">
        <f aca="1">DATEDIF(F560,TODAY(),"Y")</f>
        <v>7</v>
      </c>
      <c r="P560" s="24">
        <f aca="1">DATEDIF(F560,TODAY(),"YM")</f>
        <v>9</v>
      </c>
      <c r="Q560" s="24" t="str">
        <f aca="1">DATEDIF(F560,NOW(),"Y")&amp;" Tahun "&amp;DATEDIF(F560,NOW(),"YM")&amp;" Bulan "&amp;DATEDIF(F560,NOW(),"MD")&amp;" Hari "</f>
        <v>7 Tahun 9 Bulan 6 Hari </v>
      </c>
      <c r="R560" s="41">
        <f>F560</f>
        <v>43101</v>
      </c>
      <c r="S560" s="36" t="n">
        <v>45258</v>
      </c>
      <c r="T560" s="51" t="n">
        <v>1000000</v>
      </c>
      <c r="U560" s="51" t="n">
        <v>1000000</v>
      </c>
    </row>
    <row r="561" spans="1:21" s="56" customFormat="1">
      <c r="A561" s="21" t="n">
        <v>558</v>
      </c>
      <c r="B561" s="21" t="str">
        <f>E561</f>
        <v>3513092009890002</v>
      </c>
      <c r="C561" s="38">
        <f>F561</f>
        <v>43132</v>
      </c>
      <c r="D561" s="22" t="s">
        <v>1480</v>
      </c>
      <c r="E561" s="191" t="s">
        <v>1481</v>
      </c>
      <c r="F561" s="38" t="n">
        <v>43132</v>
      </c>
      <c r="G561" s="21" t="s">
        <v>33</v>
      </c>
      <c r="H561" s="38" t="s">
        <v>1394</v>
      </c>
      <c r="I561" s="159" t="s">
        <v>1127</v>
      </c>
      <c r="J561" s="22" t="s">
        <v>818</v>
      </c>
      <c r="K561" s="22" t="s">
        <v>28</v>
      </c>
      <c r="L561" s="22" t="s">
        <v>676</v>
      </c>
      <c r="M561" s="23" t="s">
        <v>1231</v>
      </c>
      <c r="N561" s="23" t="s">
        <v>68</v>
      </c>
      <c r="O561" s="24">
        <f aca="1">DATEDIF(F561,TODAY(),"Y")</f>
        <v>7</v>
      </c>
      <c r="P561" s="24">
        <f aca="1">DATEDIF(F561,TODAY(),"YM")</f>
        <v>8</v>
      </c>
      <c r="Q561" s="24" t="str">
        <f aca="1">DATEDIF(F561,NOW(),"Y")&amp;" Tahun "&amp;DATEDIF(F561,NOW(),"YM")&amp;" Bulan "&amp;DATEDIF(F561,NOW(),"MD")&amp;" Hari "</f>
        <v>7 Tahun 8 Bulan 6 Hari </v>
      </c>
      <c r="R561" s="41">
        <f>F561</f>
        <v>43132</v>
      </c>
      <c r="S561" s="36" t="n">
        <v>45258</v>
      </c>
      <c r="T561" s="51" t="n">
        <v>1000000</v>
      </c>
      <c r="U561" s="51" t="n">
        <v>1000000</v>
      </c>
    </row>
    <row r="562" spans="1:21" s="56" customFormat="1">
      <c r="A562" s="21" t="n">
        <v>559</v>
      </c>
      <c r="B562" s="21" t="str">
        <f>E562</f>
        <v>3513151511970003</v>
      </c>
      <c r="C562" s="38">
        <f>F562</f>
        <v>43132</v>
      </c>
      <c r="D562" s="22" t="s">
        <v>1482</v>
      </c>
      <c r="E562" s="191" t="s">
        <v>1483</v>
      </c>
      <c r="F562" s="38" t="n">
        <v>43132</v>
      </c>
      <c r="G562" s="21" t="s">
        <v>33</v>
      </c>
      <c r="H562" s="38" t="s">
        <v>1394</v>
      </c>
      <c r="I562" s="159" t="s">
        <v>1127</v>
      </c>
      <c r="J562" s="23" t="s">
        <v>1243</v>
      </c>
      <c r="K562" s="22" t="s">
        <v>28</v>
      </c>
      <c r="L562" s="22" t="s">
        <v>673</v>
      </c>
      <c r="M562" s="23" t="s">
        <v>1231</v>
      </c>
      <c r="N562" s="23" t="s">
        <v>1244</v>
      </c>
      <c r="O562" s="24">
        <f aca="1">DATEDIF(F562,TODAY(),"Y")</f>
        <v>7</v>
      </c>
      <c r="P562" s="24">
        <f aca="1">DATEDIF(F562,TODAY(),"YM")</f>
        <v>8</v>
      </c>
      <c r="Q562" s="24" t="str">
        <f aca="1">DATEDIF(F562,NOW(),"Y")&amp;" Tahun "&amp;DATEDIF(F562,NOW(),"YM")&amp;" Bulan "&amp;DATEDIF(F562,NOW(),"MD")&amp;" Hari "</f>
        <v>7 Tahun 8 Bulan 6 Hari </v>
      </c>
      <c r="R562" s="41">
        <f>F562</f>
        <v>43132</v>
      </c>
      <c r="S562" s="36" t="n">
        <v>45258</v>
      </c>
      <c r="T562" s="51" t="n">
        <v>1000000</v>
      </c>
      <c r="U562" s="51" t="n">
        <v>1000000</v>
      </c>
    </row>
    <row r="563" spans="1:21" s="56" customFormat="1">
      <c r="A563" s="21" t="n">
        <v>560</v>
      </c>
      <c r="B563" s="21" t="str">
        <f>E563</f>
        <v>3513141809880002</v>
      </c>
      <c r="C563" s="38">
        <f>F563</f>
        <v>43132</v>
      </c>
      <c r="D563" s="22" t="s">
        <v>1484</v>
      </c>
      <c r="E563" s="191" t="s">
        <v>1485</v>
      </c>
      <c r="F563" s="38" t="n">
        <v>43132</v>
      </c>
      <c r="G563" s="21" t="s">
        <v>33</v>
      </c>
      <c r="H563" s="38" t="s">
        <v>1394</v>
      </c>
      <c r="I563" s="159" t="s">
        <v>1127</v>
      </c>
      <c r="J563" s="22" t="s">
        <v>818</v>
      </c>
      <c r="K563" s="22" t="s">
        <v>28</v>
      </c>
      <c r="L563" s="22" t="s">
        <v>676</v>
      </c>
      <c r="M563" s="23" t="s">
        <v>1194</v>
      </c>
      <c r="N563" s="23" t="s">
        <v>97</v>
      </c>
      <c r="O563" s="24">
        <f aca="1">DATEDIF(F563,TODAY(),"Y")</f>
        <v>7</v>
      </c>
      <c r="P563" s="24">
        <f aca="1">DATEDIF(F563,TODAY(),"YM")</f>
        <v>8</v>
      </c>
      <c r="Q563" s="24" t="str">
        <f aca="1">DATEDIF(F563,NOW(),"Y")&amp;" Tahun "&amp;DATEDIF(F563,NOW(),"YM")&amp;" Bulan "&amp;DATEDIF(F563,NOW(),"MD")&amp;" Hari "</f>
        <v>7 Tahun 8 Bulan 6 Hari </v>
      </c>
      <c r="R563" s="41">
        <f>F563</f>
        <v>43132</v>
      </c>
      <c r="S563" s="36" t="n">
        <v>45258</v>
      </c>
      <c r="T563" s="51" t="n">
        <v>1000000</v>
      </c>
      <c r="U563" s="51" t="n">
        <v>1000000</v>
      </c>
    </row>
    <row r="564" spans="1:21" s="56" customFormat="1">
      <c r="A564" s="21" t="n">
        <v>561</v>
      </c>
      <c r="B564" s="21" t="str">
        <f>E564</f>
        <v>3513142804880001</v>
      </c>
      <c r="C564" s="38">
        <f>F564</f>
        <v>43132</v>
      </c>
      <c r="D564" s="22" t="s">
        <v>1486</v>
      </c>
      <c r="E564" s="191" t="s">
        <v>1487</v>
      </c>
      <c r="F564" s="38" t="n">
        <v>43132</v>
      </c>
      <c r="G564" s="21" t="s">
        <v>33</v>
      </c>
      <c r="H564" s="38" t="s">
        <v>1394</v>
      </c>
      <c r="I564" s="159" t="s">
        <v>1127</v>
      </c>
      <c r="J564" s="22" t="s">
        <v>818</v>
      </c>
      <c r="K564" s="22" t="s">
        <v>28</v>
      </c>
      <c r="L564" s="22" t="s">
        <v>676</v>
      </c>
      <c r="M564" s="23" t="s">
        <v>1194</v>
      </c>
      <c r="N564" s="23" t="s">
        <v>1488</v>
      </c>
      <c r="O564" s="24">
        <f aca="1">DATEDIF(F564,TODAY(),"Y")</f>
        <v>7</v>
      </c>
      <c r="P564" s="24">
        <f aca="1">DATEDIF(F564,TODAY(),"YM")</f>
        <v>8</v>
      </c>
      <c r="Q564" s="24" t="str">
        <f aca="1">DATEDIF(F564,NOW(),"Y")&amp;" Tahun "&amp;DATEDIF(F564,NOW(),"YM")&amp;" Bulan "&amp;DATEDIF(F564,NOW(),"MD")&amp;" Hari "</f>
        <v>7 Tahun 8 Bulan 6 Hari </v>
      </c>
      <c r="R564" s="41">
        <f>F564</f>
        <v>43132</v>
      </c>
      <c r="S564" s="36" t="n">
        <v>45258</v>
      </c>
      <c r="T564" s="51" t="n">
        <v>1000000</v>
      </c>
      <c r="U564" s="51" t="n">
        <v>1000000</v>
      </c>
    </row>
    <row r="565" spans="1:21" s="56" customFormat="1">
      <c r="A565" s="21" t="n">
        <v>562</v>
      </c>
      <c r="B565" s="21" t="str">
        <f>E565</f>
        <v>3513140602860003</v>
      </c>
      <c r="C565" s="38">
        <f>F565</f>
        <v>43132</v>
      </c>
      <c r="D565" s="22" t="s">
        <v>1489</v>
      </c>
      <c r="E565" s="191" t="s">
        <v>1490</v>
      </c>
      <c r="F565" s="38" t="n">
        <v>43132</v>
      </c>
      <c r="G565" s="21" t="s">
        <v>33</v>
      </c>
      <c r="H565" s="38" t="s">
        <v>1394</v>
      </c>
      <c r="I565" s="159" t="s">
        <v>1127</v>
      </c>
      <c r="J565" s="22" t="s">
        <v>818</v>
      </c>
      <c r="K565" s="22" t="s">
        <v>28</v>
      </c>
      <c r="L565" s="22" t="s">
        <v>676</v>
      </c>
      <c r="M565" s="23" t="s">
        <v>1194</v>
      </c>
      <c r="N565" s="30" t="s">
        <v>197</v>
      </c>
      <c r="O565" s="24">
        <f aca="1">DATEDIF(F565,TODAY(),"Y")</f>
        <v>7</v>
      </c>
      <c r="P565" s="24">
        <f aca="1">DATEDIF(F565,TODAY(),"YM")</f>
        <v>8</v>
      </c>
      <c r="Q565" s="24" t="str">
        <f aca="1">DATEDIF(F565,NOW(),"Y")&amp;" Tahun "&amp;DATEDIF(F565,NOW(),"YM")&amp;" Bulan "&amp;DATEDIF(F565,NOW(),"MD")&amp;" Hari "</f>
        <v>7 Tahun 8 Bulan 6 Hari </v>
      </c>
      <c r="R565" s="41">
        <f>F565</f>
        <v>43132</v>
      </c>
      <c r="S565" s="36" t="n">
        <v>45258</v>
      </c>
      <c r="T565" s="51" t="n">
        <v>1000000</v>
      </c>
      <c r="U565" s="51" t="n">
        <v>1000000</v>
      </c>
    </row>
    <row r="566" spans="1:21" s="56" customFormat="1">
      <c r="A566" s="21" t="n">
        <v>563</v>
      </c>
      <c r="B566" s="21" t="str">
        <f>E566</f>
        <v>3574031406950003</v>
      </c>
      <c r="C566" s="38">
        <f>F566</f>
        <v>43132</v>
      </c>
      <c r="D566" s="22" t="s">
        <v>1491</v>
      </c>
      <c r="E566" s="191" t="s">
        <v>1492</v>
      </c>
      <c r="F566" s="38" t="n">
        <v>43132</v>
      </c>
      <c r="G566" s="21" t="s">
        <v>33</v>
      </c>
      <c r="H566" s="38" t="s">
        <v>1394</v>
      </c>
      <c r="I566" s="159" t="s">
        <v>1127</v>
      </c>
      <c r="J566" s="22" t="s">
        <v>818</v>
      </c>
      <c r="K566" s="22" t="s">
        <v>28</v>
      </c>
      <c r="L566" s="22" t="s">
        <v>676</v>
      </c>
      <c r="M566" s="23" t="s">
        <v>1231</v>
      </c>
      <c r="N566" s="23" t="s">
        <v>458</v>
      </c>
      <c r="O566" s="24">
        <f aca="1">DATEDIF(F566,TODAY(),"Y")</f>
        <v>7</v>
      </c>
      <c r="P566" s="24">
        <f aca="1">DATEDIF(F566,TODAY(),"YM")</f>
        <v>8</v>
      </c>
      <c r="Q566" s="24" t="str">
        <f aca="1">DATEDIF(F566,NOW(),"Y")&amp;" Tahun "&amp;DATEDIF(F566,NOW(),"YM")&amp;" Bulan "&amp;DATEDIF(F566,NOW(),"MD")&amp;" Hari "</f>
        <v>7 Tahun 8 Bulan 6 Hari </v>
      </c>
      <c r="R566" s="41">
        <f>F566</f>
        <v>43132</v>
      </c>
      <c r="S566" s="36" t="n">
        <v>45258</v>
      </c>
      <c r="T566" s="51" t="n">
        <v>1000000</v>
      </c>
      <c r="U566" s="51" t="n">
        <v>1000000</v>
      </c>
    </row>
    <row r="567" spans="1:21">
      <c r="A567" s="21" t="n">
        <v>564</v>
      </c>
      <c r="B567" s="21" t="str">
        <f>E567</f>
        <v>3513092201950001</v>
      </c>
      <c r="C567" s="42">
        <f>F567</f>
        <v>43344</v>
      </c>
      <c r="D567" s="22" t="s">
        <v>1493</v>
      </c>
      <c r="E567" s="191" t="s">
        <v>1494</v>
      </c>
      <c r="F567" s="42" t="n">
        <v>43344</v>
      </c>
      <c r="G567" s="21" t="s">
        <v>33</v>
      </c>
      <c r="H567" s="38" t="s">
        <v>1394</v>
      </c>
      <c r="I567" s="159" t="s">
        <v>1127</v>
      </c>
      <c r="J567" s="22" t="s">
        <v>818</v>
      </c>
      <c r="K567" s="22" t="s">
        <v>28</v>
      </c>
      <c r="L567" s="22" t="s">
        <v>676</v>
      </c>
      <c r="M567" s="23" t="s">
        <v>1495</v>
      </c>
      <c r="N567" s="23" t="s">
        <v>218</v>
      </c>
      <c r="O567" s="24">
        <f aca="1">DATEDIF(F567,TODAY(),"Y")</f>
        <v>7</v>
      </c>
      <c r="P567" s="24">
        <f aca="1">DATEDIF(F567,TODAY(),"YM")</f>
        <v>1</v>
      </c>
      <c r="Q567" s="24" t="str">
        <f aca="1">DATEDIF(F567,NOW(),"Y")&amp;" Tahun "&amp;DATEDIF(F567,NOW(),"YM")&amp;" Bulan "&amp;DATEDIF(F567,NOW(),"MD")&amp;" Hari "</f>
        <v>7 Tahun 1 Bulan 6 Hari </v>
      </c>
      <c r="R567" s="41">
        <f>F567</f>
        <v>43344</v>
      </c>
      <c r="S567" s="36" t="n">
        <v>45258</v>
      </c>
      <c r="T567" s="51" t="n">
        <v>1000000</v>
      </c>
      <c r="U567" s="51" t="n">
        <v>1000000</v>
      </c>
    </row>
    <row r="568" spans="1:21">
      <c r="A568" s="21" t="n">
        <v>565</v>
      </c>
      <c r="B568" s="21" t="str">
        <f>E568</f>
        <v>3574042409910003</v>
      </c>
      <c r="C568" s="42">
        <f>F568</f>
        <v>43344</v>
      </c>
      <c r="D568" s="22" t="s">
        <v>1496</v>
      </c>
      <c r="E568" s="191" t="s">
        <v>1497</v>
      </c>
      <c r="F568" s="42" t="n">
        <v>43344</v>
      </c>
      <c r="G568" s="21" t="s">
        <v>33</v>
      </c>
      <c r="H568" s="38" t="s">
        <v>1394</v>
      </c>
      <c r="I568" s="159" t="s">
        <v>1127</v>
      </c>
      <c r="J568" s="22" t="s">
        <v>818</v>
      </c>
      <c r="K568" s="22" t="s">
        <v>28</v>
      </c>
      <c r="L568" s="25" t="s">
        <v>262</v>
      </c>
      <c r="M568" s="23" t="s">
        <v>1498</v>
      </c>
      <c r="N568" s="23" t="s">
        <v>523</v>
      </c>
      <c r="O568" s="24">
        <f aca="1">DATEDIF(F568,TODAY(),"Y")</f>
        <v>7</v>
      </c>
      <c r="P568" s="24">
        <f aca="1">DATEDIF(F568,TODAY(),"YM")</f>
        <v>1</v>
      </c>
      <c r="Q568" s="24" t="str">
        <f aca="1">DATEDIF(F568,NOW(),"Y")&amp;" Tahun "&amp;DATEDIF(F568,NOW(),"YM")&amp;" Bulan "&amp;DATEDIF(F568,NOW(),"MD")&amp;" Hari "</f>
        <v>7 Tahun 1 Bulan 6 Hari </v>
      </c>
      <c r="R568" s="41">
        <f>F568</f>
        <v>43344</v>
      </c>
      <c r="S568" s="36" t="n">
        <v>45258</v>
      </c>
      <c r="T568" s="51" t="n">
        <v>1200000</v>
      </c>
      <c r="U568" s="51" t="n">
        <v>1200000</v>
      </c>
    </row>
    <row r="569" spans="1:21">
      <c r="A569" s="21" t="n">
        <v>566</v>
      </c>
      <c r="B569" s="21" t="str">
        <f>E569</f>
        <v>3513140306930003</v>
      </c>
      <c r="C569" s="42">
        <f>F569</f>
        <v>43344</v>
      </c>
      <c r="D569" s="22" t="s">
        <v>1499</v>
      </c>
      <c r="E569" s="191" t="s">
        <v>1500</v>
      </c>
      <c r="F569" s="42" t="n">
        <v>43344</v>
      </c>
      <c r="G569" s="21" t="s">
        <v>33</v>
      </c>
      <c r="H569" s="38" t="s">
        <v>1394</v>
      </c>
      <c r="I569" s="159" t="s">
        <v>1127</v>
      </c>
      <c r="J569" s="22" t="s">
        <v>818</v>
      </c>
      <c r="K569" s="22" t="s">
        <v>28</v>
      </c>
      <c r="L569" s="25" t="s">
        <v>262</v>
      </c>
      <c r="M569" s="23" t="s">
        <v>1498</v>
      </c>
      <c r="N569" s="23" t="s">
        <v>68</v>
      </c>
      <c r="O569" s="24">
        <f aca="1">DATEDIF(F569,TODAY(),"Y")</f>
        <v>7</v>
      </c>
      <c r="P569" s="24">
        <f aca="1">DATEDIF(F569,TODAY(),"YM")</f>
        <v>1</v>
      </c>
      <c r="Q569" s="24" t="str">
        <f aca="1">DATEDIF(F569,NOW(),"Y")&amp;" Tahun "&amp;DATEDIF(F569,NOW(),"YM")&amp;" Bulan "&amp;DATEDIF(F569,NOW(),"MD")&amp;" Hari "</f>
        <v>7 Tahun 1 Bulan 6 Hari </v>
      </c>
      <c r="R569" s="41">
        <f>F569</f>
        <v>43344</v>
      </c>
      <c r="S569" s="36" t="n">
        <v>45258</v>
      </c>
      <c r="T569" s="51" t="n">
        <v>1200000</v>
      </c>
      <c r="U569" s="51" t="n">
        <v>1200000</v>
      </c>
    </row>
    <row r="570" spans="1:21">
      <c r="A570" s="21" t="n">
        <v>567</v>
      </c>
      <c r="B570" s="21" t="str">
        <f>E570</f>
        <v>3513135701950002</v>
      </c>
      <c r="C570" s="42">
        <f>F570</f>
        <v>43344</v>
      </c>
      <c r="D570" s="22" t="s">
        <v>1501</v>
      </c>
      <c r="E570" s="191" t="s">
        <v>1502</v>
      </c>
      <c r="F570" s="42" t="n">
        <v>43344</v>
      </c>
      <c r="G570" s="21" t="s">
        <v>24</v>
      </c>
      <c r="H570" s="38" t="s">
        <v>1394</v>
      </c>
      <c r="I570" s="159" t="s">
        <v>1127</v>
      </c>
      <c r="J570" s="22" t="s">
        <v>818</v>
      </c>
      <c r="K570" s="22" t="s">
        <v>28</v>
      </c>
      <c r="L570" s="25" t="s">
        <v>262</v>
      </c>
      <c r="M570" s="23" t="s">
        <v>1503</v>
      </c>
      <c r="N570" s="23" t="s">
        <v>523</v>
      </c>
      <c r="O570" s="24">
        <f aca="1">DATEDIF(F570,TODAY(),"Y")</f>
        <v>7</v>
      </c>
      <c r="P570" s="24">
        <f aca="1">DATEDIF(F570,TODAY(),"YM")</f>
        <v>1</v>
      </c>
      <c r="Q570" s="24" t="str">
        <f aca="1">DATEDIF(F570,NOW(),"Y")&amp;" Tahun "&amp;DATEDIF(F570,NOW(),"YM")&amp;" Bulan "&amp;DATEDIF(F570,NOW(),"MD")&amp;" Hari "</f>
        <v>7 Tahun 1 Bulan 6 Hari </v>
      </c>
      <c r="R570" s="41">
        <f>F570</f>
        <v>43344</v>
      </c>
      <c r="S570" s="36" t="n">
        <v>45258</v>
      </c>
      <c r="T570" s="51" t="n">
        <v>1200000</v>
      </c>
      <c r="U570" s="51" t="n">
        <v>1200000</v>
      </c>
    </row>
    <row r="571" spans="1:21">
      <c r="A571" s="21" t="n">
        <v>568</v>
      </c>
      <c r="B571" s="21" t="str">
        <f>E571</f>
        <v>3513136804960004</v>
      </c>
      <c r="C571" s="42">
        <f>F571</f>
        <v>43344</v>
      </c>
      <c r="D571" s="22" t="s">
        <v>1504</v>
      </c>
      <c r="E571" s="191" t="s">
        <v>1505</v>
      </c>
      <c r="F571" s="42" t="n">
        <v>43344</v>
      </c>
      <c r="G571" s="21" t="s">
        <v>24</v>
      </c>
      <c r="H571" s="38" t="s">
        <v>1394</v>
      </c>
      <c r="I571" s="159" t="s">
        <v>1127</v>
      </c>
      <c r="J571" s="23" t="s">
        <v>1506</v>
      </c>
      <c r="K571" s="22" t="s">
        <v>242</v>
      </c>
      <c r="L571" s="23" t="s">
        <v>1506</v>
      </c>
      <c r="M571" s="23" t="s">
        <v>1087</v>
      </c>
      <c r="N571" s="23" t="s">
        <v>523</v>
      </c>
      <c r="O571" s="24">
        <f aca="1">DATEDIF(F571,TODAY(),"Y")</f>
        <v>7</v>
      </c>
      <c r="P571" s="24">
        <f aca="1">DATEDIF(F571,TODAY(),"YM")</f>
        <v>1</v>
      </c>
      <c r="Q571" s="24" t="str">
        <f aca="1">DATEDIF(F571,NOW(),"Y")&amp;" Tahun "&amp;DATEDIF(F571,NOW(),"YM")&amp;" Bulan "&amp;DATEDIF(F571,NOW(),"MD")&amp;" Hari "</f>
        <v>7 Tahun 1 Bulan 6 Hari </v>
      </c>
      <c r="R571" s="41">
        <f>F571</f>
        <v>43344</v>
      </c>
      <c r="S571" s="36" t="n">
        <v>45258</v>
      </c>
      <c r="T571" s="51" t="n">
        <v>1350000</v>
      </c>
      <c r="U571" s="51" t="n">
        <v>1350000</v>
      </c>
    </row>
    <row r="572" spans="1:21" s="71" customFormat="1">
      <c r="A572" s="21" t="n">
        <v>569</v>
      </c>
      <c r="B572" s="21" t="str">
        <f>E572</f>
        <v>3513180904880002</v>
      </c>
      <c r="C572" s="42">
        <f>F572</f>
        <v>43344</v>
      </c>
      <c r="D572" s="22" t="s">
        <v>1507</v>
      </c>
      <c r="E572" s="191" t="s">
        <v>1508</v>
      </c>
      <c r="F572" s="42" t="n">
        <v>43344</v>
      </c>
      <c r="G572" s="21" t="s">
        <v>33</v>
      </c>
      <c r="H572" s="38" t="s">
        <v>1394</v>
      </c>
      <c r="I572" s="159" t="s">
        <v>1127</v>
      </c>
      <c r="J572" s="22" t="s">
        <v>818</v>
      </c>
      <c r="K572" s="22" t="s">
        <v>28</v>
      </c>
      <c r="L572" s="22" t="s">
        <v>676</v>
      </c>
      <c r="M572" s="23" t="s">
        <v>1231</v>
      </c>
      <c r="N572" s="23" t="s">
        <v>461</v>
      </c>
      <c r="O572" s="24">
        <f aca="1">DATEDIF(F572,TODAY(),"Y")</f>
        <v>7</v>
      </c>
      <c r="P572" s="24">
        <f aca="1">DATEDIF(F572,TODAY(),"YM")</f>
        <v>1</v>
      </c>
      <c r="Q572" s="24" t="str">
        <f aca="1">DATEDIF(F572,NOW(),"Y")&amp;" Tahun "&amp;DATEDIF(F572,NOW(),"YM")&amp;" Bulan "&amp;DATEDIF(F572,NOW(),"MD")&amp;" Hari "</f>
        <v>7 Tahun 1 Bulan 6 Hari </v>
      </c>
      <c r="R572" s="41">
        <f>F572</f>
        <v>43344</v>
      </c>
      <c r="S572" s="36" t="n">
        <v>45258</v>
      </c>
      <c r="T572" s="51" t="n">
        <v>1000000</v>
      </c>
      <c r="U572" s="51" t="n">
        <v>1000000</v>
      </c>
    </row>
    <row r="573" spans="1:21">
      <c r="A573" s="21" t="n">
        <v>570</v>
      </c>
      <c r="B573" s="21" t="str">
        <f>E573</f>
        <v>3513141108920001</v>
      </c>
      <c r="C573" s="42">
        <f>F573</f>
        <v>43344</v>
      </c>
      <c r="D573" s="22" t="s">
        <v>1509</v>
      </c>
      <c r="E573" s="191" t="s">
        <v>1510</v>
      </c>
      <c r="F573" s="42" t="n">
        <v>43344</v>
      </c>
      <c r="G573" s="21" t="s">
        <v>33</v>
      </c>
      <c r="H573" s="38" t="s">
        <v>1394</v>
      </c>
      <c r="I573" s="159" t="s">
        <v>1127</v>
      </c>
      <c r="J573" s="22" t="s">
        <v>818</v>
      </c>
      <c r="K573" s="22" t="s">
        <v>28</v>
      </c>
      <c r="L573" s="22" t="s">
        <v>676</v>
      </c>
      <c r="M573" s="23" t="s">
        <v>1231</v>
      </c>
      <c r="N573" s="23" t="s">
        <v>496</v>
      </c>
      <c r="O573" s="24">
        <f aca="1">DATEDIF(F573,TODAY(),"Y")</f>
        <v>7</v>
      </c>
      <c r="P573" s="24">
        <f aca="1">DATEDIF(F573,TODAY(),"YM")</f>
        <v>1</v>
      </c>
      <c r="Q573" s="24" t="str">
        <f aca="1">DATEDIF(F573,NOW(),"Y")&amp;" Tahun "&amp;DATEDIF(F573,NOW(),"YM")&amp;" Bulan "&amp;DATEDIF(F573,NOW(),"MD")&amp;" Hari "</f>
        <v>7 Tahun 1 Bulan 6 Hari </v>
      </c>
      <c r="R573" s="41">
        <f>F573</f>
        <v>43344</v>
      </c>
      <c r="S573" s="36" t="n">
        <v>45258</v>
      </c>
      <c r="T573" s="51" t="n">
        <v>1000000</v>
      </c>
      <c r="U573" s="51" t="n">
        <v>1000000</v>
      </c>
    </row>
    <row r="574" spans="1:21">
      <c r="A574" s="21" t="n">
        <v>571</v>
      </c>
      <c r="B574" s="21" t="str">
        <f>E574</f>
        <v>3513160401940004</v>
      </c>
      <c r="C574" s="42">
        <f>F574</f>
        <v>43344</v>
      </c>
      <c r="D574" s="22" t="s">
        <v>1511</v>
      </c>
      <c r="E574" s="191" t="s">
        <v>1512</v>
      </c>
      <c r="F574" s="42" t="n">
        <v>43344</v>
      </c>
      <c r="G574" s="21" t="s">
        <v>33</v>
      </c>
      <c r="H574" s="38" t="s">
        <v>1394</v>
      </c>
      <c r="I574" s="159" t="s">
        <v>1127</v>
      </c>
      <c r="J574" s="22" t="s">
        <v>818</v>
      </c>
      <c r="K574" s="22" t="s">
        <v>28</v>
      </c>
      <c r="L574" s="22" t="s">
        <v>676</v>
      </c>
      <c r="M574" s="23" t="s">
        <v>1194</v>
      </c>
      <c r="N574" s="23" t="s">
        <v>83</v>
      </c>
      <c r="O574" s="24">
        <f aca="1">DATEDIF(F574,TODAY(),"Y")</f>
        <v>7</v>
      </c>
      <c r="P574" s="24">
        <f aca="1">DATEDIF(F574,TODAY(),"YM")</f>
        <v>1</v>
      </c>
      <c r="Q574" s="24" t="str">
        <f aca="1">DATEDIF(F574,NOW(),"Y")&amp;" Tahun "&amp;DATEDIF(F574,NOW(),"YM")&amp;" Bulan "&amp;DATEDIF(F574,NOW(),"MD")&amp;" Hari "</f>
        <v>7 Tahun 1 Bulan 6 Hari </v>
      </c>
      <c r="R574" s="41">
        <f>F574</f>
        <v>43344</v>
      </c>
      <c r="S574" s="36" t="n">
        <v>45258</v>
      </c>
      <c r="T574" s="51" t="n">
        <v>1000000</v>
      </c>
      <c r="U574" s="51" t="n">
        <v>1000000</v>
      </c>
    </row>
    <row r="575" spans="1:21">
      <c r="A575" s="21" t="n">
        <v>572</v>
      </c>
      <c r="B575" s="21" t="str">
        <f>E575</f>
        <v>3513131506940003</v>
      </c>
      <c r="C575" s="42">
        <f>F575</f>
        <v>43344</v>
      </c>
      <c r="D575" s="22" t="s">
        <v>1513</v>
      </c>
      <c r="E575" s="191" t="s">
        <v>1514</v>
      </c>
      <c r="F575" s="42" t="n">
        <v>43344</v>
      </c>
      <c r="G575" s="21" t="s">
        <v>33</v>
      </c>
      <c r="H575" s="38" t="s">
        <v>1394</v>
      </c>
      <c r="I575" s="159" t="s">
        <v>1127</v>
      </c>
      <c r="J575" s="22" t="s">
        <v>818</v>
      </c>
      <c r="K575" s="22" t="s">
        <v>28</v>
      </c>
      <c r="L575" s="22" t="s">
        <v>676</v>
      </c>
      <c r="M575" s="23" t="s">
        <v>1231</v>
      </c>
      <c r="N575" s="23" t="s">
        <v>359</v>
      </c>
      <c r="O575" s="24">
        <f aca="1">DATEDIF(F575,TODAY(),"Y")</f>
        <v>7</v>
      </c>
      <c r="P575" s="24">
        <f aca="1">DATEDIF(F575,TODAY(),"YM")</f>
        <v>1</v>
      </c>
      <c r="Q575" s="24" t="str">
        <f aca="1">DATEDIF(F575,NOW(),"Y")&amp;" Tahun "&amp;DATEDIF(F575,NOW(),"YM")&amp;" Bulan "&amp;DATEDIF(F575,NOW(),"MD")&amp;" Hari "</f>
        <v>7 Tahun 1 Bulan 6 Hari </v>
      </c>
      <c r="R575" s="41">
        <f>F575</f>
        <v>43344</v>
      </c>
      <c r="S575" s="36" t="n">
        <v>45258</v>
      </c>
      <c r="T575" s="51" t="n">
        <v>1000000</v>
      </c>
      <c r="U575" s="51" t="n">
        <v>1000000</v>
      </c>
    </row>
    <row r="576" spans="1:21">
      <c r="A576" s="21" t="n">
        <v>573</v>
      </c>
      <c r="B576" s="21" t="str">
        <f>E576</f>
        <v>3513187006930001</v>
      </c>
      <c r="C576" s="42">
        <f>F576</f>
        <v>43344</v>
      </c>
      <c r="D576" s="22" t="s">
        <v>1515</v>
      </c>
      <c r="E576" s="191" t="s">
        <v>1516</v>
      </c>
      <c r="F576" s="42" t="n">
        <v>43344</v>
      </c>
      <c r="G576" s="21" t="s">
        <v>24</v>
      </c>
      <c r="H576" s="38" t="s">
        <v>1394</v>
      </c>
      <c r="I576" s="159" t="s">
        <v>1127</v>
      </c>
      <c r="J576" s="22" t="s">
        <v>818</v>
      </c>
      <c r="K576" s="22" t="s">
        <v>28</v>
      </c>
      <c r="L576" s="25" t="s">
        <v>262</v>
      </c>
      <c r="M576" s="23" t="s">
        <v>1517</v>
      </c>
      <c r="N576" s="23" t="s">
        <v>531</v>
      </c>
      <c r="O576" s="24">
        <f aca="1">DATEDIF(F576,TODAY(),"Y")</f>
        <v>7</v>
      </c>
      <c r="P576" s="24">
        <f aca="1">DATEDIF(F576,TODAY(),"YM")</f>
        <v>1</v>
      </c>
      <c r="Q576" s="24" t="str">
        <f aca="1">DATEDIF(F576,NOW(),"Y")&amp;" Tahun "&amp;DATEDIF(F576,NOW(),"YM")&amp;" Bulan "&amp;DATEDIF(F576,NOW(),"MD")&amp;" Hari "</f>
        <v>7 Tahun 1 Bulan 6 Hari </v>
      </c>
      <c r="R576" s="41">
        <f>F576</f>
        <v>43344</v>
      </c>
      <c r="S576" s="36" t="n">
        <v>45258</v>
      </c>
      <c r="T576" s="51" t="n">
        <v>1200000</v>
      </c>
      <c r="U576" s="51" t="n">
        <v>1200000</v>
      </c>
    </row>
    <row r="577" spans="1:21" s="71" customFormat="1">
      <c r="A577" s="21" t="n">
        <v>574</v>
      </c>
      <c r="B577" s="21" t="str">
        <f>E577</f>
        <v>3513140205940003</v>
      </c>
      <c r="C577" s="42">
        <f>F577</f>
        <v>43344</v>
      </c>
      <c r="D577" s="22" t="s">
        <v>1518</v>
      </c>
      <c r="E577" s="191" t="s">
        <v>1519</v>
      </c>
      <c r="F577" s="42" t="n">
        <v>43344</v>
      </c>
      <c r="G577" s="21" t="s">
        <v>33</v>
      </c>
      <c r="H577" s="38" t="s">
        <v>1394</v>
      </c>
      <c r="I577" s="159" t="s">
        <v>1127</v>
      </c>
      <c r="J577" s="22" t="s">
        <v>818</v>
      </c>
      <c r="K577" s="22" t="s">
        <v>28</v>
      </c>
      <c r="L577" s="22" t="s">
        <v>676</v>
      </c>
      <c r="M577" s="23" t="s">
        <v>1231</v>
      </c>
      <c r="N577" s="23" t="s">
        <v>268</v>
      </c>
      <c r="O577" s="24">
        <f aca="1">DATEDIF(F577,TODAY(),"Y")</f>
        <v>7</v>
      </c>
      <c r="P577" s="24">
        <f aca="1">DATEDIF(F577,TODAY(),"YM")</f>
        <v>1</v>
      </c>
      <c r="Q577" s="24" t="str">
        <f aca="1">DATEDIF(F577,NOW(),"Y")&amp;" Tahun "&amp;DATEDIF(F577,NOW(),"YM")&amp;" Bulan "&amp;DATEDIF(F577,NOW(),"MD")&amp;" Hari "</f>
        <v>7 Tahun 1 Bulan 6 Hari </v>
      </c>
      <c r="R577" s="41">
        <f>F577</f>
        <v>43344</v>
      </c>
      <c r="S577" s="36" t="n">
        <v>45258</v>
      </c>
      <c r="T577" s="51" t="n">
        <v>1000000</v>
      </c>
      <c r="U577" s="51" t="n">
        <v>1000000</v>
      </c>
    </row>
    <row r="578" spans="1:21">
      <c r="A578" s="21" t="n">
        <v>575</v>
      </c>
      <c r="B578" s="21" t="str">
        <f>E578</f>
        <v>3574016103950002</v>
      </c>
      <c r="C578" s="42">
        <f>F578</f>
        <v>43344</v>
      </c>
      <c r="D578" s="22" t="s">
        <v>1520</v>
      </c>
      <c r="E578" s="191" t="s">
        <v>1521</v>
      </c>
      <c r="F578" s="42" t="n">
        <v>43344</v>
      </c>
      <c r="G578" s="21" t="s">
        <v>24</v>
      </c>
      <c r="H578" s="38" t="s">
        <v>1394</v>
      </c>
      <c r="I578" s="159" t="s">
        <v>1127</v>
      </c>
      <c r="J578" s="23" t="s">
        <v>1506</v>
      </c>
      <c r="K578" s="22" t="s">
        <v>242</v>
      </c>
      <c r="L578" s="23" t="s">
        <v>1506</v>
      </c>
      <c r="M578" s="23" t="s">
        <v>1087</v>
      </c>
      <c r="N578" s="23" t="s">
        <v>458</v>
      </c>
      <c r="O578" s="24">
        <f aca="1">DATEDIF(F578,TODAY(),"Y")</f>
        <v>7</v>
      </c>
      <c r="P578" s="24">
        <f aca="1">DATEDIF(F578,TODAY(),"YM")</f>
        <v>1</v>
      </c>
      <c r="Q578" s="24" t="str">
        <f aca="1">DATEDIF(F578,NOW(),"Y")&amp;" Tahun "&amp;DATEDIF(F578,NOW(),"YM")&amp;" Bulan "&amp;DATEDIF(F578,NOW(),"MD")&amp;" Hari "</f>
        <v>7 Tahun 1 Bulan 6 Hari </v>
      </c>
      <c r="R578" s="41">
        <f>F578</f>
        <v>43344</v>
      </c>
      <c r="S578" s="36" t="n">
        <v>45258</v>
      </c>
      <c r="T578" s="51" t="n">
        <v>1350000</v>
      </c>
      <c r="U578" s="51" t="n">
        <v>1350000</v>
      </c>
    </row>
    <row r="579" spans="1:21">
      <c r="A579" s="21" t="n">
        <v>576</v>
      </c>
      <c r="B579" s="21" t="str">
        <f>E579</f>
        <v>3513133005870002</v>
      </c>
      <c r="C579" s="42">
        <f>F579</f>
        <v>43344</v>
      </c>
      <c r="D579" s="22" t="s">
        <v>1522</v>
      </c>
      <c r="E579" s="191" t="s">
        <v>1523</v>
      </c>
      <c r="F579" s="42" t="n">
        <v>43344</v>
      </c>
      <c r="G579" s="21" t="s">
        <v>33</v>
      </c>
      <c r="H579" s="38" t="s">
        <v>1394</v>
      </c>
      <c r="I579" s="159" t="s">
        <v>1127</v>
      </c>
      <c r="J579" s="22" t="s">
        <v>818</v>
      </c>
      <c r="K579" s="22" t="s">
        <v>28</v>
      </c>
      <c r="L579" s="22" t="s">
        <v>676</v>
      </c>
      <c r="M579" s="23" t="s">
        <v>1524</v>
      </c>
      <c r="N579" s="23" t="s">
        <v>1190</v>
      </c>
      <c r="O579" s="24">
        <f aca="1">DATEDIF(F579,TODAY(),"Y")</f>
        <v>7</v>
      </c>
      <c r="P579" s="24">
        <f aca="1">DATEDIF(F579,TODAY(),"YM")</f>
        <v>1</v>
      </c>
      <c r="Q579" s="24" t="str">
        <f aca="1">DATEDIF(F579,NOW(),"Y")&amp;" Tahun "&amp;DATEDIF(F579,NOW(),"YM")&amp;" Bulan "&amp;DATEDIF(F579,NOW(),"MD")&amp;" Hari "</f>
        <v>7 Tahun 1 Bulan 6 Hari </v>
      </c>
      <c r="R579" s="41">
        <f>F579</f>
        <v>43344</v>
      </c>
      <c r="S579" s="36" t="n">
        <v>45258</v>
      </c>
      <c r="T579" s="51" t="n">
        <v>1000000</v>
      </c>
      <c r="U579" s="51" t="n">
        <v>1000000</v>
      </c>
    </row>
    <row r="580" spans="1:21" s="71" customFormat="1">
      <c r="A580" s="21" t="n">
        <v>577</v>
      </c>
      <c r="B580" s="21" t="str">
        <f>E580</f>
        <v>3513101909950002</v>
      </c>
      <c r="C580" s="42">
        <f>F580</f>
        <v>43344</v>
      </c>
      <c r="D580" s="22" t="s">
        <v>1525</v>
      </c>
      <c r="E580" s="191" t="s">
        <v>1526</v>
      </c>
      <c r="F580" s="42" t="n">
        <v>43344</v>
      </c>
      <c r="G580" s="21" t="s">
        <v>33</v>
      </c>
      <c r="H580" s="38" t="s">
        <v>1394</v>
      </c>
      <c r="I580" s="159" t="s">
        <v>1127</v>
      </c>
      <c r="J580" s="22" t="s">
        <v>818</v>
      </c>
      <c r="K580" s="22" t="s">
        <v>28</v>
      </c>
      <c r="L580" s="22" t="s">
        <v>676</v>
      </c>
      <c r="M580" s="23" t="s">
        <v>1231</v>
      </c>
      <c r="N580" s="23" t="s">
        <v>68</v>
      </c>
      <c r="O580" s="24">
        <f aca="1">DATEDIF(F580,TODAY(),"Y")</f>
        <v>7</v>
      </c>
      <c r="P580" s="24">
        <f aca="1">DATEDIF(F580,TODAY(),"YM")</f>
        <v>1</v>
      </c>
      <c r="Q580" s="24" t="str">
        <f aca="1">DATEDIF(F580,NOW(),"Y")&amp;" Tahun "&amp;DATEDIF(F580,NOW(),"YM")&amp;" Bulan "&amp;DATEDIF(F580,NOW(),"MD")&amp;" Hari "</f>
        <v>7 Tahun 1 Bulan 6 Hari </v>
      </c>
      <c r="R580" s="41">
        <f>F580</f>
        <v>43344</v>
      </c>
      <c r="S580" s="36" t="n">
        <v>45258</v>
      </c>
      <c r="T580" s="51" t="n">
        <v>1000000</v>
      </c>
      <c r="U580" s="51" t="n">
        <v>1000000</v>
      </c>
    </row>
    <row r="581" spans="1:21">
      <c r="A581" s="21" t="n">
        <v>578</v>
      </c>
      <c r="B581" s="21" t="str">
        <f>E581</f>
        <v>3513197001940001</v>
      </c>
      <c r="C581" s="42">
        <f>F581</f>
        <v>43344</v>
      </c>
      <c r="D581" s="22" t="s">
        <v>1527</v>
      </c>
      <c r="E581" s="191" t="s">
        <v>1528</v>
      </c>
      <c r="F581" s="42" t="n">
        <v>43344</v>
      </c>
      <c r="G581" s="21" t="s">
        <v>24</v>
      </c>
      <c r="H581" s="38" t="s">
        <v>1394</v>
      </c>
      <c r="I581" s="159" t="s">
        <v>1127</v>
      </c>
      <c r="J581" s="23" t="s">
        <v>1506</v>
      </c>
      <c r="K581" s="22" t="s">
        <v>242</v>
      </c>
      <c r="L581" s="23" t="s">
        <v>1506</v>
      </c>
      <c r="M581" s="23" t="s">
        <v>1087</v>
      </c>
      <c r="N581" s="23" t="s">
        <v>458</v>
      </c>
      <c r="O581" s="24">
        <f aca="1">DATEDIF(F581,TODAY(),"Y")</f>
        <v>7</v>
      </c>
      <c r="P581" s="24">
        <f aca="1">DATEDIF(F581,TODAY(),"YM")</f>
        <v>1</v>
      </c>
      <c r="Q581" s="24" t="str">
        <f aca="1">DATEDIF(F581,NOW(),"Y")&amp;" Tahun "&amp;DATEDIF(F581,NOW(),"YM")&amp;" Bulan "&amp;DATEDIF(F581,NOW(),"MD")&amp;" Hari "</f>
        <v>7 Tahun 1 Bulan 6 Hari </v>
      </c>
      <c r="R581" s="41">
        <f>F581</f>
        <v>43344</v>
      </c>
      <c r="S581" s="36" t="n">
        <v>45258</v>
      </c>
      <c r="T581" s="51" t="n">
        <v>1350000</v>
      </c>
      <c r="U581" s="51" t="n">
        <v>1350000</v>
      </c>
    </row>
    <row r="582" spans="1:21">
      <c r="A582" s="21" t="n">
        <v>579</v>
      </c>
      <c r="B582" s="21" t="str">
        <f>E582</f>
        <v>3513216910950002</v>
      </c>
      <c r="C582" s="42">
        <f>F582</f>
        <v>43344</v>
      </c>
      <c r="D582" s="22" t="s">
        <v>1529</v>
      </c>
      <c r="E582" s="191" t="s">
        <v>1530</v>
      </c>
      <c r="F582" s="42" t="n">
        <v>43344</v>
      </c>
      <c r="G582" s="21" t="s">
        <v>24</v>
      </c>
      <c r="H582" s="38" t="s">
        <v>1394</v>
      </c>
      <c r="I582" s="159" t="s">
        <v>1127</v>
      </c>
      <c r="J582" s="22" t="s">
        <v>818</v>
      </c>
      <c r="K582" s="22" t="s">
        <v>28</v>
      </c>
      <c r="L582" s="25" t="s">
        <v>262</v>
      </c>
      <c r="M582" s="23" t="s">
        <v>1531</v>
      </c>
      <c r="N582" s="23" t="s">
        <v>531</v>
      </c>
      <c r="O582" s="24">
        <f aca="1">DATEDIF(F582,TODAY(),"Y")</f>
        <v>7</v>
      </c>
      <c r="P582" s="24">
        <f aca="1">DATEDIF(F582,TODAY(),"YM")</f>
        <v>1</v>
      </c>
      <c r="Q582" s="24" t="str">
        <f aca="1">DATEDIF(F582,NOW(),"Y")&amp;" Tahun "&amp;DATEDIF(F582,NOW(),"YM")&amp;" Bulan "&amp;DATEDIF(F582,NOW(),"MD")&amp;" Hari "</f>
        <v>7 Tahun 1 Bulan 6 Hari </v>
      </c>
      <c r="R582" s="41">
        <f>F582</f>
        <v>43344</v>
      </c>
      <c r="S582" s="36" t="n">
        <v>45258</v>
      </c>
      <c r="T582" s="51" t="n">
        <v>1200000</v>
      </c>
      <c r="U582" s="51" t="n">
        <v>1200000</v>
      </c>
    </row>
    <row r="583" spans="1:21">
      <c r="A583" s="21" t="n">
        <v>580</v>
      </c>
      <c r="B583" s="21" t="str">
        <f>E583</f>
        <v>3513170310920002</v>
      </c>
      <c r="C583" s="42">
        <f>F583</f>
        <v>43344</v>
      </c>
      <c r="D583" s="22" t="s">
        <v>1532</v>
      </c>
      <c r="E583" s="191" t="s">
        <v>1533</v>
      </c>
      <c r="F583" s="42" t="n">
        <v>43344</v>
      </c>
      <c r="G583" s="21" t="s">
        <v>33</v>
      </c>
      <c r="H583" s="38" t="s">
        <v>1394</v>
      </c>
      <c r="I583" s="159" t="s">
        <v>1127</v>
      </c>
      <c r="J583" s="22" t="s">
        <v>818</v>
      </c>
      <c r="K583" s="22" t="s">
        <v>28</v>
      </c>
      <c r="L583" s="25" t="s">
        <v>262</v>
      </c>
      <c r="M583" s="23" t="s">
        <v>1534</v>
      </c>
      <c r="N583" s="23" t="s">
        <v>68</v>
      </c>
      <c r="O583" s="24">
        <f aca="1">DATEDIF(F583,TODAY(),"Y")</f>
        <v>7</v>
      </c>
      <c r="P583" s="24">
        <f aca="1">DATEDIF(F583,TODAY(),"YM")</f>
        <v>1</v>
      </c>
      <c r="Q583" s="24" t="str">
        <f aca="1">DATEDIF(F583,NOW(),"Y")&amp;" Tahun "&amp;DATEDIF(F583,NOW(),"YM")&amp;" Bulan "&amp;DATEDIF(F583,NOW(),"MD")&amp;" Hari "</f>
        <v>7 Tahun 1 Bulan 6 Hari </v>
      </c>
      <c r="R583" s="41">
        <f>F583</f>
        <v>43344</v>
      </c>
      <c r="S583" s="36" t="n">
        <v>45258</v>
      </c>
      <c r="T583" s="51" t="n">
        <v>1200000</v>
      </c>
      <c r="U583" s="51" t="n">
        <v>1200000</v>
      </c>
    </row>
    <row r="584" spans="1:21">
      <c r="A584" s="21" t="n">
        <v>581</v>
      </c>
      <c r="B584" s="21" t="str">
        <f>E584</f>
        <v>3513142203930003</v>
      </c>
      <c r="C584" s="42">
        <f>F584</f>
        <v>43344</v>
      </c>
      <c r="D584" s="22" t="s">
        <v>1535</v>
      </c>
      <c r="E584" s="191" t="s">
        <v>1536</v>
      </c>
      <c r="F584" s="42" t="n">
        <v>43344</v>
      </c>
      <c r="G584" s="21" t="s">
        <v>33</v>
      </c>
      <c r="H584" s="38" t="s">
        <v>1394</v>
      </c>
      <c r="I584" s="159" t="s">
        <v>1127</v>
      </c>
      <c r="J584" s="22" t="s">
        <v>818</v>
      </c>
      <c r="K584" s="22" t="s">
        <v>28</v>
      </c>
      <c r="L584" s="22" t="s">
        <v>676</v>
      </c>
      <c r="M584" s="23" t="s">
        <v>1436</v>
      </c>
      <c r="N584" s="23" t="s">
        <v>128</v>
      </c>
      <c r="O584" s="24">
        <f aca="1">DATEDIF(F584,TODAY(),"Y")</f>
        <v>7</v>
      </c>
      <c r="P584" s="24">
        <f aca="1">DATEDIF(F584,TODAY(),"YM")</f>
        <v>1</v>
      </c>
      <c r="Q584" s="24" t="str">
        <f aca="1">DATEDIF(F584,NOW(),"Y")&amp;" Tahun "&amp;DATEDIF(F584,NOW(),"YM")&amp;" Bulan "&amp;DATEDIF(F584,NOW(),"MD")&amp;" Hari "</f>
        <v>7 Tahun 1 Bulan 6 Hari </v>
      </c>
      <c r="R584" s="41">
        <f>F584</f>
        <v>43344</v>
      </c>
      <c r="S584" s="36" t="n">
        <v>45258</v>
      </c>
      <c r="T584" s="51" t="n">
        <v>1000000</v>
      </c>
      <c r="U584" s="51" t="n">
        <v>1000000</v>
      </c>
    </row>
    <row r="585" spans="1:21">
      <c r="A585" s="21" t="n">
        <v>582</v>
      </c>
      <c r="B585" s="21" t="str">
        <f>E585</f>
        <v>3513131402980001</v>
      </c>
      <c r="C585" s="38">
        <f>F585</f>
        <v>43497</v>
      </c>
      <c r="D585" s="22" t="s">
        <v>1537</v>
      </c>
      <c r="E585" s="191" t="s">
        <v>1538</v>
      </c>
      <c r="F585" s="38" t="n">
        <v>43497</v>
      </c>
      <c r="G585" s="21" t="s">
        <v>33</v>
      </c>
      <c r="H585" s="38" t="s">
        <v>1394</v>
      </c>
      <c r="I585" s="159" t="s">
        <v>1127</v>
      </c>
      <c r="J585" s="22" t="s">
        <v>346</v>
      </c>
      <c r="K585" s="22" t="s">
        <v>28</v>
      </c>
      <c r="L585" s="22" t="s">
        <v>673</v>
      </c>
      <c r="M585" s="23" t="s">
        <v>1231</v>
      </c>
      <c r="N585" s="23" t="s">
        <v>128</v>
      </c>
      <c r="O585" s="24">
        <f aca="1">DATEDIF(F585,TODAY(),"Y")</f>
        <v>6</v>
      </c>
      <c r="P585" s="24">
        <f aca="1">DATEDIF(F585,TODAY(),"YM")</f>
        <v>8</v>
      </c>
      <c r="Q585" s="24" t="str">
        <f aca="1">DATEDIF(F585,NOW(),"Y")&amp;" Tahun "&amp;DATEDIF(F585,NOW(),"YM")&amp;" Bulan "&amp;DATEDIF(F585,NOW(),"MD")&amp;" Hari "</f>
        <v>6 Tahun 8 Bulan 6 Hari </v>
      </c>
      <c r="R585" s="41">
        <f>F585</f>
        <v>43497</v>
      </c>
      <c r="S585" s="36" t="n">
        <v>45258</v>
      </c>
      <c r="T585" s="51" t="n">
        <v>1000000</v>
      </c>
      <c r="U585" s="51" t="n">
        <v>1000000</v>
      </c>
    </row>
    <row r="586" spans="1:21">
      <c r="A586" s="21" t="n">
        <v>583</v>
      </c>
      <c r="B586" s="21" t="str">
        <f>E586</f>
        <v>3512046009930001</v>
      </c>
      <c r="C586" s="38">
        <f>F586</f>
        <v>44077</v>
      </c>
      <c r="D586" s="22" t="s">
        <v>1539</v>
      </c>
      <c r="E586" s="191" t="s">
        <v>1540</v>
      </c>
      <c r="F586" s="38" t="n">
        <v>44077</v>
      </c>
      <c r="G586" s="21" t="s">
        <v>24</v>
      </c>
      <c r="H586" s="38" t="s">
        <v>1394</v>
      </c>
      <c r="I586" s="159" t="s">
        <v>1127</v>
      </c>
      <c r="J586" s="46" t="s">
        <v>1279</v>
      </c>
      <c r="K586" s="27" t="s">
        <v>96</v>
      </c>
      <c r="L586" s="23" t="s">
        <v>1185</v>
      </c>
      <c r="M586" s="23" t="s">
        <v>161</v>
      </c>
      <c r="N586" s="23" t="s">
        <v>235</v>
      </c>
      <c r="O586" s="24">
        <f aca="1">DATEDIF(F586,TODAY(),"Y")</f>
        <v>5</v>
      </c>
      <c r="P586" s="24">
        <f aca="1">DATEDIF(F586,TODAY(),"YM")</f>
        <v>1</v>
      </c>
      <c r="Q586" s="24" t="str">
        <f aca="1">DATEDIF(F586,NOW(),"Y")&amp;" Tahun "&amp;DATEDIF(F586,NOW(),"YM")&amp;" Bulan "&amp;DATEDIF(F586,NOW(),"MD")&amp;" Hari "</f>
        <v>5 Tahun 1 Bulan 4 Hari </v>
      </c>
      <c r="R586" s="41">
        <f>F586</f>
        <v>44077</v>
      </c>
      <c r="S586" s="36" t="n">
        <v>45258</v>
      </c>
      <c r="T586" s="51" t="n">
        <v>1350000</v>
      </c>
      <c r="U586" s="51" t="n">
        <v>1350000</v>
      </c>
    </row>
    <row r="587" spans="1:21">
      <c r="A587" s="21" t="n">
        <v>584</v>
      </c>
      <c r="B587" s="21" t="str">
        <f>E587</f>
        <v>3513162705930002</v>
      </c>
      <c r="C587" s="38">
        <f>F587</f>
        <v>44077</v>
      </c>
      <c r="D587" s="22" t="s">
        <v>1541</v>
      </c>
      <c r="E587" s="191" t="s">
        <v>1542</v>
      </c>
      <c r="F587" s="38" t="n">
        <v>44077</v>
      </c>
      <c r="G587" s="21" t="s">
        <v>33</v>
      </c>
      <c r="H587" s="38" t="s">
        <v>1394</v>
      </c>
      <c r="I587" s="159" t="s">
        <v>1127</v>
      </c>
      <c r="J587" s="23" t="s">
        <v>1184</v>
      </c>
      <c r="K587" s="27" t="s">
        <v>96</v>
      </c>
      <c r="L587" s="23" t="s">
        <v>1185</v>
      </c>
      <c r="M587" s="28" t="s">
        <v>181</v>
      </c>
      <c r="N587" s="29" t="s">
        <v>235</v>
      </c>
      <c r="O587" s="24">
        <f aca="1">DATEDIF(F587,TODAY(),"Y")</f>
        <v>5</v>
      </c>
      <c r="P587" s="24">
        <f aca="1">DATEDIF(F587,TODAY(),"YM")</f>
        <v>1</v>
      </c>
      <c r="Q587" s="24" t="str">
        <f aca="1">DATEDIF(F587,NOW(),"Y")&amp;" Tahun "&amp;DATEDIF(F587,NOW(),"YM")&amp;" Bulan "&amp;DATEDIF(F587,NOW(),"MD")&amp;" Hari "</f>
        <v>5 Tahun 1 Bulan 4 Hari </v>
      </c>
      <c r="R587" s="41">
        <f>F587</f>
        <v>44077</v>
      </c>
      <c r="S587" s="36" t="n">
        <v>45258</v>
      </c>
      <c r="T587" s="51" t="n">
        <v>1200000</v>
      </c>
      <c r="U587" s="51" t="n">
        <v>1200000</v>
      </c>
    </row>
    <row r="588" spans="1:21">
      <c r="A588" s="21" t="n">
        <v>585</v>
      </c>
      <c r="B588" s="21" t="str">
        <f>E588</f>
        <v>3513134906910005</v>
      </c>
      <c r="C588" s="38">
        <f>F588</f>
        <v>44077</v>
      </c>
      <c r="D588" s="22" t="s">
        <v>1543</v>
      </c>
      <c r="E588" s="191" t="s">
        <v>1544</v>
      </c>
      <c r="F588" s="38" t="n">
        <v>44077</v>
      </c>
      <c r="G588" s="21" t="s">
        <v>24</v>
      </c>
      <c r="H588" s="38" t="s">
        <v>1394</v>
      </c>
      <c r="I588" s="159" t="s">
        <v>1127</v>
      </c>
      <c r="J588" s="46" t="s">
        <v>1279</v>
      </c>
      <c r="K588" s="27" t="s">
        <v>96</v>
      </c>
      <c r="L588" s="23" t="s">
        <v>1185</v>
      </c>
      <c r="M588" s="23" t="s">
        <v>161</v>
      </c>
      <c r="N588" s="23" t="s">
        <v>396</v>
      </c>
      <c r="O588" s="24">
        <f aca="1">DATEDIF(F588,TODAY(),"Y")</f>
        <v>5</v>
      </c>
      <c r="P588" s="24">
        <f aca="1">DATEDIF(F588,TODAY(),"YM")</f>
        <v>1</v>
      </c>
      <c r="Q588" s="24" t="str">
        <f aca="1">DATEDIF(F588,NOW(),"Y")&amp;" Tahun "&amp;DATEDIF(F588,NOW(),"YM")&amp;" Bulan "&amp;DATEDIF(F588,NOW(),"MD")&amp;" Hari "</f>
        <v>5 Tahun 1 Bulan 4 Hari </v>
      </c>
      <c r="R588" s="41">
        <f>F588</f>
        <v>44077</v>
      </c>
      <c r="S588" s="36" t="n">
        <v>45258</v>
      </c>
      <c r="T588" s="51" t="n">
        <v>1350000</v>
      </c>
      <c r="U588" s="51" t="n">
        <v>1350000</v>
      </c>
    </row>
    <row r="589" spans="1:21">
      <c r="A589" s="21" t="n">
        <v>586</v>
      </c>
      <c r="B589" s="21" t="str">
        <f>E589</f>
        <v>3513164408980001</v>
      </c>
      <c r="C589" s="38">
        <f>F589</f>
        <v>44097</v>
      </c>
      <c r="D589" s="22" t="s">
        <v>1545</v>
      </c>
      <c r="E589" s="191" t="s">
        <v>1546</v>
      </c>
      <c r="F589" s="38" t="n">
        <v>44097</v>
      </c>
      <c r="G589" s="21" t="s">
        <v>24</v>
      </c>
      <c r="H589" s="38" t="s">
        <v>1394</v>
      </c>
      <c r="I589" s="159" t="s">
        <v>1127</v>
      </c>
      <c r="J589" s="23" t="s">
        <v>1547</v>
      </c>
      <c r="K589" s="22" t="s">
        <v>132</v>
      </c>
      <c r="L589" s="23" t="s">
        <v>1547</v>
      </c>
      <c r="M589" s="23" t="s">
        <v>172</v>
      </c>
      <c r="N589" s="23" t="s">
        <v>173</v>
      </c>
      <c r="O589" s="24">
        <f aca="1">DATEDIF(F589,TODAY(),"Y")</f>
        <v>5</v>
      </c>
      <c r="P589" s="24">
        <f aca="1">DATEDIF(F589,TODAY(),"YM")</f>
        <v>0</v>
      </c>
      <c r="Q589" s="24" t="str">
        <f aca="1">DATEDIF(F589,NOW(),"Y")&amp;" Tahun "&amp;DATEDIF(F589,NOW(),"YM")&amp;" Bulan "&amp;DATEDIF(F589,NOW(),"MD")&amp;" Hari "</f>
        <v>5 Tahun 0 Bulan 14 Hari </v>
      </c>
      <c r="R589" s="41">
        <f>F589</f>
        <v>44097</v>
      </c>
      <c r="S589" s="36" t="n">
        <v>45258</v>
      </c>
      <c r="T589" s="51" t="n">
        <v>1350000</v>
      </c>
      <c r="U589" s="51" t="n">
        <v>1350000</v>
      </c>
    </row>
    <row r="590" spans="1:21" s="71" customFormat="1">
      <c r="A590" s="21" t="n">
        <v>587</v>
      </c>
      <c r="B590" s="21" t="str">
        <f>E590</f>
        <v>3513141112000002</v>
      </c>
      <c r="C590" s="38">
        <f>F590</f>
        <v>44105</v>
      </c>
      <c r="D590" s="22" t="s">
        <v>1548</v>
      </c>
      <c r="E590" s="191" t="s">
        <v>1549</v>
      </c>
      <c r="F590" s="38" t="n">
        <v>44105</v>
      </c>
      <c r="G590" s="21" t="s">
        <v>33</v>
      </c>
      <c r="H590" s="38" t="s">
        <v>1394</v>
      </c>
      <c r="I590" s="159" t="s">
        <v>1127</v>
      </c>
      <c r="J590" s="22" t="s">
        <v>818</v>
      </c>
      <c r="K590" s="22" t="s">
        <v>28</v>
      </c>
      <c r="L590" s="22" t="s">
        <v>676</v>
      </c>
      <c r="M590" s="23" t="s">
        <v>157</v>
      </c>
      <c r="N590" s="23" t="s">
        <v>173</v>
      </c>
      <c r="O590" s="24">
        <f aca="1">DATEDIF(F590,TODAY(),"Y")</f>
        <v>5</v>
      </c>
      <c r="P590" s="24">
        <f aca="1">DATEDIF(F590,TODAY(),"YM")</f>
        <v>0</v>
      </c>
      <c r="Q590" s="24" t="str">
        <f aca="1">DATEDIF(F590,NOW(),"Y")&amp;" Tahun "&amp;DATEDIF(F590,NOW(),"YM")&amp;" Bulan "&amp;DATEDIF(F590,NOW(),"MD")&amp;" Hari "</f>
        <v>5 Tahun 0 Bulan 6 Hari </v>
      </c>
      <c r="R590" s="41">
        <f>F590</f>
        <v>44105</v>
      </c>
      <c r="S590" s="36" t="n">
        <v>45258</v>
      </c>
      <c r="T590" s="51" t="n">
        <v>1000000</v>
      </c>
      <c r="U590" s="51" t="n">
        <v>1000000</v>
      </c>
    </row>
    <row r="591" spans="1:21" s="71" customFormat="1">
      <c r="A591" s="21" t="n">
        <v>588</v>
      </c>
      <c r="B591" s="21" t="str">
        <f>E591</f>
        <v>3513171208940004</v>
      </c>
      <c r="C591" s="38">
        <f>F591</f>
        <v>44105</v>
      </c>
      <c r="D591" s="22" t="s">
        <v>1550</v>
      </c>
      <c r="E591" s="191" t="s">
        <v>1551</v>
      </c>
      <c r="F591" s="38" t="n">
        <v>44105</v>
      </c>
      <c r="G591" s="21" t="s">
        <v>33</v>
      </c>
      <c r="H591" s="38" t="s">
        <v>1394</v>
      </c>
      <c r="I591" s="159" t="s">
        <v>1127</v>
      </c>
      <c r="J591" s="22" t="s">
        <v>818</v>
      </c>
      <c r="K591" s="22" t="s">
        <v>28</v>
      </c>
      <c r="L591" s="22" t="s">
        <v>676</v>
      </c>
      <c r="M591" s="23" t="s">
        <v>157</v>
      </c>
      <c r="N591" s="23" t="s">
        <v>737</v>
      </c>
      <c r="O591" s="24">
        <f aca="1">DATEDIF(F591,TODAY(),"Y")</f>
        <v>5</v>
      </c>
      <c r="P591" s="24">
        <f aca="1">DATEDIF(F591,TODAY(),"YM")</f>
        <v>0</v>
      </c>
      <c r="Q591" s="24" t="str">
        <f aca="1">DATEDIF(F591,NOW(),"Y")&amp;" Tahun "&amp;DATEDIF(F591,NOW(),"YM")&amp;" Bulan "&amp;DATEDIF(F591,NOW(),"MD")&amp;" Hari "</f>
        <v>5 Tahun 0 Bulan 6 Hari </v>
      </c>
      <c r="R591" s="41">
        <f>F591</f>
        <v>44105</v>
      </c>
      <c r="S591" s="36" t="n">
        <v>45258</v>
      </c>
      <c r="T591" s="51" t="n">
        <v>1000000</v>
      </c>
      <c r="U591" s="51" t="n">
        <v>1000000</v>
      </c>
    </row>
    <row r="592" spans="1:21">
      <c r="A592" s="21" t="n">
        <v>589</v>
      </c>
      <c r="B592" s="21" t="str">
        <f>E592</f>
        <v>3513141311990004</v>
      </c>
      <c r="C592" s="38">
        <f>F592</f>
        <v>44105</v>
      </c>
      <c r="D592" s="22" t="s">
        <v>1552</v>
      </c>
      <c r="E592" s="191" t="s">
        <v>1553</v>
      </c>
      <c r="F592" s="38" t="n">
        <v>44105</v>
      </c>
      <c r="G592" s="21" t="s">
        <v>33</v>
      </c>
      <c r="H592" s="38" t="s">
        <v>1394</v>
      </c>
      <c r="I592" s="159" t="s">
        <v>1127</v>
      </c>
      <c r="J592" s="22" t="s">
        <v>1554</v>
      </c>
      <c r="K592" s="22" t="s">
        <v>28</v>
      </c>
      <c r="L592" s="22" t="s">
        <v>673</v>
      </c>
      <c r="M592" s="23" t="s">
        <v>157</v>
      </c>
      <c r="N592" s="23" t="s">
        <v>134</v>
      </c>
      <c r="O592" s="24">
        <f aca="1">DATEDIF(F592,TODAY(),"Y")</f>
        <v>5</v>
      </c>
      <c r="P592" s="24">
        <f aca="1">DATEDIF(F592,TODAY(),"YM")</f>
        <v>0</v>
      </c>
      <c r="Q592" s="24" t="str">
        <f aca="1">DATEDIF(F592,NOW(),"Y")&amp;" Tahun "&amp;DATEDIF(F592,NOW(),"YM")&amp;" Bulan "&amp;DATEDIF(F592,NOW(),"MD")&amp;" Hari "</f>
        <v>5 Tahun 0 Bulan 6 Hari </v>
      </c>
      <c r="R592" s="41">
        <f>F592</f>
        <v>44105</v>
      </c>
      <c r="S592" s="36" t="n">
        <v>45258</v>
      </c>
      <c r="T592" s="51" t="n">
        <v>1000000</v>
      </c>
      <c r="U592" s="51" t="n">
        <v>1000000</v>
      </c>
    </row>
    <row r="593" spans="1:21" s="71" customFormat="1">
      <c r="A593" s="21" t="n">
        <v>590</v>
      </c>
      <c r="B593" s="21" t="str">
        <f>E593</f>
        <v>3513140803840007</v>
      </c>
      <c r="C593" s="38">
        <f>F593</f>
        <v>44137</v>
      </c>
      <c r="D593" s="22" t="s">
        <v>1555</v>
      </c>
      <c r="E593" s="191" t="s">
        <v>1556</v>
      </c>
      <c r="F593" s="38" t="n">
        <v>44137</v>
      </c>
      <c r="G593" s="21" t="s">
        <v>33</v>
      </c>
      <c r="H593" s="38" t="s">
        <v>1394</v>
      </c>
      <c r="I593" s="159" t="s">
        <v>1127</v>
      </c>
      <c r="J593" s="22" t="s">
        <v>818</v>
      </c>
      <c r="K593" s="22" t="s">
        <v>28</v>
      </c>
      <c r="L593" s="22" t="s">
        <v>676</v>
      </c>
      <c r="M593" s="23" t="s">
        <v>157</v>
      </c>
      <c r="N593" s="23" t="s">
        <v>480</v>
      </c>
      <c r="O593" s="24">
        <f aca="1">DATEDIF(F593,TODAY(),"Y")</f>
        <v>4</v>
      </c>
      <c r="P593" s="24">
        <f aca="1">DATEDIF(F593,TODAY(),"YM")</f>
        <v>11</v>
      </c>
      <c r="Q593" s="24" t="str">
        <f aca="1">DATEDIF(F593,NOW(),"Y")&amp;" Tahun "&amp;DATEDIF(F593,NOW(),"YM")&amp;" Bulan "&amp;DATEDIF(F593,NOW(),"MD")&amp;" Hari "</f>
        <v>4 Tahun 11 Bulan 5 Hari </v>
      </c>
      <c r="R593" s="41">
        <f>F593</f>
        <v>44137</v>
      </c>
      <c r="S593" s="36" t="n">
        <v>45258</v>
      </c>
      <c r="T593" s="51" t="n">
        <v>1000000</v>
      </c>
      <c r="U593" s="51" t="n">
        <v>1000000</v>
      </c>
    </row>
    <row r="594" spans="1:21" s="71" customFormat="1">
      <c r="A594" s="21" t="n">
        <v>591</v>
      </c>
      <c r="B594" s="21" t="str">
        <f>E594</f>
        <v>3513122303860006</v>
      </c>
      <c r="C594" s="38">
        <f>F594</f>
        <v>44348</v>
      </c>
      <c r="D594" s="22" t="s">
        <v>1557</v>
      </c>
      <c r="E594" s="191" t="s">
        <v>1558</v>
      </c>
      <c r="F594" s="38" t="n">
        <v>44348</v>
      </c>
      <c r="G594" s="21" t="s">
        <v>33</v>
      </c>
      <c r="H594" s="36" t="s">
        <v>1394</v>
      </c>
      <c r="I594" s="159" t="s">
        <v>1127</v>
      </c>
      <c r="J594" s="22" t="s">
        <v>536</v>
      </c>
      <c r="K594" s="22" t="s">
        <v>28</v>
      </c>
      <c r="L594" s="22" t="s">
        <v>673</v>
      </c>
      <c r="M594" s="23" t="s">
        <v>1231</v>
      </c>
      <c r="N594" s="23" t="s">
        <v>245</v>
      </c>
      <c r="O594" s="24">
        <f aca="1">DATEDIF(F594,TODAY(),"Y")</f>
        <v>4</v>
      </c>
      <c r="P594" s="24">
        <f aca="1">DATEDIF(F594,TODAY(),"YM")</f>
        <v>4</v>
      </c>
      <c r="Q594" s="24" t="str">
        <f aca="1">DATEDIF(F594,NOW(),"Y")&amp;" Tahun "&amp;DATEDIF(F594,NOW(),"YM")&amp;" Bulan "&amp;DATEDIF(F594,NOW(),"MD")&amp;" Hari "</f>
        <v>4 Tahun 4 Bulan 6 Hari </v>
      </c>
      <c r="R594" s="41">
        <f>F594</f>
        <v>44348</v>
      </c>
      <c r="S594" s="36" t="n">
        <v>45258</v>
      </c>
      <c r="T594" s="51" t="n">
        <v>1000000</v>
      </c>
      <c r="U594" s="51" t="n">
        <v>1000000</v>
      </c>
    </row>
    <row r="595" spans="1:21">
      <c r="A595" s="21" t="n">
        <v>592</v>
      </c>
      <c r="B595" s="21" t="str">
        <f>E595</f>
        <v>3578094711850001</v>
      </c>
      <c r="C595" s="38">
        <f>F595</f>
        <v>43831</v>
      </c>
      <c r="D595" s="22" t="s">
        <v>1559</v>
      </c>
      <c r="E595" s="197" t="s">
        <v>1560</v>
      </c>
      <c r="F595" s="38" t="n">
        <v>43831</v>
      </c>
      <c r="G595" s="21" t="s">
        <v>24</v>
      </c>
      <c r="H595" s="21" t="s">
        <v>1389</v>
      </c>
      <c r="I595" s="159" t="s">
        <v>1127</v>
      </c>
      <c r="J595" s="22" t="s">
        <v>1561</v>
      </c>
      <c r="K595" s="27" t="s">
        <v>66</v>
      </c>
      <c r="L595" s="22" t="s">
        <v>1561</v>
      </c>
      <c r="M595" s="23" t="s">
        <v>1562</v>
      </c>
      <c r="N595" s="23" t="s">
        <v>176</v>
      </c>
      <c r="O595" s="24">
        <f aca="1">DATEDIF(F595,TODAY(),"Y")</f>
        <v>5</v>
      </c>
      <c r="P595" s="24">
        <f aca="1">DATEDIF(F595,TODAY(),"YM")</f>
        <v>9</v>
      </c>
      <c r="Q595" s="24" t="str">
        <f aca="1">DATEDIF(F595,NOW(),"Y")&amp;" Tahun "&amp;DATEDIF(F595,NOW(),"YM")&amp;" Bulan "&amp;DATEDIF(F595,NOW(),"MD")&amp;" Hari "</f>
        <v>5 Tahun 9 Bulan 6 Hari </v>
      </c>
      <c r="R595" s="25"/>
      <c r="S595" s="25"/>
      <c r="T595" s="51" t="n">
        <v>3650000</v>
      </c>
      <c r="U595" s="52" t="n">
        <v>3650000</v>
      </c>
    </row>
    <row r="596" spans="1:21">
      <c r="A596" s="21" t="n">
        <v>593</v>
      </c>
      <c r="B596" s="21">
        <f>E596</f>
        <v>0</v>
      </c>
      <c r="C596" s="38">
        <f>F596</f>
        <v>43725</v>
      </c>
      <c r="D596" s="22" t="s">
        <v>1563</v>
      </c>
      <c r="E596" s="22"/>
      <c r="F596" s="38" t="n">
        <v>43725</v>
      </c>
      <c r="G596" s="21" t="s">
        <v>33</v>
      </c>
      <c r="H596" s="21" t="s">
        <v>1389</v>
      </c>
      <c r="I596" s="159" t="s">
        <v>1127</v>
      </c>
      <c r="J596" s="22" t="s">
        <v>866</v>
      </c>
      <c r="K596" s="27" t="s">
        <v>66</v>
      </c>
      <c r="L596" s="22" t="s">
        <v>866</v>
      </c>
      <c r="M596" s="23" t="s">
        <v>867</v>
      </c>
      <c r="N596" s="23" t="s">
        <v>325</v>
      </c>
      <c r="O596" s="24">
        <f aca="1">DATEDIF(F596,TODAY(),"Y")</f>
        <v>6</v>
      </c>
      <c r="P596" s="24">
        <f aca="1">DATEDIF(F596,TODAY(),"YM")</f>
        <v>0</v>
      </c>
      <c r="Q596" s="24" t="str">
        <f aca="1">DATEDIF(F596,NOW(),"Y")&amp;" Tahun "&amp;DATEDIF(F596,NOW(),"YM")&amp;" Bulan "&amp;DATEDIF(F596,NOW(),"MD")&amp;" Hari "</f>
        <v>6 Tahun 0 Bulan 20 Hari </v>
      </c>
      <c r="R596" s="25"/>
      <c r="S596" s="25"/>
      <c r="T596" s="51" t="n">
        <v>7650000</v>
      </c>
      <c r="U596" s="33" t="n">
        <v>7650000</v>
      </c>
    </row>
    <row r="597" spans="1:21">
      <c r="A597" s="21" t="n">
        <v>594</v>
      </c>
      <c r="B597" s="21" t="str">
        <f>E597</f>
        <v>3578202903880001</v>
      </c>
      <c r="C597" s="38">
        <f>F597</f>
        <v>44562</v>
      </c>
      <c r="D597" s="22" t="s">
        <v>1564</v>
      </c>
      <c r="E597" s="191" t="s">
        <v>1565</v>
      </c>
      <c r="F597" s="38" t="n">
        <v>44562</v>
      </c>
      <c r="G597" s="21" t="s">
        <v>33</v>
      </c>
      <c r="H597" s="21" t="s">
        <v>1389</v>
      </c>
      <c r="I597" s="159" t="s">
        <v>1127</v>
      </c>
      <c r="J597" s="22" t="s">
        <v>1566</v>
      </c>
      <c r="K597" s="27" t="s">
        <v>66</v>
      </c>
      <c r="L597" s="22" t="s">
        <v>1566</v>
      </c>
      <c r="M597" s="23" t="s">
        <v>1567</v>
      </c>
      <c r="N597" s="23" t="s">
        <v>359</v>
      </c>
      <c r="O597" s="24">
        <f aca="1">DATEDIF(F597,TODAY(),"Y")</f>
        <v>3</v>
      </c>
      <c r="P597" s="24">
        <f aca="1">DATEDIF(F597,TODAY(),"YM")</f>
        <v>9</v>
      </c>
      <c r="Q597" s="24" t="str">
        <f aca="1">DATEDIF(F597,NOW(),"Y")&amp;" Tahun "&amp;DATEDIF(F597,NOW(),"YM")&amp;" Bulan "&amp;DATEDIF(F597,NOW(),"MD")&amp;" Hari "</f>
        <v>3 Tahun 9 Bulan 6 Hari </v>
      </c>
      <c r="R597" s="25"/>
      <c r="S597" s="25"/>
      <c r="T597" s="51" t="n">
        <v>8350000</v>
      </c>
      <c r="U597" s="33" t="n">
        <v>8350000</v>
      </c>
    </row>
    <row r="598" spans="1:21">
      <c r="A598" s="21" t="n">
        <v>595</v>
      </c>
      <c r="B598" s="21" t="str">
        <f>E598</f>
        <v>3578092504970002</v>
      </c>
      <c r="C598" s="38">
        <f>F598</f>
        <v>44958</v>
      </c>
      <c r="D598" s="22" t="s">
        <v>1568</v>
      </c>
      <c r="E598" s="191" t="s">
        <v>1569</v>
      </c>
      <c r="F598" s="38" t="n">
        <v>44958</v>
      </c>
      <c r="G598" s="21" t="s">
        <v>33</v>
      </c>
      <c r="H598" s="21" t="s">
        <v>1389</v>
      </c>
      <c r="I598" s="159" t="s">
        <v>1127</v>
      </c>
      <c r="J598" s="22" t="s">
        <v>1570</v>
      </c>
      <c r="K598" s="27" t="s">
        <v>66</v>
      </c>
      <c r="L598" s="22" t="s">
        <v>1570</v>
      </c>
      <c r="M598" s="23" t="s">
        <v>67</v>
      </c>
      <c r="N598" s="23" t="s">
        <v>68</v>
      </c>
      <c r="O598" s="24">
        <f aca="1">DATEDIF(F598,TODAY(),"Y")</f>
        <v>2</v>
      </c>
      <c r="P598" s="24">
        <f aca="1">DATEDIF(F598,TODAY(),"YM")</f>
        <v>8</v>
      </c>
      <c r="Q598" s="24" t="str">
        <f aca="1">DATEDIF(F598,NOW(),"Y")&amp;" Tahun "&amp;DATEDIF(F598,NOW(),"YM")&amp;" Bulan "&amp;DATEDIF(F598,NOW(),"MD")&amp;" Hari "</f>
        <v>2 Tahun 8 Bulan 6 Hari </v>
      </c>
      <c r="R598" s="25"/>
      <c r="S598" s="25"/>
      <c r="T598" s="51" t="n">
        <v>3650000</v>
      </c>
      <c r="U598" s="52" t="n">
        <v>3650000</v>
      </c>
    </row>
    <row r="599" spans="1:21">
      <c r="A599" s="21" t="n">
        <v>596</v>
      </c>
      <c r="B599" s="21">
        <f>E599</f>
        <v>0</v>
      </c>
      <c r="C599" s="38">
        <f>F599</f>
        <v>45082</v>
      </c>
      <c r="D599" s="22" t="s">
        <v>1571</v>
      </c>
      <c r="E599" s="22"/>
      <c r="F599" s="36" t="n">
        <v>45082</v>
      </c>
      <c r="G599" s="21" t="s">
        <v>33</v>
      </c>
      <c r="H599" s="21" t="s">
        <v>1389</v>
      </c>
      <c r="I599" s="159" t="s">
        <v>1127</v>
      </c>
      <c r="J599" s="22" t="s">
        <v>1572</v>
      </c>
      <c r="K599" s="27" t="s">
        <v>66</v>
      </c>
      <c r="L599" s="22" t="s">
        <v>1572</v>
      </c>
      <c r="M599" s="23" t="s">
        <v>1573</v>
      </c>
      <c r="N599" s="23" t="s">
        <v>1574</v>
      </c>
      <c r="O599" s="24">
        <f aca="1">DATEDIF(F599,TODAY(),"Y")</f>
        <v>2</v>
      </c>
      <c r="P599" s="24">
        <f aca="1">DATEDIF(F599,TODAY(),"YM")</f>
        <v>4</v>
      </c>
      <c r="Q599" s="24" t="str">
        <f aca="1">DATEDIF(F599,NOW(),"Y")&amp;" Tahun "&amp;DATEDIF(F599,NOW(),"YM")&amp;" Bulan "&amp;DATEDIF(F599,NOW(),"MD")&amp;" Hari "</f>
        <v>2 Tahun 4 Bulan 2 Hari </v>
      </c>
      <c r="R599" s="25"/>
      <c r="S599" s="25"/>
      <c r="T599" s="51" t="n">
        <v>3750000</v>
      </c>
      <c r="U599" s="33" t="n">
        <v>3750000</v>
      </c>
    </row>
    <row r="600" spans="1:21">
      <c r="A600" s="21" t="n">
        <v>597</v>
      </c>
      <c r="B600" s="21">
        <f>E600</f>
        <v>0</v>
      </c>
      <c r="C600" s="38">
        <f>F600</f>
        <v>45139</v>
      </c>
      <c r="D600" s="22" t="s">
        <v>1575</v>
      </c>
      <c r="E600" s="22"/>
      <c r="F600" s="38" t="n">
        <v>45139</v>
      </c>
      <c r="G600" s="21" t="s">
        <v>33</v>
      </c>
      <c r="H600" s="21" t="s">
        <v>1389</v>
      </c>
      <c r="I600" s="159" t="s">
        <v>1127</v>
      </c>
      <c r="J600" s="22" t="s">
        <v>871</v>
      </c>
      <c r="K600" s="27" t="s">
        <v>66</v>
      </c>
      <c r="L600" s="22" t="s">
        <v>871</v>
      </c>
      <c r="M600" s="23" t="s">
        <v>872</v>
      </c>
      <c r="N600" s="23" t="s">
        <v>168</v>
      </c>
      <c r="O600" s="24">
        <f aca="1">DATEDIF(F600,TODAY(),"Y")</f>
        <v>2</v>
      </c>
      <c r="P600" s="24">
        <f aca="1">DATEDIF(F600,TODAY(),"YM")</f>
        <v>2</v>
      </c>
      <c r="Q600" s="24" t="str">
        <f aca="1">DATEDIF(F600,NOW(),"Y")&amp;" Tahun "&amp;DATEDIF(F600,NOW(),"YM")&amp;" Bulan "&amp;DATEDIF(F600,NOW(),"MD")&amp;" Hari "</f>
        <v>2 Tahun 2 Bulan 6 Hari </v>
      </c>
      <c r="R600" s="25"/>
      <c r="S600" s="25"/>
      <c r="T600" s="51" t="n">
        <v>7000000</v>
      </c>
      <c r="U600" s="33" t="n">
        <v>7000000</v>
      </c>
    </row>
    <row r="601" spans="1:21">
      <c r="A601" s="21" t="n">
        <v>598</v>
      </c>
      <c r="B601" s="21" t="str">
        <f>E601</f>
        <v>3513055410980002</v>
      </c>
      <c r="C601" s="38">
        <f>F601</f>
        <v>45139</v>
      </c>
      <c r="D601" s="22" t="s">
        <v>1576</v>
      </c>
      <c r="E601" s="191" t="s">
        <v>1577</v>
      </c>
      <c r="F601" s="38" t="n">
        <v>45139</v>
      </c>
      <c r="G601" s="21" t="s">
        <v>24</v>
      </c>
      <c r="H601" s="21" t="s">
        <v>1389</v>
      </c>
      <c r="I601" s="159" t="s">
        <v>1127</v>
      </c>
      <c r="J601" s="22" t="s">
        <v>1578</v>
      </c>
      <c r="K601" s="22" t="s">
        <v>91</v>
      </c>
      <c r="L601" s="22" t="s">
        <v>1578</v>
      </c>
      <c r="M601" s="23" t="s">
        <v>1579</v>
      </c>
      <c r="N601" s="23" t="s">
        <v>92</v>
      </c>
      <c r="O601" s="24">
        <f aca="1">DATEDIF(F601,TODAY(),"Y")</f>
        <v>2</v>
      </c>
      <c r="P601" s="24">
        <f aca="1">DATEDIF(F601,TODAY(),"YM")</f>
        <v>2</v>
      </c>
      <c r="Q601" s="24" t="str">
        <f aca="1">DATEDIF(F601,NOW(),"Y")&amp;" Tahun "&amp;DATEDIF(F601,NOW(),"YM")&amp;" Bulan "&amp;DATEDIF(F601,NOW(),"MD")&amp;" Hari "</f>
        <v>2 Tahun 2 Bulan 6 Hari </v>
      </c>
      <c r="R601" s="25"/>
      <c r="S601" s="25"/>
      <c r="T601" s="51" t="n">
        <v>1350000</v>
      </c>
      <c r="U601" s="51" t="n">
        <v>1350000</v>
      </c>
    </row>
    <row r="602" spans="1:21">
      <c r="A602" s="21" t="n">
        <v>599</v>
      </c>
      <c r="B602" s="21" t="str">
        <f>E602</f>
        <v>3513145503990002</v>
      </c>
      <c r="C602" s="38">
        <f>F602</f>
        <v>45139</v>
      </c>
      <c r="D602" s="22" t="s">
        <v>1580</v>
      </c>
      <c r="E602" s="191" t="s">
        <v>1581</v>
      </c>
      <c r="F602" s="38" t="n">
        <v>45139</v>
      </c>
      <c r="G602" s="21" t="s">
        <v>24</v>
      </c>
      <c r="H602" s="21" t="s">
        <v>1389</v>
      </c>
      <c r="I602" s="159" t="s">
        <v>1127</v>
      </c>
      <c r="J602" s="22" t="s">
        <v>1578</v>
      </c>
      <c r="K602" s="22" t="s">
        <v>91</v>
      </c>
      <c r="L602" s="22" t="s">
        <v>1578</v>
      </c>
      <c r="M602" s="23" t="s">
        <v>1579</v>
      </c>
      <c r="N602" s="23" t="s">
        <v>92</v>
      </c>
      <c r="O602" s="24">
        <f aca="1">DATEDIF(F602,TODAY(),"Y")</f>
        <v>2</v>
      </c>
      <c r="P602" s="24">
        <f aca="1">DATEDIF(F602,TODAY(),"YM")</f>
        <v>2</v>
      </c>
      <c r="Q602" s="24" t="str">
        <f aca="1">DATEDIF(F602,NOW(),"Y")&amp;" Tahun "&amp;DATEDIF(F602,NOW(),"YM")&amp;" Bulan "&amp;DATEDIF(F602,NOW(),"MD")&amp;" Hari "</f>
        <v>2 Tahun 2 Bulan 6 Hari </v>
      </c>
      <c r="R602" s="25"/>
      <c r="S602" s="25"/>
      <c r="T602" s="51" t="n">
        <v>1350000</v>
      </c>
      <c r="U602" s="51" t="n">
        <v>1350000</v>
      </c>
    </row>
    <row r="603" spans="1:21">
      <c r="A603" s="21" t="n">
        <v>600</v>
      </c>
      <c r="B603" s="21" t="str">
        <f>E603</f>
        <v>3513120211980002</v>
      </c>
      <c r="C603" s="38">
        <f>F603</f>
        <v>45139</v>
      </c>
      <c r="D603" s="22" t="s">
        <v>1582</v>
      </c>
      <c r="E603" s="191" t="s">
        <v>1583</v>
      </c>
      <c r="F603" s="38" t="n">
        <v>45139</v>
      </c>
      <c r="G603" s="21" t="s">
        <v>33</v>
      </c>
      <c r="H603" s="21" t="s">
        <v>1389</v>
      </c>
      <c r="I603" s="159" t="s">
        <v>1127</v>
      </c>
      <c r="J603" s="23" t="s">
        <v>1184</v>
      </c>
      <c r="K603" s="27" t="s">
        <v>96</v>
      </c>
      <c r="L603" s="23" t="s">
        <v>1185</v>
      </c>
      <c r="M603" s="28" t="s">
        <v>181</v>
      </c>
      <c r="N603" s="23" t="s">
        <v>222</v>
      </c>
      <c r="O603" s="24">
        <f aca="1">DATEDIF(F603,TODAY(),"Y")</f>
        <v>2</v>
      </c>
      <c r="P603" s="24">
        <f aca="1">DATEDIF(F603,TODAY(),"YM")</f>
        <v>2</v>
      </c>
      <c r="Q603" s="24" t="str">
        <f aca="1">DATEDIF(F603,NOW(),"Y")&amp;" Tahun "&amp;DATEDIF(F603,NOW(),"YM")&amp;" Bulan "&amp;DATEDIF(F603,NOW(),"MD")&amp;" Hari "</f>
        <v>2 Tahun 2 Bulan 6 Hari </v>
      </c>
      <c r="R603" s="41" t="n">
        <v>45139</v>
      </c>
      <c r="S603" s="36" t="n">
        <v>45291</v>
      </c>
      <c r="T603" s="51" t="n">
        <v>1200000</v>
      </c>
      <c r="U603" s="51" t="n">
        <v>1200000</v>
      </c>
    </row>
    <row r="604" spans="1:21">
      <c r="A604" s="21" t="n">
        <v>601</v>
      </c>
      <c r="B604" s="21" t="str">
        <f>E604</f>
        <v>3513141306920005</v>
      </c>
      <c r="C604" s="38">
        <f>F604</f>
        <v>45139</v>
      </c>
      <c r="D604" s="22" t="s">
        <v>1584</v>
      </c>
      <c r="E604" s="191" t="s">
        <v>1585</v>
      </c>
      <c r="F604" s="38" t="n">
        <v>45139</v>
      </c>
      <c r="G604" s="21" t="s">
        <v>33</v>
      </c>
      <c r="H604" s="21" t="s">
        <v>1389</v>
      </c>
      <c r="I604" s="159" t="s">
        <v>1127</v>
      </c>
      <c r="J604" s="23" t="s">
        <v>1184</v>
      </c>
      <c r="K604" s="27" t="s">
        <v>96</v>
      </c>
      <c r="L604" s="23" t="s">
        <v>1185</v>
      </c>
      <c r="M604" s="28" t="s">
        <v>181</v>
      </c>
      <c r="N604" s="23" t="s">
        <v>379</v>
      </c>
      <c r="O604" s="24">
        <f aca="1">DATEDIF(F604,TODAY(),"Y")</f>
        <v>2</v>
      </c>
      <c r="P604" s="24">
        <f aca="1">DATEDIF(F604,TODAY(),"YM")</f>
        <v>2</v>
      </c>
      <c r="Q604" s="24" t="str">
        <f aca="1">DATEDIF(F604,NOW(),"Y")&amp;" Tahun "&amp;DATEDIF(F604,NOW(),"YM")&amp;" Bulan "&amp;DATEDIF(F604,NOW(),"MD")&amp;" Hari "</f>
        <v>2 Tahun 2 Bulan 6 Hari </v>
      </c>
      <c r="R604" s="41" t="n">
        <v>45139</v>
      </c>
      <c r="S604" s="36" t="n">
        <v>45291</v>
      </c>
      <c r="T604" s="51" t="n">
        <v>1200000</v>
      </c>
      <c r="U604" s="51" t="n">
        <v>1200000</v>
      </c>
    </row>
    <row r="605" spans="1:21">
      <c r="A605" s="21" t="n">
        <v>602</v>
      </c>
      <c r="B605" s="21" t="str">
        <f>E605</f>
        <v>3513174806000002</v>
      </c>
      <c r="C605" s="38">
        <f>F605</f>
        <v>45139</v>
      </c>
      <c r="D605" s="22" t="s">
        <v>1586</v>
      </c>
      <c r="E605" s="191" t="s">
        <v>1587</v>
      </c>
      <c r="F605" s="38" t="n">
        <v>45139</v>
      </c>
      <c r="G605" s="21" t="s">
        <v>24</v>
      </c>
      <c r="H605" s="21" t="s">
        <v>1389</v>
      </c>
      <c r="I605" s="159" t="s">
        <v>1127</v>
      </c>
      <c r="J605" s="23" t="s">
        <v>1184</v>
      </c>
      <c r="K605" s="27" t="s">
        <v>96</v>
      </c>
      <c r="L605" s="23" t="s">
        <v>1185</v>
      </c>
      <c r="M605" s="28" t="s">
        <v>181</v>
      </c>
      <c r="N605" s="23" t="s">
        <v>278</v>
      </c>
      <c r="O605" s="24">
        <f aca="1">DATEDIF(F605,TODAY(),"Y")</f>
        <v>2</v>
      </c>
      <c r="P605" s="24">
        <f aca="1">DATEDIF(F605,TODAY(),"YM")</f>
        <v>2</v>
      </c>
      <c r="Q605" s="24" t="str">
        <f aca="1">DATEDIF(F605,NOW(),"Y")&amp;" Tahun "&amp;DATEDIF(F605,NOW(),"YM")&amp;" Bulan "&amp;DATEDIF(F605,NOW(),"MD")&amp;" Hari "</f>
        <v>2 Tahun 2 Bulan 6 Hari </v>
      </c>
      <c r="R605" s="41" t="n">
        <v>45139</v>
      </c>
      <c r="S605" s="36" t="n">
        <v>45291</v>
      </c>
      <c r="T605" s="51" t="n">
        <v>1200000</v>
      </c>
      <c r="U605" s="51" t="n">
        <v>1200000</v>
      </c>
    </row>
    <row r="606" spans="1:21">
      <c r="A606" s="21" t="n">
        <v>603</v>
      </c>
      <c r="B606" s="21" t="str">
        <f>E606</f>
        <v>3508156312970001</v>
      </c>
      <c r="C606" s="38">
        <f>F606</f>
        <v>45139</v>
      </c>
      <c r="D606" s="22" t="s">
        <v>1588</v>
      </c>
      <c r="E606" s="191" t="s">
        <v>1589</v>
      </c>
      <c r="F606" s="38" t="n">
        <v>45139</v>
      </c>
      <c r="G606" s="21" t="s">
        <v>24</v>
      </c>
      <c r="H606" s="21" t="s">
        <v>1389</v>
      </c>
      <c r="I606" s="159" t="s">
        <v>1127</v>
      </c>
      <c r="J606" s="23" t="s">
        <v>1184</v>
      </c>
      <c r="K606" s="27" t="s">
        <v>96</v>
      </c>
      <c r="L606" s="23" t="s">
        <v>1185</v>
      </c>
      <c r="M606" s="28" t="s">
        <v>181</v>
      </c>
      <c r="N606" s="29" t="s">
        <v>1590</v>
      </c>
      <c r="O606" s="24">
        <f aca="1">DATEDIF(F606,TODAY(),"Y")</f>
        <v>2</v>
      </c>
      <c r="P606" s="24">
        <f aca="1">DATEDIF(F606,TODAY(),"YM")</f>
        <v>2</v>
      </c>
      <c r="Q606" s="24" t="str">
        <f aca="1">DATEDIF(F606,NOW(),"Y")&amp;" Tahun "&amp;DATEDIF(F606,NOW(),"YM")&amp;" Bulan "&amp;DATEDIF(F606,NOW(),"MD")&amp;" Hari "</f>
        <v>2 Tahun 2 Bulan 6 Hari </v>
      </c>
      <c r="R606" s="41" t="n">
        <v>45139</v>
      </c>
      <c r="S606" s="36" t="n">
        <v>45291</v>
      </c>
      <c r="T606" s="51" t="n">
        <v>1200000</v>
      </c>
      <c r="U606" s="51" t="n">
        <v>1200000</v>
      </c>
    </row>
    <row r="607" spans="1:21">
      <c r="A607" s="21" t="n">
        <v>604</v>
      </c>
      <c r="B607" s="21" t="str">
        <f>E607</f>
        <v>3513101412950002</v>
      </c>
      <c r="C607" s="38">
        <f>F607</f>
        <v>45200</v>
      </c>
      <c r="D607" s="25" t="s">
        <v>1591</v>
      </c>
      <c r="E607" s="195" t="s">
        <v>1592</v>
      </c>
      <c r="F607" s="36" t="n">
        <v>45200</v>
      </c>
      <c r="G607" s="21" t="s">
        <v>33</v>
      </c>
      <c r="H607" s="21" t="s">
        <v>1389</v>
      </c>
      <c r="I607" s="159" t="s">
        <v>1127</v>
      </c>
      <c r="J607" s="46" t="s">
        <v>1279</v>
      </c>
      <c r="K607" s="27" t="s">
        <v>96</v>
      </c>
      <c r="L607" s="23" t="s">
        <v>1185</v>
      </c>
      <c r="M607" s="23" t="s">
        <v>1593</v>
      </c>
      <c r="N607" s="23" t="s">
        <v>68</v>
      </c>
      <c r="O607" s="24">
        <f aca="1">DATEDIF(F607,TODAY(),"Y")</f>
        <v>2</v>
      </c>
      <c r="P607" s="24">
        <f aca="1">DATEDIF(F607,TODAY(),"YM")</f>
        <v>0</v>
      </c>
      <c r="Q607" s="24" t="str">
        <f aca="1">DATEDIF(F607,NOW(),"Y")&amp;" Tahun "&amp;DATEDIF(F607,NOW(),"YM")&amp;" Bulan "&amp;DATEDIF(F607,NOW(),"MD")&amp;" Hari "</f>
        <v>2 Tahun 0 Bulan 6 Hari </v>
      </c>
      <c r="R607" s="36" t="n">
        <v>45200</v>
      </c>
      <c r="S607" s="36" t="n">
        <v>45291</v>
      </c>
      <c r="T607" s="51" t="n">
        <v>1350000</v>
      </c>
      <c r="U607" s="51" t="n">
        <v>1350000</v>
      </c>
    </row>
    <row r="608" spans="1:21">
      <c r="A608" s="21" t="n">
        <v>605</v>
      </c>
      <c r="B608" s="21" t="str">
        <f>E608</f>
        <v>3513144811970001</v>
      </c>
      <c r="C608" s="38">
        <f>F608</f>
        <v>45200</v>
      </c>
      <c r="D608" s="25" t="s">
        <v>1594</v>
      </c>
      <c r="E608" s="195" t="s">
        <v>1595</v>
      </c>
      <c r="F608" s="36" t="n">
        <v>45200</v>
      </c>
      <c r="G608" s="21" t="s">
        <v>24</v>
      </c>
      <c r="H608" s="21" t="s">
        <v>1389</v>
      </c>
      <c r="I608" s="159" t="s">
        <v>1127</v>
      </c>
      <c r="J608" s="46" t="s">
        <v>1279</v>
      </c>
      <c r="K608" s="27" t="s">
        <v>96</v>
      </c>
      <c r="L608" s="23" t="s">
        <v>1185</v>
      </c>
      <c r="M608" s="23" t="s">
        <v>1593</v>
      </c>
      <c r="N608" s="23" t="s">
        <v>158</v>
      </c>
      <c r="O608" s="24">
        <f aca="1">DATEDIF(F608,TODAY(),"Y")</f>
        <v>2</v>
      </c>
      <c r="P608" s="24">
        <f aca="1">DATEDIF(F608,TODAY(),"YM")</f>
        <v>0</v>
      </c>
      <c r="Q608" s="24" t="str">
        <f aca="1">DATEDIF(F608,NOW(),"Y")&amp;" Tahun "&amp;DATEDIF(F608,NOW(),"YM")&amp;" Bulan "&amp;DATEDIF(F608,NOW(),"MD")&amp;" Hari "</f>
        <v>2 Tahun 0 Bulan 6 Hari </v>
      </c>
      <c r="R608" s="36" t="n">
        <v>45200</v>
      </c>
      <c r="S608" s="36" t="n">
        <v>45291</v>
      </c>
      <c r="T608" s="51" t="n">
        <v>1350000</v>
      </c>
      <c r="U608" s="51" t="n">
        <v>1350000</v>
      </c>
    </row>
    <row r="609" spans="1:21">
      <c r="A609" s="21" t="n">
        <v>606</v>
      </c>
      <c r="B609" s="21" t="str">
        <f>E609</f>
        <v>7371145501850012</v>
      </c>
      <c r="C609" s="38">
        <f>F609</f>
        <v>45200</v>
      </c>
      <c r="D609" s="25" t="s">
        <v>1596</v>
      </c>
      <c r="E609" s="195" t="s">
        <v>1597</v>
      </c>
      <c r="F609" s="36" t="n">
        <v>45200</v>
      </c>
      <c r="G609" s="21" t="s">
        <v>24</v>
      </c>
      <c r="H609" s="21" t="s">
        <v>1389</v>
      </c>
      <c r="I609" s="159" t="s">
        <v>1127</v>
      </c>
      <c r="J609" s="23" t="s">
        <v>1184</v>
      </c>
      <c r="K609" s="27" t="s">
        <v>96</v>
      </c>
      <c r="L609" s="23" t="s">
        <v>1185</v>
      </c>
      <c r="M609" s="28" t="s">
        <v>181</v>
      </c>
      <c r="N609" s="23" t="s">
        <v>382</v>
      </c>
      <c r="O609" s="24">
        <f aca="1">DATEDIF(F609,TODAY(),"Y")</f>
        <v>2</v>
      </c>
      <c r="P609" s="24">
        <f aca="1">DATEDIF(F609,TODAY(),"YM")</f>
        <v>0</v>
      </c>
      <c r="Q609" s="24" t="str">
        <f aca="1">DATEDIF(F609,NOW(),"Y")&amp;" Tahun "&amp;DATEDIF(F609,NOW(),"YM")&amp;" Bulan "&amp;DATEDIF(F609,NOW(),"MD")&amp;" Hari "</f>
        <v>2 Tahun 0 Bulan 6 Hari </v>
      </c>
      <c r="R609" s="36" t="n">
        <v>45200</v>
      </c>
      <c r="S609" s="36" t="n">
        <v>45291</v>
      </c>
      <c r="T609" s="51" t="n">
        <v>1200000</v>
      </c>
      <c r="U609" s="51" t="n">
        <v>1200000</v>
      </c>
    </row>
    <row r="610" spans="1:21">
      <c r="A610" s="21" t="n">
        <v>607</v>
      </c>
      <c r="B610" s="21" t="str">
        <f>E610</f>
        <v>3513141112000001</v>
      </c>
      <c r="C610" s="38">
        <f>F610</f>
        <v>45200</v>
      </c>
      <c r="D610" s="25" t="s">
        <v>1598</v>
      </c>
      <c r="E610" s="198" t="s">
        <v>1599</v>
      </c>
      <c r="F610" s="36" t="n">
        <v>45200</v>
      </c>
      <c r="G610" s="21" t="s">
        <v>33</v>
      </c>
      <c r="H610" s="21" t="s">
        <v>1389</v>
      </c>
      <c r="I610" s="159" t="s">
        <v>1127</v>
      </c>
      <c r="J610" s="23" t="s">
        <v>1184</v>
      </c>
      <c r="K610" s="27" t="s">
        <v>96</v>
      </c>
      <c r="L610" s="23" t="s">
        <v>1185</v>
      </c>
      <c r="M610" s="28" t="s">
        <v>181</v>
      </c>
      <c r="N610" s="23" t="s">
        <v>222</v>
      </c>
      <c r="O610" s="24">
        <f aca="1">DATEDIF(F610,TODAY(),"Y")</f>
        <v>2</v>
      </c>
      <c r="P610" s="24">
        <f aca="1">DATEDIF(F610,TODAY(),"YM")</f>
        <v>0</v>
      </c>
      <c r="Q610" s="24" t="str">
        <f aca="1">DATEDIF(F610,NOW(),"Y")&amp;" Tahun "&amp;DATEDIF(F610,NOW(),"YM")&amp;" Bulan "&amp;DATEDIF(F610,NOW(),"MD")&amp;" Hari "</f>
        <v>2 Tahun 0 Bulan 6 Hari </v>
      </c>
      <c r="R610" s="36" t="n">
        <v>45200</v>
      </c>
      <c r="S610" s="36" t="n">
        <v>45291</v>
      </c>
      <c r="T610" s="51" t="n">
        <v>1200000</v>
      </c>
      <c r="U610" s="51" t="n">
        <v>1200000</v>
      </c>
    </row>
    <row r="611" spans="1:21">
      <c r="A611" s="21" t="n">
        <v>608</v>
      </c>
      <c r="B611" s="21" t="str">
        <f>E611</f>
        <v>3513095507960001</v>
      </c>
      <c r="C611" s="38">
        <f>F611</f>
        <v>45200</v>
      </c>
      <c r="D611" s="25" t="s">
        <v>1600</v>
      </c>
      <c r="E611" s="195" t="s">
        <v>1601</v>
      </c>
      <c r="F611" s="36" t="n">
        <v>45200</v>
      </c>
      <c r="G611" s="21" t="s">
        <v>24</v>
      </c>
      <c r="H611" s="21" t="s">
        <v>1389</v>
      </c>
      <c r="I611" s="159" t="s">
        <v>1127</v>
      </c>
      <c r="J611" s="46" t="s">
        <v>1279</v>
      </c>
      <c r="K611" s="27" t="s">
        <v>96</v>
      </c>
      <c r="L611" s="23" t="s">
        <v>1185</v>
      </c>
      <c r="M611" s="23" t="s">
        <v>1593</v>
      </c>
      <c r="N611" s="23" t="s">
        <v>162</v>
      </c>
      <c r="O611" s="24">
        <f aca="1">DATEDIF(F611,TODAY(),"Y")</f>
        <v>2</v>
      </c>
      <c r="P611" s="24">
        <f aca="1">DATEDIF(F611,TODAY(),"YM")</f>
        <v>0</v>
      </c>
      <c r="Q611" s="24" t="str">
        <f aca="1">DATEDIF(F611,NOW(),"Y")&amp;" Tahun "&amp;DATEDIF(F611,NOW(),"YM")&amp;" Bulan "&amp;DATEDIF(F611,NOW(),"MD")&amp;" Hari "</f>
        <v>2 Tahun 0 Bulan 6 Hari </v>
      </c>
      <c r="R611" s="36" t="n">
        <v>45200</v>
      </c>
      <c r="S611" s="36" t="n">
        <v>45291</v>
      </c>
      <c r="T611" s="51" t="n">
        <v>1350000</v>
      </c>
      <c r="U611" s="51" t="n">
        <v>1350000</v>
      </c>
    </row>
    <row r="612" spans="1:21">
      <c r="A612" s="21" t="n">
        <v>609</v>
      </c>
      <c r="B612" s="21" t="str">
        <f>E612</f>
        <v>3513175003990001</v>
      </c>
      <c r="C612" s="38">
        <f>F612</f>
        <v>45200</v>
      </c>
      <c r="D612" s="25" t="s">
        <v>1602</v>
      </c>
      <c r="E612" s="195" t="s">
        <v>1603</v>
      </c>
      <c r="F612" s="36" t="n">
        <v>45200</v>
      </c>
      <c r="G612" s="21" t="s">
        <v>24</v>
      </c>
      <c r="H612" s="21" t="s">
        <v>1389</v>
      </c>
      <c r="I612" s="159" t="s">
        <v>1127</v>
      </c>
      <c r="J612" s="46" t="s">
        <v>1279</v>
      </c>
      <c r="K612" s="27" t="s">
        <v>96</v>
      </c>
      <c r="L612" s="23" t="s">
        <v>1185</v>
      </c>
      <c r="M612" s="23" t="s">
        <v>1593</v>
      </c>
      <c r="N612" s="23" t="s">
        <v>222</v>
      </c>
      <c r="O612" s="24">
        <f aca="1">DATEDIF(F612,TODAY(),"Y")</f>
        <v>2</v>
      </c>
      <c r="P612" s="24">
        <f aca="1">DATEDIF(F612,TODAY(),"YM")</f>
        <v>0</v>
      </c>
      <c r="Q612" s="24" t="str">
        <f aca="1">DATEDIF(F612,NOW(),"Y")&amp;" Tahun "&amp;DATEDIF(F612,NOW(),"YM")&amp;" Bulan "&amp;DATEDIF(F612,NOW(),"MD")&amp;" Hari "</f>
        <v>2 Tahun 0 Bulan 6 Hari </v>
      </c>
      <c r="R612" s="36" t="n">
        <v>45200</v>
      </c>
      <c r="S612" s="36" t="n">
        <v>45291</v>
      </c>
      <c r="T612" s="51" t="n">
        <v>1350000</v>
      </c>
      <c r="U612" s="51" t="n">
        <v>1350000</v>
      </c>
    </row>
    <row r="613" spans="1:21">
      <c r="A613" s="21" t="n">
        <v>610</v>
      </c>
      <c r="B613" s="21" t="str">
        <f>E613</f>
        <v>3513111207950003</v>
      </c>
      <c r="C613" s="38">
        <f>F613</f>
        <v>45200</v>
      </c>
      <c r="D613" s="25" t="s">
        <v>1604</v>
      </c>
      <c r="E613" s="195" t="s">
        <v>1605</v>
      </c>
      <c r="F613" s="36" t="n">
        <v>45200</v>
      </c>
      <c r="G613" s="21" t="s">
        <v>33</v>
      </c>
      <c r="H613" s="21" t="s">
        <v>1389</v>
      </c>
      <c r="I613" s="159" t="s">
        <v>1127</v>
      </c>
      <c r="J613" s="46" t="s">
        <v>1279</v>
      </c>
      <c r="K613" s="27" t="s">
        <v>96</v>
      </c>
      <c r="L613" s="23" t="s">
        <v>1185</v>
      </c>
      <c r="M613" s="23" t="s">
        <v>1593</v>
      </c>
      <c r="N613" s="23" t="s">
        <v>235</v>
      </c>
      <c r="O613" s="24">
        <f aca="1">DATEDIF(F613,TODAY(),"Y")</f>
        <v>2</v>
      </c>
      <c r="P613" s="24">
        <f aca="1">DATEDIF(F613,TODAY(),"YM")</f>
        <v>0</v>
      </c>
      <c r="Q613" s="24" t="str">
        <f aca="1">DATEDIF(F613,NOW(),"Y")&amp;" Tahun "&amp;DATEDIF(F613,NOW(),"YM")&amp;" Bulan "&amp;DATEDIF(F613,NOW(),"MD")&amp;" Hari "</f>
        <v>2 Tahun 0 Bulan 6 Hari </v>
      </c>
      <c r="R613" s="36" t="n">
        <v>45200</v>
      </c>
      <c r="S613" s="36" t="n">
        <v>45291</v>
      </c>
      <c r="T613" s="51" t="n">
        <v>1350000</v>
      </c>
      <c r="U613" s="51" t="n">
        <v>1350000</v>
      </c>
    </row>
    <row r="614" spans="1:21">
      <c r="A614" s="21" t="n">
        <v>611</v>
      </c>
      <c r="B614" s="21" t="str">
        <f>E614</f>
        <v>3513074405980003</v>
      </c>
      <c r="C614" s="38">
        <f>F614</f>
        <v>45200</v>
      </c>
      <c r="D614" s="25" t="s">
        <v>1606</v>
      </c>
      <c r="E614" s="195" t="s">
        <v>1607</v>
      </c>
      <c r="F614" s="36" t="n">
        <v>45200</v>
      </c>
      <c r="G614" s="21" t="s">
        <v>24</v>
      </c>
      <c r="H614" s="21" t="s">
        <v>1389</v>
      </c>
      <c r="I614" s="159" t="s">
        <v>1127</v>
      </c>
      <c r="J614" s="23" t="s">
        <v>1184</v>
      </c>
      <c r="K614" s="27" t="s">
        <v>96</v>
      </c>
      <c r="L614" s="23" t="s">
        <v>1185</v>
      </c>
      <c r="M614" s="28" t="s">
        <v>181</v>
      </c>
      <c r="N614" s="23" t="s">
        <v>382</v>
      </c>
      <c r="O614" s="24">
        <f aca="1">DATEDIF(F614,TODAY(),"Y")</f>
        <v>2</v>
      </c>
      <c r="P614" s="24">
        <f aca="1">DATEDIF(F614,TODAY(),"YM")</f>
        <v>0</v>
      </c>
      <c r="Q614" s="24" t="str">
        <f aca="1">DATEDIF(F614,NOW(),"Y")&amp;" Tahun "&amp;DATEDIF(F614,NOW(),"YM")&amp;" Bulan "&amp;DATEDIF(F614,NOW(),"MD")&amp;" Hari "</f>
        <v>2 Tahun 0 Bulan 6 Hari </v>
      </c>
      <c r="R614" s="36" t="n">
        <v>45200</v>
      </c>
      <c r="S614" s="36" t="n">
        <v>45291</v>
      </c>
      <c r="T614" s="51" t="n">
        <v>1200000</v>
      </c>
      <c r="U614" s="51" t="n">
        <v>1200000</v>
      </c>
    </row>
    <row r="615" spans="1:21">
      <c r="A615" s="21" t="n">
        <v>612</v>
      </c>
      <c r="B615" s="21" t="str">
        <f>E615</f>
        <v>3513141601980002</v>
      </c>
      <c r="C615" s="38">
        <f>F615</f>
        <v>45200</v>
      </c>
      <c r="D615" s="25" t="s">
        <v>1608</v>
      </c>
      <c r="E615" s="195" t="s">
        <v>1609</v>
      </c>
      <c r="F615" s="36" t="n">
        <v>45200</v>
      </c>
      <c r="G615" s="21" t="s">
        <v>33</v>
      </c>
      <c r="H615" s="21" t="s">
        <v>1389</v>
      </c>
      <c r="I615" s="159" t="s">
        <v>1127</v>
      </c>
      <c r="J615" s="23" t="s">
        <v>1184</v>
      </c>
      <c r="K615" s="27" t="s">
        <v>96</v>
      </c>
      <c r="L615" s="23" t="s">
        <v>1185</v>
      </c>
      <c r="M615" s="28" t="s">
        <v>181</v>
      </c>
      <c r="N615" s="23" t="s">
        <v>278</v>
      </c>
      <c r="O615" s="24">
        <f aca="1">DATEDIF(F615,TODAY(),"Y")</f>
        <v>2</v>
      </c>
      <c r="P615" s="24">
        <f aca="1">DATEDIF(F615,TODAY(),"YM")</f>
        <v>0</v>
      </c>
      <c r="Q615" s="24" t="str">
        <f aca="1">DATEDIF(F615,NOW(),"Y")&amp;" Tahun "&amp;DATEDIF(F615,NOW(),"YM")&amp;" Bulan "&amp;DATEDIF(F615,NOW(),"MD")&amp;" Hari "</f>
        <v>2 Tahun 0 Bulan 6 Hari </v>
      </c>
      <c r="R615" s="36" t="n">
        <v>45200</v>
      </c>
      <c r="S615" s="36" t="n">
        <v>45291</v>
      </c>
      <c r="T615" s="51" t="n">
        <v>1200000</v>
      </c>
      <c r="U615" s="51" t="n">
        <v>1200000</v>
      </c>
    </row>
    <row r="616" spans="1:21">
      <c r="A616" s="21" t="n">
        <v>613</v>
      </c>
      <c r="B616" s="21" t="str">
        <f>E616</f>
        <v>3513097009010001</v>
      </c>
      <c r="C616" s="38">
        <f>F616</f>
        <v>45231</v>
      </c>
      <c r="D616" s="25" t="s">
        <v>1610</v>
      </c>
      <c r="E616" s="195" t="s">
        <v>1611</v>
      </c>
      <c r="F616" s="36" t="n">
        <v>45231</v>
      </c>
      <c r="G616" s="21" t="s">
        <v>24</v>
      </c>
      <c r="H616" s="21" t="s">
        <v>1389</v>
      </c>
      <c r="I616" s="159" t="s">
        <v>1127</v>
      </c>
      <c r="J616" s="23" t="s">
        <v>1612</v>
      </c>
      <c r="K616" s="22" t="s">
        <v>242</v>
      </c>
      <c r="L616" s="23" t="s">
        <v>1612</v>
      </c>
      <c r="M616" s="28" t="s">
        <v>1613</v>
      </c>
      <c r="N616" s="23" t="s">
        <v>458</v>
      </c>
      <c r="O616" s="24">
        <f aca="1">DATEDIF(F616,TODAY(),"Y")</f>
        <v>1</v>
      </c>
      <c r="P616" s="24">
        <f aca="1">DATEDIF(F616,TODAY(),"YM")</f>
        <v>11</v>
      </c>
      <c r="Q616" s="24" t="str">
        <f aca="1">DATEDIF(F616,NOW(),"Y")&amp;" Tahun "&amp;DATEDIF(F616,NOW(),"YM")&amp;" Bulan "&amp;DATEDIF(F616,NOW(),"MD")&amp;" Hari "</f>
        <v>1 Tahun 11 Bulan 6 Hari </v>
      </c>
      <c r="R616" s="41">
        <f>F616</f>
        <v>45231</v>
      </c>
      <c r="S616" s="36" t="n">
        <v>45291</v>
      </c>
      <c r="T616" s="51" t="n">
        <v>1200000</v>
      </c>
      <c r="U616" s="51" t="n">
        <v>1200000</v>
      </c>
    </row>
    <row r="617" spans="1:21">
      <c r="A617" s="21" t="n">
        <v>614</v>
      </c>
      <c r="B617" s="21" t="str">
        <f>E617</f>
        <v>3513125301000002</v>
      </c>
      <c r="C617" s="38">
        <f>F617</f>
        <v>45231</v>
      </c>
      <c r="D617" s="25" t="s">
        <v>1614</v>
      </c>
      <c r="E617" s="195" t="s">
        <v>1615</v>
      </c>
      <c r="F617" s="36" t="n">
        <v>45231</v>
      </c>
      <c r="G617" s="21" t="s">
        <v>24</v>
      </c>
      <c r="H617" s="21" t="s">
        <v>1389</v>
      </c>
      <c r="I617" s="159" t="s">
        <v>1127</v>
      </c>
      <c r="J617" s="23" t="s">
        <v>1612</v>
      </c>
      <c r="K617" s="22" t="s">
        <v>242</v>
      </c>
      <c r="L617" s="23" t="s">
        <v>1612</v>
      </c>
      <c r="M617" s="28" t="s">
        <v>1613</v>
      </c>
      <c r="N617" s="23" t="s">
        <v>458</v>
      </c>
      <c r="O617" s="24">
        <f aca="1">DATEDIF(F617,TODAY(),"Y")</f>
        <v>1</v>
      </c>
      <c r="P617" s="24">
        <f aca="1">DATEDIF(F617,TODAY(),"YM")</f>
        <v>11</v>
      </c>
      <c r="Q617" s="24" t="str">
        <f aca="1">DATEDIF(F617,NOW(),"Y")&amp;" Tahun "&amp;DATEDIF(F617,NOW(),"YM")&amp;" Bulan "&amp;DATEDIF(F617,NOW(),"MD")&amp;" Hari "</f>
        <v>1 Tahun 11 Bulan 6 Hari </v>
      </c>
      <c r="R617" s="41">
        <f>F617</f>
        <v>45231</v>
      </c>
      <c r="S617" s="36" t="n">
        <v>45291</v>
      </c>
      <c r="T617" s="51" t="n">
        <v>1200000</v>
      </c>
      <c r="U617" s="51" t="n">
        <v>1200000</v>
      </c>
    </row>
    <row r="618" spans="1:21">
      <c r="A618" s="21" t="n">
        <v>615</v>
      </c>
      <c r="B618" s="21" t="str">
        <f>E618</f>
        <v>3513106410950005</v>
      </c>
      <c r="C618" s="38">
        <f>F618</f>
        <v>45231</v>
      </c>
      <c r="D618" s="25" t="s">
        <v>1616</v>
      </c>
      <c r="E618" s="195" t="s">
        <v>1617</v>
      </c>
      <c r="F618" s="36" t="n">
        <v>45231</v>
      </c>
      <c r="G618" s="21" t="s">
        <v>24</v>
      </c>
      <c r="H618" s="21" t="s">
        <v>1389</v>
      </c>
      <c r="I618" s="159" t="s">
        <v>1127</v>
      </c>
      <c r="J618" s="23" t="s">
        <v>1612</v>
      </c>
      <c r="K618" s="22" t="s">
        <v>242</v>
      </c>
      <c r="L618" s="23" t="s">
        <v>1612</v>
      </c>
      <c r="M618" s="28" t="s">
        <v>1087</v>
      </c>
      <c r="N618" s="23" t="s">
        <v>458</v>
      </c>
      <c r="O618" s="24">
        <f aca="1">DATEDIF(F618,TODAY(),"Y")</f>
        <v>1</v>
      </c>
      <c r="P618" s="24">
        <f aca="1">DATEDIF(F618,TODAY(),"YM")</f>
        <v>11</v>
      </c>
      <c r="Q618" s="24" t="str">
        <f aca="1">DATEDIF(F618,NOW(),"Y")&amp;" Tahun "&amp;DATEDIF(F618,NOW(),"YM")&amp;" Bulan "&amp;DATEDIF(F618,NOW(),"MD")&amp;" Hari "</f>
        <v>1 Tahun 11 Bulan 6 Hari </v>
      </c>
      <c r="R618" s="41">
        <f>F618</f>
        <v>45231</v>
      </c>
      <c r="S618" s="36" t="n">
        <v>45291</v>
      </c>
      <c r="T618" s="51" t="n">
        <v>1350000</v>
      </c>
      <c r="U618" s="51" t="n">
        <v>1350000</v>
      </c>
    </row>
    <row r="619" spans="1:21">
      <c r="A619" s="21" t="n">
        <v>616</v>
      </c>
      <c r="B619" s="21" t="str">
        <f>E619</f>
        <v>3526035205980001</v>
      </c>
      <c r="C619" s="38">
        <f>F619</f>
        <v>45226</v>
      </c>
      <c r="D619" s="25" t="s">
        <v>1618</v>
      </c>
      <c r="E619" s="195" t="s">
        <v>1619</v>
      </c>
      <c r="F619" s="36" t="n">
        <v>45226</v>
      </c>
      <c r="G619" s="21" t="s">
        <v>24</v>
      </c>
      <c r="H619" s="21" t="s">
        <v>1389</v>
      </c>
      <c r="I619" s="159" t="s">
        <v>1127</v>
      </c>
      <c r="J619" s="23" t="s">
        <v>1620</v>
      </c>
      <c r="K619" s="22" t="s">
        <v>132</v>
      </c>
      <c r="L619" s="23" t="s">
        <v>1620</v>
      </c>
      <c r="M619" s="28" t="s">
        <v>1621</v>
      </c>
      <c r="N619" s="23" t="s">
        <v>134</v>
      </c>
      <c r="O619" s="24">
        <f aca="1">DATEDIF(F619,TODAY(),"Y")</f>
        <v>1</v>
      </c>
      <c r="P619" s="24">
        <f aca="1">DATEDIF(F619,TODAY(),"YM")</f>
        <v>11</v>
      </c>
      <c r="Q619" s="24" t="str">
        <f aca="1">DATEDIF(F619,NOW(),"Y")&amp;" Tahun "&amp;DATEDIF(F619,NOW(),"YM")&amp;" Bulan "&amp;DATEDIF(F619,NOW(),"MD")&amp;" Hari "</f>
        <v>1 Tahun 11 Bulan 10 Hari </v>
      </c>
      <c r="R619" s="41">
        <f>F619</f>
        <v>45226</v>
      </c>
      <c r="S619" s="36" t="n">
        <v>45592</v>
      </c>
      <c r="T619" s="51" t="n">
        <v>3500000</v>
      </c>
      <c r="U619" s="53" t="n">
        <v>3500000</v>
      </c>
    </row>
    <row r="620" spans="1:21">
      <c r="A620" s="21" t="n">
        <v>617</v>
      </c>
      <c r="B620" s="21" t="str">
        <f>E620</f>
        <v>3513102202940001</v>
      </c>
      <c r="C620" s="38">
        <f>F620</f>
        <v>45313</v>
      </c>
      <c r="D620" s="22" t="s">
        <v>1622</v>
      </c>
      <c r="E620" s="191" t="s">
        <v>1623</v>
      </c>
      <c r="F620" s="38" t="n">
        <v>45313</v>
      </c>
      <c r="G620" s="21" t="s">
        <v>33</v>
      </c>
      <c r="H620" s="21" t="s">
        <v>1389</v>
      </c>
      <c r="I620" s="159" t="s">
        <v>1127</v>
      </c>
      <c r="J620" s="23" t="s">
        <v>1624</v>
      </c>
      <c r="K620" s="22" t="s">
        <v>132</v>
      </c>
      <c r="L620" s="23" t="s">
        <v>1625</v>
      </c>
      <c r="M620" s="28" t="s">
        <v>1626</v>
      </c>
      <c r="N620" s="23" t="s">
        <v>134</v>
      </c>
      <c r="O620" s="24">
        <f aca="1">DATEDIF(F620,TODAY(),"Y")</f>
        <v>1</v>
      </c>
      <c r="P620" s="24">
        <f aca="1">DATEDIF(F620,TODAY(),"YM")</f>
        <v>8</v>
      </c>
      <c r="Q620" s="24" t="str">
        <f aca="1">DATEDIF(F620,NOW(),"Y")&amp;" Tahun "&amp;DATEDIF(F620,NOW(),"YM")&amp;" Bulan "&amp;DATEDIF(F620,NOW(),"MD")&amp;" Hari "</f>
        <v>1 Tahun 8 Bulan 15 Hari </v>
      </c>
      <c r="R620" s="41">
        <f>F620</f>
        <v>45313</v>
      </c>
      <c r="S620" s="36" t="n">
        <v>45593</v>
      </c>
      <c r="T620" s="51" t="n">
        <v>1200000</v>
      </c>
      <c r="U620" s="51" t="n">
        <v>1200000</v>
      </c>
    </row>
    <row r="621" spans="1:21">
      <c r="A621" s="21" t="n">
        <v>618</v>
      </c>
      <c r="B621" s="21">
        <f>E621</f>
        <v>0</v>
      </c>
      <c r="C621" s="38">
        <f>F621</f>
        <v>45313</v>
      </c>
      <c r="D621" s="25" t="s">
        <v>1627</v>
      </c>
      <c r="E621" s="25"/>
      <c r="F621" s="36" t="n">
        <v>45313</v>
      </c>
      <c r="G621" s="21" t="s">
        <v>33</v>
      </c>
      <c r="H621" s="24" t="s">
        <v>1389</v>
      </c>
      <c r="I621" s="159" t="s">
        <v>1127</v>
      </c>
      <c r="J621" s="23" t="s">
        <v>1624</v>
      </c>
      <c r="K621" s="22" t="s">
        <v>132</v>
      </c>
      <c r="L621" s="23" t="s">
        <v>1625</v>
      </c>
      <c r="M621" s="28" t="s">
        <v>1628</v>
      </c>
      <c r="N621" s="23" t="s">
        <v>134</v>
      </c>
      <c r="O621" s="24">
        <f aca="1">DATEDIF(F621,TODAY(),"Y")</f>
        <v>1</v>
      </c>
      <c r="P621" s="24">
        <f aca="1">DATEDIF(F621,TODAY(),"YM")</f>
        <v>8</v>
      </c>
      <c r="Q621" s="24" t="str">
        <f aca="1">DATEDIF(F621,NOW(),"Y")&amp;" Tahun "&amp;DATEDIF(F621,NOW(),"YM")&amp;" Bulan "&amp;DATEDIF(F621,NOW(),"MD")&amp;" Hari "</f>
        <v>1 Tahun 8 Bulan 15 Hari </v>
      </c>
      <c r="R621" s="25"/>
      <c r="S621" s="36" t="n">
        <v>45313</v>
      </c>
      <c r="T621" s="51" t="n">
        <v>1200000</v>
      </c>
      <c r="U621" s="51" t="n">
        <v>1200000</v>
      </c>
    </row>
    <row r="622" spans="1:22" s="74" customFormat="1">
      <c r="A622" s="21" t="n">
        <v>619</v>
      </c>
      <c r="B622" s="21" t="str">
        <f>E622</f>
        <v>3574036001920005</v>
      </c>
      <c r="C622" s="38">
        <f>F622</f>
        <v>45383</v>
      </c>
      <c r="D622" s="54" t="s">
        <v>1629</v>
      </c>
      <c r="E622" s="199" t="s">
        <v>1630</v>
      </c>
      <c r="F622" s="36" t="n">
        <v>45383</v>
      </c>
      <c r="G622" s="21" t="s">
        <v>24</v>
      </c>
      <c r="H622" s="24" t="s">
        <v>1389</v>
      </c>
      <c r="I622" s="159" t="s">
        <v>1127</v>
      </c>
      <c r="J622" s="23" t="s">
        <v>1631</v>
      </c>
      <c r="K622" s="27" t="s">
        <v>66</v>
      </c>
      <c r="L622" s="23" t="s">
        <v>1631</v>
      </c>
      <c r="M622" s="28" t="s">
        <v>989</v>
      </c>
      <c r="N622" s="23" t="s">
        <v>271</v>
      </c>
      <c r="O622" s="24">
        <f aca="1">DATEDIF(F622,TODAY(),"Y")</f>
        <v>1</v>
      </c>
      <c r="P622" s="24">
        <f aca="1">DATEDIF(F622,TODAY(),"YM")</f>
        <v>6</v>
      </c>
      <c r="Q622" s="24" t="str">
        <f aca="1">DATEDIF(F622,NOW(),"Y")&amp;" Tahun "&amp;DATEDIF(F622,NOW(),"YM")&amp;" Bulan "&amp;DATEDIF(F622,NOW(),"MD")&amp;" Hari "</f>
        <v>1 Tahun 6 Bulan 6 Hari </v>
      </c>
      <c r="R622" s="25"/>
      <c r="S622" s="36"/>
      <c r="T622" s="12"/>
      <c r="U622" s="53" t="n">
        <v>8200000</v>
      </c>
      <c r="V622" s="69"/>
    </row>
    <row r="623" spans="1:22" s="12" customFormat="1">
      <c r="A623" s="21" t="n">
        <v>620</v>
      </c>
      <c r="B623" s="21" t="str">
        <f>E623</f>
        <v>3578256111880001</v>
      </c>
      <c r="C623" s="38">
        <f>F623</f>
        <v>45474</v>
      </c>
      <c r="D623" s="25" t="s">
        <v>1632</v>
      </c>
      <c r="E623" s="195" t="s">
        <v>1633</v>
      </c>
      <c r="F623" s="36" t="n">
        <v>45474</v>
      </c>
      <c r="G623" s="21" t="s">
        <v>24</v>
      </c>
      <c r="H623" s="24" t="s">
        <v>1389</v>
      </c>
      <c r="I623" s="159" t="s">
        <v>1127</v>
      </c>
      <c r="J623" s="23" t="s">
        <v>1634</v>
      </c>
      <c r="K623" s="27" t="s">
        <v>66</v>
      </c>
      <c r="L623" s="23" t="s">
        <v>1634</v>
      </c>
      <c r="M623" s="28" t="s">
        <v>1635</v>
      </c>
      <c r="N623" s="23" t="s">
        <v>173</v>
      </c>
      <c r="O623" s="24">
        <f aca="1">DATEDIF(F623,TODAY(),"Y")</f>
        <v>1</v>
      </c>
      <c r="P623" s="24">
        <f aca="1">DATEDIF(F623,TODAY(),"YM")</f>
        <v>3</v>
      </c>
      <c r="Q623" s="24" t="str">
        <f aca="1">DATEDIF(F623,NOW(),"Y")&amp;" Tahun "&amp;DATEDIF(F623,NOW(),"YM")&amp;" Bulan "&amp;DATEDIF(F623,NOW(),"MD")&amp;" Hari "</f>
        <v>1 Tahun 3 Bulan 6 Hari </v>
      </c>
      <c r="R623" s="25"/>
      <c r="S623" s="36"/>
      <c r="U623" s="53" t="n">
        <v>8200000</v>
      </c>
      <c r="V623" s="56"/>
    </row>
    <row r="624" spans="1:22" s="12" customFormat="1">
      <c r="A624" s="21" t="n">
        <v>621</v>
      </c>
      <c r="B624" s="21">
        <f>E624</f>
        <v>0</v>
      </c>
      <c r="C624" s="38">
        <f>F624</f>
        <v>45505</v>
      </c>
      <c r="D624" s="22" t="s">
        <v>1636</v>
      </c>
      <c r="E624" s="22"/>
      <c r="F624" s="36" t="n">
        <v>45505</v>
      </c>
      <c r="G624" s="21" t="s">
        <v>24</v>
      </c>
      <c r="H624" s="24" t="s">
        <v>1389</v>
      </c>
      <c r="I624" s="159" t="s">
        <v>1127</v>
      </c>
      <c r="J624" s="22" t="s">
        <v>1570</v>
      </c>
      <c r="K624" s="27" t="s">
        <v>66</v>
      </c>
      <c r="L624" s="22" t="s">
        <v>1570</v>
      </c>
      <c r="M624" s="23" t="s">
        <v>67</v>
      </c>
      <c r="N624" s="23" t="s">
        <v>68</v>
      </c>
      <c r="O624" s="24">
        <f aca="1">DATEDIF(F624,TODAY(),"Y")</f>
        <v>1</v>
      </c>
      <c r="P624" s="24">
        <f aca="1">DATEDIF(F624,TODAY(),"YM")</f>
        <v>2</v>
      </c>
      <c r="Q624" s="24" t="str">
        <f aca="1">DATEDIF(F624,NOW(),"Y")&amp;" Tahun "&amp;DATEDIF(F624,NOW(),"YM")&amp;" Bulan "&amp;DATEDIF(F624,NOW(),"MD")&amp;" Hari "</f>
        <v>1 Tahun 2 Bulan 6 Hari </v>
      </c>
      <c r="R624" s="25"/>
      <c r="S624" s="36"/>
      <c r="U624" s="51" t="n">
        <v>3650000</v>
      </c>
      <c r="V624" s="56"/>
    </row>
    <row r="625" spans="1:22" s="12" customFormat="1">
      <c r="A625" s="21" t="n">
        <v>622</v>
      </c>
      <c r="B625" s="21" t="str">
        <f>E625</f>
        <v>3513096101010001</v>
      </c>
      <c r="C625" s="38">
        <f>F625</f>
        <v>45505</v>
      </c>
      <c r="D625" s="22" t="s">
        <v>1637</v>
      </c>
      <c r="E625" s="191" t="s">
        <v>1638</v>
      </c>
      <c r="F625" s="36" t="n">
        <v>45505</v>
      </c>
      <c r="G625" s="21" t="s">
        <v>24</v>
      </c>
      <c r="H625" s="24" t="s">
        <v>1389</v>
      </c>
      <c r="I625" s="159" t="s">
        <v>1127</v>
      </c>
      <c r="J625" s="23" t="s">
        <v>1184</v>
      </c>
      <c r="K625" s="27" t="s">
        <v>96</v>
      </c>
      <c r="L625" s="23" t="s">
        <v>1185</v>
      </c>
      <c r="M625" s="28" t="s">
        <v>181</v>
      </c>
      <c r="N625" s="23" t="s">
        <v>97</v>
      </c>
      <c r="O625" s="24">
        <f aca="1">DATEDIF(F625,TODAY(),"Y")</f>
        <v>1</v>
      </c>
      <c r="P625" s="24">
        <f aca="1">DATEDIF(F625,TODAY(),"YM")</f>
        <v>2</v>
      </c>
      <c r="Q625" s="24" t="str">
        <f aca="1">DATEDIF(F625,NOW(),"Y")&amp;" Tahun "&amp;DATEDIF(F625,NOW(),"YM")&amp;" Bulan "&amp;DATEDIF(F625,NOW(),"MD")&amp;" Hari "</f>
        <v>1 Tahun 2 Bulan 6 Hari </v>
      </c>
      <c r="R625" s="25"/>
      <c r="S625" s="36"/>
      <c r="U625" s="51" t="n">
        <v>1200000</v>
      </c>
      <c r="V625" s="56"/>
    </row>
    <row r="626" spans="1:22" s="12" customFormat="1">
      <c r="A626" s="21" t="n">
        <v>623</v>
      </c>
      <c r="B626" s="21" t="str">
        <f>E626</f>
        <v>3513122909940003</v>
      </c>
      <c r="C626" s="38">
        <f>F626</f>
        <v>45505</v>
      </c>
      <c r="D626" s="22" t="s">
        <v>1639</v>
      </c>
      <c r="E626" s="191" t="s">
        <v>1640</v>
      </c>
      <c r="F626" s="36" t="n">
        <v>45505</v>
      </c>
      <c r="G626" s="21" t="s">
        <v>33</v>
      </c>
      <c r="H626" s="24" t="s">
        <v>1389</v>
      </c>
      <c r="I626" s="159" t="s">
        <v>1127</v>
      </c>
      <c r="J626" s="23" t="s">
        <v>1184</v>
      </c>
      <c r="K626" s="27" t="s">
        <v>96</v>
      </c>
      <c r="L626" s="23" t="s">
        <v>1185</v>
      </c>
      <c r="M626" s="28" t="s">
        <v>181</v>
      </c>
      <c r="N626" s="23" t="s">
        <v>68</v>
      </c>
      <c r="O626" s="24">
        <f aca="1">DATEDIF(F626,TODAY(),"Y")</f>
        <v>1</v>
      </c>
      <c r="P626" s="24">
        <f aca="1">DATEDIF(F626,TODAY(),"YM")</f>
        <v>2</v>
      </c>
      <c r="Q626" s="24" t="str">
        <f aca="1">DATEDIF(F626,NOW(),"Y")&amp;" Tahun "&amp;DATEDIF(F626,NOW(),"YM")&amp;" Bulan "&amp;DATEDIF(F626,NOW(),"MD")&amp;" Hari "</f>
        <v>1 Tahun 2 Bulan 6 Hari </v>
      </c>
      <c r="R626" s="25"/>
      <c r="S626" s="36"/>
      <c r="U626" s="51" t="n">
        <v>1200000</v>
      </c>
      <c r="V626" s="56"/>
    </row>
    <row r="627" spans="1:22" s="12" customFormat="1">
      <c r="A627" s="21" t="n">
        <v>624</v>
      </c>
      <c r="B627" s="21" t="str">
        <f>E627</f>
        <v>3513164608970004</v>
      </c>
      <c r="C627" s="38">
        <f>F627</f>
        <v>45505</v>
      </c>
      <c r="D627" s="22" t="s">
        <v>1641</v>
      </c>
      <c r="E627" s="191" t="s">
        <v>1642</v>
      </c>
      <c r="F627" s="36" t="n">
        <v>45505</v>
      </c>
      <c r="G627" s="21" t="s">
        <v>33</v>
      </c>
      <c r="H627" s="24" t="s">
        <v>1389</v>
      </c>
      <c r="I627" s="159" t="s">
        <v>1127</v>
      </c>
      <c r="J627" s="23" t="s">
        <v>1184</v>
      </c>
      <c r="K627" s="27" t="s">
        <v>96</v>
      </c>
      <c r="L627" s="23" t="s">
        <v>1185</v>
      </c>
      <c r="M627" s="28" t="s">
        <v>181</v>
      </c>
      <c r="N627" s="23" t="s">
        <v>97</v>
      </c>
      <c r="O627" s="24">
        <f aca="1">DATEDIF(F627,TODAY(),"Y")</f>
        <v>1</v>
      </c>
      <c r="P627" s="24">
        <f aca="1">DATEDIF(F627,TODAY(),"YM")</f>
        <v>2</v>
      </c>
      <c r="Q627" s="24" t="str">
        <f aca="1">DATEDIF(F627,NOW(),"Y")&amp;" Tahun "&amp;DATEDIF(F627,NOW(),"YM")&amp;" Bulan "&amp;DATEDIF(F627,NOW(),"MD")&amp;" Hari "</f>
        <v>1 Tahun 2 Bulan 6 Hari </v>
      </c>
      <c r="R627" s="25"/>
      <c r="S627" s="36"/>
      <c r="U627" s="51" t="n">
        <v>1200000</v>
      </c>
      <c r="V627" s="56"/>
    </row>
    <row r="628" spans="1:22" s="12" customFormat="1">
      <c r="A628" s="21" t="n">
        <v>625</v>
      </c>
      <c r="B628" s="21" t="str">
        <f>E628</f>
        <v>3508055707890005</v>
      </c>
      <c r="C628" s="38">
        <f>F628</f>
        <v>45505</v>
      </c>
      <c r="D628" s="22" t="s">
        <v>1643</v>
      </c>
      <c r="E628" s="191" t="s">
        <v>1644</v>
      </c>
      <c r="F628" s="36" t="n">
        <v>45505</v>
      </c>
      <c r="G628" s="21" t="s">
        <v>24</v>
      </c>
      <c r="H628" s="24" t="s">
        <v>1389</v>
      </c>
      <c r="I628" s="159" t="s">
        <v>1127</v>
      </c>
      <c r="J628" s="23" t="s">
        <v>1184</v>
      </c>
      <c r="K628" s="27" t="s">
        <v>96</v>
      </c>
      <c r="L628" s="23" t="s">
        <v>1185</v>
      </c>
      <c r="M628" s="28" t="s">
        <v>181</v>
      </c>
      <c r="N628" s="23" t="s">
        <v>396</v>
      </c>
      <c r="O628" s="24">
        <f aca="1">DATEDIF(F628,TODAY(),"Y")</f>
        <v>1</v>
      </c>
      <c r="P628" s="24">
        <f aca="1">DATEDIF(F628,TODAY(),"YM")</f>
        <v>2</v>
      </c>
      <c r="Q628" s="24" t="str">
        <f aca="1">DATEDIF(F628,NOW(),"Y")&amp;" Tahun "&amp;DATEDIF(F628,NOW(),"YM")&amp;" Bulan "&amp;DATEDIF(F628,NOW(),"MD")&amp;" Hari "</f>
        <v>1 Tahun 2 Bulan 6 Hari </v>
      </c>
      <c r="R628" s="25"/>
      <c r="S628" s="36"/>
      <c r="U628" s="51" t="n">
        <v>1200000</v>
      </c>
      <c r="V628" s="56"/>
    </row>
    <row r="629" spans="1:22" s="12" customFormat="1">
      <c r="A629" s="21" t="n">
        <v>626</v>
      </c>
      <c r="B629" s="21" t="str">
        <f>E629</f>
        <v>3513166308980001</v>
      </c>
      <c r="C629" s="38">
        <f>F629</f>
        <v>45505</v>
      </c>
      <c r="D629" s="22" t="s">
        <v>1645</v>
      </c>
      <c r="E629" s="191" t="s">
        <v>1646</v>
      </c>
      <c r="F629" s="36" t="n">
        <v>45505</v>
      </c>
      <c r="G629" s="21" t="s">
        <v>24</v>
      </c>
      <c r="H629" s="24" t="s">
        <v>1389</v>
      </c>
      <c r="I629" s="159" t="s">
        <v>1127</v>
      </c>
      <c r="J629" s="23" t="s">
        <v>1184</v>
      </c>
      <c r="K629" s="27" t="s">
        <v>96</v>
      </c>
      <c r="L629" s="23" t="s">
        <v>1185</v>
      </c>
      <c r="M629" s="28" t="s">
        <v>181</v>
      </c>
      <c r="N629" s="23" t="s">
        <v>97</v>
      </c>
      <c r="O629" s="24">
        <f aca="1">DATEDIF(F629,TODAY(),"Y")</f>
        <v>1</v>
      </c>
      <c r="P629" s="24">
        <f aca="1">DATEDIF(F629,TODAY(),"YM")</f>
        <v>2</v>
      </c>
      <c r="Q629" s="24" t="str">
        <f aca="1">DATEDIF(F629,NOW(),"Y")&amp;" Tahun "&amp;DATEDIF(F629,NOW(),"YM")&amp;" Bulan "&amp;DATEDIF(F629,NOW(),"MD")&amp;" Hari "</f>
        <v>1 Tahun 2 Bulan 6 Hari </v>
      </c>
      <c r="R629" s="25"/>
      <c r="S629" s="36"/>
      <c r="U629" s="51" t="n">
        <v>1200000</v>
      </c>
      <c r="V629" s="56"/>
    </row>
    <row r="630" spans="1:22" s="12" customFormat="1">
      <c r="A630" s="21" t="n">
        <v>627</v>
      </c>
      <c r="B630" s="21" t="str">
        <f>E630</f>
        <v>3513145003930001</v>
      </c>
      <c r="C630" s="38">
        <f>F630</f>
        <v>45505</v>
      </c>
      <c r="D630" s="22" t="s">
        <v>1647</v>
      </c>
      <c r="E630" s="191" t="s">
        <v>1648</v>
      </c>
      <c r="F630" s="36" t="n">
        <v>45505</v>
      </c>
      <c r="G630" s="21" t="s">
        <v>24</v>
      </c>
      <c r="H630" s="24" t="s">
        <v>1389</v>
      </c>
      <c r="I630" s="159" t="s">
        <v>1127</v>
      </c>
      <c r="J630" s="23" t="s">
        <v>1184</v>
      </c>
      <c r="K630" s="27" t="s">
        <v>96</v>
      </c>
      <c r="L630" s="23" t="s">
        <v>1185</v>
      </c>
      <c r="M630" s="28" t="s">
        <v>181</v>
      </c>
      <c r="N630" s="23" t="s">
        <v>168</v>
      </c>
      <c r="O630" s="24">
        <f aca="1">DATEDIF(F630,TODAY(),"Y")</f>
        <v>1</v>
      </c>
      <c r="P630" s="24">
        <f aca="1">DATEDIF(F630,TODAY(),"YM")</f>
        <v>2</v>
      </c>
      <c r="Q630" s="24" t="str">
        <f aca="1">DATEDIF(F630,NOW(),"Y")&amp;" Tahun "&amp;DATEDIF(F630,NOW(),"YM")&amp;" Bulan "&amp;DATEDIF(F630,NOW(),"MD")&amp;" Hari "</f>
        <v>1 Tahun 2 Bulan 6 Hari </v>
      </c>
      <c r="R630" s="25"/>
      <c r="S630" s="36"/>
      <c r="U630" s="51" t="n">
        <v>1200000</v>
      </c>
      <c r="V630" s="56"/>
    </row>
    <row r="631" spans="1:22" s="12" customFormat="1">
      <c r="A631" s="21" t="n">
        <v>628</v>
      </c>
      <c r="B631" s="21" t="str">
        <f>E631</f>
        <v>3513144503980002</v>
      </c>
      <c r="C631" s="38">
        <f>F631</f>
        <v>45505</v>
      </c>
      <c r="D631" s="22" t="s">
        <v>1649</v>
      </c>
      <c r="E631" s="191" t="s">
        <v>1650</v>
      </c>
      <c r="F631" s="36" t="n">
        <v>45505</v>
      </c>
      <c r="G631" s="21" t="s">
        <v>24</v>
      </c>
      <c r="H631" s="24" t="s">
        <v>1389</v>
      </c>
      <c r="I631" s="159" t="s">
        <v>1127</v>
      </c>
      <c r="J631" s="23" t="s">
        <v>1184</v>
      </c>
      <c r="K631" s="27" t="s">
        <v>96</v>
      </c>
      <c r="L631" s="23" t="s">
        <v>1185</v>
      </c>
      <c r="M631" s="28" t="s">
        <v>181</v>
      </c>
      <c r="N631" s="29" t="s">
        <v>385</v>
      </c>
      <c r="O631" s="85">
        <f aca="1">DATEDIF(F631,TODAY(),"Y")</f>
        <v>1</v>
      </c>
      <c r="P631" s="24">
        <f aca="1">DATEDIF(F631,TODAY(),"YM")</f>
        <v>2</v>
      </c>
      <c r="Q631" s="24" t="str">
        <f aca="1">DATEDIF(F631,NOW(),"Y")&amp;" Tahun "&amp;DATEDIF(F631,NOW(),"YM")&amp;" Bulan "&amp;DATEDIF(F631,NOW(),"MD")&amp;" Hari "</f>
        <v>1 Tahun 2 Bulan 6 Hari </v>
      </c>
      <c r="R631" s="25"/>
      <c r="S631" s="36"/>
      <c r="U631" s="51" t="n">
        <v>1200000</v>
      </c>
      <c r="V631" s="56"/>
    </row>
    <row r="632" spans="1:22" s="12" customFormat="1">
      <c r="A632" s="21" t="n">
        <v>629</v>
      </c>
      <c r="B632" s="21" t="str">
        <f>E632</f>
        <v>3513054205020002</v>
      </c>
      <c r="C632" s="38">
        <f>F632</f>
        <v>45505</v>
      </c>
      <c r="D632" s="22" t="s">
        <v>1651</v>
      </c>
      <c r="E632" s="191" t="s">
        <v>1652</v>
      </c>
      <c r="F632" s="36" t="n">
        <v>45505</v>
      </c>
      <c r="G632" s="21" t="s">
        <v>24</v>
      </c>
      <c r="H632" s="24" t="s">
        <v>1389</v>
      </c>
      <c r="I632" s="159" t="s">
        <v>1127</v>
      </c>
      <c r="J632" s="23" t="s">
        <v>1184</v>
      </c>
      <c r="K632" s="27" t="s">
        <v>96</v>
      </c>
      <c r="L632" s="23" t="s">
        <v>1185</v>
      </c>
      <c r="M632" s="28" t="s">
        <v>181</v>
      </c>
      <c r="N632" s="23" t="s">
        <v>235</v>
      </c>
      <c r="O632" s="24">
        <f aca="1">DATEDIF(F632,TODAY(),"Y")</f>
        <v>1</v>
      </c>
      <c r="P632" s="24">
        <f aca="1">DATEDIF(F632,TODAY(),"YM")</f>
        <v>2</v>
      </c>
      <c r="Q632" s="24" t="str">
        <f aca="1">DATEDIF(F632,NOW(),"Y")&amp;" Tahun "&amp;DATEDIF(F632,NOW(),"YM")&amp;" Bulan "&amp;DATEDIF(F632,NOW(),"MD")&amp;" Hari "</f>
        <v>1 Tahun 2 Bulan 6 Hari </v>
      </c>
      <c r="R632" s="25"/>
      <c r="S632" s="36"/>
      <c r="U632" s="51" t="n">
        <v>1200000</v>
      </c>
      <c r="V632" s="56"/>
    </row>
    <row r="633" spans="1:22" s="12" customFormat="1">
      <c r="A633" s="21" t="n">
        <v>630</v>
      </c>
      <c r="B633" s="21" t="str">
        <f>E633</f>
        <v>3513084205980002</v>
      </c>
      <c r="C633" s="38">
        <f>F633</f>
        <v>45505</v>
      </c>
      <c r="D633" s="22" t="s">
        <v>1653</v>
      </c>
      <c r="E633" s="191" t="s">
        <v>1654</v>
      </c>
      <c r="F633" s="36" t="n">
        <v>45505</v>
      </c>
      <c r="G633" s="21" t="s">
        <v>24</v>
      </c>
      <c r="H633" s="24" t="s">
        <v>1389</v>
      </c>
      <c r="I633" s="159" t="s">
        <v>1127</v>
      </c>
      <c r="J633" s="23" t="s">
        <v>1184</v>
      </c>
      <c r="K633" s="27" t="s">
        <v>96</v>
      </c>
      <c r="L633" s="23" t="s">
        <v>1185</v>
      </c>
      <c r="M633" s="28" t="s">
        <v>181</v>
      </c>
      <c r="N633" s="23" t="s">
        <v>235</v>
      </c>
      <c r="O633" s="24">
        <f aca="1">DATEDIF(F633,TODAY(),"Y")</f>
        <v>1</v>
      </c>
      <c r="P633" s="24">
        <f aca="1">DATEDIF(F633,TODAY(),"YM")</f>
        <v>2</v>
      </c>
      <c r="Q633" s="24" t="str">
        <f aca="1">DATEDIF(F633,NOW(),"Y")&amp;" Tahun "&amp;DATEDIF(F633,NOW(),"YM")&amp;" Bulan "&amp;DATEDIF(F633,NOW(),"MD")&amp;" Hari "</f>
        <v>1 Tahun 2 Bulan 6 Hari </v>
      </c>
      <c r="R633" s="25"/>
      <c r="S633" s="36"/>
      <c r="U633" s="51" t="n">
        <v>1200000</v>
      </c>
      <c r="V633" s="56"/>
    </row>
    <row r="634" spans="1:22" s="12" customFormat="1">
      <c r="A634" s="21" t="n">
        <v>631</v>
      </c>
      <c r="B634" s="21" t="str">
        <f>E634</f>
        <v>3513072608980002</v>
      </c>
      <c r="C634" s="38">
        <f>F634</f>
        <v>45505</v>
      </c>
      <c r="D634" s="22" t="s">
        <v>1655</v>
      </c>
      <c r="E634" s="191" t="s">
        <v>1656</v>
      </c>
      <c r="F634" s="36" t="n">
        <v>45505</v>
      </c>
      <c r="G634" s="21" t="s">
        <v>33</v>
      </c>
      <c r="H634" s="24" t="s">
        <v>1389</v>
      </c>
      <c r="I634" s="159" t="s">
        <v>1127</v>
      </c>
      <c r="J634" s="23" t="s">
        <v>1184</v>
      </c>
      <c r="K634" s="27" t="s">
        <v>96</v>
      </c>
      <c r="L634" s="23" t="s">
        <v>1185</v>
      </c>
      <c r="M634" s="28" t="s">
        <v>181</v>
      </c>
      <c r="N634" s="23" t="s">
        <v>382</v>
      </c>
      <c r="O634" s="24">
        <f aca="1">DATEDIF(F634,TODAY(),"Y")</f>
        <v>1</v>
      </c>
      <c r="P634" s="24">
        <f aca="1">DATEDIF(F634,TODAY(),"YM")</f>
        <v>2</v>
      </c>
      <c r="Q634" s="24" t="str">
        <f aca="1">DATEDIF(F634,NOW(),"Y")&amp;" Tahun "&amp;DATEDIF(F634,NOW(),"YM")&amp;" Bulan "&amp;DATEDIF(F634,NOW(),"MD")&amp;" Hari "</f>
        <v>1 Tahun 2 Bulan 6 Hari </v>
      </c>
      <c r="R634" s="25"/>
      <c r="S634" s="36"/>
      <c r="U634" s="51" t="n">
        <v>1200000</v>
      </c>
      <c r="V634" s="56"/>
    </row>
    <row r="635" spans="1:22" s="12" customFormat="1">
      <c r="A635" s="21" t="n">
        <v>632</v>
      </c>
      <c r="B635" s="21" t="str">
        <f>E635</f>
        <v>3513114206960001</v>
      </c>
      <c r="C635" s="38">
        <f>F635</f>
        <v>45505</v>
      </c>
      <c r="D635" s="22" t="s">
        <v>1657</v>
      </c>
      <c r="E635" s="191" t="s">
        <v>1658</v>
      </c>
      <c r="F635" s="36" t="n">
        <v>45505</v>
      </c>
      <c r="G635" s="21" t="s">
        <v>24</v>
      </c>
      <c r="H635" s="24" t="s">
        <v>1389</v>
      </c>
      <c r="I635" s="159" t="s">
        <v>1127</v>
      </c>
      <c r="J635" s="23" t="s">
        <v>1184</v>
      </c>
      <c r="K635" s="27" t="s">
        <v>96</v>
      </c>
      <c r="L635" s="23" t="s">
        <v>1185</v>
      </c>
      <c r="M635" s="28" t="s">
        <v>181</v>
      </c>
      <c r="N635" s="23" t="s">
        <v>162</v>
      </c>
      <c r="O635" s="24">
        <f aca="1">DATEDIF(F635,TODAY(),"Y")</f>
        <v>1</v>
      </c>
      <c r="P635" s="24">
        <f aca="1">DATEDIF(F635,TODAY(),"YM")</f>
        <v>2</v>
      </c>
      <c r="Q635" s="24" t="str">
        <f aca="1">DATEDIF(F635,NOW(),"Y")&amp;" Tahun "&amp;DATEDIF(F635,NOW(),"YM")&amp;" Bulan "&amp;DATEDIF(F635,NOW(),"MD")&amp;" Hari "</f>
        <v>1 Tahun 2 Bulan 6 Hari </v>
      </c>
      <c r="R635" s="25"/>
      <c r="S635" s="36"/>
      <c r="U635" s="51" t="n">
        <v>1200000</v>
      </c>
      <c r="V635" s="56"/>
    </row>
    <row r="636" spans="1:22" s="12" customFormat="1">
      <c r="A636" s="21" t="n">
        <v>633</v>
      </c>
      <c r="B636" s="21" t="str">
        <f>E636</f>
        <v>3513186505020004</v>
      </c>
      <c r="C636" s="38">
        <f>F636</f>
        <v>45505</v>
      </c>
      <c r="D636" s="22" t="s">
        <v>1659</v>
      </c>
      <c r="E636" s="191" t="s">
        <v>1660</v>
      </c>
      <c r="F636" s="36" t="n">
        <v>45505</v>
      </c>
      <c r="G636" s="21" t="s">
        <v>24</v>
      </c>
      <c r="H636" s="24" t="s">
        <v>1389</v>
      </c>
      <c r="I636" s="159" t="s">
        <v>1127</v>
      </c>
      <c r="J636" s="23" t="s">
        <v>1184</v>
      </c>
      <c r="K636" s="27" t="s">
        <v>96</v>
      </c>
      <c r="L636" s="23" t="s">
        <v>1185</v>
      </c>
      <c r="M636" s="28" t="s">
        <v>181</v>
      </c>
      <c r="N636" s="30" t="s">
        <v>197</v>
      </c>
      <c r="O636" s="24">
        <f aca="1">DATEDIF(F636,TODAY(),"Y")</f>
        <v>1</v>
      </c>
      <c r="P636" s="24">
        <f aca="1">DATEDIF(F636,TODAY(),"YM")</f>
        <v>2</v>
      </c>
      <c r="Q636" s="24" t="str">
        <f aca="1">DATEDIF(F636,NOW(),"Y")&amp;" Tahun "&amp;DATEDIF(F636,NOW(),"YM")&amp;" Bulan "&amp;DATEDIF(F636,NOW(),"MD")&amp;" Hari "</f>
        <v>1 Tahun 2 Bulan 6 Hari </v>
      </c>
      <c r="R636" s="25"/>
      <c r="S636" s="36"/>
      <c r="U636" s="51" t="n">
        <v>1200000</v>
      </c>
      <c r="V636" s="56"/>
    </row>
    <row r="637" spans="1:22" s="12" customFormat="1">
      <c r="A637" s="21" t="n">
        <v>634</v>
      </c>
      <c r="B637" s="21" t="str">
        <f>E637</f>
        <v>3513112406020001</v>
      </c>
      <c r="C637" s="38">
        <f>F637</f>
        <v>45505</v>
      </c>
      <c r="D637" s="22" t="s">
        <v>1661</v>
      </c>
      <c r="E637" s="200" t="s">
        <v>1662</v>
      </c>
      <c r="F637" s="36" t="n">
        <v>45505</v>
      </c>
      <c r="G637" s="21" t="s">
        <v>33</v>
      </c>
      <c r="H637" s="24" t="s">
        <v>1389</v>
      </c>
      <c r="I637" s="159" t="s">
        <v>1127</v>
      </c>
      <c r="J637" s="23" t="s">
        <v>1184</v>
      </c>
      <c r="K637" s="27" t="s">
        <v>96</v>
      </c>
      <c r="L637" s="23" t="s">
        <v>1185</v>
      </c>
      <c r="M637" s="28" t="s">
        <v>181</v>
      </c>
      <c r="N637" s="23" t="s">
        <v>235</v>
      </c>
      <c r="O637" s="24">
        <f aca="1">DATEDIF(F637,TODAY(),"Y")</f>
        <v>1</v>
      </c>
      <c r="P637" s="24">
        <f aca="1">DATEDIF(F637,TODAY(),"YM")</f>
        <v>2</v>
      </c>
      <c r="Q637" s="24" t="str">
        <f aca="1">DATEDIF(F637,NOW(),"Y")&amp;" Tahun "&amp;DATEDIF(F637,NOW(),"YM")&amp;" Bulan "&amp;DATEDIF(F637,NOW(),"MD")&amp;" Hari "</f>
        <v>1 Tahun 2 Bulan 6 Hari </v>
      </c>
      <c r="R637" s="25"/>
      <c r="S637" s="36"/>
      <c r="U637" s="51" t="n">
        <v>1200000</v>
      </c>
      <c r="V637" s="56"/>
    </row>
    <row r="638" spans="1:22" s="12" customFormat="1">
      <c r="A638" s="21" t="n">
        <v>635</v>
      </c>
      <c r="B638" s="21" t="str">
        <f>E638</f>
        <v>3513136707990003</v>
      </c>
      <c r="C638" s="38">
        <f>F638</f>
        <v>45505</v>
      </c>
      <c r="D638" s="22" t="s">
        <v>1663</v>
      </c>
      <c r="E638" s="191" t="s">
        <v>1664</v>
      </c>
      <c r="F638" s="36" t="n">
        <v>45505</v>
      </c>
      <c r="G638" s="21" t="s">
        <v>24</v>
      </c>
      <c r="H638" s="24" t="s">
        <v>1389</v>
      </c>
      <c r="I638" s="159" t="s">
        <v>1127</v>
      </c>
      <c r="J638" s="23" t="s">
        <v>1184</v>
      </c>
      <c r="K638" s="27" t="s">
        <v>96</v>
      </c>
      <c r="L638" s="23" t="s">
        <v>1185</v>
      </c>
      <c r="M638" s="28" t="s">
        <v>181</v>
      </c>
      <c r="N638" s="23" t="s">
        <v>278</v>
      </c>
      <c r="O638" s="24">
        <f aca="1">DATEDIF(F638,TODAY(),"Y")</f>
        <v>1</v>
      </c>
      <c r="P638" s="24">
        <f aca="1">DATEDIF(F638,TODAY(),"YM")</f>
        <v>2</v>
      </c>
      <c r="Q638" s="24" t="str">
        <f aca="1">DATEDIF(F638,NOW(),"Y")&amp;" Tahun "&amp;DATEDIF(F638,NOW(),"YM")&amp;" Bulan "&amp;DATEDIF(F638,NOW(),"MD")&amp;" Hari "</f>
        <v>1 Tahun 2 Bulan 6 Hari </v>
      </c>
      <c r="R638" s="25"/>
      <c r="S638" s="36"/>
      <c r="U638" s="51" t="n">
        <v>1200000</v>
      </c>
      <c r="V638" s="56"/>
    </row>
    <row r="639" spans="1:22" s="12" customFormat="1">
      <c r="A639" s="21" t="n">
        <v>636</v>
      </c>
      <c r="B639" s="21" t="str">
        <f>E639</f>
        <v>3513134404020003</v>
      </c>
      <c r="C639" s="38">
        <f>F639</f>
        <v>45505</v>
      </c>
      <c r="D639" s="22" t="s">
        <v>1665</v>
      </c>
      <c r="E639" s="191" t="s">
        <v>1666</v>
      </c>
      <c r="F639" s="36" t="n">
        <v>45505</v>
      </c>
      <c r="G639" s="21" t="s">
        <v>24</v>
      </c>
      <c r="H639" s="24" t="s">
        <v>1389</v>
      </c>
      <c r="I639" s="159" t="s">
        <v>1127</v>
      </c>
      <c r="J639" s="23" t="s">
        <v>1184</v>
      </c>
      <c r="K639" s="27" t="s">
        <v>96</v>
      </c>
      <c r="L639" s="23" t="s">
        <v>1185</v>
      </c>
      <c r="M639" s="28" t="s">
        <v>181</v>
      </c>
      <c r="N639" s="23" t="s">
        <v>461</v>
      </c>
      <c r="O639" s="24">
        <f aca="1">DATEDIF(F639,TODAY(),"Y")</f>
        <v>1</v>
      </c>
      <c r="P639" s="24">
        <f aca="1">DATEDIF(F639,TODAY(),"YM")</f>
        <v>2</v>
      </c>
      <c r="Q639" s="24" t="str">
        <f aca="1">DATEDIF(F639,NOW(),"Y")&amp;" Tahun "&amp;DATEDIF(F639,NOW(),"YM")&amp;" Bulan "&amp;DATEDIF(F639,NOW(),"MD")&amp;" Hari "</f>
        <v>1 Tahun 2 Bulan 6 Hari </v>
      </c>
      <c r="R639" s="25"/>
      <c r="S639" s="36"/>
      <c r="U639" s="51" t="n">
        <v>1200000</v>
      </c>
      <c r="V639" s="56"/>
    </row>
    <row r="640" spans="1:22" s="12" customFormat="1">
      <c r="A640" s="21" t="n">
        <v>637</v>
      </c>
      <c r="B640" s="21" t="str">
        <f>E640</f>
        <v>1505056012989001</v>
      </c>
      <c r="C640" s="38">
        <f>F640</f>
        <v>45505</v>
      </c>
      <c r="D640" s="22" t="s">
        <v>1667</v>
      </c>
      <c r="E640" s="191" t="s">
        <v>1668</v>
      </c>
      <c r="F640" s="36" t="n">
        <v>45505</v>
      </c>
      <c r="G640" s="21" t="s">
        <v>24</v>
      </c>
      <c r="H640" s="24" t="s">
        <v>1389</v>
      </c>
      <c r="I640" s="159" t="s">
        <v>1127</v>
      </c>
      <c r="J640" s="23" t="s">
        <v>1184</v>
      </c>
      <c r="K640" s="27" t="s">
        <v>96</v>
      </c>
      <c r="L640" s="23" t="s">
        <v>1185</v>
      </c>
      <c r="M640" s="28" t="s">
        <v>181</v>
      </c>
      <c r="N640" s="23" t="s">
        <v>222</v>
      </c>
      <c r="O640" s="24">
        <f aca="1">DATEDIF(F640,TODAY(),"Y")</f>
        <v>1</v>
      </c>
      <c r="P640" s="24">
        <f aca="1">DATEDIF(F640,TODAY(),"YM")</f>
        <v>2</v>
      </c>
      <c r="Q640" s="24" t="str">
        <f aca="1">DATEDIF(F640,NOW(),"Y")&amp;" Tahun "&amp;DATEDIF(F640,NOW(),"YM")&amp;" Bulan "&amp;DATEDIF(F640,NOW(),"MD")&amp;" Hari "</f>
        <v>1 Tahun 2 Bulan 6 Hari </v>
      </c>
      <c r="R640" s="25"/>
      <c r="S640" s="36"/>
      <c r="U640" s="51" t="n">
        <v>1200000</v>
      </c>
      <c r="V640" s="56"/>
    </row>
    <row r="641" spans="1:22" s="12" customFormat="1">
      <c r="A641" s="21" t="n">
        <v>638</v>
      </c>
      <c r="B641" s="21" t="str">
        <f>E641</f>
        <v>3513235405000002</v>
      </c>
      <c r="C641" s="38">
        <f>F641</f>
        <v>45505</v>
      </c>
      <c r="D641" s="22" t="s">
        <v>1669</v>
      </c>
      <c r="E641" s="191" t="s">
        <v>1670</v>
      </c>
      <c r="F641" s="36" t="n">
        <v>45505</v>
      </c>
      <c r="G641" s="21" t="s">
        <v>24</v>
      </c>
      <c r="H641" s="24" t="s">
        <v>1389</v>
      </c>
      <c r="I641" s="159" t="s">
        <v>1127</v>
      </c>
      <c r="J641" s="23" t="s">
        <v>1184</v>
      </c>
      <c r="K641" s="27" t="s">
        <v>96</v>
      </c>
      <c r="L641" s="23" t="s">
        <v>1185</v>
      </c>
      <c r="M641" s="28" t="s">
        <v>181</v>
      </c>
      <c r="N641" s="30" t="s">
        <v>197</v>
      </c>
      <c r="O641" s="24">
        <f aca="1">DATEDIF(F641,TODAY(),"Y")</f>
        <v>1</v>
      </c>
      <c r="P641" s="24">
        <f aca="1">DATEDIF(F641,TODAY(),"YM")</f>
        <v>2</v>
      </c>
      <c r="Q641" s="24" t="str">
        <f aca="1">DATEDIF(F641,NOW(),"Y")&amp;" Tahun "&amp;DATEDIF(F641,NOW(),"YM")&amp;" Bulan "&amp;DATEDIF(F641,NOW(),"MD")&amp;" Hari "</f>
        <v>1 Tahun 2 Bulan 6 Hari </v>
      </c>
      <c r="R641" s="25"/>
      <c r="S641" s="36"/>
      <c r="U641" s="51" t="n">
        <v>1200000</v>
      </c>
      <c r="V641" s="56"/>
    </row>
    <row r="642" spans="1:22" s="12" customFormat="1">
      <c r="A642" s="21" t="n">
        <v>639</v>
      </c>
      <c r="B642" s="21" t="str">
        <f>E642</f>
        <v>3513142808930001</v>
      </c>
      <c r="C642" s="38">
        <f>F642</f>
        <v>45505</v>
      </c>
      <c r="D642" s="22" t="s">
        <v>1671</v>
      </c>
      <c r="E642" s="191" t="s">
        <v>1672</v>
      </c>
      <c r="F642" s="36" t="n">
        <v>45505</v>
      </c>
      <c r="G642" s="21" t="s">
        <v>33</v>
      </c>
      <c r="H642" s="24" t="s">
        <v>1389</v>
      </c>
      <c r="I642" s="159" t="s">
        <v>1127</v>
      </c>
      <c r="J642" s="23" t="s">
        <v>1184</v>
      </c>
      <c r="K642" s="27" t="s">
        <v>96</v>
      </c>
      <c r="L642" s="23" t="s">
        <v>1185</v>
      </c>
      <c r="M642" s="28" t="s">
        <v>181</v>
      </c>
      <c r="N642" s="23" t="s">
        <v>68</v>
      </c>
      <c r="O642" s="24">
        <f aca="1">DATEDIF(F642,TODAY(),"Y")</f>
        <v>1</v>
      </c>
      <c r="P642" s="24">
        <f aca="1">DATEDIF(F642,TODAY(),"YM")</f>
        <v>2</v>
      </c>
      <c r="Q642" s="24" t="str">
        <f aca="1">DATEDIF(F642,NOW(),"Y")&amp;" Tahun "&amp;DATEDIF(F642,NOW(),"YM")&amp;" Bulan "&amp;DATEDIF(F642,NOW(),"MD")&amp;" Hari "</f>
        <v>1 Tahun 2 Bulan 6 Hari </v>
      </c>
      <c r="R642" s="25"/>
      <c r="S642" s="36"/>
      <c r="U642" s="51" t="n">
        <v>1200000</v>
      </c>
      <c r="V642" s="56"/>
    </row>
    <row r="643" spans="1:22" s="12" customFormat="1">
      <c r="A643" s="21" t="n">
        <v>640</v>
      </c>
      <c r="B643" s="21">
        <f>E643</f>
        <v>0</v>
      </c>
      <c r="C643" s="38">
        <f>F643</f>
        <v>45505</v>
      </c>
      <c r="D643" s="22" t="s">
        <v>1673</v>
      </c>
      <c r="E643" s="22"/>
      <c r="F643" s="36" t="n">
        <v>45505</v>
      </c>
      <c r="G643" s="21" t="s">
        <v>24</v>
      </c>
      <c r="H643" s="24" t="s">
        <v>1389</v>
      </c>
      <c r="I643" s="159" t="s">
        <v>1127</v>
      </c>
      <c r="J643" s="23" t="s">
        <v>1184</v>
      </c>
      <c r="K643" s="27" t="s">
        <v>96</v>
      </c>
      <c r="L643" s="23" t="s">
        <v>1185</v>
      </c>
      <c r="M643" s="28" t="s">
        <v>181</v>
      </c>
      <c r="N643" s="23" t="s">
        <v>235</v>
      </c>
      <c r="O643" s="24">
        <f aca="1">DATEDIF(F643,TODAY(),"Y")</f>
        <v>1</v>
      </c>
      <c r="P643" s="24">
        <f aca="1">DATEDIF(F643,TODAY(),"YM")</f>
        <v>2</v>
      </c>
      <c r="Q643" s="24" t="str">
        <f aca="1">DATEDIF(F643,NOW(),"Y")&amp;" Tahun "&amp;DATEDIF(F643,NOW(),"YM")&amp;" Bulan "&amp;DATEDIF(F643,NOW(),"MD")&amp;" Hari "</f>
        <v>1 Tahun 2 Bulan 6 Hari </v>
      </c>
      <c r="R643" s="25"/>
      <c r="S643" s="36"/>
      <c r="U643" s="51" t="n">
        <v>1200000</v>
      </c>
      <c r="V643" s="56"/>
    </row>
    <row r="644" spans="1:22" s="12" customFormat="1">
      <c r="A644" s="21" t="n">
        <v>641</v>
      </c>
      <c r="B644" s="21">
        <f>E644</f>
        <v>0</v>
      </c>
      <c r="C644" s="38">
        <f>F644</f>
        <v>45505</v>
      </c>
      <c r="D644" s="22" t="s">
        <v>1674</v>
      </c>
      <c r="E644" s="22"/>
      <c r="F644" s="36" t="n">
        <v>45505</v>
      </c>
      <c r="G644" s="21" t="s">
        <v>24</v>
      </c>
      <c r="H644" s="24" t="s">
        <v>1389</v>
      </c>
      <c r="I644" s="159" t="s">
        <v>1127</v>
      </c>
      <c r="J644" s="23" t="s">
        <v>1184</v>
      </c>
      <c r="K644" s="27" t="s">
        <v>96</v>
      </c>
      <c r="L644" s="23" t="s">
        <v>1185</v>
      </c>
      <c r="M644" s="28" t="s">
        <v>181</v>
      </c>
      <c r="N644" s="23" t="s">
        <v>331</v>
      </c>
      <c r="O644" s="24">
        <f aca="1">DATEDIF(F644,TODAY(),"Y")</f>
        <v>1</v>
      </c>
      <c r="P644" s="24">
        <f aca="1">DATEDIF(F644,TODAY(),"YM")</f>
        <v>2</v>
      </c>
      <c r="Q644" s="24" t="str">
        <f aca="1">DATEDIF(F644,NOW(),"Y")&amp;" Tahun "&amp;DATEDIF(F644,NOW(),"YM")&amp;" Bulan "&amp;DATEDIF(F644,NOW(),"MD")&amp;" Hari "</f>
        <v>1 Tahun 2 Bulan 6 Hari </v>
      </c>
      <c r="R644" s="25"/>
      <c r="S644" s="36"/>
      <c r="U644" s="51" t="n">
        <v>1200000</v>
      </c>
      <c r="V644" s="56"/>
    </row>
    <row r="645" spans="1:22" s="12" customFormat="1">
      <c r="A645" s="21" t="n">
        <v>642</v>
      </c>
      <c r="B645" s="21" t="str">
        <f>E645</f>
        <v>3513075405970001</v>
      </c>
      <c r="C645" s="38">
        <f>F645</f>
        <v>45505</v>
      </c>
      <c r="D645" s="22" t="s">
        <v>1675</v>
      </c>
      <c r="E645" s="191" t="s">
        <v>1676</v>
      </c>
      <c r="F645" s="36" t="n">
        <v>45505</v>
      </c>
      <c r="G645" s="21" t="s">
        <v>24</v>
      </c>
      <c r="H645" s="24" t="s">
        <v>1389</v>
      </c>
      <c r="I645" s="159" t="s">
        <v>1127</v>
      </c>
      <c r="J645" s="23" t="s">
        <v>1184</v>
      </c>
      <c r="K645" s="27" t="s">
        <v>96</v>
      </c>
      <c r="L645" s="23" t="s">
        <v>1185</v>
      </c>
      <c r="M645" s="28" t="s">
        <v>181</v>
      </c>
      <c r="N645" s="23" t="s">
        <v>331</v>
      </c>
      <c r="O645" s="24">
        <f aca="1">DATEDIF(F645,TODAY(),"Y")</f>
        <v>1</v>
      </c>
      <c r="P645" s="24">
        <f aca="1">DATEDIF(F645,TODAY(),"YM")</f>
        <v>2</v>
      </c>
      <c r="Q645" s="24" t="str">
        <f aca="1">DATEDIF(F645,NOW(),"Y")&amp;" Tahun "&amp;DATEDIF(F645,NOW(),"YM")&amp;" Bulan "&amp;DATEDIF(F645,NOW(),"MD")&amp;" Hari "</f>
        <v>1 Tahun 2 Bulan 6 Hari </v>
      </c>
      <c r="R645" s="25"/>
      <c r="S645" s="36"/>
      <c r="U645" s="51" t="n">
        <v>1200000</v>
      </c>
      <c r="V645" s="56"/>
    </row>
    <row r="646" spans="1:22" s="12" customFormat="1">
      <c r="A646" s="21" t="n">
        <v>643</v>
      </c>
      <c r="B646" s="21" t="str">
        <f>E646</f>
        <v>3513141406000002</v>
      </c>
      <c r="C646" s="38">
        <f>F646</f>
        <v>45505</v>
      </c>
      <c r="D646" s="22" t="s">
        <v>1677</v>
      </c>
      <c r="E646" s="191" t="s">
        <v>1678</v>
      </c>
      <c r="F646" s="36" t="n">
        <v>45505</v>
      </c>
      <c r="G646" s="21" t="s">
        <v>33</v>
      </c>
      <c r="H646" s="24" t="s">
        <v>1389</v>
      </c>
      <c r="I646" s="159" t="s">
        <v>1127</v>
      </c>
      <c r="J646" s="23" t="s">
        <v>1184</v>
      </c>
      <c r="K646" s="27" t="s">
        <v>96</v>
      </c>
      <c r="L646" s="23" t="s">
        <v>1185</v>
      </c>
      <c r="M646" s="28" t="s">
        <v>181</v>
      </c>
      <c r="N646" s="23" t="s">
        <v>278</v>
      </c>
      <c r="O646" s="24">
        <f aca="1">DATEDIF(F646,TODAY(),"Y")</f>
        <v>1</v>
      </c>
      <c r="P646" s="24">
        <f aca="1">DATEDIF(F646,TODAY(),"YM")</f>
        <v>2</v>
      </c>
      <c r="Q646" s="24" t="str">
        <f aca="1">DATEDIF(F646,NOW(),"Y")&amp;" Tahun "&amp;DATEDIF(F646,NOW(),"YM")&amp;" Bulan "&amp;DATEDIF(F646,NOW(),"MD")&amp;" Hari "</f>
        <v>1 Tahun 2 Bulan 6 Hari </v>
      </c>
      <c r="R646" s="25"/>
      <c r="S646" s="36"/>
      <c r="U646" s="51" t="n">
        <v>1200000</v>
      </c>
      <c r="V646" s="56"/>
    </row>
    <row r="647" spans="1:22" s="12" customFormat="1">
      <c r="A647" s="21" t="n">
        <v>644</v>
      </c>
      <c r="B647" s="21" t="str">
        <f>E647</f>
        <v>3513101211990002</v>
      </c>
      <c r="C647" s="38">
        <f>F647</f>
        <v>45505</v>
      </c>
      <c r="D647" s="22" t="s">
        <v>1679</v>
      </c>
      <c r="E647" s="191" t="s">
        <v>1680</v>
      </c>
      <c r="F647" s="36" t="n">
        <v>45505</v>
      </c>
      <c r="G647" s="21" t="s">
        <v>33</v>
      </c>
      <c r="H647" s="24" t="s">
        <v>1389</v>
      </c>
      <c r="I647" s="159" t="s">
        <v>1127</v>
      </c>
      <c r="J647" s="40" t="s">
        <v>1004</v>
      </c>
      <c r="K647" s="22" t="s">
        <v>132</v>
      </c>
      <c r="L647" s="40" t="s">
        <v>1004</v>
      </c>
      <c r="M647" s="25" t="s">
        <v>1681</v>
      </c>
      <c r="N647" s="23" t="s">
        <v>173</v>
      </c>
      <c r="O647" s="24">
        <f aca="1">DATEDIF(F647,TODAY(),"Y")</f>
        <v>1</v>
      </c>
      <c r="P647" s="24">
        <f aca="1">DATEDIF(F647,TODAY(),"YM")</f>
        <v>2</v>
      </c>
      <c r="Q647" s="24" t="str">
        <f aca="1">DATEDIF(F647,NOW(),"Y")&amp;" Tahun "&amp;DATEDIF(F647,NOW(),"YM")&amp;" Bulan "&amp;DATEDIF(F647,NOW(),"MD")&amp;" Hari "</f>
        <v>1 Tahun 2 Bulan 6 Hari </v>
      </c>
      <c r="R647" s="25"/>
      <c r="S647" s="36"/>
      <c r="U647" s="51" t="n">
        <v>1200000</v>
      </c>
      <c r="V647" s="56"/>
    </row>
    <row r="648" spans="1:22" s="12" customFormat="1">
      <c r="A648" s="21" t="n">
        <v>645</v>
      </c>
      <c r="B648" s="21" t="str">
        <f>E648</f>
        <v>3513056803020003</v>
      </c>
      <c r="C648" s="38">
        <f>F648</f>
        <v>45505</v>
      </c>
      <c r="D648" s="22" t="s">
        <v>1682</v>
      </c>
      <c r="E648" s="191" t="s">
        <v>1683</v>
      </c>
      <c r="F648" s="36" t="n">
        <v>45505</v>
      </c>
      <c r="G648" s="21" t="s">
        <v>33</v>
      </c>
      <c r="H648" s="24" t="s">
        <v>1389</v>
      </c>
      <c r="I648" s="159" t="s">
        <v>1127</v>
      </c>
      <c r="J648" s="40" t="s">
        <v>1004</v>
      </c>
      <c r="K648" s="22" t="s">
        <v>132</v>
      </c>
      <c r="L648" s="40" t="s">
        <v>1004</v>
      </c>
      <c r="M648" s="25" t="s">
        <v>1684</v>
      </c>
      <c r="N648" s="23" t="s">
        <v>173</v>
      </c>
      <c r="O648" s="24">
        <f aca="1">DATEDIF(F648,TODAY(),"Y")</f>
        <v>1</v>
      </c>
      <c r="P648" s="24">
        <f aca="1">DATEDIF(F648,TODAY(),"YM")</f>
        <v>2</v>
      </c>
      <c r="Q648" s="24" t="str">
        <f aca="1">DATEDIF(F648,NOW(),"Y")&amp;" Tahun "&amp;DATEDIF(F648,NOW(),"YM")&amp;" Bulan "&amp;DATEDIF(F648,NOW(),"MD")&amp;" Hari "</f>
        <v>1 Tahun 2 Bulan 6 Hari </v>
      </c>
      <c r="R648" s="25"/>
      <c r="S648" s="36"/>
      <c r="U648" s="51" t="n">
        <v>1200000</v>
      </c>
      <c r="V648" s="56"/>
    </row>
    <row r="649" spans="1:22" s="12" customFormat="1">
      <c r="A649" s="21" t="n">
        <v>646</v>
      </c>
      <c r="B649" s="21" t="str">
        <f>E649</f>
        <v>3513145004000003</v>
      </c>
      <c r="C649" s="38">
        <f>F649</f>
        <v>45505</v>
      </c>
      <c r="D649" s="22" t="s">
        <v>1685</v>
      </c>
      <c r="E649" s="191" t="s">
        <v>1686</v>
      </c>
      <c r="F649" s="36" t="n">
        <v>45505</v>
      </c>
      <c r="G649" s="21" t="s">
        <v>24</v>
      </c>
      <c r="H649" s="24" t="s">
        <v>1389</v>
      </c>
      <c r="I649" s="159" t="s">
        <v>1127</v>
      </c>
      <c r="J649" s="25" t="s">
        <v>1578</v>
      </c>
      <c r="K649" s="22" t="s">
        <v>91</v>
      </c>
      <c r="L649" s="25" t="s">
        <v>1578</v>
      </c>
      <c r="M649" s="25" t="s">
        <v>1687</v>
      </c>
      <c r="N649" s="23" t="s">
        <v>92</v>
      </c>
      <c r="O649" s="24">
        <f aca="1">DATEDIF(F649,TODAY(),"Y")</f>
        <v>1</v>
      </c>
      <c r="P649" s="24">
        <f aca="1">DATEDIF(F649,TODAY(),"YM")</f>
        <v>2</v>
      </c>
      <c r="Q649" s="24" t="str">
        <f aca="1">DATEDIF(F649,NOW(),"Y")&amp;" Tahun "&amp;DATEDIF(F649,NOW(),"YM")&amp;" Bulan "&amp;DATEDIF(F649,NOW(),"MD")&amp;" Hari "</f>
        <v>1 Tahun 2 Bulan 6 Hari </v>
      </c>
      <c r="R649" s="25"/>
      <c r="S649" s="36"/>
      <c r="U649" s="51" t="n">
        <v>1350000</v>
      </c>
      <c r="V649" s="56"/>
    </row>
    <row r="650" spans="1:22" s="12" customFormat="1">
      <c r="A650" s="21" t="n">
        <v>647</v>
      </c>
      <c r="B650" s="21" t="str">
        <f>E650</f>
        <v>3513145305000003</v>
      </c>
      <c r="C650" s="38">
        <f>F650</f>
        <v>45505</v>
      </c>
      <c r="D650" s="22" t="s">
        <v>1688</v>
      </c>
      <c r="E650" s="191" t="s">
        <v>1689</v>
      </c>
      <c r="F650" s="36" t="n">
        <v>45505</v>
      </c>
      <c r="G650" s="21" t="s">
        <v>24</v>
      </c>
      <c r="H650" s="24" t="s">
        <v>1389</v>
      </c>
      <c r="I650" s="159" t="s">
        <v>1127</v>
      </c>
      <c r="J650" s="25" t="s">
        <v>1578</v>
      </c>
      <c r="K650" s="22" t="s">
        <v>91</v>
      </c>
      <c r="L650" s="25" t="s">
        <v>1578</v>
      </c>
      <c r="M650" s="25" t="s">
        <v>1690</v>
      </c>
      <c r="N650" s="23" t="s">
        <v>92</v>
      </c>
      <c r="O650" s="24">
        <f aca="1">DATEDIF(F650,TODAY(),"Y")</f>
        <v>1</v>
      </c>
      <c r="P650" s="24">
        <f aca="1">DATEDIF(F650,TODAY(),"YM")</f>
        <v>2</v>
      </c>
      <c r="Q650" s="24" t="str">
        <f aca="1">DATEDIF(F650,NOW(),"Y")&amp;" Tahun "&amp;DATEDIF(F650,NOW(),"YM")&amp;" Bulan "&amp;DATEDIF(F650,NOW(),"MD")&amp;" Hari "</f>
        <v>1 Tahun 2 Bulan 6 Hari </v>
      </c>
      <c r="R650" s="25"/>
      <c r="S650" s="36"/>
      <c r="U650" s="51" t="n">
        <v>1350000</v>
      </c>
      <c r="V650" s="56"/>
    </row>
    <row r="651" spans="1:22" s="12" customFormat="1">
      <c r="A651" s="21" t="n">
        <v>648</v>
      </c>
      <c r="B651" s="21" t="str">
        <f>E651</f>
        <v>3513156604980002</v>
      </c>
      <c r="C651" s="38">
        <f>F651</f>
        <v>45505</v>
      </c>
      <c r="D651" s="22" t="s">
        <v>1691</v>
      </c>
      <c r="E651" s="191" t="s">
        <v>1692</v>
      </c>
      <c r="F651" s="36" t="n">
        <v>45505</v>
      </c>
      <c r="G651" s="21" t="s">
        <v>24</v>
      </c>
      <c r="H651" s="24" t="s">
        <v>1389</v>
      </c>
      <c r="I651" s="159" t="s">
        <v>1127</v>
      </c>
      <c r="J651" s="22" t="s">
        <v>1367</v>
      </c>
      <c r="K651" s="22" t="s">
        <v>28</v>
      </c>
      <c r="L651" s="25" t="s">
        <v>262</v>
      </c>
      <c r="M651" s="25" t="s">
        <v>1693</v>
      </c>
      <c r="N651" s="23" t="s">
        <v>119</v>
      </c>
      <c r="O651" s="24">
        <f aca="1">DATEDIF(F651,TODAY(),"Y")</f>
        <v>1</v>
      </c>
      <c r="P651" s="24">
        <f aca="1">DATEDIF(F651,TODAY(),"YM")</f>
        <v>2</v>
      </c>
      <c r="Q651" s="24" t="str">
        <f aca="1">DATEDIF(F651,NOW(),"Y")&amp;" Tahun "&amp;DATEDIF(F651,NOW(),"YM")&amp;" Bulan "&amp;DATEDIF(F651,NOW(),"MD")&amp;" Hari "</f>
        <v>1 Tahun 2 Bulan 6 Hari </v>
      </c>
      <c r="R651" s="25"/>
      <c r="S651" s="36"/>
      <c r="U651" s="51" t="n">
        <v>1200000</v>
      </c>
      <c r="V651" s="56"/>
    </row>
    <row r="652" spans="1:22" s="12" customFormat="1">
      <c r="A652" s="21" t="n">
        <v>649</v>
      </c>
      <c r="B652" s="21" t="str">
        <f>E652</f>
        <v>3513152411920001</v>
      </c>
      <c r="C652" s="38">
        <f>F652</f>
        <v>45505</v>
      </c>
      <c r="D652" s="22" t="s">
        <v>1694</v>
      </c>
      <c r="E652" s="191" t="s">
        <v>1695</v>
      </c>
      <c r="F652" s="36" t="n">
        <v>45505</v>
      </c>
      <c r="G652" s="21" t="s">
        <v>33</v>
      </c>
      <c r="H652" s="24" t="s">
        <v>1389</v>
      </c>
      <c r="I652" s="159" t="s">
        <v>1127</v>
      </c>
      <c r="J652" s="25" t="s">
        <v>1696</v>
      </c>
      <c r="K652" s="22" t="s">
        <v>28</v>
      </c>
      <c r="L652" s="25" t="s">
        <v>262</v>
      </c>
      <c r="M652" s="25" t="s">
        <v>1697</v>
      </c>
      <c r="N652" s="23" t="s">
        <v>520</v>
      </c>
      <c r="O652" s="24">
        <f aca="1">DATEDIF(F652,TODAY(),"Y")</f>
        <v>1</v>
      </c>
      <c r="P652" s="24">
        <f aca="1">DATEDIF(F652,TODAY(),"YM")</f>
        <v>2</v>
      </c>
      <c r="Q652" s="24" t="str">
        <f aca="1">DATEDIF(F652,NOW(),"Y")&amp;" Tahun "&amp;DATEDIF(F652,NOW(),"YM")&amp;" Bulan "&amp;DATEDIF(F652,NOW(),"MD")&amp;" Hari "</f>
        <v>1 Tahun 2 Bulan 6 Hari </v>
      </c>
      <c r="R652" s="25"/>
      <c r="S652" s="36"/>
      <c r="U652" s="51" t="n">
        <v>1200000</v>
      </c>
      <c r="V652" s="56"/>
    </row>
    <row r="653" spans="1:22" s="12" customFormat="1">
      <c r="A653" s="21" t="n">
        <v>650</v>
      </c>
      <c r="B653" s="21" t="str">
        <f>E653</f>
        <v>3513141504930001</v>
      </c>
      <c r="C653" s="38">
        <f>F653</f>
        <v>45505</v>
      </c>
      <c r="D653" s="22" t="s">
        <v>1698</v>
      </c>
      <c r="E653" s="191" t="s">
        <v>1699</v>
      </c>
      <c r="F653" s="36" t="n">
        <v>45505</v>
      </c>
      <c r="G653" s="21" t="s">
        <v>33</v>
      </c>
      <c r="H653" s="24" t="s">
        <v>1389</v>
      </c>
      <c r="I653" s="159" t="s">
        <v>1127</v>
      </c>
      <c r="J653" s="25" t="s">
        <v>1696</v>
      </c>
      <c r="K653" s="22" t="s">
        <v>28</v>
      </c>
      <c r="L653" s="25" t="s">
        <v>262</v>
      </c>
      <c r="M653" s="25" t="s">
        <v>1697</v>
      </c>
      <c r="N653" s="23" t="s">
        <v>520</v>
      </c>
      <c r="O653" s="24">
        <f aca="1">DATEDIF(F653,TODAY(),"Y")</f>
        <v>1</v>
      </c>
      <c r="P653" s="24">
        <f aca="1">DATEDIF(F653,TODAY(),"YM")</f>
        <v>2</v>
      </c>
      <c r="Q653" s="24" t="str">
        <f aca="1">DATEDIF(F653,NOW(),"Y")&amp;" Tahun "&amp;DATEDIF(F653,NOW(),"YM")&amp;" Bulan "&amp;DATEDIF(F653,NOW(),"MD")&amp;" Hari "</f>
        <v>1 Tahun 2 Bulan 6 Hari </v>
      </c>
      <c r="R653" s="25"/>
      <c r="S653" s="36"/>
      <c r="U653" s="51" t="n">
        <v>1200000</v>
      </c>
      <c r="V653" s="56"/>
    </row>
    <row r="654" spans="1:22" s="12" customFormat="1">
      <c r="A654" s="21" t="n">
        <v>651</v>
      </c>
      <c r="B654" s="21">
        <f>E654</f>
        <v>0</v>
      </c>
      <c r="C654" s="38">
        <f>F654</f>
        <v>45597</v>
      </c>
      <c r="D654" s="22" t="s">
        <v>1700</v>
      </c>
      <c r="E654" s="22"/>
      <c r="F654" s="36" t="n">
        <v>45597</v>
      </c>
      <c r="G654" s="21" t="s">
        <v>33</v>
      </c>
      <c r="H654" s="24" t="s">
        <v>1389</v>
      </c>
      <c r="I654" s="159" t="s">
        <v>1127</v>
      </c>
      <c r="J654" s="25" t="s">
        <v>1701</v>
      </c>
      <c r="K654" s="22"/>
      <c r="L654" s="25" t="s">
        <v>1702</v>
      </c>
      <c r="M654" s="25"/>
      <c r="N654" s="23" t="s">
        <v>188</v>
      </c>
      <c r="O654" s="24">
        <f aca="1">DATEDIF(F654,TODAY(),"Y")</f>
        <v>0</v>
      </c>
      <c r="P654" s="24">
        <f aca="1">DATEDIF(F654,TODAY(),"YM")</f>
        <v>11</v>
      </c>
      <c r="Q654" s="24" t="str">
        <f aca="1">DATEDIF(F654,NOW(),"Y")&amp;" Tahun "&amp;DATEDIF(F654,NOW(),"YM")&amp;" Bulan "&amp;DATEDIF(F654,NOW(),"MD")&amp;" Hari "</f>
        <v>0 Tahun 11 Bulan 6 Hari </v>
      </c>
      <c r="R654" s="25"/>
      <c r="S654" s="36"/>
      <c r="U654" s="51"/>
      <c r="V654" s="56"/>
    </row>
    <row r="655" spans="1:22" s="12" customFormat="1">
      <c r="A655" s="21" t="n">
        <v>652</v>
      </c>
      <c r="B655" s="21" t="str">
        <f>E655</f>
        <v>3502176512980002</v>
      </c>
      <c r="C655" s="38">
        <f>F655</f>
        <v>45597</v>
      </c>
      <c r="D655" s="22" t="s">
        <v>1703</v>
      </c>
      <c r="E655" s="191" t="s">
        <v>1704</v>
      </c>
      <c r="F655" s="36" t="n">
        <v>45597</v>
      </c>
      <c r="G655" s="21" t="s">
        <v>24</v>
      </c>
      <c r="H655" s="24" t="s">
        <v>1389</v>
      </c>
      <c r="I655" s="159" t="s">
        <v>1127</v>
      </c>
      <c r="J655" s="22" t="s">
        <v>1570</v>
      </c>
      <c r="K655" s="27" t="s">
        <v>66</v>
      </c>
      <c r="L655" s="22" t="s">
        <v>1570</v>
      </c>
      <c r="M655" s="23" t="s">
        <v>67</v>
      </c>
      <c r="N655" s="23" t="s">
        <v>1174</v>
      </c>
      <c r="O655" s="24">
        <f aca="1">DATEDIF(F655,TODAY(),"Y")</f>
        <v>0</v>
      </c>
      <c r="P655" s="24">
        <f aca="1">DATEDIF(F655,TODAY(),"YM")</f>
        <v>11</v>
      </c>
      <c r="Q655" s="24" t="str">
        <f aca="1">DATEDIF(F655,NOW(),"Y")&amp;" Tahun "&amp;DATEDIF(F655,NOW(),"YM")&amp;" Bulan "&amp;DATEDIF(F655,NOW(),"MD")&amp;" Hari "</f>
        <v>0 Tahun 11 Bulan 6 Hari </v>
      </c>
      <c r="R655" s="25"/>
      <c r="S655" s="36"/>
      <c r="U655" s="52" t="n">
        <v>3650000</v>
      </c>
      <c r="V655" s="56"/>
    </row>
    <row r="656" spans="1:22" s="12" customFormat="1">
      <c r="A656" s="21" t="n">
        <v>653</v>
      </c>
      <c r="B656" s="21" t="str">
        <f>E656</f>
        <v>3513146309970001</v>
      </c>
      <c r="C656" s="38">
        <f>F656</f>
        <v>45597</v>
      </c>
      <c r="D656" s="22" t="s">
        <v>1705</v>
      </c>
      <c r="E656" s="191" t="s">
        <v>1706</v>
      </c>
      <c r="F656" s="36" t="n">
        <v>45597</v>
      </c>
      <c r="G656" s="21" t="s">
        <v>24</v>
      </c>
      <c r="H656" s="24" t="s">
        <v>1389</v>
      </c>
      <c r="I656" s="159" t="s">
        <v>1127</v>
      </c>
      <c r="J656" s="22" t="s">
        <v>1570</v>
      </c>
      <c r="K656" s="27" t="s">
        <v>66</v>
      </c>
      <c r="L656" s="22" t="s">
        <v>1570</v>
      </c>
      <c r="M656" s="23" t="s">
        <v>67</v>
      </c>
      <c r="N656" s="23" t="s">
        <v>68</v>
      </c>
      <c r="O656" s="24">
        <f aca="1">DATEDIF(F656,TODAY(),"Y")</f>
        <v>0</v>
      </c>
      <c r="P656" s="24">
        <f aca="1">DATEDIF(F656,TODAY(),"YM")</f>
        <v>11</v>
      </c>
      <c r="Q656" s="24" t="str">
        <f aca="1">DATEDIF(F656,NOW(),"Y")&amp;" Tahun "&amp;DATEDIF(F656,NOW(),"YM")&amp;" Bulan "&amp;DATEDIF(F656,NOW(),"MD")&amp;" Hari "</f>
        <v>0 Tahun 11 Bulan 6 Hari </v>
      </c>
      <c r="R656" s="25"/>
      <c r="S656" s="36"/>
      <c r="U656" s="52" t="n">
        <v>3650000</v>
      </c>
      <c r="V656" s="56"/>
    </row>
    <row r="657" spans="1:22" s="12" customFormat="1">
      <c r="A657" s="21" t="n">
        <v>654</v>
      </c>
      <c r="B657" s="21" t="str">
        <f>E657</f>
        <v>3513142505000001</v>
      </c>
      <c r="C657" s="38">
        <f>F657</f>
        <v>45597</v>
      </c>
      <c r="D657" s="22" t="s">
        <v>1707</v>
      </c>
      <c r="E657" s="191" t="s">
        <v>1708</v>
      </c>
      <c r="F657" s="36" t="n">
        <v>45597</v>
      </c>
      <c r="G657" s="21" t="s">
        <v>33</v>
      </c>
      <c r="H657" s="24" t="s">
        <v>1389</v>
      </c>
      <c r="I657" s="159" t="s">
        <v>1127</v>
      </c>
      <c r="J657" s="22" t="s">
        <v>1570</v>
      </c>
      <c r="K657" s="27" t="s">
        <v>66</v>
      </c>
      <c r="L657" s="22" t="s">
        <v>1570</v>
      </c>
      <c r="M657" s="23" t="s">
        <v>67</v>
      </c>
      <c r="N657" s="23" t="s">
        <v>68</v>
      </c>
      <c r="O657" s="24">
        <f aca="1">DATEDIF(F657,TODAY(),"Y")</f>
        <v>0</v>
      </c>
      <c r="P657" s="24">
        <f aca="1">DATEDIF(F657,TODAY(),"YM")</f>
        <v>11</v>
      </c>
      <c r="Q657" s="24" t="str">
        <f aca="1">DATEDIF(F657,NOW(),"Y")&amp;" Tahun "&amp;DATEDIF(F657,NOW(),"YM")&amp;" Bulan "&amp;DATEDIF(F657,NOW(),"MD")&amp;" Hari "</f>
        <v>0 Tahun 11 Bulan 6 Hari </v>
      </c>
      <c r="R657" s="25"/>
      <c r="S657" s="36"/>
      <c r="U657" s="52" t="n">
        <v>3650000</v>
      </c>
      <c r="V657" s="56"/>
    </row>
    <row r="658" spans="1:22" s="12" customFormat="1">
      <c r="A658" s="21" t="n">
        <v>655</v>
      </c>
      <c r="B658" s="21" t="str">
        <f>E658</f>
        <v>3512076907940002</v>
      </c>
      <c r="C658" s="38">
        <f>F658</f>
        <v>45597</v>
      </c>
      <c r="D658" s="22" t="s">
        <v>1709</v>
      </c>
      <c r="E658" s="191" t="s">
        <v>1710</v>
      </c>
      <c r="F658" s="36" t="n">
        <v>45597</v>
      </c>
      <c r="G658" s="21" t="s">
        <v>24</v>
      </c>
      <c r="H658" s="24" t="s">
        <v>1389</v>
      </c>
      <c r="I658" s="159" t="s">
        <v>1127</v>
      </c>
      <c r="J658" s="46" t="s">
        <v>1279</v>
      </c>
      <c r="K658" s="27" t="s">
        <v>96</v>
      </c>
      <c r="L658" s="25" t="s">
        <v>1185</v>
      </c>
      <c r="M658" s="23" t="s">
        <v>1711</v>
      </c>
      <c r="N658" s="23" t="s">
        <v>461</v>
      </c>
      <c r="O658" s="24">
        <f aca="1">DATEDIF(F658,TODAY(),"Y")</f>
        <v>0</v>
      </c>
      <c r="P658" s="24">
        <f aca="1">DATEDIF(F658,TODAY(),"YM")</f>
        <v>11</v>
      </c>
      <c r="Q658" s="24" t="str">
        <f aca="1">DATEDIF(F658,NOW(),"Y")&amp;" Tahun "&amp;DATEDIF(F658,NOW(),"YM")&amp;" Bulan "&amp;DATEDIF(F658,NOW(),"MD")&amp;" Hari "</f>
        <v>0 Tahun 11 Bulan 6 Hari </v>
      </c>
      <c r="R658" s="25"/>
      <c r="S658" s="36"/>
      <c r="U658" s="51" t="n">
        <v>1350000</v>
      </c>
      <c r="V658" s="56"/>
    </row>
    <row r="659" spans="1:22" s="12" customFormat="1">
      <c r="A659" s="21" t="n">
        <v>656</v>
      </c>
      <c r="B659" s="21" t="str">
        <f>E659</f>
        <v>3513144205990002</v>
      </c>
      <c r="C659" s="38">
        <f>F659</f>
        <v>45597</v>
      </c>
      <c r="D659" s="22" t="s">
        <v>1712</v>
      </c>
      <c r="E659" s="191" t="s">
        <v>1713</v>
      </c>
      <c r="F659" s="36" t="n">
        <v>45597</v>
      </c>
      <c r="G659" s="21" t="s">
        <v>24</v>
      </c>
      <c r="H659" s="24" t="s">
        <v>1389</v>
      </c>
      <c r="I659" s="159" t="s">
        <v>1127</v>
      </c>
      <c r="J659" s="46" t="s">
        <v>1279</v>
      </c>
      <c r="K659" s="27" t="s">
        <v>96</v>
      </c>
      <c r="L659" s="25" t="s">
        <v>1185</v>
      </c>
      <c r="M659" s="23" t="s">
        <v>1711</v>
      </c>
      <c r="N659" s="23" t="s">
        <v>97</v>
      </c>
      <c r="O659" s="24">
        <f aca="1">DATEDIF(F659,TODAY(),"Y")</f>
        <v>0</v>
      </c>
      <c r="P659" s="24">
        <f aca="1">DATEDIF(F659,TODAY(),"YM")</f>
        <v>11</v>
      </c>
      <c r="Q659" s="24" t="str">
        <f aca="1">DATEDIF(F659,NOW(),"Y")&amp;" Tahun "&amp;DATEDIF(F659,NOW(),"YM")&amp;" Bulan "&amp;DATEDIF(F659,NOW(),"MD")&amp;" Hari "</f>
        <v>0 Tahun 11 Bulan 6 Hari </v>
      </c>
      <c r="R659" s="25"/>
      <c r="S659" s="36"/>
      <c r="U659" s="51" t="n">
        <v>1350000</v>
      </c>
      <c r="V659" s="56"/>
    </row>
    <row r="660" spans="1:22" s="12" customFormat="1">
      <c r="A660" s="21" t="n">
        <v>657</v>
      </c>
      <c r="B660" s="21" t="str">
        <f>E660</f>
        <v>3513174309960003</v>
      </c>
      <c r="C660" s="38">
        <f>F660</f>
        <v>45597</v>
      </c>
      <c r="D660" s="22" t="s">
        <v>1714</v>
      </c>
      <c r="E660" s="191" t="s">
        <v>1715</v>
      </c>
      <c r="F660" s="36" t="n">
        <v>45597</v>
      </c>
      <c r="G660" s="21" t="s">
        <v>24</v>
      </c>
      <c r="H660" s="24" t="s">
        <v>1389</v>
      </c>
      <c r="I660" s="159" t="s">
        <v>1127</v>
      </c>
      <c r="J660" s="46" t="s">
        <v>1279</v>
      </c>
      <c r="K660" s="27" t="s">
        <v>96</v>
      </c>
      <c r="L660" s="25" t="s">
        <v>1185</v>
      </c>
      <c r="M660" s="23" t="s">
        <v>1711</v>
      </c>
      <c r="N660" s="29" t="s">
        <v>461</v>
      </c>
      <c r="O660" s="24">
        <f aca="1">DATEDIF(F660,TODAY(),"Y")</f>
        <v>0</v>
      </c>
      <c r="P660" s="24">
        <f aca="1">DATEDIF(F660,TODAY(),"YM")</f>
        <v>11</v>
      </c>
      <c r="Q660" s="24" t="str">
        <f aca="1">DATEDIF(F660,NOW(),"Y")&amp;" Tahun "&amp;DATEDIF(F660,NOW(),"YM")&amp;" Bulan "&amp;DATEDIF(F660,NOW(),"MD")&amp;" Hari "</f>
        <v>0 Tahun 11 Bulan 6 Hari </v>
      </c>
      <c r="R660" s="25"/>
      <c r="S660" s="36"/>
      <c r="U660" s="51" t="n">
        <v>1350000</v>
      </c>
      <c r="V660" s="56"/>
    </row>
    <row r="661" spans="1:22" s="12" customFormat="1">
      <c r="A661" s="21" t="n">
        <v>658</v>
      </c>
      <c r="B661" s="21" t="str">
        <f>E661</f>
        <v>3574031903910003</v>
      </c>
      <c r="C661" s="38">
        <f>F661</f>
        <v>45597</v>
      </c>
      <c r="D661" s="22" t="s">
        <v>1716</v>
      </c>
      <c r="E661" s="191" t="s">
        <v>1717</v>
      </c>
      <c r="F661" s="36" t="n">
        <v>45597</v>
      </c>
      <c r="G661" s="21" t="s">
        <v>33</v>
      </c>
      <c r="H661" s="24" t="s">
        <v>1389</v>
      </c>
      <c r="I661" s="159" t="s">
        <v>1127</v>
      </c>
      <c r="J661" s="46" t="s">
        <v>1279</v>
      </c>
      <c r="K661" s="27" t="s">
        <v>96</v>
      </c>
      <c r="L661" s="25" t="s">
        <v>1185</v>
      </c>
      <c r="M661" s="23" t="s">
        <v>1711</v>
      </c>
      <c r="N661" s="23" t="s">
        <v>225</v>
      </c>
      <c r="O661" s="24">
        <f aca="1">DATEDIF(F661,TODAY(),"Y")</f>
        <v>0</v>
      </c>
      <c r="P661" s="24">
        <f aca="1">DATEDIF(F661,TODAY(),"YM")</f>
        <v>11</v>
      </c>
      <c r="Q661" s="24" t="str">
        <f aca="1">DATEDIF(F661,NOW(),"Y")&amp;" Tahun "&amp;DATEDIF(F661,NOW(),"YM")&amp;" Bulan "&amp;DATEDIF(F661,NOW(),"MD")&amp;" Hari "</f>
        <v>0 Tahun 11 Bulan 6 Hari </v>
      </c>
      <c r="R661" s="25"/>
      <c r="S661" s="36"/>
      <c r="U661" s="51" t="n">
        <v>1350000</v>
      </c>
      <c r="V661" s="56"/>
    </row>
    <row r="662" spans="1:22" s="12" customFormat="1">
      <c r="A662" s="21" t="n">
        <v>659</v>
      </c>
      <c r="B662" s="21" t="str">
        <f>E662</f>
        <v>3508195206000003</v>
      </c>
      <c r="C662" s="38">
        <f>F662</f>
        <v>45597</v>
      </c>
      <c r="D662" s="22" t="s">
        <v>1718</v>
      </c>
      <c r="E662" s="191" t="s">
        <v>1719</v>
      </c>
      <c r="F662" s="36" t="n">
        <v>45597</v>
      </c>
      <c r="G662" s="21" t="s">
        <v>24</v>
      </c>
      <c r="H662" s="24" t="s">
        <v>1389</v>
      </c>
      <c r="I662" s="159" t="s">
        <v>1127</v>
      </c>
      <c r="J662" s="46" t="s">
        <v>1279</v>
      </c>
      <c r="K662" s="27" t="s">
        <v>96</v>
      </c>
      <c r="L662" s="25" t="s">
        <v>1185</v>
      </c>
      <c r="M662" s="23" t="s">
        <v>1711</v>
      </c>
      <c r="N662" s="23" t="s">
        <v>68</v>
      </c>
      <c r="O662" s="24">
        <f aca="1">DATEDIF(F662,TODAY(),"Y")</f>
        <v>0</v>
      </c>
      <c r="P662" s="24">
        <f aca="1">DATEDIF(F662,TODAY(),"YM")</f>
        <v>11</v>
      </c>
      <c r="Q662" s="24" t="str">
        <f aca="1">DATEDIF(F662,NOW(),"Y")&amp;" Tahun "&amp;DATEDIF(F662,NOW(),"YM")&amp;" Bulan "&amp;DATEDIF(F662,NOW(),"MD")&amp;" Hari "</f>
        <v>0 Tahun 11 Bulan 6 Hari </v>
      </c>
      <c r="R662" s="25"/>
      <c r="S662" s="36"/>
      <c r="U662" s="51" t="n">
        <v>1350000</v>
      </c>
      <c r="V662" s="56"/>
    </row>
    <row r="663" spans="1:22" s="12" customFormat="1">
      <c r="A663" s="21" t="n">
        <v>660</v>
      </c>
      <c r="B663" s="21" t="str">
        <f>E663</f>
        <v>3513145110970001</v>
      </c>
      <c r="C663" s="38">
        <f>F663</f>
        <v>45597</v>
      </c>
      <c r="D663" s="22" t="s">
        <v>1720</v>
      </c>
      <c r="E663" s="191" t="s">
        <v>1721</v>
      </c>
      <c r="F663" s="36" t="n">
        <v>45597</v>
      </c>
      <c r="G663" s="21" t="s">
        <v>24</v>
      </c>
      <c r="H663" s="24" t="s">
        <v>1389</v>
      </c>
      <c r="I663" s="159" t="s">
        <v>1127</v>
      </c>
      <c r="J663" s="46" t="s">
        <v>1279</v>
      </c>
      <c r="K663" s="27" t="s">
        <v>96</v>
      </c>
      <c r="L663" s="25" t="s">
        <v>1185</v>
      </c>
      <c r="M663" s="23" t="s">
        <v>1711</v>
      </c>
      <c r="N663" s="23" t="s">
        <v>406</v>
      </c>
      <c r="O663" s="24">
        <f aca="1">DATEDIF(F663,TODAY(),"Y")</f>
        <v>0</v>
      </c>
      <c r="P663" s="24">
        <f aca="1">DATEDIF(F663,TODAY(),"YM")</f>
        <v>11</v>
      </c>
      <c r="Q663" s="24" t="str">
        <f aca="1">DATEDIF(F663,NOW(),"Y")&amp;" Tahun "&amp;DATEDIF(F663,NOW(),"YM")&amp;" Bulan "&amp;DATEDIF(F663,NOW(),"MD")&amp;" Hari "</f>
        <v>0 Tahun 11 Bulan 6 Hari </v>
      </c>
      <c r="R663" s="25"/>
      <c r="S663" s="36"/>
      <c r="U663" s="51" t="n">
        <v>1350000</v>
      </c>
      <c r="V663" s="56"/>
    </row>
    <row r="664" spans="1:22" s="12" customFormat="1">
      <c r="A664" s="21" t="n">
        <v>661</v>
      </c>
      <c r="B664" s="21" t="str">
        <f>E664</f>
        <v>3513142508920005</v>
      </c>
      <c r="C664" s="38">
        <f>F664</f>
        <v>45597</v>
      </c>
      <c r="D664" s="22" t="s">
        <v>1722</v>
      </c>
      <c r="E664" s="191" t="s">
        <v>1723</v>
      </c>
      <c r="F664" s="36" t="n">
        <v>45597</v>
      </c>
      <c r="G664" s="21" t="s">
        <v>24</v>
      </c>
      <c r="H664" s="24" t="s">
        <v>1389</v>
      </c>
      <c r="I664" s="159" t="s">
        <v>1127</v>
      </c>
      <c r="J664" s="46" t="s">
        <v>1279</v>
      </c>
      <c r="K664" s="27" t="s">
        <v>96</v>
      </c>
      <c r="L664" s="25" t="s">
        <v>1185</v>
      </c>
      <c r="M664" s="23" t="s">
        <v>1711</v>
      </c>
      <c r="N664" s="23" t="s">
        <v>168</v>
      </c>
      <c r="O664" s="24">
        <f aca="1">DATEDIF(F664,TODAY(),"Y")</f>
        <v>0</v>
      </c>
      <c r="P664" s="24">
        <f aca="1">DATEDIF(F664,TODAY(),"YM")</f>
        <v>11</v>
      </c>
      <c r="Q664" s="24" t="str">
        <f aca="1">DATEDIF(F664,NOW(),"Y")&amp;" Tahun "&amp;DATEDIF(F664,NOW(),"YM")&amp;" Bulan "&amp;DATEDIF(F664,NOW(),"MD")&amp;" Hari "</f>
        <v>0 Tahun 11 Bulan 6 Hari </v>
      </c>
      <c r="R664" s="25"/>
      <c r="S664" s="36"/>
      <c r="U664" s="51" t="n">
        <v>1350000</v>
      </c>
      <c r="V664" s="56"/>
    </row>
    <row r="665" spans="1:22" s="12" customFormat="1">
      <c r="A665" s="21" t="n">
        <v>662</v>
      </c>
      <c r="B665" s="21" t="str">
        <f>E665</f>
        <v>3509092010950002</v>
      </c>
      <c r="C665" s="38">
        <f>F665</f>
        <v>45597</v>
      </c>
      <c r="D665" s="22" t="s">
        <v>1724</v>
      </c>
      <c r="E665" s="191" t="s">
        <v>1725</v>
      </c>
      <c r="F665" s="36" t="n">
        <v>45597</v>
      </c>
      <c r="G665" s="21" t="s">
        <v>33</v>
      </c>
      <c r="H665" s="24" t="s">
        <v>1389</v>
      </c>
      <c r="I665" s="159" t="s">
        <v>1127</v>
      </c>
      <c r="J665" s="46" t="s">
        <v>1279</v>
      </c>
      <c r="K665" s="27" t="s">
        <v>96</v>
      </c>
      <c r="L665" s="25" t="s">
        <v>1185</v>
      </c>
      <c r="M665" s="23" t="s">
        <v>1711</v>
      </c>
      <c r="N665" s="23" t="s">
        <v>68</v>
      </c>
      <c r="O665" s="24">
        <f aca="1">DATEDIF(F665,TODAY(),"Y")</f>
        <v>0</v>
      </c>
      <c r="P665" s="24">
        <f aca="1">DATEDIF(F665,TODAY(),"YM")</f>
        <v>11</v>
      </c>
      <c r="Q665" s="24" t="str">
        <f aca="1">DATEDIF(F665,NOW(),"Y")&amp;" Tahun "&amp;DATEDIF(F665,NOW(),"YM")&amp;" Bulan "&amp;DATEDIF(F665,NOW(),"MD")&amp;" Hari "</f>
        <v>0 Tahun 11 Bulan 6 Hari </v>
      </c>
      <c r="R665" s="25"/>
      <c r="S665" s="36"/>
      <c r="U665" s="51" t="n">
        <v>1350000</v>
      </c>
      <c r="V665" s="56"/>
    </row>
    <row r="666" spans="1:22" s="12" customFormat="1">
      <c r="A666" s="21" t="n">
        <v>663</v>
      </c>
      <c r="B666" s="21" t="str">
        <f>E666</f>
        <v>3513194902010005</v>
      </c>
      <c r="C666" s="38">
        <f>F666</f>
        <v>45597</v>
      </c>
      <c r="D666" s="22" t="s">
        <v>1726</v>
      </c>
      <c r="E666" s="191" t="s">
        <v>1727</v>
      </c>
      <c r="F666" s="36" t="n">
        <v>45597</v>
      </c>
      <c r="G666" s="21" t="s">
        <v>24</v>
      </c>
      <c r="H666" s="24" t="s">
        <v>1389</v>
      </c>
      <c r="I666" s="159" t="s">
        <v>1127</v>
      </c>
      <c r="J666" s="46" t="s">
        <v>1279</v>
      </c>
      <c r="K666" s="27" t="s">
        <v>96</v>
      </c>
      <c r="L666" s="25" t="s">
        <v>1185</v>
      </c>
      <c r="M666" s="23" t="s">
        <v>1711</v>
      </c>
      <c r="N666" s="23" t="s">
        <v>222</v>
      </c>
      <c r="O666" s="24">
        <f aca="1">DATEDIF(F666,TODAY(),"Y")</f>
        <v>0</v>
      </c>
      <c r="P666" s="24">
        <f aca="1">DATEDIF(F666,TODAY(),"YM")</f>
        <v>11</v>
      </c>
      <c r="Q666" s="24" t="str">
        <f aca="1">DATEDIF(F666,NOW(),"Y")&amp;" Tahun "&amp;DATEDIF(F666,NOW(),"YM")&amp;" Bulan "&amp;DATEDIF(F666,NOW(),"MD")&amp;" Hari "</f>
        <v>0 Tahun 11 Bulan 6 Hari </v>
      </c>
      <c r="R666" s="25"/>
      <c r="S666" s="36"/>
      <c r="U666" s="51" t="n">
        <v>1350000</v>
      </c>
      <c r="V666" s="56"/>
    </row>
    <row r="667" spans="1:22" s="12" customFormat="1">
      <c r="A667" s="21" t="n">
        <v>664</v>
      </c>
      <c r="B667" s="21" t="str">
        <f>E667</f>
        <v>3574056809890002</v>
      </c>
      <c r="C667" s="38">
        <f>F667</f>
        <v>45597</v>
      </c>
      <c r="D667" s="22" t="s">
        <v>1728</v>
      </c>
      <c r="E667" s="191" t="s">
        <v>1729</v>
      </c>
      <c r="F667" s="36" t="n">
        <v>45597</v>
      </c>
      <c r="G667" s="21" t="s">
        <v>24</v>
      </c>
      <c r="H667" s="24" t="s">
        <v>1389</v>
      </c>
      <c r="I667" s="159" t="s">
        <v>1127</v>
      </c>
      <c r="J667" s="46" t="s">
        <v>1279</v>
      </c>
      <c r="K667" s="27" t="s">
        <v>96</v>
      </c>
      <c r="L667" s="25" t="s">
        <v>1185</v>
      </c>
      <c r="M667" s="23" t="s">
        <v>1711</v>
      </c>
      <c r="N667" s="29" t="s">
        <v>385</v>
      </c>
      <c r="O667" s="24">
        <f aca="1">DATEDIF(F667,TODAY(),"Y")</f>
        <v>0</v>
      </c>
      <c r="P667" s="24">
        <f aca="1">DATEDIF(F667,TODAY(),"YM")</f>
        <v>11</v>
      </c>
      <c r="Q667" s="24" t="str">
        <f aca="1">DATEDIF(F667,NOW(),"Y")&amp;" Tahun "&amp;DATEDIF(F667,NOW(),"YM")&amp;" Bulan "&amp;DATEDIF(F667,NOW(),"MD")&amp;" Hari "</f>
        <v>0 Tahun 11 Bulan 6 Hari </v>
      </c>
      <c r="R667" s="25"/>
      <c r="S667" s="36"/>
      <c r="U667" s="51" t="n">
        <v>1350000</v>
      </c>
      <c r="V667" s="56"/>
    </row>
    <row r="668" spans="1:22" s="12" customFormat="1">
      <c r="A668" s="21" t="n">
        <v>665</v>
      </c>
      <c r="B668" s="21" t="str">
        <f>E668</f>
        <v>3327105004930064</v>
      </c>
      <c r="C668" s="38">
        <f>F668</f>
        <v>45597</v>
      </c>
      <c r="D668" s="22" t="s">
        <v>1730</v>
      </c>
      <c r="E668" s="191" t="s">
        <v>1731</v>
      </c>
      <c r="F668" s="36" t="n">
        <v>45597</v>
      </c>
      <c r="G668" s="21" t="s">
        <v>24</v>
      </c>
      <c r="H668" s="24" t="s">
        <v>1389</v>
      </c>
      <c r="I668" s="159" t="s">
        <v>1127</v>
      </c>
      <c r="J668" s="46" t="s">
        <v>1279</v>
      </c>
      <c r="K668" s="27" t="s">
        <v>96</v>
      </c>
      <c r="L668" s="25" t="s">
        <v>1185</v>
      </c>
      <c r="M668" s="23" t="s">
        <v>1711</v>
      </c>
      <c r="N668" s="23" t="s">
        <v>97</v>
      </c>
      <c r="O668" s="24">
        <f aca="1">DATEDIF(F668,TODAY(),"Y")</f>
        <v>0</v>
      </c>
      <c r="P668" s="24">
        <f aca="1">DATEDIF(F668,TODAY(),"YM")</f>
        <v>11</v>
      </c>
      <c r="Q668" s="24" t="str">
        <f aca="1">DATEDIF(F668,NOW(),"Y")&amp;" Tahun "&amp;DATEDIF(F668,NOW(),"YM")&amp;" Bulan "&amp;DATEDIF(F668,NOW(),"MD")&amp;" Hari "</f>
        <v>0 Tahun 11 Bulan 6 Hari </v>
      </c>
      <c r="R668" s="25"/>
      <c r="S668" s="36"/>
      <c r="U668" s="51" t="n">
        <v>1350000</v>
      </c>
      <c r="V668" s="56"/>
    </row>
    <row r="669" spans="1:22" s="12" customFormat="1">
      <c r="A669" s="21" t="n">
        <v>666</v>
      </c>
      <c r="B669" s="21">
        <f>E669</f>
        <v>0</v>
      </c>
      <c r="C669" s="38">
        <f>F669</f>
        <v>45597</v>
      </c>
      <c r="D669" s="22" t="s">
        <v>1732</v>
      </c>
      <c r="E669" s="22"/>
      <c r="F669" s="36" t="n">
        <v>45597</v>
      </c>
      <c r="G669" s="21" t="s">
        <v>24</v>
      </c>
      <c r="H669" s="24" t="s">
        <v>1389</v>
      </c>
      <c r="I669" s="159" t="s">
        <v>1127</v>
      </c>
      <c r="J669" s="46" t="s">
        <v>1279</v>
      </c>
      <c r="K669" s="27" t="s">
        <v>96</v>
      </c>
      <c r="L669" s="25" t="s">
        <v>1185</v>
      </c>
      <c r="M669" s="23" t="s">
        <v>1711</v>
      </c>
      <c r="N669" s="30" t="s">
        <v>197</v>
      </c>
      <c r="O669" s="24">
        <f aca="1">DATEDIF(F669,TODAY(),"Y")</f>
        <v>0</v>
      </c>
      <c r="P669" s="24">
        <f aca="1">DATEDIF(F669,TODAY(),"YM")</f>
        <v>11</v>
      </c>
      <c r="Q669" s="24" t="str">
        <f aca="1">DATEDIF(F669,NOW(),"Y")&amp;" Tahun "&amp;DATEDIF(F669,NOW(),"YM")&amp;" Bulan "&amp;DATEDIF(F669,NOW(),"MD")&amp;" Hari "</f>
        <v>0 Tahun 11 Bulan 6 Hari </v>
      </c>
      <c r="R669" s="25"/>
      <c r="S669" s="36"/>
      <c r="U669" s="51" t="n">
        <v>1350000</v>
      </c>
      <c r="V669" s="56"/>
    </row>
    <row r="670" spans="1:22" s="12" customFormat="1">
      <c r="A670" s="21" t="n">
        <v>667</v>
      </c>
      <c r="B670" s="21" t="str">
        <f>E670</f>
        <v>3512030811960001</v>
      </c>
      <c r="C670" s="38">
        <f>F670</f>
        <v>45597</v>
      </c>
      <c r="D670" s="22" t="s">
        <v>1733</v>
      </c>
      <c r="E670" s="191" t="s">
        <v>1734</v>
      </c>
      <c r="F670" s="36" t="n">
        <v>45597</v>
      </c>
      <c r="G670" s="21" t="s">
        <v>33</v>
      </c>
      <c r="H670" s="24" t="s">
        <v>1389</v>
      </c>
      <c r="I670" s="159" t="s">
        <v>1127</v>
      </c>
      <c r="J670" s="46" t="s">
        <v>1279</v>
      </c>
      <c r="K670" s="27" t="s">
        <v>96</v>
      </c>
      <c r="L670" s="25" t="s">
        <v>1185</v>
      </c>
      <c r="M670" s="23" t="s">
        <v>1711</v>
      </c>
      <c r="N670" s="23" t="s">
        <v>225</v>
      </c>
      <c r="O670" s="24">
        <f aca="1">DATEDIF(F670,TODAY(),"Y")</f>
        <v>0</v>
      </c>
      <c r="P670" s="24">
        <f aca="1">DATEDIF(F670,TODAY(),"YM")</f>
        <v>11</v>
      </c>
      <c r="Q670" s="24" t="str">
        <f aca="1">DATEDIF(F670,NOW(),"Y")&amp;" Tahun "&amp;DATEDIF(F670,NOW(),"YM")&amp;" Bulan "&amp;DATEDIF(F670,NOW(),"MD")&amp;" Hari "</f>
        <v>0 Tahun 11 Bulan 6 Hari </v>
      </c>
      <c r="R670" s="25"/>
      <c r="S670" s="36"/>
      <c r="U670" s="51" t="n">
        <v>1350000</v>
      </c>
      <c r="V670" s="56"/>
    </row>
    <row r="671" spans="1:22" s="12" customFormat="1">
      <c r="A671" s="21" t="n">
        <v>668</v>
      </c>
      <c r="B671" s="21" t="str">
        <f>E671</f>
        <v>3513170909990004</v>
      </c>
      <c r="C671" s="38">
        <f>F671</f>
        <v>45597</v>
      </c>
      <c r="D671" s="22" t="s">
        <v>1735</v>
      </c>
      <c r="E671" s="191" t="s">
        <v>1736</v>
      </c>
      <c r="F671" s="36" t="n">
        <v>45597</v>
      </c>
      <c r="G671" s="21" t="s">
        <v>33</v>
      </c>
      <c r="H671" s="24" t="s">
        <v>1389</v>
      </c>
      <c r="I671" s="159" t="s">
        <v>1127</v>
      </c>
      <c r="J671" s="46" t="s">
        <v>1279</v>
      </c>
      <c r="K671" s="27" t="s">
        <v>96</v>
      </c>
      <c r="L671" s="25" t="s">
        <v>1185</v>
      </c>
      <c r="M671" s="23" t="s">
        <v>1711</v>
      </c>
      <c r="N671" s="23" t="s">
        <v>235</v>
      </c>
      <c r="O671" s="24">
        <f aca="1">DATEDIF(F671,TODAY(),"Y")</f>
        <v>0</v>
      </c>
      <c r="P671" s="24">
        <f aca="1">DATEDIF(F671,TODAY(),"YM")</f>
        <v>11</v>
      </c>
      <c r="Q671" s="24" t="str">
        <f aca="1">DATEDIF(F671,NOW(),"Y")&amp;" Tahun "&amp;DATEDIF(F671,NOW(),"YM")&amp;" Bulan "&amp;DATEDIF(F671,NOW(),"MD")&amp;" Hari "</f>
        <v>0 Tahun 11 Bulan 6 Hari </v>
      </c>
      <c r="R671" s="25"/>
      <c r="S671" s="36"/>
      <c r="U671" s="51" t="n">
        <v>1350000</v>
      </c>
      <c r="V671" s="56"/>
    </row>
    <row r="672" spans="1:22" s="12" customFormat="1">
      <c r="A672" s="21" t="n">
        <v>669</v>
      </c>
      <c r="B672" s="21" t="str">
        <f>E672</f>
        <v>3513065501010003</v>
      </c>
      <c r="C672" s="38">
        <f>F672</f>
        <v>45597</v>
      </c>
      <c r="D672" s="22" t="s">
        <v>1737</v>
      </c>
      <c r="E672" s="191" t="s">
        <v>1738</v>
      </c>
      <c r="F672" s="36" t="n">
        <v>45597</v>
      </c>
      <c r="G672" s="21" t="s">
        <v>24</v>
      </c>
      <c r="H672" s="24" t="s">
        <v>1389</v>
      </c>
      <c r="I672" s="159" t="s">
        <v>1127</v>
      </c>
      <c r="J672" s="46" t="s">
        <v>1279</v>
      </c>
      <c r="K672" s="27" t="s">
        <v>96</v>
      </c>
      <c r="L672" s="25" t="s">
        <v>1185</v>
      </c>
      <c r="M672" s="23" t="s">
        <v>1711</v>
      </c>
      <c r="N672" s="23" t="s">
        <v>278</v>
      </c>
      <c r="O672" s="24">
        <f aca="1">DATEDIF(F672,TODAY(),"Y")</f>
        <v>0</v>
      </c>
      <c r="P672" s="24">
        <f aca="1">DATEDIF(F672,TODAY(),"YM")</f>
        <v>11</v>
      </c>
      <c r="Q672" s="24" t="str">
        <f aca="1">DATEDIF(F672,NOW(),"Y")&amp;" Tahun "&amp;DATEDIF(F672,NOW(),"YM")&amp;" Bulan "&amp;DATEDIF(F672,NOW(),"MD")&amp;" Hari "</f>
        <v>0 Tahun 11 Bulan 6 Hari </v>
      </c>
      <c r="R672" s="25"/>
      <c r="S672" s="36"/>
      <c r="U672" s="51" t="n">
        <v>1350000</v>
      </c>
      <c r="V672" s="56"/>
    </row>
    <row r="673" spans="1:22" s="12" customFormat="1">
      <c r="A673" s="21" t="n">
        <v>670</v>
      </c>
      <c r="B673" s="21" t="str">
        <f>E673</f>
        <v>3513051605980001</v>
      </c>
      <c r="C673" s="38">
        <f>F673</f>
        <v>45597</v>
      </c>
      <c r="D673" s="22" t="s">
        <v>1739</v>
      </c>
      <c r="E673" s="191" t="s">
        <v>1740</v>
      </c>
      <c r="F673" s="36" t="n">
        <v>45597</v>
      </c>
      <c r="G673" s="21" t="s">
        <v>33</v>
      </c>
      <c r="H673" s="24" t="s">
        <v>1389</v>
      </c>
      <c r="I673" s="159" t="s">
        <v>1127</v>
      </c>
      <c r="J673" s="46" t="s">
        <v>1279</v>
      </c>
      <c r="K673" s="27" t="s">
        <v>96</v>
      </c>
      <c r="L673" s="25" t="s">
        <v>1185</v>
      </c>
      <c r="M673" s="23" t="s">
        <v>1711</v>
      </c>
      <c r="N673" s="23" t="s">
        <v>222</v>
      </c>
      <c r="O673" s="24">
        <f aca="1">DATEDIF(F673,TODAY(),"Y")</f>
        <v>0</v>
      </c>
      <c r="P673" s="24">
        <f aca="1">DATEDIF(F673,TODAY(),"YM")</f>
        <v>11</v>
      </c>
      <c r="Q673" s="24" t="str">
        <f aca="1">DATEDIF(F673,NOW(),"Y")&amp;" Tahun "&amp;DATEDIF(F673,NOW(),"YM")&amp;" Bulan "&amp;DATEDIF(F673,NOW(),"MD")&amp;" Hari "</f>
        <v>0 Tahun 11 Bulan 6 Hari </v>
      </c>
      <c r="R673" s="25"/>
      <c r="S673" s="36"/>
      <c r="U673" s="51" t="n">
        <v>1350000</v>
      </c>
      <c r="V673" s="56"/>
    </row>
    <row r="674" spans="1:22" s="12" customFormat="1">
      <c r="A674" s="21" t="n">
        <v>671</v>
      </c>
      <c r="B674" s="21" t="str">
        <f>E674</f>
        <v>3508101206000001</v>
      </c>
      <c r="C674" s="38">
        <f>F674</f>
        <v>45597</v>
      </c>
      <c r="D674" s="22" t="s">
        <v>1741</v>
      </c>
      <c r="E674" s="191" t="s">
        <v>1742</v>
      </c>
      <c r="F674" s="36" t="n">
        <v>45597</v>
      </c>
      <c r="G674" s="21" t="s">
        <v>33</v>
      </c>
      <c r="H674" s="24" t="s">
        <v>1389</v>
      </c>
      <c r="I674" s="159" t="s">
        <v>1127</v>
      </c>
      <c r="J674" s="23" t="s">
        <v>1184</v>
      </c>
      <c r="K674" s="27" t="s">
        <v>96</v>
      </c>
      <c r="L674" s="23" t="s">
        <v>1185</v>
      </c>
      <c r="M674" s="28" t="s">
        <v>181</v>
      </c>
      <c r="N674" s="23" t="s">
        <v>168</v>
      </c>
      <c r="O674" s="24">
        <f aca="1">DATEDIF(F674,TODAY(),"Y")</f>
        <v>0</v>
      </c>
      <c r="P674" s="24">
        <f aca="1">DATEDIF(F674,TODAY(),"YM")</f>
        <v>11</v>
      </c>
      <c r="Q674" s="24" t="str">
        <f aca="1">DATEDIF(F674,NOW(),"Y")&amp;" Tahun "&amp;DATEDIF(F674,NOW(),"YM")&amp;" Bulan "&amp;DATEDIF(F674,NOW(),"MD")&amp;" Hari "</f>
        <v>0 Tahun 11 Bulan 6 Hari </v>
      </c>
      <c r="R674" s="25"/>
      <c r="S674" s="36"/>
      <c r="U674" s="51" t="n">
        <v>1200000</v>
      </c>
      <c r="V674" s="56"/>
    </row>
    <row r="675" spans="1:22" s="12" customFormat="1">
      <c r="A675" s="21" t="n">
        <v>672</v>
      </c>
      <c r="B675" s="21" t="str">
        <f>E675</f>
        <v>3513196311990003</v>
      </c>
      <c r="C675" s="38">
        <f>F675</f>
        <v>45597</v>
      </c>
      <c r="D675" s="22" t="s">
        <v>1743</v>
      </c>
      <c r="E675" s="191" t="s">
        <v>1744</v>
      </c>
      <c r="F675" s="36" t="n">
        <v>45597</v>
      </c>
      <c r="G675" s="21" t="s">
        <v>24</v>
      </c>
      <c r="H675" s="24" t="s">
        <v>1389</v>
      </c>
      <c r="I675" s="159" t="s">
        <v>1127</v>
      </c>
      <c r="J675" s="55" t="s">
        <v>1745</v>
      </c>
      <c r="K675" s="27" t="s">
        <v>96</v>
      </c>
      <c r="L675" s="23" t="s">
        <v>1185</v>
      </c>
      <c r="M675" s="28" t="s">
        <v>181</v>
      </c>
      <c r="N675" s="30" t="s">
        <v>396</v>
      </c>
      <c r="O675" s="24">
        <f aca="1">DATEDIF(F675,TODAY(),"Y")</f>
        <v>0</v>
      </c>
      <c r="P675" s="24">
        <f aca="1">DATEDIF(F675,TODAY(),"YM")</f>
        <v>11</v>
      </c>
      <c r="Q675" s="24" t="str">
        <f aca="1">DATEDIF(F675,NOW(),"Y")&amp;" Tahun "&amp;DATEDIF(F675,NOW(),"YM")&amp;" Bulan "&amp;DATEDIF(F675,NOW(),"MD")&amp;" Hari "</f>
        <v>0 Tahun 11 Bulan 6 Hari </v>
      </c>
      <c r="R675" s="25"/>
      <c r="S675" s="36"/>
      <c r="U675" s="51" t="n">
        <v>1200000</v>
      </c>
      <c r="V675" s="56"/>
    </row>
    <row r="676" spans="1:22" s="12" customFormat="1">
      <c r="A676" s="21" t="n">
        <v>673</v>
      </c>
      <c r="B676" s="21" t="str">
        <f>E676</f>
        <v>3512146602010003</v>
      </c>
      <c r="C676" s="38">
        <f>F676</f>
        <v>45597</v>
      </c>
      <c r="D676" s="22" t="s">
        <v>1746</v>
      </c>
      <c r="E676" s="191" t="s">
        <v>1747</v>
      </c>
      <c r="F676" s="36" t="n">
        <v>45597</v>
      </c>
      <c r="G676" s="21" t="s">
        <v>24</v>
      </c>
      <c r="H676" s="24" t="s">
        <v>1389</v>
      </c>
      <c r="I676" s="159" t="s">
        <v>1127</v>
      </c>
      <c r="J676" s="23" t="s">
        <v>1184</v>
      </c>
      <c r="K676" s="27" t="s">
        <v>96</v>
      </c>
      <c r="L676" s="23" t="s">
        <v>1185</v>
      </c>
      <c r="M676" s="28" t="s">
        <v>181</v>
      </c>
      <c r="N676" s="30" t="s">
        <v>197</v>
      </c>
      <c r="O676" s="24">
        <f aca="1">DATEDIF(F676,TODAY(),"Y")</f>
        <v>0</v>
      </c>
      <c r="P676" s="24">
        <f aca="1">DATEDIF(F676,TODAY(),"YM")</f>
        <v>11</v>
      </c>
      <c r="Q676" s="24" t="str">
        <f aca="1">DATEDIF(F676,NOW(),"Y")&amp;" Tahun "&amp;DATEDIF(F676,NOW(),"YM")&amp;" Bulan "&amp;DATEDIF(F676,NOW(),"MD")&amp;" Hari "</f>
        <v>0 Tahun 11 Bulan 6 Hari </v>
      </c>
      <c r="R676" s="25"/>
      <c r="S676" s="36"/>
      <c r="U676" s="51" t="n">
        <v>1200000</v>
      </c>
      <c r="V676" s="56"/>
    </row>
    <row r="677" spans="1:22" s="12" customFormat="1">
      <c r="A677" s="21" t="n">
        <v>674</v>
      </c>
      <c r="B677" s="21" t="str">
        <f>E677</f>
        <v>3513072312960002</v>
      </c>
      <c r="C677" s="38">
        <f>F677</f>
        <v>45597</v>
      </c>
      <c r="D677" s="22" t="s">
        <v>1748</v>
      </c>
      <c r="E677" s="191" t="s">
        <v>1749</v>
      </c>
      <c r="F677" s="36" t="n">
        <v>45597</v>
      </c>
      <c r="G677" s="21" t="s">
        <v>33</v>
      </c>
      <c r="H677" s="24" t="s">
        <v>1389</v>
      </c>
      <c r="I677" s="159" t="s">
        <v>1127</v>
      </c>
      <c r="J677" s="23" t="s">
        <v>1184</v>
      </c>
      <c r="K677" s="27" t="s">
        <v>96</v>
      </c>
      <c r="L677" s="23" t="s">
        <v>1185</v>
      </c>
      <c r="M677" s="28" t="s">
        <v>181</v>
      </c>
      <c r="N677" s="23" t="s">
        <v>162</v>
      </c>
      <c r="O677" s="24">
        <f aca="1">DATEDIF(F677,TODAY(),"Y")</f>
        <v>0</v>
      </c>
      <c r="P677" s="24">
        <f aca="1">DATEDIF(F677,TODAY(),"YM")</f>
        <v>11</v>
      </c>
      <c r="Q677" s="24" t="str">
        <f aca="1">DATEDIF(F677,NOW(),"Y")&amp;" Tahun "&amp;DATEDIF(F677,NOW(),"YM")&amp;" Bulan "&amp;DATEDIF(F677,NOW(),"MD")&amp;" Hari "</f>
        <v>0 Tahun 11 Bulan 6 Hari </v>
      </c>
      <c r="R677" s="25"/>
      <c r="S677" s="36"/>
      <c r="U677" s="51" t="n">
        <v>1200000</v>
      </c>
      <c r="V677" s="56"/>
    </row>
    <row r="678" spans="1:22" s="12" customFormat="1">
      <c r="A678" s="21" t="n">
        <v>675</v>
      </c>
      <c r="B678" s="21" t="str">
        <f>E678</f>
        <v>3508036710930002</v>
      </c>
      <c r="C678" s="38">
        <f>F678</f>
        <v>45597</v>
      </c>
      <c r="D678" s="22" t="s">
        <v>1750</v>
      </c>
      <c r="E678" s="191" t="s">
        <v>1751</v>
      </c>
      <c r="F678" s="36" t="n">
        <v>45597</v>
      </c>
      <c r="G678" s="21" t="s">
        <v>24</v>
      </c>
      <c r="H678" s="24" t="s">
        <v>1389</v>
      </c>
      <c r="I678" s="159" t="s">
        <v>1127</v>
      </c>
      <c r="J678" s="23" t="s">
        <v>1184</v>
      </c>
      <c r="K678" s="27" t="s">
        <v>96</v>
      </c>
      <c r="L678" s="23" t="s">
        <v>1185</v>
      </c>
      <c r="M678" s="28" t="s">
        <v>181</v>
      </c>
      <c r="N678" s="23" t="s">
        <v>97</v>
      </c>
      <c r="O678" s="24">
        <f aca="1">DATEDIF(F678,TODAY(),"Y")</f>
        <v>0</v>
      </c>
      <c r="P678" s="24">
        <f aca="1">DATEDIF(F678,TODAY(),"YM")</f>
        <v>11</v>
      </c>
      <c r="Q678" s="24" t="str">
        <f aca="1">DATEDIF(F678,NOW(),"Y")&amp;" Tahun "&amp;DATEDIF(F678,NOW(),"YM")&amp;" Bulan "&amp;DATEDIF(F678,NOW(),"MD")&amp;" Hari "</f>
        <v>0 Tahun 11 Bulan 6 Hari </v>
      </c>
      <c r="R678" s="25"/>
      <c r="S678" s="36"/>
      <c r="U678" s="51" t="n">
        <v>1200000</v>
      </c>
      <c r="V678" s="56"/>
    </row>
    <row r="679" spans="1:22" s="12" customFormat="1">
      <c r="A679" s="21" t="n">
        <v>676</v>
      </c>
      <c r="B679" s="21" t="str">
        <f>E679</f>
        <v>3513146906000003</v>
      </c>
      <c r="C679" s="38">
        <f>F679</f>
        <v>45597</v>
      </c>
      <c r="D679" s="22" t="s">
        <v>1752</v>
      </c>
      <c r="E679" s="191" t="s">
        <v>1753</v>
      </c>
      <c r="F679" s="36" t="n">
        <v>45597</v>
      </c>
      <c r="G679" s="21" t="s">
        <v>24</v>
      </c>
      <c r="H679" s="24" t="s">
        <v>1389</v>
      </c>
      <c r="I679" s="159" t="s">
        <v>1127</v>
      </c>
      <c r="J679" s="23" t="s">
        <v>1184</v>
      </c>
      <c r="K679" s="27" t="s">
        <v>96</v>
      </c>
      <c r="L679" s="23" t="s">
        <v>1185</v>
      </c>
      <c r="M679" s="28" t="s">
        <v>181</v>
      </c>
      <c r="N679" s="23" t="s">
        <v>235</v>
      </c>
      <c r="O679" s="24">
        <f aca="1">DATEDIF(F679,TODAY(),"Y")</f>
        <v>0</v>
      </c>
      <c r="P679" s="24">
        <f aca="1">DATEDIF(F679,TODAY(),"YM")</f>
        <v>11</v>
      </c>
      <c r="Q679" s="24" t="str">
        <f aca="1">DATEDIF(F679,NOW(),"Y")&amp;" Tahun "&amp;DATEDIF(F679,NOW(),"YM")&amp;" Bulan "&amp;DATEDIF(F679,NOW(),"MD")&amp;" Hari "</f>
        <v>0 Tahun 11 Bulan 6 Hari </v>
      </c>
      <c r="R679" s="25"/>
      <c r="S679" s="36"/>
      <c r="U679" s="51" t="n">
        <v>1200000</v>
      </c>
      <c r="V679" s="56"/>
    </row>
    <row r="680" spans="1:22" s="12" customFormat="1">
      <c r="A680" s="21" t="n">
        <v>677</v>
      </c>
      <c r="B680" s="21" t="str">
        <f>E680</f>
        <v>3574045003960004</v>
      </c>
      <c r="C680" s="38">
        <f>F680</f>
        <v>45597</v>
      </c>
      <c r="D680" s="22" t="s">
        <v>1754</v>
      </c>
      <c r="E680" s="191" t="s">
        <v>1755</v>
      </c>
      <c r="F680" s="36" t="n">
        <v>45597</v>
      </c>
      <c r="G680" s="21" t="s">
        <v>24</v>
      </c>
      <c r="H680" s="24" t="s">
        <v>1389</v>
      </c>
      <c r="I680" s="159" t="s">
        <v>1127</v>
      </c>
      <c r="J680" s="23" t="s">
        <v>1184</v>
      </c>
      <c r="K680" s="27" t="s">
        <v>96</v>
      </c>
      <c r="L680" s="23" t="s">
        <v>1185</v>
      </c>
      <c r="M680" s="28" t="s">
        <v>181</v>
      </c>
      <c r="N680" s="23" t="s">
        <v>275</v>
      </c>
      <c r="O680" s="24">
        <f aca="1">DATEDIF(F680,TODAY(),"Y")</f>
        <v>0</v>
      </c>
      <c r="P680" s="24">
        <f aca="1">DATEDIF(F680,TODAY(),"YM")</f>
        <v>11</v>
      </c>
      <c r="Q680" s="24" t="str">
        <f aca="1">DATEDIF(F680,NOW(),"Y")&amp;" Tahun "&amp;DATEDIF(F680,NOW(),"YM")&amp;" Bulan "&amp;DATEDIF(F680,NOW(),"MD")&amp;" Hari "</f>
        <v>0 Tahun 11 Bulan 6 Hari </v>
      </c>
      <c r="R680" s="25"/>
      <c r="S680" s="36"/>
      <c r="U680" s="51" t="n">
        <v>1200000</v>
      </c>
      <c r="V680" s="56"/>
    </row>
    <row r="681" spans="1:22" s="12" customFormat="1">
      <c r="A681" s="21" t="n">
        <v>678</v>
      </c>
      <c r="B681" s="21" t="str">
        <f>E681</f>
        <v>3513133103020001</v>
      </c>
      <c r="C681" s="38">
        <f>F681</f>
        <v>45597</v>
      </c>
      <c r="D681" s="22" t="s">
        <v>1756</v>
      </c>
      <c r="E681" s="191" t="s">
        <v>1757</v>
      </c>
      <c r="F681" s="36" t="n">
        <v>45597</v>
      </c>
      <c r="G681" s="21" t="s">
        <v>33</v>
      </c>
      <c r="H681" s="24" t="s">
        <v>1389</v>
      </c>
      <c r="I681" s="159" t="s">
        <v>1127</v>
      </c>
      <c r="J681" s="23" t="s">
        <v>1184</v>
      </c>
      <c r="K681" s="27" t="s">
        <v>96</v>
      </c>
      <c r="L681" s="23" t="s">
        <v>1185</v>
      </c>
      <c r="M681" s="28" t="s">
        <v>181</v>
      </c>
      <c r="N681" s="23" t="s">
        <v>406</v>
      </c>
      <c r="O681" s="24">
        <f aca="1">DATEDIF(F681,TODAY(),"Y")</f>
        <v>0</v>
      </c>
      <c r="P681" s="24">
        <f aca="1">DATEDIF(F681,TODAY(),"YM")</f>
        <v>11</v>
      </c>
      <c r="Q681" s="24" t="str">
        <f aca="1">DATEDIF(F681,NOW(),"Y")&amp;" Tahun "&amp;DATEDIF(F681,NOW(),"YM")&amp;" Bulan "&amp;DATEDIF(F681,NOW(),"MD")&amp;" Hari "</f>
        <v>0 Tahun 11 Bulan 6 Hari </v>
      </c>
      <c r="R681" s="25"/>
      <c r="S681" s="36"/>
      <c r="U681" s="51" t="n">
        <v>1200000</v>
      </c>
      <c r="V681" s="56"/>
    </row>
    <row r="682" spans="1:22" s="12" customFormat="1">
      <c r="A682" s="21" t="n">
        <v>679</v>
      </c>
      <c r="B682" s="21" t="str">
        <f>E682</f>
        <v>3514215107000002</v>
      </c>
      <c r="C682" s="38">
        <f>F682</f>
        <v>45597</v>
      </c>
      <c r="D682" s="22" t="s">
        <v>1758</v>
      </c>
      <c r="E682" s="191" t="s">
        <v>1759</v>
      </c>
      <c r="F682" s="36" t="n">
        <v>45597</v>
      </c>
      <c r="G682" s="21" t="s">
        <v>24</v>
      </c>
      <c r="H682" s="24" t="s">
        <v>1389</v>
      </c>
      <c r="I682" s="159" t="s">
        <v>1127</v>
      </c>
      <c r="J682" s="23" t="s">
        <v>1184</v>
      </c>
      <c r="K682" s="27" t="s">
        <v>96</v>
      </c>
      <c r="L682" s="23" t="s">
        <v>1185</v>
      </c>
      <c r="M682" s="28" t="s">
        <v>181</v>
      </c>
      <c r="N682" s="23" t="s">
        <v>331</v>
      </c>
      <c r="O682" s="24">
        <f aca="1">DATEDIF(F682,TODAY(),"Y")</f>
        <v>0</v>
      </c>
      <c r="P682" s="24">
        <f aca="1">DATEDIF(F682,TODAY(),"YM")</f>
        <v>11</v>
      </c>
      <c r="Q682" s="24" t="str">
        <f aca="1">DATEDIF(F682,NOW(),"Y")&amp;" Tahun "&amp;DATEDIF(F682,NOW(),"YM")&amp;" Bulan "&amp;DATEDIF(F682,NOW(),"MD")&amp;" Hari "</f>
        <v>0 Tahun 11 Bulan 6 Hari </v>
      </c>
      <c r="R682" s="25"/>
      <c r="S682" s="36"/>
      <c r="U682" s="51" t="n">
        <v>1200000</v>
      </c>
      <c r="V682" s="56"/>
    </row>
    <row r="683" spans="1:22" s="12" customFormat="1">
      <c r="A683" s="21" t="n">
        <v>680</v>
      </c>
      <c r="B683" s="21" t="str">
        <f>E683</f>
        <v>3513075712020002</v>
      </c>
      <c r="C683" s="38">
        <f>F683</f>
        <v>45597</v>
      </c>
      <c r="D683" s="22" t="s">
        <v>1760</v>
      </c>
      <c r="E683" s="191" t="s">
        <v>1761</v>
      </c>
      <c r="F683" s="36" t="n">
        <v>45597</v>
      </c>
      <c r="G683" s="21" t="s">
        <v>24</v>
      </c>
      <c r="H683" s="24" t="s">
        <v>1389</v>
      </c>
      <c r="I683" s="159" t="s">
        <v>1127</v>
      </c>
      <c r="J683" s="23" t="s">
        <v>1184</v>
      </c>
      <c r="K683" s="27" t="s">
        <v>96</v>
      </c>
      <c r="L683" s="23" t="s">
        <v>1185</v>
      </c>
      <c r="M683" s="28" t="s">
        <v>181</v>
      </c>
      <c r="N683" s="23" t="s">
        <v>406</v>
      </c>
      <c r="O683" s="24">
        <f aca="1">DATEDIF(F683,TODAY(),"Y")</f>
        <v>0</v>
      </c>
      <c r="P683" s="24">
        <f aca="1">DATEDIF(F683,TODAY(),"YM")</f>
        <v>11</v>
      </c>
      <c r="Q683" s="24" t="str">
        <f aca="1">DATEDIF(F683,NOW(),"Y")&amp;" Tahun "&amp;DATEDIF(F683,NOW(),"YM")&amp;" Bulan "&amp;DATEDIF(F683,NOW(),"MD")&amp;" Hari "</f>
        <v>0 Tahun 11 Bulan 6 Hari </v>
      </c>
      <c r="R683" s="25"/>
      <c r="S683" s="36"/>
      <c r="U683" s="51" t="n">
        <v>1200000</v>
      </c>
      <c r="V683" s="56"/>
    </row>
    <row r="684" spans="1:22" s="12" customFormat="1">
      <c r="A684" s="21" t="n">
        <v>681</v>
      </c>
      <c r="B684" s="21" t="str">
        <f>E684</f>
        <v>3513154905000001</v>
      </c>
      <c r="C684" s="38">
        <f>F684</f>
        <v>45597</v>
      </c>
      <c r="D684" s="22" t="s">
        <v>1762</v>
      </c>
      <c r="E684" s="191" t="s">
        <v>1763</v>
      </c>
      <c r="F684" s="36" t="n">
        <v>45597</v>
      </c>
      <c r="G684" s="21" t="s">
        <v>24</v>
      </c>
      <c r="H684" s="24" t="s">
        <v>1389</v>
      </c>
      <c r="I684" s="159" t="s">
        <v>1127</v>
      </c>
      <c r="J684" s="23" t="s">
        <v>1184</v>
      </c>
      <c r="K684" s="27" t="s">
        <v>96</v>
      </c>
      <c r="L684" s="23" t="s">
        <v>1185</v>
      </c>
      <c r="M684" s="28" t="s">
        <v>181</v>
      </c>
      <c r="N684" s="23" t="s">
        <v>162</v>
      </c>
      <c r="O684" s="24">
        <f aca="1">DATEDIF(F684,TODAY(),"Y")</f>
        <v>0</v>
      </c>
      <c r="P684" s="24">
        <f aca="1">DATEDIF(F684,TODAY(),"YM")</f>
        <v>11</v>
      </c>
      <c r="Q684" s="24" t="str">
        <f aca="1">DATEDIF(F684,NOW(),"Y")&amp;" Tahun "&amp;DATEDIF(F684,NOW(),"YM")&amp;" Bulan "&amp;DATEDIF(F684,NOW(),"MD")&amp;" Hari "</f>
        <v>0 Tahun 11 Bulan 6 Hari </v>
      </c>
      <c r="R684" s="25"/>
      <c r="S684" s="36"/>
      <c r="U684" s="51" t="n">
        <v>1200000</v>
      </c>
      <c r="V684" s="56"/>
    </row>
    <row r="685" spans="1:22" s="12" customFormat="1">
      <c r="A685" s="21" t="n">
        <v>682</v>
      </c>
      <c r="B685" s="21" t="str">
        <f>E685</f>
        <v>3513054110010002</v>
      </c>
      <c r="C685" s="38">
        <f>F685</f>
        <v>45597</v>
      </c>
      <c r="D685" s="22" t="s">
        <v>1764</v>
      </c>
      <c r="E685" s="191" t="s">
        <v>1765</v>
      </c>
      <c r="F685" s="36" t="n">
        <v>45597</v>
      </c>
      <c r="G685" s="21" t="s">
        <v>24</v>
      </c>
      <c r="H685" s="24" t="s">
        <v>1389</v>
      </c>
      <c r="I685" s="159" t="s">
        <v>1127</v>
      </c>
      <c r="J685" s="23" t="s">
        <v>1184</v>
      </c>
      <c r="K685" s="27" t="s">
        <v>96</v>
      </c>
      <c r="L685" s="23" t="s">
        <v>1185</v>
      </c>
      <c r="M685" s="28" t="s">
        <v>181</v>
      </c>
      <c r="N685" s="23" t="s">
        <v>222</v>
      </c>
      <c r="O685" s="24">
        <f aca="1">DATEDIF(F685,TODAY(),"Y")</f>
        <v>0</v>
      </c>
      <c r="P685" s="24">
        <f aca="1">DATEDIF(F685,TODAY(),"YM")</f>
        <v>11</v>
      </c>
      <c r="Q685" s="24" t="str">
        <f aca="1">DATEDIF(F685,NOW(),"Y")&amp;" Tahun "&amp;DATEDIF(F685,NOW(),"YM")&amp;" Bulan "&amp;DATEDIF(F685,NOW(),"MD")&amp;" Hari "</f>
        <v>0 Tahun 11 Bulan 6 Hari </v>
      </c>
      <c r="R685" s="25"/>
      <c r="S685" s="36"/>
      <c r="U685" s="51" t="n">
        <v>1200000</v>
      </c>
      <c r="V685" s="56"/>
    </row>
    <row r="686" spans="1:22" s="12" customFormat="1">
      <c r="A686" s="21" t="n">
        <v>683</v>
      </c>
      <c r="B686" s="21" t="str">
        <f>E686</f>
        <v>3508206706960006</v>
      </c>
      <c r="C686" s="38">
        <f>F686</f>
        <v>45597</v>
      </c>
      <c r="D686" s="22" t="s">
        <v>1766</v>
      </c>
      <c r="E686" s="191" t="s">
        <v>1767</v>
      </c>
      <c r="F686" s="36" t="n">
        <v>45597</v>
      </c>
      <c r="G686" s="21" t="s">
        <v>24</v>
      </c>
      <c r="H686" s="24" t="s">
        <v>1389</v>
      </c>
      <c r="I686" s="159" t="s">
        <v>1127</v>
      </c>
      <c r="J686" s="23" t="s">
        <v>1184</v>
      </c>
      <c r="K686" s="27" t="s">
        <v>96</v>
      </c>
      <c r="L686" s="23" t="s">
        <v>1185</v>
      </c>
      <c r="M686" s="28" t="s">
        <v>181</v>
      </c>
      <c r="N686" s="23" t="s">
        <v>225</v>
      </c>
      <c r="O686" s="24">
        <f aca="1">DATEDIF(F686,TODAY(),"Y")</f>
        <v>0</v>
      </c>
      <c r="P686" s="24">
        <f aca="1">DATEDIF(F686,TODAY(),"YM")</f>
        <v>11</v>
      </c>
      <c r="Q686" s="24" t="str">
        <f aca="1">DATEDIF(F686,NOW(),"Y")&amp;" Tahun "&amp;DATEDIF(F686,NOW(),"YM")&amp;" Bulan "&amp;DATEDIF(F686,NOW(),"MD")&amp;" Hari "</f>
        <v>0 Tahun 11 Bulan 6 Hari </v>
      </c>
      <c r="R686" s="25"/>
      <c r="S686" s="36"/>
      <c r="U686" s="51" t="n">
        <v>1200000</v>
      </c>
      <c r="V686" s="56"/>
    </row>
    <row r="687" spans="1:22" s="12" customFormat="1">
      <c r="A687" s="21" t="n">
        <v>684</v>
      </c>
      <c r="B687" s="21" t="str">
        <f>E687</f>
        <v>3513060909990003</v>
      </c>
      <c r="C687" s="38">
        <f>F687</f>
        <v>45597</v>
      </c>
      <c r="D687" s="22" t="s">
        <v>1768</v>
      </c>
      <c r="E687" s="191" t="s">
        <v>1769</v>
      </c>
      <c r="F687" s="36" t="n">
        <v>45597</v>
      </c>
      <c r="G687" s="21" t="s">
        <v>33</v>
      </c>
      <c r="H687" s="24" t="s">
        <v>1389</v>
      </c>
      <c r="I687" s="159" t="s">
        <v>1127</v>
      </c>
      <c r="J687" s="23" t="s">
        <v>1184</v>
      </c>
      <c r="K687" s="27" t="s">
        <v>96</v>
      </c>
      <c r="L687" s="23" t="s">
        <v>1185</v>
      </c>
      <c r="M687" s="28" t="s">
        <v>181</v>
      </c>
      <c r="N687" s="23" t="s">
        <v>225</v>
      </c>
      <c r="O687" s="24">
        <f aca="1">DATEDIF(F687,TODAY(),"Y")</f>
        <v>0</v>
      </c>
      <c r="P687" s="24">
        <f aca="1">DATEDIF(F687,TODAY(),"YM")</f>
        <v>11</v>
      </c>
      <c r="Q687" s="24" t="str">
        <f aca="1">DATEDIF(F687,NOW(),"Y")&amp;" Tahun "&amp;DATEDIF(F687,NOW(),"YM")&amp;" Bulan "&amp;DATEDIF(F687,NOW(),"MD")&amp;" Hari "</f>
        <v>0 Tahun 11 Bulan 6 Hari </v>
      </c>
      <c r="R687" s="25"/>
      <c r="S687" s="36"/>
      <c r="U687" s="51" t="n">
        <v>1200000</v>
      </c>
      <c r="V687" s="56"/>
    </row>
    <row r="688" spans="1:22" s="12" customFormat="1">
      <c r="A688" s="21" t="n">
        <v>685</v>
      </c>
      <c r="B688" s="21" t="str">
        <f>E688</f>
        <v>3513140303970001</v>
      </c>
      <c r="C688" s="38">
        <f>F688</f>
        <v>45597</v>
      </c>
      <c r="D688" s="22" t="s">
        <v>1770</v>
      </c>
      <c r="E688" s="191" t="s">
        <v>1771</v>
      </c>
      <c r="F688" s="36" t="n">
        <v>45597</v>
      </c>
      <c r="G688" s="21" t="s">
        <v>33</v>
      </c>
      <c r="H688" s="24" t="s">
        <v>1389</v>
      </c>
      <c r="I688" s="159" t="s">
        <v>1127</v>
      </c>
      <c r="J688" s="23" t="s">
        <v>1184</v>
      </c>
      <c r="K688" s="27" t="s">
        <v>96</v>
      </c>
      <c r="L688" s="23" t="s">
        <v>1185</v>
      </c>
      <c r="M688" s="28" t="s">
        <v>181</v>
      </c>
      <c r="N688" s="23" t="s">
        <v>68</v>
      </c>
      <c r="O688" s="24">
        <f aca="1">DATEDIF(F688,TODAY(),"Y")</f>
        <v>0</v>
      </c>
      <c r="P688" s="24">
        <f aca="1">DATEDIF(F688,TODAY(),"YM")</f>
        <v>11</v>
      </c>
      <c r="Q688" s="24" t="str">
        <f aca="1">DATEDIF(F688,NOW(),"Y")&amp;" Tahun "&amp;DATEDIF(F688,NOW(),"YM")&amp;" Bulan "&amp;DATEDIF(F688,NOW(),"MD")&amp;" Hari "</f>
        <v>0 Tahun 11 Bulan 6 Hari </v>
      </c>
      <c r="R688" s="25"/>
      <c r="S688" s="36"/>
      <c r="U688" s="51" t="n">
        <v>1200000</v>
      </c>
      <c r="V688" s="56"/>
    </row>
    <row r="689" spans="1:22" s="12" customFormat="1">
      <c r="A689" s="21" t="n">
        <v>686</v>
      </c>
      <c r="B689" s="21" t="str">
        <f>E689</f>
        <v>3513146510990003</v>
      </c>
      <c r="C689" s="38">
        <f>F689</f>
        <v>45597</v>
      </c>
      <c r="D689" s="22" t="s">
        <v>1772</v>
      </c>
      <c r="E689" s="191" t="s">
        <v>1773</v>
      </c>
      <c r="F689" s="36" t="n">
        <v>45597</v>
      </c>
      <c r="G689" s="21" t="s">
        <v>24</v>
      </c>
      <c r="H689" s="24" t="s">
        <v>1389</v>
      </c>
      <c r="I689" s="159" t="s">
        <v>1127</v>
      </c>
      <c r="J689" s="25" t="s">
        <v>1774</v>
      </c>
      <c r="K689" s="22" t="s">
        <v>101</v>
      </c>
      <c r="L689" s="25" t="s">
        <v>1775</v>
      </c>
      <c r="M689" s="28" t="s">
        <v>1776</v>
      </c>
      <c r="N689" s="23" t="s">
        <v>103</v>
      </c>
      <c r="O689" s="24">
        <f aca="1">DATEDIF(F689,TODAY(),"Y")</f>
        <v>0</v>
      </c>
      <c r="P689" s="24">
        <f aca="1">DATEDIF(F689,TODAY(),"YM")</f>
        <v>11</v>
      </c>
      <c r="Q689" s="24" t="str">
        <f aca="1">DATEDIF(F689,NOW(),"Y")&amp;" Tahun "&amp;DATEDIF(F689,NOW(),"YM")&amp;" Bulan "&amp;DATEDIF(F689,NOW(),"MD")&amp;" Hari "</f>
        <v>0 Tahun 11 Bulan 6 Hari </v>
      </c>
      <c r="R689" s="25"/>
      <c r="S689" s="36"/>
      <c r="U689" s="51" t="n">
        <v>1600000</v>
      </c>
      <c r="V689" s="56"/>
    </row>
    <row r="690" spans="1:22" s="12" customFormat="1">
      <c r="A690" s="21" t="n">
        <v>687</v>
      </c>
      <c r="B690" s="21" t="str">
        <f>E690</f>
        <v>3513145704000002</v>
      </c>
      <c r="C690" s="38">
        <f>F690</f>
        <v>45597</v>
      </c>
      <c r="D690" s="22" t="s">
        <v>1777</v>
      </c>
      <c r="E690" s="191" t="s">
        <v>1778</v>
      </c>
      <c r="F690" s="36" t="n">
        <v>45597</v>
      </c>
      <c r="G690" s="21" t="s">
        <v>24</v>
      </c>
      <c r="H690" s="24" t="s">
        <v>1389</v>
      </c>
      <c r="I690" s="159" t="s">
        <v>1127</v>
      </c>
      <c r="J690" s="25" t="s">
        <v>1779</v>
      </c>
      <c r="K690" s="22" t="s">
        <v>132</v>
      </c>
      <c r="L690" s="25" t="s">
        <v>1780</v>
      </c>
      <c r="M690" s="25" t="s">
        <v>1781</v>
      </c>
      <c r="N690" s="23" t="s">
        <v>173</v>
      </c>
      <c r="O690" s="24">
        <f aca="1">DATEDIF(F690,TODAY(),"Y")</f>
        <v>0</v>
      </c>
      <c r="P690" s="24">
        <f aca="1">DATEDIF(F690,TODAY(),"YM")</f>
        <v>11</v>
      </c>
      <c r="Q690" s="24" t="str">
        <f aca="1">DATEDIF(F690,NOW(),"Y")&amp;" Tahun "&amp;DATEDIF(F690,NOW(),"YM")&amp;" Bulan "&amp;DATEDIF(F690,NOW(),"MD")&amp;" Hari "</f>
        <v>0 Tahun 11 Bulan 6 Hari </v>
      </c>
      <c r="R690" s="25"/>
      <c r="S690" s="36"/>
      <c r="U690" s="51" t="n">
        <v>1350000</v>
      </c>
      <c r="V690" s="56"/>
    </row>
    <row r="691" spans="1:22" s="12" customFormat="1">
      <c r="A691" s="21" t="n">
        <v>688</v>
      </c>
      <c r="B691" s="21" t="str">
        <f>E691</f>
        <v>3513140501000004</v>
      </c>
      <c r="C691" s="38">
        <f>F691</f>
        <v>45597</v>
      </c>
      <c r="D691" s="22" t="s">
        <v>1782</v>
      </c>
      <c r="E691" s="191" t="s">
        <v>1783</v>
      </c>
      <c r="F691" s="36" t="n">
        <v>45597</v>
      </c>
      <c r="G691" s="21" t="s">
        <v>33</v>
      </c>
      <c r="H691" s="24" t="s">
        <v>1389</v>
      </c>
      <c r="I691" s="159" t="s">
        <v>1127</v>
      </c>
      <c r="J691" s="25" t="s">
        <v>1784</v>
      </c>
      <c r="K691" s="22" t="s">
        <v>594</v>
      </c>
      <c r="L691" s="25" t="s">
        <v>1784</v>
      </c>
      <c r="M691" s="25" t="s">
        <v>1781</v>
      </c>
      <c r="N691" s="23" t="s">
        <v>87</v>
      </c>
      <c r="O691" s="24">
        <f aca="1">DATEDIF(F691,TODAY(),"Y")</f>
        <v>0</v>
      </c>
      <c r="P691" s="24">
        <f aca="1">DATEDIF(F691,TODAY(),"YM")</f>
        <v>11</v>
      </c>
      <c r="Q691" s="24" t="str">
        <f aca="1">DATEDIF(F691,NOW(),"Y")&amp;" Tahun "&amp;DATEDIF(F691,NOW(),"YM")&amp;" Bulan "&amp;DATEDIF(F691,NOW(),"MD")&amp;" Hari "</f>
        <v>0 Tahun 11 Bulan 6 Hari </v>
      </c>
      <c r="R691" s="25"/>
      <c r="S691" s="36"/>
      <c r="U691" s="51" t="n">
        <v>1350000</v>
      </c>
      <c r="V691" s="56"/>
    </row>
    <row r="692" spans="1:22" s="12" customFormat="1">
      <c r="A692" s="21" t="n">
        <v>689</v>
      </c>
      <c r="B692" s="21" t="str">
        <f>E692</f>
        <v>3513054604030001</v>
      </c>
      <c r="C692" s="38">
        <f>F692</f>
        <v>45597</v>
      </c>
      <c r="D692" s="22" t="s">
        <v>1785</v>
      </c>
      <c r="E692" s="201" t="s">
        <v>1786</v>
      </c>
      <c r="F692" s="36" t="n">
        <v>45597</v>
      </c>
      <c r="G692" s="21" t="s">
        <v>24</v>
      </c>
      <c r="H692" s="24" t="s">
        <v>1389</v>
      </c>
      <c r="I692" s="159" t="s">
        <v>1127</v>
      </c>
      <c r="J692" s="25" t="s">
        <v>1787</v>
      </c>
      <c r="K692" s="22" t="s">
        <v>242</v>
      </c>
      <c r="L692" s="25" t="s">
        <v>1788</v>
      </c>
      <c r="M692" s="25" t="s">
        <v>1781</v>
      </c>
      <c r="N692" s="23" t="s">
        <v>168</v>
      </c>
      <c r="O692" s="24">
        <f aca="1">DATEDIF(F692,TODAY(),"Y")</f>
        <v>0</v>
      </c>
      <c r="P692" s="24">
        <f aca="1">DATEDIF(F692,TODAY(),"YM")</f>
        <v>11</v>
      </c>
      <c r="Q692" s="24" t="str">
        <f aca="1">DATEDIF(F692,NOW(),"Y")&amp;" Tahun "&amp;DATEDIF(F692,NOW(),"YM")&amp;" Bulan "&amp;DATEDIF(F692,NOW(),"MD")&amp;" Hari "</f>
        <v>0 Tahun 11 Bulan 6 Hari </v>
      </c>
      <c r="R692" s="25"/>
      <c r="S692" s="36"/>
      <c r="U692" s="51" t="n">
        <v>1350000</v>
      </c>
      <c r="V692" s="56"/>
    </row>
    <row r="693" spans="1:22" s="12" customFormat="1">
      <c r="A693" s="21" t="n">
        <v>690</v>
      </c>
      <c r="B693" s="21" t="str">
        <f>E693</f>
        <v>3574041401900001</v>
      </c>
      <c r="C693" s="38">
        <f>F693</f>
        <v>45597</v>
      </c>
      <c r="D693" s="95" t="s">
        <v>1789</v>
      </c>
      <c r="E693" s="202" t="s">
        <v>1790</v>
      </c>
      <c r="F693" s="94" t="n">
        <v>45597</v>
      </c>
      <c r="G693" s="21" t="s">
        <v>33</v>
      </c>
      <c r="H693" s="24" t="s">
        <v>1389</v>
      </c>
      <c r="I693" s="159" t="s">
        <v>1127</v>
      </c>
      <c r="J693" s="25" t="s">
        <v>1791</v>
      </c>
      <c r="K693" s="22" t="s">
        <v>28</v>
      </c>
      <c r="L693" s="25" t="s">
        <v>262</v>
      </c>
      <c r="M693" s="25" t="s">
        <v>1792</v>
      </c>
      <c r="N693" s="23" t="s">
        <v>1793</v>
      </c>
      <c r="O693" s="24">
        <f aca="1">DATEDIF(F693,TODAY(),"Y")</f>
        <v>0</v>
      </c>
      <c r="P693" s="24">
        <f aca="1">DATEDIF(F693,TODAY(),"YM")</f>
        <v>11</v>
      </c>
      <c r="Q693" s="24" t="str">
        <f aca="1">DATEDIF(F693,NOW(),"Y")&amp;" Tahun "&amp;DATEDIF(F693,NOW(),"YM")&amp;" Bulan "&amp;DATEDIF(F693,NOW(),"MD")&amp;" Hari "</f>
        <v>0 Tahun 11 Bulan 6 Hari </v>
      </c>
      <c r="R693" s="25"/>
      <c r="S693" s="36"/>
      <c r="U693" s="51" t="n">
        <v>1200000</v>
      </c>
      <c r="V693" s="56"/>
    </row>
    <row r="694" spans="1:22" s="12" customFormat="1">
      <c r="A694" s="21" t="n">
        <v>691</v>
      </c>
      <c r="B694" s="21" t="str">
        <f>E694</f>
        <v>3513176109960001</v>
      </c>
      <c r="C694" s="38">
        <f>F694</f>
        <v>45870</v>
      </c>
      <c r="D694" s="86" t="s">
        <v>1794</v>
      </c>
      <c r="E694" s="96" t="s">
        <v>1795</v>
      </c>
      <c r="F694" s="91" t="n">
        <v>45870</v>
      </c>
      <c r="G694" s="21" t="s">
        <v>24</v>
      </c>
      <c r="H694" s="24" t="s">
        <v>1389</v>
      </c>
      <c r="I694" s="159" t="s">
        <v>1127</v>
      </c>
      <c r="J694" s="46" t="s">
        <v>1279</v>
      </c>
      <c r="K694" s="27" t="s">
        <v>96</v>
      </c>
      <c r="L694" s="56"/>
      <c r="M694" s="57" t="s">
        <v>1796</v>
      </c>
      <c r="N694" s="55" t="s">
        <v>1174</v>
      </c>
      <c r="O694" s="24">
        <f aca="1">DATEDIF(F694,TODAY(),"Y")</f>
        <v>0</v>
      </c>
      <c r="P694" s="24">
        <f aca="1">DATEDIF(F694,TODAY(),"YM")</f>
        <v>2</v>
      </c>
      <c r="Q694" s="24" t="str">
        <f aca="1">DATEDIF(F694,NOW(),"Y")&amp;" Tahun "&amp;DATEDIF(F694,NOW(),"YM")&amp;" Bulan "&amp;DATEDIF(F694,NOW(),"MD")&amp;" Hari "</f>
        <v>0 Tahun 2 Bulan 6 Hari </v>
      </c>
      <c r="R694" s="56"/>
      <c r="S694" s="58"/>
      <c r="V694" s="56"/>
    </row>
    <row r="695" spans="1:22" s="12" customFormat="1">
      <c r="A695" s="21" t="n">
        <v>692</v>
      </c>
      <c r="B695" s="21" t="str">
        <f>E695</f>
        <v>3513072801990003</v>
      </c>
      <c r="C695" s="38">
        <f>F695</f>
        <v>45870</v>
      </c>
      <c r="D695" s="86" t="s">
        <v>1797</v>
      </c>
      <c r="E695" s="96" t="s">
        <v>1798</v>
      </c>
      <c r="F695" s="91" t="n">
        <v>45870</v>
      </c>
      <c r="G695" s="21" t="s">
        <v>33</v>
      </c>
      <c r="H695" s="24" t="s">
        <v>1389</v>
      </c>
      <c r="I695" s="159" t="s">
        <v>1127</v>
      </c>
      <c r="J695" s="46" t="s">
        <v>1279</v>
      </c>
      <c r="K695" s="27" t="s">
        <v>96</v>
      </c>
      <c r="L695" s="56"/>
      <c r="M695" s="57" t="s">
        <v>1796</v>
      </c>
      <c r="N695" s="55" t="s">
        <v>1174</v>
      </c>
      <c r="O695" s="24">
        <f aca="1">DATEDIF(F695,TODAY(),"Y")</f>
        <v>0</v>
      </c>
      <c r="P695" s="24">
        <f aca="1">DATEDIF(F695,TODAY(),"YM")</f>
        <v>2</v>
      </c>
      <c r="Q695" s="24" t="str">
        <f aca="1">DATEDIF(F695,NOW(),"Y")&amp;" Tahun "&amp;DATEDIF(F695,NOW(),"YM")&amp;" Bulan "&amp;DATEDIF(F695,NOW(),"MD")&amp;" Hari "</f>
        <v>0 Tahun 2 Bulan 6 Hari </v>
      </c>
      <c r="R695" s="56"/>
      <c r="S695" s="58"/>
      <c r="V695" s="56"/>
    </row>
    <row r="696" spans="1:22" s="12" customFormat="1">
      <c r="A696" s="21" t="n">
        <v>693</v>
      </c>
      <c r="B696" s="21" t="str">
        <f>E696</f>
        <v>3513146208960002</v>
      </c>
      <c r="C696" s="38">
        <f>F696</f>
        <v>45870</v>
      </c>
      <c r="D696" s="86" t="s">
        <v>1799</v>
      </c>
      <c r="E696" s="96" t="s">
        <v>1800</v>
      </c>
      <c r="F696" s="91" t="n">
        <v>45870</v>
      </c>
      <c r="G696" s="21" t="s">
        <v>24</v>
      </c>
      <c r="H696" s="24" t="s">
        <v>1389</v>
      </c>
      <c r="I696" s="159" t="s">
        <v>1127</v>
      </c>
      <c r="J696" s="46" t="s">
        <v>1279</v>
      </c>
      <c r="K696" s="27" t="s">
        <v>96</v>
      </c>
      <c r="L696" s="56"/>
      <c r="M696" s="57" t="s">
        <v>1796</v>
      </c>
      <c r="N696" s="55" t="s">
        <v>1174</v>
      </c>
      <c r="O696" s="24">
        <f aca="1">DATEDIF(F696,TODAY(),"Y")</f>
        <v>0</v>
      </c>
      <c r="P696" s="24">
        <f aca="1">DATEDIF(F696,TODAY(),"YM")</f>
        <v>2</v>
      </c>
      <c r="Q696" s="24" t="str">
        <f aca="1">DATEDIF(F696,NOW(),"Y")&amp;" Tahun "&amp;DATEDIF(F696,NOW(),"YM")&amp;" Bulan "&amp;DATEDIF(F696,NOW(),"MD")&amp;" Hari "</f>
        <v>0 Tahun 2 Bulan 6 Hari </v>
      </c>
      <c r="R696" s="56"/>
      <c r="S696" s="58"/>
      <c r="V696" s="56"/>
    </row>
    <row r="697" spans="1:22" s="12" customFormat="1">
      <c r="A697" s="21" t="n">
        <v>694</v>
      </c>
      <c r="B697" s="21" t="str">
        <f>E697</f>
        <v>3513055909920001</v>
      </c>
      <c r="C697" s="38">
        <f>F697</f>
        <v>45870</v>
      </c>
      <c r="D697" s="86" t="s">
        <v>1801</v>
      </c>
      <c r="E697" s="96" t="s">
        <v>1802</v>
      </c>
      <c r="F697" s="91" t="n">
        <v>45870</v>
      </c>
      <c r="G697" s="21" t="s">
        <v>24</v>
      </c>
      <c r="H697" s="24" t="s">
        <v>1389</v>
      </c>
      <c r="I697" s="159" t="s">
        <v>1127</v>
      </c>
      <c r="J697" s="46" t="s">
        <v>1279</v>
      </c>
      <c r="K697" s="27" t="s">
        <v>96</v>
      </c>
      <c r="L697" s="56"/>
      <c r="M697" s="57" t="s">
        <v>1796</v>
      </c>
      <c r="N697" s="55" t="s">
        <v>1174</v>
      </c>
      <c r="O697" s="24">
        <f aca="1">DATEDIF(F697,TODAY(),"Y")</f>
        <v>0</v>
      </c>
      <c r="P697" s="24">
        <f aca="1">DATEDIF(F697,TODAY(),"YM")</f>
        <v>2</v>
      </c>
      <c r="Q697" s="24" t="str">
        <f aca="1">DATEDIF(F697,NOW(),"Y")&amp;" Tahun "&amp;DATEDIF(F697,NOW(),"YM")&amp;" Bulan "&amp;DATEDIF(F697,NOW(),"MD")&amp;" Hari "</f>
        <v>0 Tahun 2 Bulan 6 Hari </v>
      </c>
      <c r="R697" s="56"/>
      <c r="S697" s="58"/>
      <c r="V697" s="56"/>
    </row>
    <row r="698" spans="1:22" s="12" customFormat="1">
      <c r="A698" s="21" t="n">
        <v>695</v>
      </c>
      <c r="B698" s="21" t="str">
        <f>E698</f>
        <v>3513174508960002</v>
      </c>
      <c r="C698" s="38">
        <f>F698</f>
        <v>45870</v>
      </c>
      <c r="D698" s="86" t="s">
        <v>1803</v>
      </c>
      <c r="E698" s="96" t="s">
        <v>1804</v>
      </c>
      <c r="F698" s="91" t="n">
        <v>45870</v>
      </c>
      <c r="G698" s="21" t="s">
        <v>24</v>
      </c>
      <c r="H698" s="24" t="s">
        <v>1389</v>
      </c>
      <c r="I698" s="159" t="s">
        <v>1127</v>
      </c>
      <c r="J698" s="46" t="s">
        <v>1279</v>
      </c>
      <c r="K698" s="27" t="s">
        <v>96</v>
      </c>
      <c r="L698" s="56"/>
      <c r="M698" s="57" t="s">
        <v>1796</v>
      </c>
      <c r="N698" s="55" t="s">
        <v>1174</v>
      </c>
      <c r="O698" s="24">
        <f aca="1">DATEDIF(F698,TODAY(),"Y")</f>
        <v>0</v>
      </c>
      <c r="P698" s="24">
        <f aca="1">DATEDIF(F698,TODAY(),"YM")</f>
        <v>2</v>
      </c>
      <c r="Q698" s="24" t="str">
        <f aca="1">DATEDIF(F698,NOW(),"Y")&amp;" Tahun "&amp;DATEDIF(F698,NOW(),"YM")&amp;" Bulan "&amp;DATEDIF(F698,NOW(),"MD")&amp;" Hari "</f>
        <v>0 Tahun 2 Bulan 6 Hari </v>
      </c>
      <c r="R698" s="56"/>
      <c r="S698" s="58"/>
      <c r="V698" s="56"/>
    </row>
    <row r="699" spans="1:22" s="12" customFormat="1">
      <c r="A699" s="21" t="n">
        <v>696</v>
      </c>
      <c r="B699" s="21" t="str">
        <f>E699</f>
        <v>3513144305020001</v>
      </c>
      <c r="C699" s="38">
        <f>F699</f>
        <v>45870</v>
      </c>
      <c r="D699" s="86" t="s">
        <v>1805</v>
      </c>
      <c r="E699" s="96" t="s">
        <v>1806</v>
      </c>
      <c r="F699" s="91" t="n">
        <v>45870</v>
      </c>
      <c r="G699" s="21" t="s">
        <v>24</v>
      </c>
      <c r="H699" s="24" t="s">
        <v>1389</v>
      </c>
      <c r="I699" s="159" t="s">
        <v>1127</v>
      </c>
      <c r="J699" s="46" t="s">
        <v>1279</v>
      </c>
      <c r="K699" s="27" t="s">
        <v>96</v>
      </c>
      <c r="L699" s="56"/>
      <c r="M699" s="57" t="s">
        <v>1807</v>
      </c>
      <c r="N699" s="55" t="s">
        <v>1174</v>
      </c>
      <c r="O699" s="24">
        <f aca="1">DATEDIF(F699,TODAY(),"Y")</f>
        <v>0</v>
      </c>
      <c r="P699" s="24">
        <f aca="1">DATEDIF(F699,TODAY(),"YM")</f>
        <v>2</v>
      </c>
      <c r="Q699" s="24" t="str">
        <f aca="1">DATEDIF(F699,NOW(),"Y")&amp;" Tahun "&amp;DATEDIF(F699,NOW(),"YM")&amp;" Bulan "&amp;DATEDIF(F699,NOW(),"MD")&amp;" Hari "</f>
        <v>0 Tahun 2 Bulan 6 Hari </v>
      </c>
      <c r="R699" s="56"/>
      <c r="S699" s="58"/>
      <c r="V699" s="56"/>
    </row>
    <row r="700" spans="1:22" s="12" customFormat="1">
      <c r="A700" s="21" t="n">
        <v>697</v>
      </c>
      <c r="B700" s="21" t="str">
        <f>E700</f>
        <v>3513180403960001</v>
      </c>
      <c r="C700" s="38">
        <f>F700</f>
        <v>45870</v>
      </c>
      <c r="D700" s="86" t="s">
        <v>1808</v>
      </c>
      <c r="E700" s="96" t="s">
        <v>1809</v>
      </c>
      <c r="F700" s="91" t="n">
        <v>45870</v>
      </c>
      <c r="G700" s="21" t="s">
        <v>33</v>
      </c>
      <c r="H700" s="24" t="s">
        <v>1389</v>
      </c>
      <c r="I700" s="159" t="s">
        <v>1127</v>
      </c>
      <c r="J700" s="46" t="s">
        <v>1279</v>
      </c>
      <c r="K700" s="27" t="s">
        <v>96</v>
      </c>
      <c r="L700" s="56"/>
      <c r="M700" s="57" t="s">
        <v>1796</v>
      </c>
      <c r="N700" s="55" t="s">
        <v>1174</v>
      </c>
      <c r="O700" s="24">
        <f aca="1">DATEDIF(F700,TODAY(),"Y")</f>
        <v>0</v>
      </c>
      <c r="P700" s="24">
        <f aca="1">DATEDIF(F700,TODAY(),"YM")</f>
        <v>2</v>
      </c>
      <c r="Q700" s="24" t="str">
        <f aca="1">DATEDIF(F700,NOW(),"Y")&amp;" Tahun "&amp;DATEDIF(F700,NOW(),"YM")&amp;" Bulan "&amp;DATEDIF(F700,NOW(),"MD")&amp;" Hari "</f>
        <v>0 Tahun 2 Bulan 6 Hari </v>
      </c>
      <c r="R700" s="56"/>
      <c r="S700" s="58"/>
      <c r="V700" s="56"/>
    </row>
    <row r="701" spans="1:22" s="12" customFormat="1">
      <c r="A701" s="21" t="n">
        <v>698</v>
      </c>
      <c r="B701" s="21" t="str">
        <f>E701</f>
        <v>3513164106970001</v>
      </c>
      <c r="C701" s="38">
        <f>F701</f>
        <v>45870</v>
      </c>
      <c r="D701" s="86" t="s">
        <v>1810</v>
      </c>
      <c r="E701" s="96" t="s">
        <v>1811</v>
      </c>
      <c r="F701" s="91" t="n">
        <v>45870</v>
      </c>
      <c r="G701" s="21" t="s">
        <v>24</v>
      </c>
      <c r="H701" s="24" t="s">
        <v>1389</v>
      </c>
      <c r="I701" s="159" t="s">
        <v>1127</v>
      </c>
      <c r="J701" s="46" t="s">
        <v>1279</v>
      </c>
      <c r="K701" s="27" t="s">
        <v>96</v>
      </c>
      <c r="L701" s="56"/>
      <c r="M701" s="57" t="s">
        <v>1796</v>
      </c>
      <c r="N701" s="55" t="s">
        <v>1174</v>
      </c>
      <c r="O701" s="24">
        <f aca="1">DATEDIF(F701,TODAY(),"Y")</f>
        <v>0</v>
      </c>
      <c r="P701" s="24">
        <f aca="1">DATEDIF(F701,TODAY(),"YM")</f>
        <v>2</v>
      </c>
      <c r="Q701" s="24" t="str">
        <f aca="1">DATEDIF(F701,NOW(),"Y")&amp;" Tahun "&amp;DATEDIF(F701,NOW(),"YM")&amp;" Bulan "&amp;DATEDIF(F701,NOW(),"MD")&amp;" Hari "</f>
        <v>0 Tahun 2 Bulan 6 Hari </v>
      </c>
      <c r="R701" s="56"/>
      <c r="S701" s="58"/>
      <c r="V701" s="56"/>
    </row>
    <row r="702" spans="1:22" s="12" customFormat="1">
      <c r="A702" s="21" t="n">
        <v>699</v>
      </c>
      <c r="B702" s="21" t="str">
        <f>E702</f>
        <v>3513070811980005</v>
      </c>
      <c r="C702" s="38">
        <f>F702</f>
        <v>45870</v>
      </c>
      <c r="D702" s="86" t="s">
        <v>1812</v>
      </c>
      <c r="E702" s="96" t="s">
        <v>1813</v>
      </c>
      <c r="F702" s="91" t="n">
        <v>45870</v>
      </c>
      <c r="G702" s="21" t="s">
        <v>33</v>
      </c>
      <c r="H702" s="24" t="s">
        <v>1389</v>
      </c>
      <c r="I702" s="159" t="s">
        <v>1127</v>
      </c>
      <c r="J702" s="46" t="s">
        <v>1279</v>
      </c>
      <c r="K702" s="27" t="s">
        <v>96</v>
      </c>
      <c r="L702" s="56"/>
      <c r="M702" s="57" t="s">
        <v>1796</v>
      </c>
      <c r="N702" s="55" t="s">
        <v>1745</v>
      </c>
      <c r="O702" s="24">
        <f aca="1">DATEDIF(F702,TODAY(),"Y")</f>
        <v>0</v>
      </c>
      <c r="P702" s="24">
        <f aca="1">DATEDIF(F702,TODAY(),"YM")</f>
        <v>2</v>
      </c>
      <c r="Q702" s="24" t="str">
        <f aca="1">DATEDIF(F702,NOW(),"Y")&amp;" Tahun "&amp;DATEDIF(F702,NOW(),"YM")&amp;" Bulan "&amp;DATEDIF(F702,NOW(),"MD")&amp;" Hari "</f>
        <v>0 Tahun 2 Bulan 6 Hari </v>
      </c>
      <c r="R702" s="56"/>
      <c r="S702" s="58"/>
      <c r="V702" s="56"/>
    </row>
    <row r="703" spans="1:22" s="12" customFormat="1">
      <c r="A703" s="21" t="n">
        <v>700</v>
      </c>
      <c r="B703" s="21" t="str">
        <f>E703</f>
        <v>3513175306960002</v>
      </c>
      <c r="C703" s="38">
        <f>F703</f>
        <v>45870</v>
      </c>
      <c r="D703" s="86" t="s">
        <v>1814</v>
      </c>
      <c r="E703" s="96" t="s">
        <v>1815</v>
      </c>
      <c r="F703" s="91" t="n">
        <v>45870</v>
      </c>
      <c r="G703" s="21" t="s">
        <v>24</v>
      </c>
      <c r="H703" s="24" t="s">
        <v>1389</v>
      </c>
      <c r="I703" s="159" t="s">
        <v>1127</v>
      </c>
      <c r="J703" s="46" t="s">
        <v>1279</v>
      </c>
      <c r="K703" s="27" t="s">
        <v>96</v>
      </c>
      <c r="L703" s="56"/>
      <c r="M703" s="57" t="s">
        <v>1796</v>
      </c>
      <c r="N703" s="55" t="s">
        <v>1174</v>
      </c>
      <c r="O703" s="24">
        <f aca="1">DATEDIF(F703,TODAY(),"Y")</f>
        <v>0</v>
      </c>
      <c r="P703" s="24">
        <f aca="1">DATEDIF(F703,TODAY(),"YM")</f>
        <v>2</v>
      </c>
      <c r="Q703" s="24" t="str">
        <f aca="1">DATEDIF(F703,NOW(),"Y")&amp;" Tahun "&amp;DATEDIF(F703,NOW(),"YM")&amp;" Bulan "&amp;DATEDIF(F703,NOW(),"MD")&amp;" Hari "</f>
        <v>0 Tahun 2 Bulan 6 Hari </v>
      </c>
      <c r="R703" s="56"/>
      <c r="S703" s="58"/>
      <c r="V703" s="56"/>
    </row>
    <row r="704" spans="1:22" s="12" customFormat="1">
      <c r="A704" s="21" t="n">
        <v>701</v>
      </c>
      <c r="B704" s="21" t="str">
        <f>E704</f>
        <v>3513130508980001</v>
      </c>
      <c r="C704" s="38">
        <f>F704</f>
        <v>45870</v>
      </c>
      <c r="D704" s="86" t="s">
        <v>1816</v>
      </c>
      <c r="E704" s="96" t="s">
        <v>1817</v>
      </c>
      <c r="F704" s="91" t="n">
        <v>45870</v>
      </c>
      <c r="G704" s="21" t="s">
        <v>33</v>
      </c>
      <c r="H704" s="24" t="s">
        <v>1389</v>
      </c>
      <c r="I704" s="159" t="s">
        <v>1127</v>
      </c>
      <c r="J704" s="46" t="s">
        <v>1279</v>
      </c>
      <c r="K704" s="27" t="s">
        <v>96</v>
      </c>
      <c r="L704" s="56"/>
      <c r="M704" s="57" t="s">
        <v>1796</v>
      </c>
      <c r="N704" s="55" t="s">
        <v>1174</v>
      </c>
      <c r="O704" s="24">
        <f aca="1">DATEDIF(F704,TODAY(),"Y")</f>
        <v>0</v>
      </c>
      <c r="P704" s="24">
        <f aca="1">DATEDIF(F704,TODAY(),"YM")</f>
        <v>2</v>
      </c>
      <c r="Q704" s="24" t="str">
        <f aca="1">DATEDIF(F704,NOW(),"Y")&amp;" Tahun "&amp;DATEDIF(F704,NOW(),"YM")&amp;" Bulan "&amp;DATEDIF(F704,NOW(),"MD")&amp;" Hari "</f>
        <v>0 Tahun 2 Bulan 6 Hari </v>
      </c>
      <c r="R704" s="56"/>
      <c r="S704" s="58"/>
      <c r="V704" s="56"/>
    </row>
    <row r="705" spans="1:22" s="12" customFormat="1">
      <c r="A705" s="21" t="n">
        <v>702</v>
      </c>
      <c r="B705" s="21" t="str">
        <f>E705</f>
        <v>3513235502010002</v>
      </c>
      <c r="C705" s="38">
        <f>F705</f>
        <v>45870</v>
      </c>
      <c r="D705" s="86" t="s">
        <v>1818</v>
      </c>
      <c r="E705" s="96" t="s">
        <v>1819</v>
      </c>
      <c r="F705" s="91" t="n">
        <v>45870</v>
      </c>
      <c r="G705" s="21" t="s">
        <v>24</v>
      </c>
      <c r="H705" s="24" t="s">
        <v>1389</v>
      </c>
      <c r="I705" s="159" t="s">
        <v>1127</v>
      </c>
      <c r="J705" s="46" t="s">
        <v>1279</v>
      </c>
      <c r="K705" s="27" t="s">
        <v>96</v>
      </c>
      <c r="L705" s="56"/>
      <c r="M705" s="57" t="s">
        <v>1796</v>
      </c>
      <c r="N705" s="55" t="s">
        <v>1174</v>
      </c>
      <c r="O705" s="24">
        <f aca="1">DATEDIF(F705,TODAY(),"Y")</f>
        <v>0</v>
      </c>
      <c r="P705" s="24">
        <f aca="1">DATEDIF(F705,TODAY(),"YM")</f>
        <v>2</v>
      </c>
      <c r="Q705" s="24" t="str">
        <f aca="1">DATEDIF(F705,NOW(),"Y")&amp;" Tahun "&amp;DATEDIF(F705,NOW(),"YM")&amp;" Bulan "&amp;DATEDIF(F705,NOW(),"MD")&amp;" Hari "</f>
        <v>0 Tahun 2 Bulan 6 Hari </v>
      </c>
      <c r="R705" s="56"/>
      <c r="S705" s="58"/>
      <c r="V705" s="56"/>
    </row>
    <row r="706" spans="1:22" s="12" customFormat="1">
      <c r="A706" s="21" t="n">
        <v>703</v>
      </c>
      <c r="B706" s="21" t="str">
        <f>E706</f>
        <v>3512044303990003</v>
      </c>
      <c r="C706" s="38">
        <f>F706</f>
        <v>45870</v>
      </c>
      <c r="D706" s="86" t="s">
        <v>1820</v>
      </c>
      <c r="E706" s="96" t="s">
        <v>1821</v>
      </c>
      <c r="F706" s="91" t="n">
        <v>45870</v>
      </c>
      <c r="G706" s="21" t="s">
        <v>24</v>
      </c>
      <c r="H706" s="24" t="s">
        <v>1389</v>
      </c>
      <c r="I706" s="159" t="s">
        <v>1127</v>
      </c>
      <c r="J706" s="46" t="s">
        <v>1279</v>
      </c>
      <c r="K706" s="27" t="s">
        <v>96</v>
      </c>
      <c r="L706" s="56"/>
      <c r="M706" s="57" t="s">
        <v>1796</v>
      </c>
      <c r="N706" s="55" t="s">
        <v>1174</v>
      </c>
      <c r="O706" s="24">
        <f aca="1">DATEDIF(F706,TODAY(),"Y")</f>
        <v>0</v>
      </c>
      <c r="P706" s="24">
        <f aca="1">DATEDIF(F706,TODAY(),"YM")</f>
        <v>2</v>
      </c>
      <c r="Q706" s="24" t="str">
        <f aca="1">DATEDIF(F706,NOW(),"Y")&amp;" Tahun "&amp;DATEDIF(F706,NOW(),"YM")&amp;" Bulan "&amp;DATEDIF(F706,NOW(),"MD")&amp;" Hari "</f>
        <v>0 Tahun 2 Bulan 6 Hari </v>
      </c>
      <c r="R706" s="56"/>
      <c r="S706" s="58"/>
      <c r="V706" s="56"/>
    </row>
    <row r="707" spans="1:22" s="12" customFormat="1">
      <c r="A707" s="21" t="n">
        <v>704</v>
      </c>
      <c r="B707" s="21" t="str">
        <f>E707</f>
        <v>3513131611900002</v>
      </c>
      <c r="C707" s="38">
        <f>F707</f>
        <v>45870</v>
      </c>
      <c r="D707" s="86" t="s">
        <v>1822</v>
      </c>
      <c r="E707" s="96" t="s">
        <v>1823</v>
      </c>
      <c r="F707" s="91" t="n">
        <v>45870</v>
      </c>
      <c r="G707" s="21" t="s">
        <v>33</v>
      </c>
      <c r="H707" s="24" t="s">
        <v>1389</v>
      </c>
      <c r="I707" s="159" t="s">
        <v>1127</v>
      </c>
      <c r="J707" s="46" t="s">
        <v>1279</v>
      </c>
      <c r="K707" s="27" t="s">
        <v>96</v>
      </c>
      <c r="L707" s="56"/>
      <c r="M707" s="57" t="s">
        <v>1796</v>
      </c>
      <c r="N707" s="55" t="s">
        <v>1174</v>
      </c>
      <c r="O707" s="24">
        <f aca="1">DATEDIF(F707,TODAY(),"Y")</f>
        <v>0</v>
      </c>
      <c r="P707" s="24">
        <f aca="1">DATEDIF(F707,TODAY(),"YM")</f>
        <v>2</v>
      </c>
      <c r="Q707" s="24" t="str">
        <f aca="1">DATEDIF(F707,NOW(),"Y")&amp;" Tahun "&amp;DATEDIF(F707,NOW(),"YM")&amp;" Bulan "&amp;DATEDIF(F707,NOW(),"MD")&amp;" Hari "</f>
        <v>0 Tahun 2 Bulan 6 Hari </v>
      </c>
      <c r="R707" s="56"/>
      <c r="S707" s="58"/>
      <c r="V707" s="56"/>
    </row>
    <row r="708" spans="1:22" s="12" customFormat="1">
      <c r="A708" s="21" t="n">
        <v>705</v>
      </c>
      <c r="B708" s="21" t="str">
        <f>E708</f>
        <v>3513196412960001</v>
      </c>
      <c r="C708" s="38">
        <f>F708</f>
        <v>45870</v>
      </c>
      <c r="D708" s="86" t="s">
        <v>1824</v>
      </c>
      <c r="E708" s="96" t="s">
        <v>1825</v>
      </c>
      <c r="F708" s="91" t="n">
        <v>45870</v>
      </c>
      <c r="G708" s="21" t="s">
        <v>24</v>
      </c>
      <c r="H708" s="24" t="s">
        <v>1389</v>
      </c>
      <c r="I708" s="159" t="s">
        <v>1127</v>
      </c>
      <c r="J708" s="46" t="s">
        <v>1279</v>
      </c>
      <c r="K708" s="27" t="s">
        <v>96</v>
      </c>
      <c r="L708" s="56"/>
      <c r="M708" s="57" t="s">
        <v>1796</v>
      </c>
      <c r="N708" s="55" t="s">
        <v>1174</v>
      </c>
      <c r="O708" s="24">
        <f aca="1">DATEDIF(F708,TODAY(),"Y")</f>
        <v>0</v>
      </c>
      <c r="P708" s="24">
        <f aca="1">DATEDIF(F708,TODAY(),"YM")</f>
        <v>2</v>
      </c>
      <c r="Q708" s="24" t="str">
        <f aca="1">DATEDIF(F708,NOW(),"Y")&amp;" Tahun "&amp;DATEDIF(F708,NOW(),"YM")&amp;" Bulan "&amp;DATEDIF(F708,NOW(),"MD")&amp;" Hari "</f>
        <v>0 Tahun 2 Bulan 6 Hari </v>
      </c>
      <c r="R708" s="56"/>
      <c r="S708" s="58"/>
      <c r="V708" s="56"/>
    </row>
    <row r="709" spans="1:22" s="12" customFormat="1">
      <c r="A709" s="21" t="n">
        <v>706</v>
      </c>
      <c r="B709" s="21" t="str">
        <f>E709</f>
        <v>1403031012962160</v>
      </c>
      <c r="C709" s="38">
        <f>F709</f>
        <v>45870</v>
      </c>
      <c r="D709" s="86" t="s">
        <v>1826</v>
      </c>
      <c r="E709" s="96" t="s">
        <v>1827</v>
      </c>
      <c r="F709" s="91" t="n">
        <v>45870</v>
      </c>
      <c r="G709" s="21" t="s">
        <v>33</v>
      </c>
      <c r="H709" s="24" t="s">
        <v>1389</v>
      </c>
      <c r="I709" s="159" t="s">
        <v>1127</v>
      </c>
      <c r="J709" s="46" t="s">
        <v>1279</v>
      </c>
      <c r="K709" s="27" t="s">
        <v>96</v>
      </c>
      <c r="L709" s="56"/>
      <c r="M709" s="57" t="s">
        <v>1796</v>
      </c>
      <c r="N709" s="55" t="s">
        <v>1745</v>
      </c>
      <c r="O709" s="24">
        <f aca="1">DATEDIF(F709,TODAY(),"Y")</f>
        <v>0</v>
      </c>
      <c r="P709" s="24">
        <f aca="1">DATEDIF(F709,TODAY(),"YM")</f>
        <v>2</v>
      </c>
      <c r="Q709" s="24" t="str">
        <f aca="1">DATEDIF(F709,NOW(),"Y")&amp;" Tahun "&amp;DATEDIF(F709,NOW(),"YM")&amp;" Bulan "&amp;DATEDIF(F709,NOW(),"MD")&amp;" Hari "</f>
        <v>0 Tahun 2 Bulan 6 Hari </v>
      </c>
      <c r="R709" s="56"/>
      <c r="S709" s="58"/>
      <c r="V709" s="56"/>
    </row>
    <row r="710" spans="1:22" s="12" customFormat="1">
      <c r="A710" s="21" t="n">
        <v>707</v>
      </c>
      <c r="B710" s="21" t="str">
        <f>E710</f>
        <v>3513110707950001</v>
      </c>
      <c r="C710" s="38">
        <f>F710</f>
        <v>45870</v>
      </c>
      <c r="D710" s="86" t="s">
        <v>1828</v>
      </c>
      <c r="E710" s="96" t="s">
        <v>1829</v>
      </c>
      <c r="F710" s="91" t="n">
        <v>45870</v>
      </c>
      <c r="G710" s="21" t="s">
        <v>33</v>
      </c>
      <c r="H710" s="24" t="s">
        <v>1389</v>
      </c>
      <c r="I710" s="159" t="s">
        <v>1127</v>
      </c>
      <c r="J710" s="46" t="s">
        <v>1279</v>
      </c>
      <c r="K710" s="27" t="s">
        <v>96</v>
      </c>
      <c r="L710" s="56"/>
      <c r="M710" s="57" t="s">
        <v>1796</v>
      </c>
      <c r="N710" s="55" t="s">
        <v>1174</v>
      </c>
      <c r="O710" s="24">
        <f aca="1">DATEDIF(F710,TODAY(),"Y")</f>
        <v>0</v>
      </c>
      <c r="P710" s="24">
        <f aca="1">DATEDIF(F710,TODAY(),"YM")</f>
        <v>2</v>
      </c>
      <c r="Q710" s="24" t="str">
        <f aca="1">DATEDIF(F710,NOW(),"Y")&amp;" Tahun "&amp;DATEDIF(F710,NOW(),"YM")&amp;" Bulan "&amp;DATEDIF(F710,NOW(),"MD")&amp;" Hari "</f>
        <v>0 Tahun 2 Bulan 6 Hari </v>
      </c>
      <c r="R710" s="56"/>
      <c r="S710" s="58"/>
      <c r="V710" s="56"/>
    </row>
    <row r="711" spans="1:22" s="12" customFormat="1">
      <c r="A711" s="21" t="n">
        <v>708</v>
      </c>
      <c r="B711" s="21" t="str">
        <f>E711</f>
        <v>3513141907950001</v>
      </c>
      <c r="C711" s="38">
        <f>F711</f>
        <v>45870</v>
      </c>
      <c r="D711" s="86" t="s">
        <v>1830</v>
      </c>
      <c r="E711" s="96" t="s">
        <v>1831</v>
      </c>
      <c r="F711" s="91" t="n">
        <v>45870</v>
      </c>
      <c r="G711" s="21" t="s">
        <v>33</v>
      </c>
      <c r="H711" s="24" t="s">
        <v>1389</v>
      </c>
      <c r="I711" s="159" t="s">
        <v>1127</v>
      </c>
      <c r="J711" s="46" t="s">
        <v>1279</v>
      </c>
      <c r="K711" s="27" t="s">
        <v>96</v>
      </c>
      <c r="L711" s="56"/>
      <c r="M711" s="57" t="s">
        <v>1796</v>
      </c>
      <c r="N711" s="55" t="s">
        <v>1745</v>
      </c>
      <c r="O711" s="24">
        <f aca="1">DATEDIF(F711,TODAY(),"Y")</f>
        <v>0</v>
      </c>
      <c r="P711" s="24">
        <f aca="1">DATEDIF(F711,TODAY(),"YM")</f>
        <v>2</v>
      </c>
      <c r="Q711" s="24" t="str">
        <f aca="1">DATEDIF(F711,NOW(),"Y")&amp;" Tahun "&amp;DATEDIF(F711,NOW(),"YM")&amp;" Bulan "&amp;DATEDIF(F711,NOW(),"MD")&amp;" Hari "</f>
        <v>0 Tahun 2 Bulan 6 Hari </v>
      </c>
      <c r="R711" s="56"/>
      <c r="S711" s="58"/>
      <c r="V711" s="56"/>
    </row>
    <row r="712" spans="1:22" s="12" customFormat="1">
      <c r="A712" s="21" t="n">
        <v>709</v>
      </c>
      <c r="B712" s="21" t="str">
        <f>E712</f>
        <v>3513236704010002</v>
      </c>
      <c r="C712" s="38">
        <f>F712</f>
        <v>45870</v>
      </c>
      <c r="D712" s="86" t="s">
        <v>1832</v>
      </c>
      <c r="E712" s="96" t="s">
        <v>1833</v>
      </c>
      <c r="F712" s="91" t="n">
        <v>45870</v>
      </c>
      <c r="G712" s="21" t="s">
        <v>24</v>
      </c>
      <c r="H712" s="24" t="s">
        <v>1389</v>
      </c>
      <c r="I712" s="159" t="s">
        <v>1127</v>
      </c>
      <c r="J712" s="46" t="s">
        <v>1279</v>
      </c>
      <c r="K712" s="27" t="s">
        <v>96</v>
      </c>
      <c r="L712" s="56"/>
      <c r="M712" s="57" t="s">
        <v>1796</v>
      </c>
      <c r="N712" s="55" t="s">
        <v>1174</v>
      </c>
      <c r="O712" s="24">
        <f aca="1">DATEDIF(F712,TODAY(),"Y")</f>
        <v>0</v>
      </c>
      <c r="P712" s="24">
        <f aca="1">DATEDIF(F712,TODAY(),"YM")</f>
        <v>2</v>
      </c>
      <c r="Q712" s="24" t="str">
        <f aca="1">DATEDIF(F712,NOW(),"Y")&amp;" Tahun "&amp;DATEDIF(F712,NOW(),"YM")&amp;" Bulan "&amp;DATEDIF(F712,NOW(),"MD")&amp;" Hari "</f>
        <v>0 Tahun 2 Bulan 6 Hari </v>
      </c>
      <c r="R712" s="56"/>
      <c r="S712" s="58"/>
      <c r="V712" s="56"/>
    </row>
    <row r="713" spans="1:22" s="12" customFormat="1">
      <c r="A713" s="21" t="n">
        <v>710</v>
      </c>
      <c r="B713" s="21" t="str">
        <f>E713</f>
        <v>3513105306970002</v>
      </c>
      <c r="C713" s="38">
        <f>F713</f>
        <v>45870</v>
      </c>
      <c r="D713" s="86" t="s">
        <v>1834</v>
      </c>
      <c r="E713" s="96" t="s">
        <v>1835</v>
      </c>
      <c r="F713" s="91" t="n">
        <v>45870</v>
      </c>
      <c r="G713" s="21" t="s">
        <v>24</v>
      </c>
      <c r="H713" s="24" t="s">
        <v>1389</v>
      </c>
      <c r="I713" s="159" t="s">
        <v>1127</v>
      </c>
      <c r="J713" s="46" t="s">
        <v>1279</v>
      </c>
      <c r="K713" s="27" t="s">
        <v>96</v>
      </c>
      <c r="L713" s="56"/>
      <c r="M713" s="57" t="s">
        <v>1796</v>
      </c>
      <c r="N713" s="55" t="s">
        <v>1174</v>
      </c>
      <c r="O713" s="24">
        <f aca="1">DATEDIF(F713,TODAY(),"Y")</f>
        <v>0</v>
      </c>
      <c r="P713" s="24">
        <f aca="1">DATEDIF(F713,TODAY(),"YM")</f>
        <v>2</v>
      </c>
      <c r="Q713" s="24" t="str">
        <f aca="1">DATEDIF(F713,NOW(),"Y")&amp;" Tahun "&amp;DATEDIF(F713,NOW(),"YM")&amp;" Bulan "&amp;DATEDIF(F713,NOW(),"MD")&amp;" Hari "</f>
        <v>0 Tahun 2 Bulan 6 Hari </v>
      </c>
      <c r="R713" s="56"/>
      <c r="S713" s="58"/>
      <c r="V713" s="56"/>
    </row>
    <row r="714" spans="1:22" s="12" customFormat="1">
      <c r="A714" s="21" t="n">
        <v>711</v>
      </c>
      <c r="B714" s="21" t="str">
        <f>E714</f>
        <v>3513065905010001</v>
      </c>
      <c r="C714" s="38">
        <f>F714</f>
        <v>45870</v>
      </c>
      <c r="D714" s="86" t="s">
        <v>1836</v>
      </c>
      <c r="E714" s="96" t="s">
        <v>1837</v>
      </c>
      <c r="F714" s="91" t="n">
        <v>45870</v>
      </c>
      <c r="G714" s="21" t="s">
        <v>24</v>
      </c>
      <c r="H714" s="24" t="s">
        <v>1389</v>
      </c>
      <c r="I714" s="159" t="s">
        <v>1127</v>
      </c>
      <c r="J714" s="46" t="s">
        <v>1279</v>
      </c>
      <c r="K714" s="27" t="s">
        <v>96</v>
      </c>
      <c r="L714" s="59"/>
      <c r="M714" s="57" t="s">
        <v>1796</v>
      </c>
      <c r="N714" s="55" t="s">
        <v>1174</v>
      </c>
      <c r="O714" s="24">
        <f aca="1">DATEDIF(F714,TODAY(),"Y")</f>
        <v>0</v>
      </c>
      <c r="P714" s="24">
        <f aca="1">DATEDIF(F714,TODAY(),"YM")</f>
        <v>2</v>
      </c>
      <c r="Q714" s="24" t="str">
        <f aca="1">DATEDIF(F714,NOW(),"Y")&amp;" Tahun "&amp;DATEDIF(F714,NOW(),"YM")&amp;" Bulan "&amp;DATEDIF(F714,NOW(),"MD")&amp;" Hari "</f>
        <v>0 Tahun 2 Bulan 6 Hari </v>
      </c>
      <c r="R714" s="56"/>
      <c r="S714" s="58"/>
      <c r="V714" s="56"/>
    </row>
    <row r="715" spans="1:22" s="12" customFormat="1">
      <c r="A715" s="21" t="n">
        <v>712</v>
      </c>
      <c r="B715" s="21" t="str">
        <f>E715</f>
        <v>3513216802000003</v>
      </c>
      <c r="C715" s="38">
        <f>F715</f>
        <v>45870</v>
      </c>
      <c r="D715" s="86" t="s">
        <v>1838</v>
      </c>
      <c r="E715" s="96" t="s">
        <v>1839</v>
      </c>
      <c r="F715" s="91" t="n">
        <v>45870</v>
      </c>
      <c r="G715" s="21" t="s">
        <v>24</v>
      </c>
      <c r="H715" s="24" t="s">
        <v>1389</v>
      </c>
      <c r="I715" s="159" t="s">
        <v>1127</v>
      </c>
      <c r="J715" s="46" t="s">
        <v>1279</v>
      </c>
      <c r="K715" s="27" t="s">
        <v>96</v>
      </c>
      <c r="L715" s="59"/>
      <c r="M715" s="57" t="s">
        <v>1796</v>
      </c>
      <c r="N715" s="55" t="s">
        <v>1174</v>
      </c>
      <c r="O715" s="24">
        <f aca="1">DATEDIF(F715,TODAY(),"Y")</f>
        <v>0</v>
      </c>
      <c r="P715" s="24">
        <f aca="1">DATEDIF(F715,TODAY(),"YM")</f>
        <v>2</v>
      </c>
      <c r="Q715" s="24" t="str">
        <f aca="1">DATEDIF(F715,NOW(),"Y")&amp;" Tahun "&amp;DATEDIF(F715,NOW(),"YM")&amp;" Bulan "&amp;DATEDIF(F715,NOW(),"MD")&amp;" Hari "</f>
        <v>0 Tahun 2 Bulan 6 Hari </v>
      </c>
      <c r="R715" s="56"/>
      <c r="S715" s="58"/>
      <c r="V715" s="56"/>
    </row>
    <row r="716" spans="1:22" s="12" customFormat="1">
      <c r="A716" s="21" t="n">
        <v>713</v>
      </c>
      <c r="B716" s="21" t="str">
        <f>E716</f>
        <v>3513046707010001</v>
      </c>
      <c r="C716" s="38">
        <f>F716</f>
        <v>45870</v>
      </c>
      <c r="D716" s="86" t="s">
        <v>1840</v>
      </c>
      <c r="E716" s="96" t="s">
        <v>1841</v>
      </c>
      <c r="F716" s="91" t="n">
        <v>45870</v>
      </c>
      <c r="G716" s="21" t="s">
        <v>24</v>
      </c>
      <c r="H716" s="24" t="s">
        <v>1389</v>
      </c>
      <c r="I716" s="159" t="s">
        <v>1127</v>
      </c>
      <c r="J716" s="46" t="s">
        <v>1279</v>
      </c>
      <c r="K716" s="27" t="s">
        <v>96</v>
      </c>
      <c r="L716" s="59"/>
      <c r="M716" s="57" t="s">
        <v>1796</v>
      </c>
      <c r="N716" s="55" t="s">
        <v>1174</v>
      </c>
      <c r="O716" s="24">
        <f aca="1">DATEDIF(F716,TODAY(),"Y")</f>
        <v>0</v>
      </c>
      <c r="P716" s="24">
        <f aca="1">DATEDIF(F716,TODAY(),"YM")</f>
        <v>2</v>
      </c>
      <c r="Q716" s="24" t="str">
        <f aca="1">DATEDIF(F716,NOW(),"Y")&amp;" Tahun "&amp;DATEDIF(F716,NOW(),"YM")&amp;" Bulan "&amp;DATEDIF(F716,NOW(),"MD")&amp;" Hari "</f>
        <v>0 Tahun 2 Bulan 6 Hari </v>
      </c>
      <c r="R716" s="56"/>
      <c r="S716" s="58"/>
      <c r="V716" s="56"/>
    </row>
    <row r="717" spans="1:22" s="74" customFormat="1">
      <c r="A717" s="21" t="n">
        <v>714</v>
      </c>
      <c r="B717" s="21" t="str">
        <f>E717</f>
        <v>3513154506990001</v>
      </c>
      <c r="C717" s="38">
        <f>F717</f>
        <v>45870</v>
      </c>
      <c r="D717" s="86" t="s">
        <v>1842</v>
      </c>
      <c r="E717" s="96" t="s">
        <v>1843</v>
      </c>
      <c r="F717" s="91" t="n">
        <v>45870</v>
      </c>
      <c r="G717" s="21" t="s">
        <v>24</v>
      </c>
      <c r="H717" s="24" t="s">
        <v>1389</v>
      </c>
      <c r="I717" s="159" t="s">
        <v>1127</v>
      </c>
      <c r="J717" s="60" t="s">
        <v>1844</v>
      </c>
      <c r="K717" s="56"/>
      <c r="L717" s="56"/>
      <c r="M717" s="61" t="s">
        <v>1845</v>
      </c>
      <c r="N717" s="55" t="s">
        <v>1174</v>
      </c>
      <c r="O717" s="24">
        <f aca="1">DATEDIF(F717,TODAY(),"Y")</f>
        <v>0</v>
      </c>
      <c r="P717" s="24">
        <f aca="1">DATEDIF(F717,TODAY(),"YM")</f>
        <v>2</v>
      </c>
      <c r="Q717" s="24" t="str">
        <f aca="1">DATEDIF(F717,NOW(),"Y")&amp;" Tahun "&amp;DATEDIF(F717,NOW(),"YM")&amp;" Bulan "&amp;DATEDIF(F717,NOW(),"MD")&amp;" Hari "</f>
        <v>0 Tahun 2 Bulan 6 Hari </v>
      </c>
      <c r="R717" s="56"/>
      <c r="S717" s="56"/>
      <c r="T717" s="12"/>
      <c r="U717" s="12"/>
      <c r="V717" s="69"/>
    </row>
    <row r="718" spans="1:22" s="74" customFormat="1">
      <c r="A718" s="21" t="n">
        <v>715</v>
      </c>
      <c r="B718" s="21" t="str">
        <f>E718</f>
        <v>3513197011920002</v>
      </c>
      <c r="C718" s="38">
        <f>F718</f>
        <v>45870</v>
      </c>
      <c r="D718" s="86" t="s">
        <v>1846</v>
      </c>
      <c r="E718" s="96" t="s">
        <v>1847</v>
      </c>
      <c r="F718" s="91" t="n">
        <v>45870</v>
      </c>
      <c r="G718" s="21" t="s">
        <v>24</v>
      </c>
      <c r="H718" s="24" t="s">
        <v>1389</v>
      </c>
      <c r="I718" s="159" t="s">
        <v>1127</v>
      </c>
      <c r="J718" s="62" t="s">
        <v>1848</v>
      </c>
      <c r="K718" s="56"/>
      <c r="L718" s="56"/>
      <c r="M718" s="57" t="s">
        <v>1849</v>
      </c>
      <c r="N718" s="55" t="s">
        <v>1174</v>
      </c>
      <c r="O718" s="24">
        <f aca="1">DATEDIF(F718,TODAY(),"Y")</f>
        <v>0</v>
      </c>
      <c r="P718" s="24">
        <f aca="1">DATEDIF(F718,TODAY(),"YM")</f>
        <v>2</v>
      </c>
      <c r="Q718" s="24" t="str">
        <f aca="1">DATEDIF(F718,NOW(),"Y")&amp;" Tahun "&amp;DATEDIF(F718,NOW(),"YM")&amp;" Bulan "&amp;DATEDIF(F718,NOW(),"MD")&amp;" Hari "</f>
        <v>0 Tahun 2 Bulan 6 Hari </v>
      </c>
      <c r="R718" s="56"/>
      <c r="S718" s="56"/>
      <c r="T718" s="12"/>
      <c r="U718" s="12"/>
      <c r="V718" s="69"/>
    </row>
    <row r="719" spans="1:17">
      <c r="A719" s="21" t="n">
        <v>716</v>
      </c>
      <c r="B719" s="21" t="str">
        <f>E719</f>
        <v>3513141505030003</v>
      </c>
      <c r="C719" s="38">
        <f>F719</f>
        <v>45870</v>
      </c>
      <c r="D719" s="87" t="s">
        <v>1850</v>
      </c>
      <c r="E719" s="96" t="s">
        <v>1851</v>
      </c>
      <c r="F719" s="91" t="n">
        <v>45870</v>
      </c>
      <c r="G719" s="21" t="s">
        <v>33</v>
      </c>
      <c r="H719" s="24" t="s">
        <v>1389</v>
      </c>
      <c r="I719" s="159" t="s">
        <v>1127</v>
      </c>
      <c r="J719" s="62" t="s">
        <v>1848</v>
      </c>
      <c r="M719" s="57" t="s">
        <v>1849</v>
      </c>
      <c r="N719" s="55" t="s">
        <v>1174</v>
      </c>
      <c r="O719" s="24">
        <f aca="1">DATEDIF(F719,TODAY(),"Y")</f>
        <v>0</v>
      </c>
      <c r="P719" s="24">
        <f aca="1">DATEDIF(F719,TODAY(),"YM")</f>
        <v>2</v>
      </c>
      <c r="Q719" s="24" t="str">
        <f aca="1">DATEDIF(F719,NOW(),"Y")&amp;" Tahun "&amp;DATEDIF(F719,NOW(),"YM")&amp;" Bulan "&amp;DATEDIF(F719,NOW(),"MD")&amp;" Hari "</f>
        <v>0 Tahun 2 Bulan 6 Hari </v>
      </c>
    </row>
    <row r="720" spans="1:17">
      <c r="A720" s="21" t="n">
        <v>717</v>
      </c>
      <c r="B720" s="21" t="str">
        <f>E720</f>
        <v>3513146211010001</v>
      </c>
      <c r="C720" s="38">
        <f>F720</f>
        <v>45870</v>
      </c>
      <c r="D720" s="86" t="s">
        <v>1852</v>
      </c>
      <c r="E720" s="96" t="s">
        <v>1853</v>
      </c>
      <c r="F720" s="91" t="n">
        <v>45870</v>
      </c>
      <c r="G720" s="21" t="s">
        <v>24</v>
      </c>
      <c r="H720" s="24" t="s">
        <v>1389</v>
      </c>
      <c r="I720" s="159" t="s">
        <v>1127</v>
      </c>
      <c r="J720" s="62" t="s">
        <v>1774</v>
      </c>
      <c r="M720" s="57" t="s">
        <v>1854</v>
      </c>
      <c r="N720" s="55" t="s">
        <v>1174</v>
      </c>
      <c r="O720" s="24">
        <f aca="1">DATEDIF(F720,TODAY(),"Y")</f>
        <v>0</v>
      </c>
      <c r="P720" s="24">
        <f aca="1">DATEDIF(F720,TODAY(),"YM")</f>
        <v>2</v>
      </c>
      <c r="Q720" s="24" t="str">
        <f aca="1">DATEDIF(F720,NOW(),"Y")&amp;" Tahun "&amp;DATEDIF(F720,NOW(),"YM")&amp;" Bulan "&amp;DATEDIF(F720,NOW(),"MD")&amp;" Hari "</f>
        <v>0 Tahun 2 Bulan 6 Hari </v>
      </c>
    </row>
    <row r="721" spans="1:17">
      <c r="A721" s="21" t="n">
        <v>718</v>
      </c>
      <c r="B721" s="21" t="str">
        <f>E721</f>
        <v>3513196606000001</v>
      </c>
      <c r="C721" s="38">
        <f>F721</f>
        <v>45870</v>
      </c>
      <c r="D721" s="86" t="s">
        <v>1855</v>
      </c>
      <c r="E721" s="96" t="s">
        <v>1856</v>
      </c>
      <c r="F721" s="91" t="n">
        <v>45870</v>
      </c>
      <c r="G721" s="21" t="s">
        <v>24</v>
      </c>
      <c r="H721" s="24" t="s">
        <v>1389</v>
      </c>
      <c r="I721" s="159" t="s">
        <v>1127</v>
      </c>
      <c r="J721" s="62" t="s">
        <v>1857</v>
      </c>
      <c r="M721" s="57" t="s">
        <v>1858</v>
      </c>
      <c r="N721" s="55" t="s">
        <v>1174</v>
      </c>
      <c r="O721" s="24">
        <f aca="1">DATEDIF(F721,TODAY(),"Y")</f>
        <v>0</v>
      </c>
      <c r="P721" s="24">
        <f aca="1">DATEDIF(F721,TODAY(),"YM")</f>
        <v>2</v>
      </c>
      <c r="Q721" s="24" t="str">
        <f aca="1">DATEDIF(F721,NOW(),"Y")&amp;" Tahun "&amp;DATEDIF(F721,NOW(),"YM")&amp;" Bulan "&amp;DATEDIF(F721,NOW(),"MD")&amp;" Hari "</f>
        <v>0 Tahun 2 Bulan 6 Hari </v>
      </c>
    </row>
    <row r="722" spans="1:17">
      <c r="A722" s="21" t="n">
        <v>719</v>
      </c>
      <c r="B722" s="21" t="str">
        <f>E722</f>
        <v>3513164403020002</v>
      </c>
      <c r="C722" s="38">
        <f>F722</f>
        <v>45870</v>
      </c>
      <c r="D722" s="88" t="s">
        <v>1859</v>
      </c>
      <c r="E722" s="96" t="s">
        <v>1860</v>
      </c>
      <c r="F722" s="92" t="n">
        <v>45870</v>
      </c>
      <c r="G722" s="63" t="s">
        <v>24</v>
      </c>
      <c r="H722" s="64" t="s">
        <v>1389</v>
      </c>
      <c r="I722" s="203" t="s">
        <v>1127</v>
      </c>
      <c r="J722" s="65" t="s">
        <v>1861</v>
      </c>
      <c r="M722" s="66" t="s">
        <v>1862</v>
      </c>
      <c r="N722" s="55" t="s">
        <v>1174</v>
      </c>
      <c r="O722" s="24">
        <f aca="1">DATEDIF(F722,TODAY(),"Y")</f>
        <v>0</v>
      </c>
      <c r="P722" s="24">
        <f aca="1">DATEDIF(F722,TODAY(),"YM")</f>
        <v>2</v>
      </c>
      <c r="Q722" s="24" t="str">
        <f aca="1">DATEDIF(F722,NOW(),"Y")&amp;" Tahun "&amp;DATEDIF(F722,NOW(),"YM")&amp;" Bulan "&amp;DATEDIF(F722,NOW(),"MD")&amp;" Hari "</f>
        <v>0 Tahun 2 Bulan 6 Hari </v>
      </c>
    </row>
    <row r="723" spans="1:17">
      <c r="A723" s="21" t="n">
        <v>720</v>
      </c>
      <c r="B723" s="21" t="str">
        <f>E723</f>
        <v>3513121807010006</v>
      </c>
      <c r="C723" s="38">
        <f>F723</f>
        <v>45870</v>
      </c>
      <c r="D723" s="89" t="s">
        <v>1863</v>
      </c>
      <c r="E723" s="96" t="s">
        <v>1864</v>
      </c>
      <c r="F723" s="93" t="n">
        <v>45870</v>
      </c>
      <c r="G723" s="21" t="s">
        <v>33</v>
      </c>
      <c r="H723" s="24" t="s">
        <v>1389</v>
      </c>
      <c r="I723" s="159" t="s">
        <v>1127</v>
      </c>
      <c r="J723" s="67" t="s">
        <v>1865</v>
      </c>
      <c r="K723" s="25"/>
      <c r="L723" s="25"/>
      <c r="M723" s="68" t="s">
        <v>1866</v>
      </c>
      <c r="N723" s="23" t="s">
        <v>1174</v>
      </c>
      <c r="O723" s="24">
        <f aca="1">DATEDIF(F723,TODAY(),"Y")</f>
        <v>0</v>
      </c>
      <c r="P723" s="24">
        <f aca="1">DATEDIF(F723,TODAY(),"YM")</f>
        <v>2</v>
      </c>
      <c r="Q723" s="24" t="str">
        <f aca="1">DATEDIF(F723,NOW(),"Y")&amp;" Tahun "&amp;DATEDIF(F723,NOW(),"YM")&amp;" Bulan "&amp;DATEDIF(F723,NOW(),"MD")&amp;" Hari "</f>
        <v>0 Tahun 2 Bulan 6 Hari </v>
      </c>
    </row>
    <row r="724" spans="1:22" s="74" customFormat="1">
      <c r="A724" s="21" t="n">
        <v>721</v>
      </c>
      <c r="B724" s="21">
        <f>E724</f>
        <v>0</v>
      </c>
      <c r="C724" s="38">
        <f>F724</f>
        <v>45901</v>
      </c>
      <c r="D724" s="90" t="s">
        <v>1867</v>
      </c>
      <c r="E724" s="60"/>
      <c r="F724" s="94" t="n">
        <v>45901</v>
      </c>
      <c r="G724" s="21" t="s">
        <v>33</v>
      </c>
      <c r="H724" s="24" t="s">
        <v>1389</v>
      </c>
      <c r="I724" s="159" t="s">
        <v>1127</v>
      </c>
      <c r="J724" s="67" t="s">
        <v>1868</v>
      </c>
      <c r="K724" s="25"/>
      <c r="L724" s="25"/>
      <c r="M724" s="27"/>
      <c r="N724" s="25"/>
      <c r="O724" s="24">
        <f aca="1">DATEDIF(F724,TODAY(),"Y")</f>
        <v>0</v>
      </c>
      <c r="P724" s="24">
        <f aca="1">DATEDIF(F724,TODAY(),"YM")</f>
        <v>1</v>
      </c>
      <c r="Q724" s="24" t="str">
        <f aca="1">DATEDIF(F724,NOW(),"Y")&amp;" Tahun "&amp;DATEDIF(F724,NOW(),"YM")&amp;" Bulan "&amp;DATEDIF(F724,NOW(),"MD")&amp;" Hari "</f>
        <v>0 Tahun 1 Bulan 6 Hari </v>
      </c>
      <c r="R724" s="56"/>
      <c r="S724" s="56"/>
      <c r="T724" s="12"/>
      <c r="U724" s="12"/>
      <c r="V724" s="69"/>
    </row>
    <row r="725" spans="1:22" s="74" customFormat="1">
      <c r="A725" s="21" t="n">
        <v>722</v>
      </c>
      <c r="B725" s="21">
        <f>E725</f>
        <v>0</v>
      </c>
      <c r="C725" s="38">
        <f>F725</f>
        <v>45901</v>
      </c>
      <c r="D725" s="90" t="s">
        <v>1869</v>
      </c>
      <c r="E725" s="60"/>
      <c r="F725" s="94" t="n">
        <v>45901</v>
      </c>
      <c r="G725" s="21" t="s">
        <v>33</v>
      </c>
      <c r="H725" s="24" t="s">
        <v>1389</v>
      </c>
      <c r="I725" s="159" t="s">
        <v>1127</v>
      </c>
      <c r="J725" s="27" t="s">
        <v>1870</v>
      </c>
      <c r="K725" s="25"/>
      <c r="L725" s="25"/>
      <c r="M725" s="27"/>
      <c r="N725" s="25"/>
      <c r="O725" s="24">
        <f aca="1">DATEDIF(F725,TODAY(),"Y")</f>
        <v>0</v>
      </c>
      <c r="P725" s="24">
        <f aca="1">DATEDIF(F725,TODAY(),"YM")</f>
        <v>1</v>
      </c>
      <c r="Q725" s="24" t="str">
        <f aca="1">DATEDIF(F725,NOW(),"Y")&amp;" Tahun "&amp;DATEDIF(F725,NOW(),"YM")&amp;" Bulan "&amp;DATEDIF(F725,NOW(),"MD")&amp;" Hari "</f>
        <v>0 Tahun 1 Bulan 6 Hari </v>
      </c>
      <c r="R725" s="56"/>
      <c r="S725" s="56"/>
      <c r="T725" s="12"/>
      <c r="U725" s="12"/>
      <c r="V725" s="69"/>
    </row>
    <row r="726" spans="1:22" s="74" customFormat="1">
      <c r="A726" s="56"/>
      <c r="B726" s="56"/>
      <c r="C726" s="56"/>
      <c r="D726" s="56"/>
      <c r="E726" s="56"/>
      <c r="F726" s="56"/>
      <c r="G726" s="56"/>
      <c r="H726" s="56"/>
      <c r="I726" s="56"/>
      <c r="J726" s="75"/>
      <c r="K726" s="56"/>
      <c r="L726" s="56"/>
      <c r="M726" s="75"/>
      <c r="N726" s="56"/>
      <c r="O726" s="12"/>
      <c r="P726" s="12"/>
      <c r="Q726" s="12"/>
      <c r="R726" s="56"/>
      <c r="S726" s="56"/>
      <c r="T726" s="12"/>
      <c r="U726" s="12"/>
      <c r="V726" s="69"/>
    </row>
    <row r="727" spans="1:22" s="74" customFormat="1">
      <c r="A727" s="56"/>
      <c r="B727" s="56"/>
      <c r="C727" s="56"/>
      <c r="D727" s="56"/>
      <c r="E727" s="56"/>
      <c r="F727" s="56"/>
      <c r="G727" s="56"/>
      <c r="H727" s="56"/>
      <c r="I727" s="56"/>
      <c r="J727" s="75"/>
      <c r="K727" s="56"/>
      <c r="L727" s="56"/>
      <c r="M727" s="75"/>
      <c r="N727" s="56"/>
      <c r="O727" s="12"/>
      <c r="P727" s="12"/>
      <c r="Q727" s="12"/>
      <c r="R727" s="56"/>
      <c r="S727" s="56"/>
      <c r="T727" s="12"/>
      <c r="U727" s="12"/>
      <c r="V727" s="69"/>
    </row>
    <row r="738" spans="1:22" s="74" customFormat="1">
      <c r="A738" s="76" t="n">
        <v>2</v>
      </c>
      <c r="B738" s="76"/>
      <c r="C738" s="76"/>
      <c r="D738" s="77" t="s">
        <v>1871</v>
      </c>
      <c r="E738" s="77"/>
      <c r="F738" s="78" t="n">
        <v>43497</v>
      </c>
      <c r="G738" s="76" t="s">
        <v>1872</v>
      </c>
      <c r="H738" s="76" t="s">
        <v>374</v>
      </c>
      <c r="I738" s="185" t="s">
        <v>1127</v>
      </c>
      <c r="J738" s="79" t="s">
        <v>374</v>
      </c>
      <c r="K738" s="77"/>
      <c r="L738" s="77"/>
      <c r="M738" s="79" t="s">
        <v>40</v>
      </c>
      <c r="N738" s="79" t="s">
        <v>374</v>
      </c>
      <c r="O738" s="12"/>
      <c r="P738" s="12"/>
      <c r="Q738" s="12"/>
      <c r="R738" s="56"/>
      <c r="S738" s="56"/>
      <c r="T738" s="12"/>
      <c r="U738" s="12"/>
      <c r="V738" s="69"/>
    </row>
    <row r="739" spans="1:22" s="74" customFormat="1">
      <c r="A739" s="56"/>
      <c r="B739" s="56"/>
      <c r="C739" s="56"/>
      <c r="D739" s="56" t="s">
        <v>1873</v>
      </c>
      <c r="E739" s="56"/>
      <c r="F739" s="80" t="n">
        <v>44629</v>
      </c>
      <c r="G739" s="56"/>
      <c r="H739" s="56" t="s">
        <v>1874</v>
      </c>
      <c r="I739" s="56"/>
      <c r="J739" s="75"/>
      <c r="K739" s="56"/>
      <c r="L739" s="56"/>
      <c r="M739" s="75"/>
      <c r="N739" s="56"/>
      <c r="O739" s="12"/>
      <c r="P739" s="12"/>
      <c r="Q739" s="12"/>
      <c r="R739" s="56"/>
      <c r="S739" s="56"/>
      <c r="T739" s="12"/>
      <c r="U739" s="12"/>
      <c r="V739" s="69"/>
    </row>
  </sheetData>
  <printOptions>
    <extLst>
      <ext uri="smNativeData">
        <pm:pageFlags xmlns:pm="smNativeData" id="1759816862" printRowHead="0" printColHead="0" printHeadLine="0" printFootLine="0" autoHeightHeader="0" autoHeightFooter="0" fitToPageBoth="0"/>
      </ext>
    </extLst>
  </printOptions>
  <pageMargins left="0.708333" right="0.708333" top="0.747917" bottom="0.747917" header="0.315278" footer="0.315278"/>
  <pageSetup paperSize="5" scale="70" fitToWidth="0" fitToHeight="1" orientation="landscape"/>
  <headerFooter>
    <extLst>
      <ext uri="smNativeData">
        <pm:header xmlns:pm="smNativeData" id="1759816862" l="56" r="56" t="56" b="56" borderId="0" fillId="0" vertical="0"/>
        <pm:footer xmlns:pm="smNativeData" id="1759816862" l="56" r="56" t="56" b="56" borderId="0" fillId="0" vertical="2"/>
      </ext>
    </extLst>
  </headerFooter>
  <extLst>
    <ext uri="smNativeData">
      <pm:sheetPrefs xmlns:pm="smNativeData" day="1759816862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T744"/>
  <sheetViews>
    <sheetView view="normal" zoomScale="70" workbookViewId="0">
      <selection activeCell="A1" sqref="A1"/>
    </sheetView>
  </sheetViews>
  <sheetFormatPr baseColWidth="9" defaultColWidth="10.000000" defaultRowHeight="13.45"/>
  <cols>
    <col min="1" max="1" width="5.801802" customWidth="1" style="101"/>
    <col min="2" max="2" width="3.810811" customWidth="1" style="97"/>
    <col min="3" max="3" width="16.810811" customWidth="1" style="98"/>
    <col min="4" max="4" width="40.126126" customWidth="1" style="97"/>
    <col min="5" max="5" width="10.018018" customWidth="1" style="97"/>
    <col min="6" max="6" width="12.117117" customWidth="1" style="97"/>
    <col min="7" max="7" width="18.810811" customWidth="1" style="98"/>
    <col min="8" max="8" width="7.216216" customWidth="1" style="97"/>
    <col min="9" max="9" width="8.207207" customWidth="1" style="97"/>
    <col min="10" max="10" width="4.216216" customWidth="1" style="97"/>
    <col min="11" max="11" width="16.810811" customWidth="1" style="98"/>
    <col min="12" max="12" width="9.414414" customWidth="1" style="97"/>
    <col min="13" max="13" width="11.918919" customWidth="1" style="97"/>
    <col min="14" max="14" width="16.018018" customWidth="1" style="97"/>
    <col min="15" max="15" width="9.810811" customWidth="1" style="97"/>
    <col min="16" max="16" width="9.513514" customWidth="1" style="97"/>
    <col min="17" max="17" width="10.909910" customWidth="1" style="97"/>
    <col min="18" max="19" width="17.027027" customWidth="1" style="97"/>
    <col min="20" max="20" width="11.819820" customWidth="1" style="97"/>
    <col min="21" max="16384" width="10.000000" style="97"/>
  </cols>
  <sheetData>
    <row r="1" spans="1:20">
      <c r="A1" s="101" t="s">
        <v>1876</v>
      </c>
      <c r="B1" s="97" t="s">
        <v>1877</v>
      </c>
      <c r="C1" s="98" t="s">
        <v>1878</v>
      </c>
      <c r="D1" s="97" t="s">
        <v>1879</v>
      </c>
      <c r="E1" s="97" t="s">
        <v>1880</v>
      </c>
      <c r="F1" s="97" t="s">
        <v>1881</v>
      </c>
      <c r="G1" s="98" t="s">
        <v>1882</v>
      </c>
      <c r="H1" s="97" t="s">
        <v>1883</v>
      </c>
      <c r="I1" s="97" t="s">
        <v>1884</v>
      </c>
      <c r="J1" s="97" t="s">
        <v>1885</v>
      </c>
      <c r="K1" s="98" t="s">
        <v>1886</v>
      </c>
      <c r="L1" s="97" t="s">
        <v>1887</v>
      </c>
      <c r="M1" s="97" t="s">
        <v>1888</v>
      </c>
      <c r="N1" s="97" t="s">
        <v>1889</v>
      </c>
      <c r="O1" s="97" t="s">
        <v>1890</v>
      </c>
      <c r="P1" s="97" t="s">
        <v>1891</v>
      </c>
      <c r="Q1" s="97" t="s">
        <v>1892</v>
      </c>
      <c r="R1" s="97" t="s">
        <v>1893</v>
      </c>
      <c r="S1" s="97" t="s">
        <v>1894</v>
      </c>
      <c r="T1" s="97" t="s">
        <v>1895</v>
      </c>
    </row>
    <row r="2" spans="1:20">
      <c r="A2" s="101" t="n">
        <v>1</v>
      </c>
      <c r="B2" s="97" t="n">
        <v>172</v>
      </c>
      <c r="C2" s="98" t="s">
        <v>1896</v>
      </c>
      <c r="D2" s="97" t="s">
        <v>1897</v>
      </c>
      <c r="E2" s="99" t="n">
        <v>27499</v>
      </c>
      <c r="F2" s="97" t="s">
        <v>1898</v>
      </c>
      <c r="G2" s="98" t="s">
        <v>1899</v>
      </c>
      <c r="H2" s="97" t="n">
        <v>0</v>
      </c>
      <c r="I2" s="97" t="s">
        <v>1900</v>
      </c>
      <c r="J2" s="97" t="n">
        <v>0</v>
      </c>
      <c r="K2" s="98" t="s">
        <v>1901</v>
      </c>
      <c r="L2" s="97" t="s">
        <v>1902</v>
      </c>
      <c r="M2" s="97" t="s">
        <v>25</v>
      </c>
      <c r="N2" s="97" t="s">
        <v>1903</v>
      </c>
      <c r="O2" s="97" t="s">
        <v>1904</v>
      </c>
      <c r="T2" s="97" t="e">
        <f>VLOOKUP(G2,'DATA SUMBER'!$D$4:$Q$725,3,FALSE)</f>
        <v>#N/A</v>
      </c>
    </row>
    <row r="3" spans="1:15">
      <c r="A3" s="101" t="n">
        <v>2</v>
      </c>
      <c r="B3" s="97" t="n">
        <v>247</v>
      </c>
      <c r="C3" s="98" t="s">
        <v>1905</v>
      </c>
      <c r="D3" s="97" t="s">
        <v>804</v>
      </c>
      <c r="E3" s="99" t="n">
        <v>26424</v>
      </c>
      <c r="F3" s="97" t="s">
        <v>1898</v>
      </c>
      <c r="G3" s="98" t="s">
        <v>1906</v>
      </c>
      <c r="H3" s="97" t="n">
        <v>0</v>
      </c>
      <c r="I3" s="97" t="s">
        <v>1907</v>
      </c>
      <c r="J3" s="97" t="n">
        <v>0</v>
      </c>
      <c r="K3" s="98" t="s">
        <v>1908</v>
      </c>
      <c r="L3" s="97" t="s">
        <v>1902</v>
      </c>
      <c r="M3" s="97" t="s">
        <v>25</v>
      </c>
      <c r="N3" s="97" t="s">
        <v>1903</v>
      </c>
      <c r="O3" s="97" t="s">
        <v>1904</v>
      </c>
    </row>
    <row r="4" spans="1:15">
      <c r="A4" s="101" t="n">
        <v>3</v>
      </c>
      <c r="B4" s="97" t="n">
        <v>72</v>
      </c>
      <c r="C4" s="98" t="s">
        <v>1909</v>
      </c>
      <c r="D4" s="97" t="s">
        <v>1910</v>
      </c>
      <c r="E4" s="99" t="n">
        <v>27344</v>
      </c>
      <c r="F4" s="97" t="s">
        <v>1898</v>
      </c>
      <c r="G4" s="98" t="s">
        <v>1911</v>
      </c>
      <c r="H4" s="97" t="n">
        <v>0</v>
      </c>
      <c r="I4" s="97" t="s">
        <v>1900</v>
      </c>
      <c r="J4" s="97" t="n">
        <v>0</v>
      </c>
      <c r="K4" s="98" t="s">
        <v>1912</v>
      </c>
      <c r="L4" s="97" t="s">
        <v>1902</v>
      </c>
      <c r="M4" s="97" t="s">
        <v>25</v>
      </c>
      <c r="N4" s="97" t="s">
        <v>1903</v>
      </c>
      <c r="O4" s="97" t="s">
        <v>1904</v>
      </c>
    </row>
    <row r="5" spans="1:15">
      <c r="A5" s="101" t="n">
        <v>4</v>
      </c>
      <c r="B5" s="97" t="n">
        <v>159</v>
      </c>
      <c r="C5" s="98" t="s">
        <v>1913</v>
      </c>
      <c r="D5" s="97" t="s">
        <v>534</v>
      </c>
      <c r="E5" s="99" t="n">
        <v>26819</v>
      </c>
      <c r="F5" s="97" t="s">
        <v>1898</v>
      </c>
      <c r="G5" s="98" t="s">
        <v>1914</v>
      </c>
      <c r="H5" s="97" t="n">
        <v>0</v>
      </c>
      <c r="I5" s="97" t="s">
        <v>1900</v>
      </c>
      <c r="J5" s="97" t="n">
        <v>0</v>
      </c>
      <c r="K5" s="98" t="s">
        <v>1915</v>
      </c>
      <c r="L5" s="97" t="s">
        <v>1902</v>
      </c>
      <c r="M5" s="97" t="s">
        <v>25</v>
      </c>
      <c r="N5" s="97" t="s">
        <v>1903</v>
      </c>
      <c r="O5" s="97" t="s">
        <v>1904</v>
      </c>
    </row>
    <row r="6" spans="1:15">
      <c r="A6" s="101" t="n">
        <v>5</v>
      </c>
      <c r="B6" s="97" t="n">
        <v>68</v>
      </c>
      <c r="C6" s="98" t="s">
        <v>1916</v>
      </c>
      <c r="D6" s="97" t="s">
        <v>1917</v>
      </c>
      <c r="E6" s="99" t="n">
        <v>26832</v>
      </c>
      <c r="F6" s="97" t="s">
        <v>1898</v>
      </c>
      <c r="G6" s="98" t="s">
        <v>1918</v>
      </c>
      <c r="H6" s="97" t="n">
        <v>0</v>
      </c>
      <c r="I6" s="97" t="s">
        <v>1900</v>
      </c>
      <c r="J6" s="97" t="n">
        <v>0</v>
      </c>
      <c r="K6" s="98" t="s">
        <v>1919</v>
      </c>
      <c r="L6" s="97" t="s">
        <v>1902</v>
      </c>
      <c r="M6" s="97" t="s">
        <v>25</v>
      </c>
      <c r="N6" s="97" t="s">
        <v>1903</v>
      </c>
      <c r="O6" s="97" t="s">
        <v>1904</v>
      </c>
    </row>
    <row r="7" spans="1:15">
      <c r="A7" s="101" t="n">
        <v>6</v>
      </c>
      <c r="B7" s="97" t="n">
        <v>188</v>
      </c>
      <c r="C7" s="98" t="s">
        <v>1920</v>
      </c>
      <c r="D7" s="97" t="s">
        <v>637</v>
      </c>
      <c r="E7" s="99" t="n">
        <v>31873</v>
      </c>
      <c r="F7" s="97" t="s">
        <v>1898</v>
      </c>
      <c r="G7" s="98" t="s">
        <v>1921</v>
      </c>
      <c r="H7" s="97" t="n">
        <v>0</v>
      </c>
      <c r="I7" s="97" t="s">
        <v>1900</v>
      </c>
      <c r="J7" s="97" t="n">
        <v>0</v>
      </c>
      <c r="K7" s="98" t="s">
        <v>1922</v>
      </c>
      <c r="L7" s="97" t="s">
        <v>1902</v>
      </c>
      <c r="M7" s="97" t="s">
        <v>25</v>
      </c>
      <c r="N7" s="97" t="s">
        <v>1903</v>
      </c>
      <c r="O7" s="97" t="s">
        <v>1904</v>
      </c>
    </row>
    <row r="8" spans="1:15">
      <c r="A8" s="101" t="n">
        <v>7</v>
      </c>
      <c r="B8" s="97" t="n">
        <v>129</v>
      </c>
      <c r="C8" s="98" t="s">
        <v>1923</v>
      </c>
      <c r="D8" s="97" t="s">
        <v>1924</v>
      </c>
      <c r="E8" s="99" t="n">
        <v>31272</v>
      </c>
      <c r="F8" s="97" t="s">
        <v>1898</v>
      </c>
      <c r="G8" s="98" t="s">
        <v>1925</v>
      </c>
      <c r="H8" s="97" t="n">
        <v>0</v>
      </c>
      <c r="I8" s="97" t="s">
        <v>1900</v>
      </c>
      <c r="J8" s="97" t="n">
        <v>0</v>
      </c>
      <c r="K8" s="98" t="s">
        <v>1926</v>
      </c>
      <c r="L8" s="97" t="s">
        <v>1902</v>
      </c>
      <c r="M8" s="97" t="s">
        <v>25</v>
      </c>
      <c r="N8" s="97" t="s">
        <v>1903</v>
      </c>
      <c r="O8" s="97" t="s">
        <v>1904</v>
      </c>
    </row>
    <row r="9" spans="1:15">
      <c r="A9" s="101" t="n">
        <v>8</v>
      </c>
      <c r="B9" s="97" t="n">
        <v>85</v>
      </c>
      <c r="C9" s="98" t="s">
        <v>1927</v>
      </c>
      <c r="D9" s="97" t="s">
        <v>1928</v>
      </c>
      <c r="E9" s="99" t="n">
        <v>30173</v>
      </c>
      <c r="F9" s="97" t="s">
        <v>1898</v>
      </c>
      <c r="G9" s="98" t="s">
        <v>1929</v>
      </c>
      <c r="H9" s="97" t="n">
        <v>0</v>
      </c>
      <c r="I9" s="97" t="s">
        <v>1900</v>
      </c>
      <c r="J9" s="97" t="n">
        <v>0</v>
      </c>
      <c r="K9" s="98" t="s">
        <v>1930</v>
      </c>
      <c r="L9" s="97" t="s">
        <v>1902</v>
      </c>
      <c r="M9" s="97" t="s">
        <v>25</v>
      </c>
      <c r="N9" s="97" t="s">
        <v>1903</v>
      </c>
      <c r="O9" s="97" t="s">
        <v>1904</v>
      </c>
    </row>
    <row r="10" spans="1:15">
      <c r="A10" s="101" t="n">
        <v>9</v>
      </c>
      <c r="B10" s="97" t="n">
        <v>165</v>
      </c>
      <c r="C10" s="98" t="s">
        <v>1931</v>
      </c>
      <c r="D10" s="97" t="s">
        <v>1932</v>
      </c>
      <c r="E10" s="99" t="n">
        <v>29076</v>
      </c>
      <c r="F10" s="97" t="s">
        <v>1898</v>
      </c>
      <c r="G10" s="98" t="s">
        <v>1933</v>
      </c>
      <c r="H10" s="97" t="n">
        <v>0</v>
      </c>
      <c r="I10" s="97" t="s">
        <v>1900</v>
      </c>
      <c r="J10" s="97" t="n">
        <v>0</v>
      </c>
      <c r="K10" s="98" t="s">
        <v>1934</v>
      </c>
      <c r="L10" s="97" t="s">
        <v>1902</v>
      </c>
      <c r="M10" s="97" t="s">
        <v>25</v>
      </c>
      <c r="N10" s="97" t="s">
        <v>1903</v>
      </c>
      <c r="O10" s="97" t="s">
        <v>1904</v>
      </c>
    </row>
    <row r="11" spans="1:15">
      <c r="A11" s="101" t="n">
        <v>10</v>
      </c>
      <c r="B11" s="97" t="n">
        <v>228</v>
      </c>
      <c r="C11" s="98" t="s">
        <v>1935</v>
      </c>
      <c r="D11" s="97" t="s">
        <v>1936</v>
      </c>
      <c r="E11" s="99" t="n">
        <v>28729</v>
      </c>
      <c r="F11" s="97" t="s">
        <v>1898</v>
      </c>
      <c r="G11" s="98" t="s">
        <v>1937</v>
      </c>
      <c r="H11" s="97" t="n">
        <v>0</v>
      </c>
      <c r="I11" s="97" t="s">
        <v>1900</v>
      </c>
      <c r="J11" s="97" t="n">
        <v>0</v>
      </c>
      <c r="K11" s="98" t="s">
        <v>1938</v>
      </c>
      <c r="L11" s="97" t="s">
        <v>1902</v>
      </c>
      <c r="M11" s="97" t="s">
        <v>25</v>
      </c>
      <c r="N11" s="97" t="s">
        <v>1903</v>
      </c>
      <c r="O11" s="97" t="s">
        <v>1904</v>
      </c>
    </row>
    <row r="12" spans="1:15">
      <c r="A12" s="101" t="n">
        <v>11</v>
      </c>
      <c r="B12" s="97" t="n">
        <v>227</v>
      </c>
      <c r="C12" s="98" t="s">
        <v>1939</v>
      </c>
      <c r="D12" s="97" t="s">
        <v>1940</v>
      </c>
      <c r="E12" s="99" t="n">
        <v>28714</v>
      </c>
      <c r="F12" s="97" t="s">
        <v>1898</v>
      </c>
      <c r="G12" s="98" t="s">
        <v>1941</v>
      </c>
      <c r="H12" s="97" t="n">
        <v>0</v>
      </c>
      <c r="I12" s="97" t="s">
        <v>1900</v>
      </c>
      <c r="J12" s="97" t="n">
        <v>0</v>
      </c>
      <c r="K12" s="98" t="s">
        <v>1942</v>
      </c>
      <c r="L12" s="97" t="s">
        <v>1902</v>
      </c>
      <c r="M12" s="97" t="s">
        <v>25</v>
      </c>
      <c r="N12" s="97" t="s">
        <v>1903</v>
      </c>
      <c r="O12" s="97" t="s">
        <v>1904</v>
      </c>
    </row>
    <row r="13" spans="1:15">
      <c r="A13" s="101" t="n">
        <v>12</v>
      </c>
      <c r="B13" s="97" t="n">
        <v>121</v>
      </c>
      <c r="C13" s="98" t="s">
        <v>1943</v>
      </c>
      <c r="D13" s="97" t="s">
        <v>1944</v>
      </c>
      <c r="E13" s="99" t="n">
        <v>30234</v>
      </c>
      <c r="F13" s="97" t="s">
        <v>1898</v>
      </c>
      <c r="G13" s="98" t="s">
        <v>1945</v>
      </c>
      <c r="H13" s="97" t="n">
        <v>0</v>
      </c>
      <c r="I13" s="97" t="s">
        <v>1900</v>
      </c>
      <c r="J13" s="97" t="n">
        <v>0</v>
      </c>
      <c r="K13" s="98" t="s">
        <v>1946</v>
      </c>
      <c r="L13" s="97" t="s">
        <v>1902</v>
      </c>
      <c r="M13" s="97" t="s">
        <v>25</v>
      </c>
      <c r="N13" s="97" t="s">
        <v>1903</v>
      </c>
      <c r="O13" s="97" t="s">
        <v>1904</v>
      </c>
    </row>
    <row r="14" spans="1:15">
      <c r="A14" s="101" t="n">
        <v>13</v>
      </c>
      <c r="B14" s="97" t="n">
        <v>67</v>
      </c>
      <c r="C14" s="98" t="s">
        <v>1947</v>
      </c>
      <c r="D14" s="97" t="s">
        <v>1948</v>
      </c>
      <c r="E14" s="99" t="n">
        <v>26323</v>
      </c>
      <c r="F14" s="97" t="s">
        <v>1898</v>
      </c>
      <c r="G14" s="98" t="s">
        <v>1949</v>
      </c>
      <c r="H14" s="97" t="n">
        <v>0</v>
      </c>
      <c r="I14" s="97" t="s">
        <v>1900</v>
      </c>
      <c r="J14" s="97" t="n">
        <v>0</v>
      </c>
      <c r="K14" s="98" t="s">
        <v>1950</v>
      </c>
      <c r="L14" s="97" t="s">
        <v>1902</v>
      </c>
      <c r="M14" s="97" t="s">
        <v>25</v>
      </c>
      <c r="N14" s="97" t="s">
        <v>1903</v>
      </c>
      <c r="O14" s="97" t="s">
        <v>1904</v>
      </c>
    </row>
    <row r="15" spans="1:15">
      <c r="A15" s="101" t="n">
        <v>14</v>
      </c>
      <c r="B15" s="97" t="n">
        <v>78</v>
      </c>
      <c r="C15" s="98" t="s">
        <v>1951</v>
      </c>
      <c r="D15" s="97" t="s">
        <v>311</v>
      </c>
      <c r="E15" s="99" t="n">
        <v>28580</v>
      </c>
      <c r="F15" s="97" t="s">
        <v>1898</v>
      </c>
      <c r="G15" s="98" t="s">
        <v>1952</v>
      </c>
      <c r="H15" s="97" t="n">
        <v>0</v>
      </c>
      <c r="I15" s="97" t="s">
        <v>1900</v>
      </c>
      <c r="J15" s="97" t="n">
        <v>0</v>
      </c>
      <c r="K15" s="98" t="s">
        <v>1953</v>
      </c>
      <c r="L15" s="97" t="s">
        <v>1902</v>
      </c>
      <c r="M15" s="97" t="s">
        <v>25</v>
      </c>
      <c r="N15" s="97" t="s">
        <v>1903</v>
      </c>
      <c r="O15" s="97" t="s">
        <v>1904</v>
      </c>
    </row>
    <row r="16" spans="1:15">
      <c r="A16" s="101" t="n">
        <v>15</v>
      </c>
      <c r="B16" s="97" t="n">
        <v>34</v>
      </c>
      <c r="C16" s="98" t="s">
        <v>1954</v>
      </c>
      <c r="D16" s="97" t="s">
        <v>1955</v>
      </c>
      <c r="E16" s="99" t="n">
        <v>28228</v>
      </c>
      <c r="F16" s="97" t="s">
        <v>1898</v>
      </c>
      <c r="G16" s="98" t="s">
        <v>1956</v>
      </c>
      <c r="H16" s="97" t="n">
        <v>0</v>
      </c>
      <c r="I16" s="97" t="s">
        <v>1957</v>
      </c>
      <c r="J16" s="97" t="n">
        <v>0</v>
      </c>
      <c r="K16" s="98" t="s">
        <v>1958</v>
      </c>
      <c r="L16" s="97" t="s">
        <v>1902</v>
      </c>
      <c r="M16" s="97" t="s">
        <v>25</v>
      </c>
      <c r="N16" s="97" t="s">
        <v>1903</v>
      </c>
      <c r="O16" s="97" t="s">
        <v>1904</v>
      </c>
    </row>
    <row r="17" spans="1:15">
      <c r="A17" s="101" t="n">
        <v>16</v>
      </c>
      <c r="B17" s="97" t="n">
        <v>106</v>
      </c>
      <c r="C17" s="98" t="s">
        <v>1959</v>
      </c>
      <c r="D17" s="97" t="s">
        <v>436</v>
      </c>
      <c r="E17" s="99" t="n">
        <v>29069</v>
      </c>
      <c r="F17" s="97" t="s">
        <v>1898</v>
      </c>
      <c r="G17" s="98" t="s">
        <v>1960</v>
      </c>
      <c r="H17" s="97" t="n">
        <v>0</v>
      </c>
      <c r="I17" s="97" t="s">
        <v>1900</v>
      </c>
      <c r="J17" s="97" t="n">
        <v>0</v>
      </c>
      <c r="K17" s="98" t="s">
        <v>1961</v>
      </c>
      <c r="L17" s="97" t="s">
        <v>1902</v>
      </c>
      <c r="M17" s="97" t="s">
        <v>25</v>
      </c>
      <c r="N17" s="97" t="s">
        <v>1903</v>
      </c>
      <c r="O17" s="97" t="s">
        <v>1904</v>
      </c>
    </row>
    <row r="18" spans="1:15">
      <c r="A18" s="101" t="n">
        <v>17</v>
      </c>
      <c r="B18" s="97" t="n">
        <v>200</v>
      </c>
      <c r="C18" s="98" t="s">
        <v>1962</v>
      </c>
      <c r="D18" s="97" t="s">
        <v>1963</v>
      </c>
      <c r="E18" s="99" t="n">
        <v>31552</v>
      </c>
      <c r="F18" s="97" t="s">
        <v>1898</v>
      </c>
      <c r="G18" s="98" t="s">
        <v>1964</v>
      </c>
      <c r="H18" s="97" t="n">
        <v>0</v>
      </c>
      <c r="I18" s="97" t="s">
        <v>1900</v>
      </c>
      <c r="J18" s="97" t="n">
        <v>0</v>
      </c>
      <c r="K18" s="98" t="s">
        <v>1965</v>
      </c>
      <c r="L18" s="97" t="s">
        <v>1902</v>
      </c>
      <c r="M18" s="97" t="s">
        <v>25</v>
      </c>
      <c r="N18" s="97" t="s">
        <v>1903</v>
      </c>
      <c r="O18" s="97" t="s">
        <v>1904</v>
      </c>
    </row>
    <row r="19" spans="1:15">
      <c r="A19" s="101" t="n">
        <v>18</v>
      </c>
      <c r="B19" s="97" t="n">
        <v>296</v>
      </c>
      <c r="C19" s="98" t="s">
        <v>1966</v>
      </c>
      <c r="D19" s="97" t="s">
        <v>1967</v>
      </c>
      <c r="E19" s="99" t="n">
        <v>32676</v>
      </c>
      <c r="F19" s="97" t="s">
        <v>1898</v>
      </c>
      <c r="G19" s="98" t="s">
        <v>1968</v>
      </c>
      <c r="H19" s="97" t="n">
        <v>0</v>
      </c>
      <c r="I19" s="97" t="s">
        <v>1907</v>
      </c>
      <c r="J19" s="97" t="n">
        <v>0</v>
      </c>
      <c r="K19" s="98" t="s">
        <v>1969</v>
      </c>
      <c r="L19" s="97" t="s">
        <v>1902</v>
      </c>
      <c r="M19" s="97" t="s">
        <v>25</v>
      </c>
      <c r="N19" s="97" t="s">
        <v>1903</v>
      </c>
      <c r="O19" s="97" t="s">
        <v>1904</v>
      </c>
    </row>
    <row r="20" spans="1:15">
      <c r="A20" s="101" t="n">
        <v>19</v>
      </c>
      <c r="B20" s="97" t="n">
        <v>69</v>
      </c>
      <c r="C20" s="98" t="s">
        <v>1970</v>
      </c>
      <c r="D20" s="97" t="s">
        <v>1971</v>
      </c>
      <c r="E20" s="99" t="n">
        <v>26908</v>
      </c>
      <c r="F20" s="97" t="s">
        <v>1898</v>
      </c>
      <c r="G20" s="98" t="s">
        <v>1972</v>
      </c>
      <c r="H20" s="97" t="n">
        <v>0</v>
      </c>
      <c r="I20" s="97" t="s">
        <v>1900</v>
      </c>
      <c r="J20" s="97" t="n">
        <v>0</v>
      </c>
      <c r="K20" s="98" t="s">
        <v>1973</v>
      </c>
      <c r="L20" s="97" t="s">
        <v>1902</v>
      </c>
      <c r="M20" s="97" t="s">
        <v>25</v>
      </c>
      <c r="N20" s="97" t="s">
        <v>1903</v>
      </c>
      <c r="O20" s="97" t="s">
        <v>1904</v>
      </c>
    </row>
    <row r="21" spans="1:15">
      <c r="A21" s="101" t="n">
        <v>20</v>
      </c>
      <c r="B21" s="97" t="n">
        <v>286</v>
      </c>
      <c r="C21" s="98" t="s">
        <v>1974</v>
      </c>
      <c r="D21" s="97" t="s">
        <v>779</v>
      </c>
      <c r="E21" s="99" t="n">
        <v>34451</v>
      </c>
      <c r="F21" s="97" t="s">
        <v>1898</v>
      </c>
      <c r="G21" s="98" t="s">
        <v>1975</v>
      </c>
      <c r="H21" s="97" t="n">
        <v>0</v>
      </c>
      <c r="I21" s="97" t="s">
        <v>1907</v>
      </c>
      <c r="J21" s="97" t="n">
        <v>0</v>
      </c>
      <c r="K21" s="98" t="s">
        <v>1976</v>
      </c>
      <c r="L21" s="97" t="s">
        <v>1902</v>
      </c>
      <c r="M21" s="97" t="s">
        <v>25</v>
      </c>
      <c r="N21" s="97" t="s">
        <v>1903</v>
      </c>
      <c r="O21" s="97" t="s">
        <v>1904</v>
      </c>
    </row>
    <row r="22" spans="1:15">
      <c r="A22" s="101" t="n">
        <v>21</v>
      </c>
      <c r="B22" s="97" t="n">
        <v>54</v>
      </c>
      <c r="C22" s="98" t="s">
        <v>1977</v>
      </c>
      <c r="D22" s="97" t="s">
        <v>1978</v>
      </c>
      <c r="E22" s="99" t="n">
        <v>31190</v>
      </c>
      <c r="F22" s="97" t="s">
        <v>1898</v>
      </c>
      <c r="G22" s="98" t="s">
        <v>1979</v>
      </c>
      <c r="H22" s="97" t="n">
        <v>0</v>
      </c>
      <c r="I22" s="97" t="s">
        <v>1900</v>
      </c>
      <c r="J22" s="97" t="n">
        <v>0</v>
      </c>
      <c r="K22" s="98" t="s">
        <v>1980</v>
      </c>
      <c r="L22" s="97" t="s">
        <v>1902</v>
      </c>
      <c r="M22" s="97" t="s">
        <v>25</v>
      </c>
      <c r="N22" s="97" t="s">
        <v>1903</v>
      </c>
      <c r="O22" s="97" t="s">
        <v>1904</v>
      </c>
    </row>
    <row r="23" spans="1:15">
      <c r="A23" s="101" t="n">
        <v>22</v>
      </c>
      <c r="B23" s="97" t="n">
        <v>24</v>
      </c>
      <c r="C23" s="98" t="s">
        <v>1981</v>
      </c>
      <c r="D23" s="97" t="s">
        <v>1982</v>
      </c>
      <c r="E23" s="99" t="n">
        <v>25954</v>
      </c>
      <c r="F23" s="97" t="s">
        <v>1898</v>
      </c>
      <c r="G23" s="98" t="s">
        <v>1983</v>
      </c>
      <c r="H23" s="97" t="n">
        <v>0</v>
      </c>
      <c r="I23" s="97" t="s">
        <v>1957</v>
      </c>
      <c r="J23" s="97" t="n">
        <v>0</v>
      </c>
      <c r="K23" s="98" t="s">
        <v>1984</v>
      </c>
      <c r="L23" s="97" t="s">
        <v>1902</v>
      </c>
      <c r="M23" s="97" t="s">
        <v>25</v>
      </c>
      <c r="N23" s="97" t="s">
        <v>1903</v>
      </c>
      <c r="O23" s="97" t="s">
        <v>1904</v>
      </c>
    </row>
    <row r="24" spans="1:15">
      <c r="A24" s="101" t="n">
        <v>23</v>
      </c>
      <c r="B24" s="97" t="n">
        <v>18</v>
      </c>
      <c r="C24" s="98" t="s">
        <v>1985</v>
      </c>
      <c r="D24" s="97" t="s">
        <v>106</v>
      </c>
      <c r="E24" s="99" t="n">
        <v>31125</v>
      </c>
      <c r="F24" s="97" t="s">
        <v>1898</v>
      </c>
      <c r="G24" s="98" t="s">
        <v>1986</v>
      </c>
      <c r="H24" s="97" t="n">
        <v>0</v>
      </c>
      <c r="I24" s="97" t="s">
        <v>1957</v>
      </c>
      <c r="J24" s="97" t="n">
        <v>0</v>
      </c>
      <c r="K24" s="98" t="s">
        <v>1987</v>
      </c>
      <c r="L24" s="97" t="s">
        <v>1902</v>
      </c>
      <c r="M24" s="97" t="s">
        <v>25</v>
      </c>
      <c r="N24" s="97" t="s">
        <v>1903</v>
      </c>
      <c r="O24" s="97" t="s">
        <v>1904</v>
      </c>
    </row>
    <row r="25" spans="1:15">
      <c r="A25" s="101" t="n">
        <v>24</v>
      </c>
      <c r="B25" s="97" t="n">
        <v>92</v>
      </c>
      <c r="C25" s="98" t="s">
        <v>1988</v>
      </c>
      <c r="D25" s="97" t="s">
        <v>348</v>
      </c>
      <c r="E25" s="99" t="n">
        <v>25958</v>
      </c>
      <c r="F25" s="97" t="s">
        <v>1898</v>
      </c>
      <c r="G25" s="98" t="s">
        <v>1989</v>
      </c>
      <c r="H25" s="97" t="n">
        <v>0</v>
      </c>
      <c r="I25" s="97" t="s">
        <v>1900</v>
      </c>
      <c r="J25" s="97" t="n">
        <v>0</v>
      </c>
      <c r="K25" s="98" t="s">
        <v>1990</v>
      </c>
      <c r="L25" s="97" t="s">
        <v>1902</v>
      </c>
      <c r="M25" s="97" t="s">
        <v>25</v>
      </c>
      <c r="N25" s="97" t="s">
        <v>1903</v>
      </c>
      <c r="O25" s="97" t="s">
        <v>1904</v>
      </c>
    </row>
    <row r="26" spans="1:15">
      <c r="A26" s="101" t="n">
        <v>25</v>
      </c>
      <c r="B26" s="97" t="n">
        <v>187</v>
      </c>
      <c r="C26" s="98" t="s">
        <v>1991</v>
      </c>
      <c r="D26" s="97" t="s">
        <v>1992</v>
      </c>
      <c r="E26" s="99" t="n">
        <v>33957</v>
      </c>
      <c r="F26" s="97" t="s">
        <v>1898</v>
      </c>
      <c r="G26" s="98" t="s">
        <v>1993</v>
      </c>
      <c r="H26" s="97" t="n">
        <v>0</v>
      </c>
      <c r="I26" s="97" t="s">
        <v>1900</v>
      </c>
      <c r="J26" s="97" t="n">
        <v>0</v>
      </c>
      <c r="K26" s="98" t="s">
        <v>1994</v>
      </c>
      <c r="L26" s="97" t="s">
        <v>1902</v>
      </c>
      <c r="M26" s="97" t="s">
        <v>25</v>
      </c>
      <c r="N26" s="97" t="s">
        <v>1903</v>
      </c>
      <c r="O26" s="97" t="s">
        <v>1904</v>
      </c>
    </row>
    <row r="27" spans="1:15">
      <c r="A27" s="101" t="n">
        <v>26</v>
      </c>
      <c r="B27" s="97" t="n">
        <v>255</v>
      </c>
      <c r="C27" s="98" t="s">
        <v>1995</v>
      </c>
      <c r="D27" s="97" t="s">
        <v>808</v>
      </c>
      <c r="E27" s="99" t="n">
        <v>27554</v>
      </c>
      <c r="F27" s="97" t="s">
        <v>1898</v>
      </c>
      <c r="G27" s="98" t="s">
        <v>1996</v>
      </c>
      <c r="H27" s="97" t="n">
        <v>0</v>
      </c>
      <c r="I27" s="97" t="s">
        <v>1907</v>
      </c>
      <c r="J27" s="97" t="n">
        <v>0</v>
      </c>
      <c r="K27" s="98" t="s">
        <v>1997</v>
      </c>
      <c r="L27" s="97" t="s">
        <v>1902</v>
      </c>
      <c r="M27" s="97" t="s">
        <v>25</v>
      </c>
      <c r="N27" s="97" t="s">
        <v>1903</v>
      </c>
      <c r="O27" s="97" t="s">
        <v>1904</v>
      </c>
    </row>
    <row r="28" spans="1:15">
      <c r="A28" s="101" t="n">
        <v>27</v>
      </c>
      <c r="B28" s="97" t="n">
        <v>243</v>
      </c>
      <c r="C28" s="98" t="s">
        <v>1998</v>
      </c>
      <c r="D28" s="97" t="s">
        <v>697</v>
      </c>
      <c r="E28" s="99" t="n">
        <v>29835</v>
      </c>
      <c r="F28" s="97" t="s">
        <v>1898</v>
      </c>
      <c r="G28" s="98" t="s">
        <v>1999</v>
      </c>
      <c r="H28" s="97" t="n">
        <v>0</v>
      </c>
      <c r="I28" s="97" t="s">
        <v>1907</v>
      </c>
      <c r="J28" s="97" t="n">
        <v>0</v>
      </c>
      <c r="K28" s="98" t="s">
        <v>2000</v>
      </c>
      <c r="L28" s="97" t="s">
        <v>1902</v>
      </c>
      <c r="M28" s="97" t="s">
        <v>25</v>
      </c>
      <c r="N28" s="97" t="s">
        <v>1903</v>
      </c>
      <c r="O28" s="97" t="s">
        <v>1904</v>
      </c>
    </row>
    <row r="29" spans="1:15">
      <c r="A29" s="101" t="n">
        <v>28</v>
      </c>
      <c r="B29" s="97" t="n">
        <v>171</v>
      </c>
      <c r="C29" s="98" t="s">
        <v>2001</v>
      </c>
      <c r="D29" s="97" t="s">
        <v>2002</v>
      </c>
      <c r="E29" s="99" t="n">
        <v>30688</v>
      </c>
      <c r="F29" s="97" t="s">
        <v>1898</v>
      </c>
      <c r="G29" s="98" t="s">
        <v>2003</v>
      </c>
      <c r="H29" s="97" t="n">
        <v>0</v>
      </c>
      <c r="I29" s="97" t="s">
        <v>1900</v>
      </c>
      <c r="J29" s="97" t="n">
        <v>0</v>
      </c>
      <c r="K29" s="98" t="s">
        <v>2004</v>
      </c>
      <c r="L29" s="97" t="s">
        <v>1902</v>
      </c>
      <c r="M29" s="97" t="s">
        <v>25</v>
      </c>
      <c r="N29" s="97" t="s">
        <v>1903</v>
      </c>
      <c r="O29" s="97" t="s">
        <v>1904</v>
      </c>
    </row>
    <row r="30" spans="1:15">
      <c r="A30" s="101" t="n">
        <v>29</v>
      </c>
      <c r="B30" s="97" t="n">
        <v>131</v>
      </c>
      <c r="C30" s="98" t="s">
        <v>2005</v>
      </c>
      <c r="D30" s="97" t="s">
        <v>2006</v>
      </c>
      <c r="E30" s="99" t="n">
        <v>31503</v>
      </c>
      <c r="F30" s="97" t="s">
        <v>1898</v>
      </c>
      <c r="G30" s="98" t="s">
        <v>2007</v>
      </c>
      <c r="H30" s="97" t="n">
        <v>0</v>
      </c>
      <c r="I30" s="97" t="s">
        <v>1900</v>
      </c>
      <c r="J30" s="97" t="n">
        <v>0</v>
      </c>
      <c r="K30" s="98" t="s">
        <v>2008</v>
      </c>
      <c r="L30" s="97" t="s">
        <v>1902</v>
      </c>
      <c r="M30" s="97" t="s">
        <v>25</v>
      </c>
      <c r="N30" s="97" t="s">
        <v>1903</v>
      </c>
      <c r="O30" s="97" t="s">
        <v>1904</v>
      </c>
    </row>
    <row r="31" spans="1:15">
      <c r="A31" s="101" t="n">
        <v>30</v>
      </c>
      <c r="B31" s="97" t="n">
        <v>210</v>
      </c>
      <c r="C31" s="98" t="s">
        <v>2009</v>
      </c>
      <c r="D31" s="97" t="s">
        <v>2010</v>
      </c>
      <c r="E31" s="99" t="n">
        <v>31380</v>
      </c>
      <c r="F31" s="97" t="s">
        <v>1898</v>
      </c>
      <c r="G31" s="98" t="s">
        <v>2011</v>
      </c>
      <c r="H31" s="97" t="n">
        <v>0</v>
      </c>
      <c r="I31" s="97" t="s">
        <v>1900</v>
      </c>
      <c r="J31" s="97" t="n">
        <v>0</v>
      </c>
      <c r="K31" s="98" t="s">
        <v>2012</v>
      </c>
      <c r="L31" s="97" t="s">
        <v>1902</v>
      </c>
      <c r="M31" s="97" t="s">
        <v>25</v>
      </c>
      <c r="N31" s="97" t="s">
        <v>1903</v>
      </c>
      <c r="O31" s="97" t="s">
        <v>1904</v>
      </c>
    </row>
    <row r="32" spans="1:15">
      <c r="A32" s="101" t="n">
        <v>31</v>
      </c>
      <c r="B32" s="97" t="n">
        <v>204</v>
      </c>
      <c r="C32" s="98" t="s">
        <v>2013</v>
      </c>
      <c r="D32" s="97" t="s">
        <v>2014</v>
      </c>
      <c r="E32" s="99" t="n">
        <v>28452</v>
      </c>
      <c r="F32" s="97" t="s">
        <v>1898</v>
      </c>
      <c r="G32" s="98" t="s">
        <v>2015</v>
      </c>
      <c r="H32" s="97" t="n">
        <v>0</v>
      </c>
      <c r="I32" s="97" t="s">
        <v>1900</v>
      </c>
      <c r="J32" s="97" t="n">
        <v>0</v>
      </c>
      <c r="K32" s="98" t="s">
        <v>2016</v>
      </c>
      <c r="L32" s="97" t="s">
        <v>1902</v>
      </c>
      <c r="M32" s="97" t="s">
        <v>25</v>
      </c>
      <c r="N32" s="97" t="s">
        <v>1903</v>
      </c>
      <c r="O32" s="97" t="s">
        <v>1904</v>
      </c>
    </row>
    <row r="33" spans="1:15">
      <c r="A33" s="101" t="n">
        <v>32</v>
      </c>
      <c r="B33" s="97" t="n">
        <v>33</v>
      </c>
      <c r="C33" s="98" t="s">
        <v>2017</v>
      </c>
      <c r="D33" s="97" t="s">
        <v>2018</v>
      </c>
      <c r="E33" s="99" t="n">
        <v>27823</v>
      </c>
      <c r="F33" s="97" t="s">
        <v>1898</v>
      </c>
      <c r="G33" s="98" t="s">
        <v>2019</v>
      </c>
      <c r="H33" s="97" t="n">
        <v>0</v>
      </c>
      <c r="I33" s="97" t="s">
        <v>1957</v>
      </c>
      <c r="J33" s="97" t="n">
        <v>0</v>
      </c>
      <c r="K33" s="98" t="s">
        <v>2020</v>
      </c>
      <c r="L33" s="97" t="s">
        <v>1902</v>
      </c>
      <c r="M33" s="97" t="s">
        <v>25</v>
      </c>
      <c r="N33" s="97" t="s">
        <v>1903</v>
      </c>
      <c r="O33" s="97" t="s">
        <v>1904</v>
      </c>
    </row>
    <row r="34" spans="1:15">
      <c r="A34" s="101" t="n">
        <v>33</v>
      </c>
      <c r="B34" s="97" t="n">
        <v>270</v>
      </c>
      <c r="C34" s="98" t="s">
        <v>2021</v>
      </c>
      <c r="D34" s="97" t="s">
        <v>2022</v>
      </c>
      <c r="E34" s="99" t="n">
        <v>32969</v>
      </c>
      <c r="F34" s="97" t="s">
        <v>1898</v>
      </c>
      <c r="G34" s="98" t="s">
        <v>2023</v>
      </c>
      <c r="H34" s="97" t="n">
        <v>0</v>
      </c>
      <c r="I34" s="97" t="s">
        <v>1907</v>
      </c>
      <c r="J34" s="97" t="n">
        <v>0</v>
      </c>
      <c r="K34" s="98" t="s">
        <v>2024</v>
      </c>
      <c r="L34" s="97" t="s">
        <v>1902</v>
      </c>
      <c r="M34" s="97" t="s">
        <v>25</v>
      </c>
      <c r="N34" s="97" t="s">
        <v>1903</v>
      </c>
      <c r="O34" s="97" t="s">
        <v>1904</v>
      </c>
    </row>
    <row r="35" spans="1:15">
      <c r="A35" s="101" t="n">
        <v>34</v>
      </c>
      <c r="B35" s="97" t="n">
        <v>98</v>
      </c>
      <c r="C35" s="98" t="s">
        <v>2025</v>
      </c>
      <c r="D35" s="97" t="s">
        <v>2026</v>
      </c>
      <c r="E35" s="99" t="n">
        <v>29022</v>
      </c>
      <c r="F35" s="97" t="s">
        <v>1898</v>
      </c>
      <c r="G35" s="98" t="s">
        <v>2027</v>
      </c>
      <c r="H35" s="97" t="n">
        <v>0</v>
      </c>
      <c r="I35" s="97" t="s">
        <v>1900</v>
      </c>
      <c r="J35" s="97" t="n">
        <v>0</v>
      </c>
      <c r="K35" s="98" t="s">
        <v>2028</v>
      </c>
      <c r="L35" s="97" t="s">
        <v>1902</v>
      </c>
      <c r="M35" s="97" t="s">
        <v>25</v>
      </c>
      <c r="N35" s="97" t="s">
        <v>1903</v>
      </c>
      <c r="O35" s="97" t="s">
        <v>1904</v>
      </c>
    </row>
    <row r="36" spans="1:15">
      <c r="A36" s="101" t="n">
        <v>35</v>
      </c>
      <c r="B36" s="97" t="n">
        <v>209</v>
      </c>
      <c r="C36" s="98" t="s">
        <v>2029</v>
      </c>
      <c r="D36" s="97" t="s">
        <v>2030</v>
      </c>
      <c r="E36" s="99" t="n">
        <v>31235</v>
      </c>
      <c r="F36" s="97" t="s">
        <v>1898</v>
      </c>
      <c r="G36" s="98" t="s">
        <v>2031</v>
      </c>
      <c r="H36" s="97" t="n">
        <v>0</v>
      </c>
      <c r="I36" s="97" t="s">
        <v>1900</v>
      </c>
      <c r="J36" s="97" t="n">
        <v>0</v>
      </c>
      <c r="K36" s="98" t="s">
        <v>2032</v>
      </c>
      <c r="L36" s="97" t="s">
        <v>1902</v>
      </c>
      <c r="M36" s="97" t="s">
        <v>25</v>
      </c>
      <c r="N36" s="97" t="s">
        <v>1903</v>
      </c>
      <c r="O36" s="97" t="s">
        <v>1904</v>
      </c>
    </row>
    <row r="37" spans="1:15">
      <c r="A37" s="101" t="n">
        <v>36</v>
      </c>
      <c r="B37" s="97" t="n">
        <v>192</v>
      </c>
      <c r="C37" s="98" t="s">
        <v>2033</v>
      </c>
      <c r="D37" s="97" t="s">
        <v>635</v>
      </c>
      <c r="E37" s="99" t="n">
        <v>34463</v>
      </c>
      <c r="F37" s="97" t="s">
        <v>1898</v>
      </c>
      <c r="G37" s="98" t="s">
        <v>2034</v>
      </c>
      <c r="H37" s="97" t="n">
        <v>0</v>
      </c>
      <c r="I37" s="97" t="s">
        <v>1900</v>
      </c>
      <c r="J37" s="97" t="n">
        <v>0</v>
      </c>
      <c r="K37" s="98" t="s">
        <v>2035</v>
      </c>
      <c r="L37" s="97" t="s">
        <v>1902</v>
      </c>
      <c r="M37" s="97" t="s">
        <v>25</v>
      </c>
      <c r="N37" s="97" t="s">
        <v>1903</v>
      </c>
      <c r="O37" s="97" t="s">
        <v>1904</v>
      </c>
    </row>
    <row r="38" spans="1:15">
      <c r="A38" s="101" t="n">
        <v>37</v>
      </c>
      <c r="B38" s="97" t="n">
        <v>301</v>
      </c>
      <c r="C38" s="98" t="s">
        <v>2036</v>
      </c>
      <c r="D38" s="97" t="s">
        <v>819</v>
      </c>
      <c r="E38" s="99" t="n">
        <v>30112</v>
      </c>
      <c r="F38" s="97" t="s">
        <v>1898</v>
      </c>
      <c r="G38" s="98" t="s">
        <v>2037</v>
      </c>
      <c r="H38" s="97" t="n">
        <v>0</v>
      </c>
      <c r="I38" s="97" t="s">
        <v>1907</v>
      </c>
      <c r="J38" s="97" t="n">
        <v>0</v>
      </c>
      <c r="K38" s="98" t="s">
        <v>2038</v>
      </c>
      <c r="L38" s="97" t="s">
        <v>1902</v>
      </c>
      <c r="M38" s="97" t="s">
        <v>25</v>
      </c>
      <c r="N38" s="97" t="s">
        <v>1903</v>
      </c>
      <c r="O38" s="97" t="s">
        <v>1904</v>
      </c>
    </row>
    <row r="39" spans="1:15">
      <c r="A39" s="101" t="n">
        <v>38</v>
      </c>
      <c r="B39" s="97" t="n">
        <v>101</v>
      </c>
      <c r="C39" s="98" t="s">
        <v>2039</v>
      </c>
      <c r="D39" s="97" t="s">
        <v>2040</v>
      </c>
      <c r="E39" s="99" t="n">
        <v>29541</v>
      </c>
      <c r="F39" s="97" t="s">
        <v>1898</v>
      </c>
      <c r="G39" s="98" t="s">
        <v>2041</v>
      </c>
      <c r="H39" s="97" t="n">
        <v>0</v>
      </c>
      <c r="I39" s="97" t="s">
        <v>1900</v>
      </c>
      <c r="J39" s="97" t="n">
        <v>0</v>
      </c>
      <c r="K39" s="98" t="s">
        <v>2042</v>
      </c>
      <c r="L39" s="97" t="s">
        <v>1902</v>
      </c>
      <c r="M39" s="97" t="s">
        <v>25</v>
      </c>
      <c r="N39" s="97" t="s">
        <v>1903</v>
      </c>
      <c r="O39" s="97" t="s">
        <v>1904</v>
      </c>
    </row>
    <row r="40" spans="1:15">
      <c r="A40" s="101" t="n">
        <v>39</v>
      </c>
      <c r="B40" s="97" t="n">
        <v>75</v>
      </c>
      <c r="C40" s="98" t="s">
        <v>2043</v>
      </c>
      <c r="D40" s="97" t="s">
        <v>2044</v>
      </c>
      <c r="E40" s="99" t="n">
        <v>28108</v>
      </c>
      <c r="F40" s="97" t="s">
        <v>1898</v>
      </c>
      <c r="G40" s="98" t="s">
        <v>2045</v>
      </c>
      <c r="H40" s="97" t="n">
        <v>0</v>
      </c>
      <c r="I40" s="97" t="s">
        <v>1900</v>
      </c>
      <c r="J40" s="97" t="n">
        <v>0</v>
      </c>
      <c r="K40" s="98" t="s">
        <v>2046</v>
      </c>
      <c r="L40" s="97" t="s">
        <v>1902</v>
      </c>
      <c r="M40" s="97" t="s">
        <v>25</v>
      </c>
      <c r="N40" s="97" t="s">
        <v>1903</v>
      </c>
      <c r="O40" s="97" t="s">
        <v>1904</v>
      </c>
    </row>
    <row r="41" spans="1:15">
      <c r="A41" s="101" t="n">
        <v>40</v>
      </c>
      <c r="B41" s="97" t="n">
        <v>220</v>
      </c>
      <c r="C41" s="98" t="s">
        <v>2047</v>
      </c>
      <c r="D41" s="97" t="s">
        <v>618</v>
      </c>
      <c r="E41" s="99" t="n">
        <v>32077</v>
      </c>
      <c r="F41" s="97" t="s">
        <v>1898</v>
      </c>
      <c r="G41" s="98" t="s">
        <v>2048</v>
      </c>
      <c r="H41" s="97" t="n">
        <v>0</v>
      </c>
      <c r="I41" s="97" t="s">
        <v>1900</v>
      </c>
      <c r="J41" s="97" t="n">
        <v>0</v>
      </c>
      <c r="K41" s="98" t="s">
        <v>2049</v>
      </c>
      <c r="L41" s="97" t="s">
        <v>1902</v>
      </c>
      <c r="M41" s="97" t="s">
        <v>25</v>
      </c>
      <c r="N41" s="97" t="s">
        <v>1903</v>
      </c>
      <c r="O41" s="97" t="s">
        <v>1904</v>
      </c>
    </row>
    <row r="42" spans="1:15">
      <c r="A42" s="101" t="n">
        <v>41</v>
      </c>
      <c r="B42" s="97" t="n">
        <v>235</v>
      </c>
      <c r="C42" s="98" t="s">
        <v>2050</v>
      </c>
      <c r="D42" s="97" t="s">
        <v>2051</v>
      </c>
      <c r="E42" s="99" t="n">
        <v>25794</v>
      </c>
      <c r="F42" s="97" t="s">
        <v>1898</v>
      </c>
      <c r="G42" s="98" t="s">
        <v>2052</v>
      </c>
      <c r="H42" s="97" t="n">
        <v>0</v>
      </c>
      <c r="I42" s="97" t="s">
        <v>1907</v>
      </c>
      <c r="J42" s="97" t="n">
        <v>0</v>
      </c>
      <c r="K42" s="98" t="s">
        <v>2053</v>
      </c>
      <c r="L42" s="97" t="s">
        <v>1902</v>
      </c>
      <c r="M42" s="97" t="s">
        <v>25</v>
      </c>
      <c r="N42" s="97" t="s">
        <v>1903</v>
      </c>
      <c r="O42" s="97" t="s">
        <v>1904</v>
      </c>
    </row>
    <row r="43" spans="1:15">
      <c r="A43" s="101" t="n">
        <v>42</v>
      </c>
      <c r="B43" s="97" t="n">
        <v>179</v>
      </c>
      <c r="C43" s="98" t="s">
        <v>2054</v>
      </c>
      <c r="D43" s="97" t="s">
        <v>2055</v>
      </c>
      <c r="E43" s="99" t="n">
        <v>31853</v>
      </c>
      <c r="F43" s="97" t="s">
        <v>1898</v>
      </c>
      <c r="G43" s="98" t="s">
        <v>2056</v>
      </c>
      <c r="H43" s="97" t="n">
        <v>0</v>
      </c>
      <c r="I43" s="97" t="s">
        <v>1900</v>
      </c>
      <c r="J43" s="97" t="n">
        <v>0</v>
      </c>
      <c r="K43" s="98" t="s">
        <v>2057</v>
      </c>
      <c r="L43" s="97" t="s">
        <v>1902</v>
      </c>
      <c r="M43" s="97" t="s">
        <v>25</v>
      </c>
      <c r="N43" s="97" t="s">
        <v>1903</v>
      </c>
      <c r="O43" s="97" t="s">
        <v>1904</v>
      </c>
    </row>
    <row r="44" spans="1:15">
      <c r="A44" s="101" t="n">
        <v>43</v>
      </c>
      <c r="B44" s="97" t="n">
        <v>240</v>
      </c>
      <c r="C44" s="98" t="s">
        <v>2058</v>
      </c>
      <c r="D44" s="97" t="s">
        <v>708</v>
      </c>
      <c r="E44" s="99" t="n">
        <v>28583</v>
      </c>
      <c r="F44" s="97" t="s">
        <v>1898</v>
      </c>
      <c r="G44" s="98" t="s">
        <v>2059</v>
      </c>
      <c r="H44" s="97" t="n">
        <v>0</v>
      </c>
      <c r="I44" s="97" t="s">
        <v>1907</v>
      </c>
      <c r="J44" s="97" t="n">
        <v>0</v>
      </c>
      <c r="K44" s="98" t="s">
        <v>2060</v>
      </c>
      <c r="L44" s="97" t="s">
        <v>1902</v>
      </c>
      <c r="M44" s="97" t="s">
        <v>25</v>
      </c>
      <c r="N44" s="97" t="s">
        <v>1903</v>
      </c>
      <c r="O44" s="97" t="s">
        <v>1904</v>
      </c>
    </row>
    <row r="45" spans="1:15">
      <c r="A45" s="101" t="n">
        <v>44</v>
      </c>
      <c r="B45" s="97" t="n">
        <v>237</v>
      </c>
      <c r="C45" s="98" t="s">
        <v>2061</v>
      </c>
      <c r="D45" s="97" t="s">
        <v>665</v>
      </c>
      <c r="E45" s="99" t="n">
        <v>32037</v>
      </c>
      <c r="F45" s="97" t="s">
        <v>1898</v>
      </c>
      <c r="G45" s="98" t="s">
        <v>2062</v>
      </c>
      <c r="H45" s="97" t="n">
        <v>0</v>
      </c>
      <c r="I45" s="97" t="s">
        <v>1907</v>
      </c>
      <c r="J45" s="97" t="n">
        <v>0</v>
      </c>
      <c r="K45" s="98" t="s">
        <v>2063</v>
      </c>
      <c r="L45" s="97" t="s">
        <v>1902</v>
      </c>
      <c r="M45" s="97" t="s">
        <v>25</v>
      </c>
      <c r="N45" s="97" t="s">
        <v>1903</v>
      </c>
      <c r="O45" s="97" t="s">
        <v>1904</v>
      </c>
    </row>
    <row r="46" spans="1:15">
      <c r="A46" s="101" t="n">
        <v>45</v>
      </c>
      <c r="B46" s="97" t="n">
        <v>213</v>
      </c>
      <c r="C46" s="98" t="s">
        <v>2064</v>
      </c>
      <c r="D46" s="97" t="s">
        <v>2065</v>
      </c>
      <c r="E46" s="99" t="n">
        <v>32032</v>
      </c>
      <c r="F46" s="97" t="s">
        <v>1898</v>
      </c>
      <c r="G46" s="98" t="s">
        <v>2066</v>
      </c>
      <c r="H46" s="97" t="n">
        <v>0</v>
      </c>
      <c r="I46" s="97" t="s">
        <v>1900</v>
      </c>
      <c r="J46" s="97" t="n">
        <v>0</v>
      </c>
      <c r="K46" s="98" t="s">
        <v>2067</v>
      </c>
      <c r="L46" s="97" t="s">
        <v>1902</v>
      </c>
      <c r="M46" s="97" t="s">
        <v>25</v>
      </c>
      <c r="N46" s="97" t="s">
        <v>1903</v>
      </c>
      <c r="O46" s="97" t="s">
        <v>1904</v>
      </c>
    </row>
    <row r="47" spans="1:15">
      <c r="A47" s="101" t="n">
        <v>46</v>
      </c>
      <c r="B47" s="97" t="n">
        <v>280</v>
      </c>
      <c r="C47" s="98" t="s">
        <v>2068</v>
      </c>
      <c r="D47" s="97" t="s">
        <v>2069</v>
      </c>
      <c r="E47" s="99" t="n">
        <v>33877</v>
      </c>
      <c r="F47" s="97" t="s">
        <v>1898</v>
      </c>
      <c r="G47" s="98" t="s">
        <v>2070</v>
      </c>
      <c r="H47" s="97" t="n">
        <v>0</v>
      </c>
      <c r="I47" s="97" t="s">
        <v>1907</v>
      </c>
      <c r="J47" s="97" t="n">
        <v>0</v>
      </c>
      <c r="K47" s="98" t="s">
        <v>2071</v>
      </c>
      <c r="L47" s="97" t="s">
        <v>1902</v>
      </c>
      <c r="M47" s="97" t="s">
        <v>25</v>
      </c>
      <c r="N47" s="97" t="s">
        <v>1903</v>
      </c>
      <c r="O47" s="97" t="s">
        <v>1904</v>
      </c>
    </row>
    <row r="48" spans="1:15">
      <c r="A48" s="101" t="n">
        <v>47</v>
      </c>
      <c r="B48" s="97" t="n">
        <v>127</v>
      </c>
      <c r="C48" s="98" t="s">
        <v>2072</v>
      </c>
      <c r="D48" s="97" t="s">
        <v>2073</v>
      </c>
      <c r="E48" s="99" t="n">
        <v>31181</v>
      </c>
      <c r="F48" s="97" t="s">
        <v>1898</v>
      </c>
      <c r="G48" s="98" t="s">
        <v>2074</v>
      </c>
      <c r="H48" s="97" t="n">
        <v>0</v>
      </c>
      <c r="I48" s="97" t="s">
        <v>1900</v>
      </c>
      <c r="J48" s="97" t="n">
        <v>0</v>
      </c>
      <c r="K48" s="98" t="s">
        <v>2075</v>
      </c>
      <c r="L48" s="97" t="s">
        <v>1902</v>
      </c>
      <c r="M48" s="97" t="s">
        <v>25</v>
      </c>
      <c r="N48" s="97" t="s">
        <v>1903</v>
      </c>
      <c r="O48" s="97" t="s">
        <v>1904</v>
      </c>
    </row>
    <row r="49" spans="1:15">
      <c r="A49" s="101" t="n">
        <v>48</v>
      </c>
      <c r="B49" s="97" t="n">
        <v>297</v>
      </c>
      <c r="C49" s="98" t="s">
        <v>2076</v>
      </c>
      <c r="D49" s="97" t="s">
        <v>2077</v>
      </c>
      <c r="E49" s="99" t="n">
        <v>33243</v>
      </c>
      <c r="F49" s="97" t="s">
        <v>1898</v>
      </c>
      <c r="G49" s="98" t="s">
        <v>2078</v>
      </c>
      <c r="H49" s="97" t="n">
        <v>0</v>
      </c>
      <c r="I49" s="97" t="s">
        <v>1907</v>
      </c>
      <c r="J49" s="97" t="n">
        <v>0</v>
      </c>
      <c r="K49" s="98" t="s">
        <v>2079</v>
      </c>
      <c r="L49" s="97" t="s">
        <v>1902</v>
      </c>
      <c r="M49" s="97" t="s">
        <v>25</v>
      </c>
      <c r="N49" s="97" t="s">
        <v>1903</v>
      </c>
      <c r="O49" s="97" t="s">
        <v>1904</v>
      </c>
    </row>
    <row r="50" spans="1:15">
      <c r="A50" s="101" t="n">
        <v>49</v>
      </c>
      <c r="B50" s="97" t="n">
        <v>112</v>
      </c>
      <c r="C50" s="98" t="s">
        <v>2080</v>
      </c>
      <c r="D50" s="97" t="s">
        <v>2081</v>
      </c>
      <c r="E50" s="99" t="n">
        <v>29882</v>
      </c>
      <c r="F50" s="97" t="s">
        <v>1898</v>
      </c>
      <c r="G50" s="98" t="s">
        <v>2082</v>
      </c>
      <c r="H50" s="97" t="n">
        <v>0</v>
      </c>
      <c r="I50" s="97" t="s">
        <v>1900</v>
      </c>
      <c r="J50" s="97" t="n">
        <v>0</v>
      </c>
      <c r="K50" s="98" t="s">
        <v>2083</v>
      </c>
      <c r="L50" s="97" t="s">
        <v>1902</v>
      </c>
      <c r="M50" s="97" t="s">
        <v>25</v>
      </c>
      <c r="N50" s="97" t="s">
        <v>1903</v>
      </c>
      <c r="O50" s="97" t="s">
        <v>1904</v>
      </c>
    </row>
    <row r="51" spans="1:15">
      <c r="A51" s="101" t="n">
        <v>50</v>
      </c>
      <c r="B51" s="97" t="n">
        <v>207</v>
      </c>
      <c r="C51" s="98" t="s">
        <v>2084</v>
      </c>
      <c r="D51" s="97" t="s">
        <v>2085</v>
      </c>
      <c r="E51" s="99" t="n">
        <v>31045</v>
      </c>
      <c r="F51" s="97" t="s">
        <v>1898</v>
      </c>
      <c r="G51" s="98" t="s">
        <v>2086</v>
      </c>
      <c r="H51" s="97" t="n">
        <v>0</v>
      </c>
      <c r="I51" s="97" t="s">
        <v>1900</v>
      </c>
      <c r="J51" s="97" t="n">
        <v>0</v>
      </c>
      <c r="K51" s="98" t="s">
        <v>2087</v>
      </c>
      <c r="L51" s="97" t="s">
        <v>1902</v>
      </c>
      <c r="M51" s="97" t="s">
        <v>25</v>
      </c>
      <c r="N51" s="97" t="s">
        <v>1903</v>
      </c>
      <c r="O51" s="97" t="s">
        <v>1904</v>
      </c>
    </row>
    <row r="52" spans="1:15">
      <c r="A52" s="101" t="n">
        <v>51</v>
      </c>
      <c r="B52" s="97" t="n">
        <v>134</v>
      </c>
      <c r="C52" s="98" t="s">
        <v>2088</v>
      </c>
      <c r="D52" s="97" t="s">
        <v>2089</v>
      </c>
      <c r="E52" s="99" t="n">
        <v>31581</v>
      </c>
      <c r="F52" s="97" t="s">
        <v>1898</v>
      </c>
      <c r="G52" s="98" t="s">
        <v>2090</v>
      </c>
      <c r="H52" s="97" t="n">
        <v>0</v>
      </c>
      <c r="I52" s="97" t="s">
        <v>1900</v>
      </c>
      <c r="J52" s="97" t="n">
        <v>0</v>
      </c>
      <c r="K52" s="98" t="s">
        <v>2091</v>
      </c>
      <c r="L52" s="97" t="s">
        <v>1902</v>
      </c>
      <c r="M52" s="97" t="s">
        <v>25</v>
      </c>
      <c r="N52" s="97" t="s">
        <v>1903</v>
      </c>
      <c r="O52" s="97" t="s">
        <v>1904</v>
      </c>
    </row>
    <row r="53" spans="1:15">
      <c r="A53" s="101" t="n">
        <v>52</v>
      </c>
      <c r="B53" s="97" t="n">
        <v>185</v>
      </c>
      <c r="C53" s="98" t="s">
        <v>2092</v>
      </c>
      <c r="D53" s="97" t="s">
        <v>2093</v>
      </c>
      <c r="E53" s="99" t="n">
        <v>34959</v>
      </c>
      <c r="F53" s="97" t="s">
        <v>1898</v>
      </c>
      <c r="G53" s="98" t="s">
        <v>2094</v>
      </c>
      <c r="H53" s="97" t="n">
        <v>0</v>
      </c>
      <c r="I53" s="97" t="s">
        <v>1900</v>
      </c>
      <c r="J53" s="97" t="n">
        <v>0</v>
      </c>
      <c r="K53" s="98" t="s">
        <v>2095</v>
      </c>
      <c r="L53" s="97" t="s">
        <v>1902</v>
      </c>
      <c r="M53" s="97" t="s">
        <v>25</v>
      </c>
      <c r="N53" s="97" t="s">
        <v>1903</v>
      </c>
      <c r="O53" s="97" t="s">
        <v>1904</v>
      </c>
    </row>
    <row r="54" spans="1:15">
      <c r="A54" s="101" t="n">
        <v>53</v>
      </c>
      <c r="B54" s="97" t="n">
        <v>195</v>
      </c>
      <c r="C54" s="98" t="s">
        <v>2096</v>
      </c>
      <c r="D54" s="97" t="s">
        <v>2097</v>
      </c>
      <c r="E54" s="99" t="n">
        <v>30141</v>
      </c>
      <c r="F54" s="97" t="s">
        <v>1898</v>
      </c>
      <c r="G54" s="98" t="s">
        <v>2098</v>
      </c>
      <c r="H54" s="97" t="n">
        <v>0</v>
      </c>
      <c r="I54" s="97" t="s">
        <v>1900</v>
      </c>
      <c r="J54" s="97" t="n">
        <v>0</v>
      </c>
      <c r="K54" s="98" t="s">
        <v>2099</v>
      </c>
      <c r="L54" s="97" t="s">
        <v>1902</v>
      </c>
      <c r="M54" s="97" t="s">
        <v>25</v>
      </c>
      <c r="N54" s="97" t="s">
        <v>1903</v>
      </c>
      <c r="O54" s="97" t="s">
        <v>1904</v>
      </c>
    </row>
    <row r="55" spans="1:15">
      <c r="A55" s="101" t="n">
        <v>54</v>
      </c>
      <c r="B55" s="97" t="n">
        <v>13</v>
      </c>
      <c r="C55" s="98" t="s">
        <v>2100</v>
      </c>
      <c r="D55" s="97" t="s">
        <v>2101</v>
      </c>
      <c r="E55" s="99" t="n">
        <v>26268</v>
      </c>
      <c r="F55" s="97" t="s">
        <v>1898</v>
      </c>
      <c r="G55" s="98" t="s">
        <v>2102</v>
      </c>
      <c r="H55" s="97" t="n">
        <v>0</v>
      </c>
      <c r="I55" s="97" t="s">
        <v>1957</v>
      </c>
      <c r="J55" s="97" t="n">
        <v>0</v>
      </c>
      <c r="K55" s="98" t="s">
        <v>2103</v>
      </c>
      <c r="L55" s="97" t="s">
        <v>1902</v>
      </c>
      <c r="M55" s="97" t="s">
        <v>25</v>
      </c>
      <c r="N55" s="97" t="s">
        <v>1903</v>
      </c>
      <c r="O55" s="97" t="s">
        <v>2104</v>
      </c>
    </row>
    <row r="56" spans="1:15">
      <c r="A56" s="101" t="n">
        <v>55</v>
      </c>
      <c r="B56" s="97" t="n">
        <v>45</v>
      </c>
      <c r="C56" s="98" t="s">
        <v>2105</v>
      </c>
      <c r="D56" s="97" t="s">
        <v>356</v>
      </c>
      <c r="E56" s="99" t="n">
        <v>30495</v>
      </c>
      <c r="F56" s="97" t="s">
        <v>1898</v>
      </c>
      <c r="G56" s="98" t="s">
        <v>2106</v>
      </c>
      <c r="H56" s="97" t="n">
        <v>0</v>
      </c>
      <c r="I56" s="97" t="s">
        <v>1900</v>
      </c>
      <c r="J56" s="97" t="n">
        <v>0</v>
      </c>
      <c r="K56" s="98" t="s">
        <v>2107</v>
      </c>
      <c r="L56" s="97" t="s">
        <v>1902</v>
      </c>
      <c r="M56" s="97" t="s">
        <v>25</v>
      </c>
      <c r="N56" s="97" t="s">
        <v>1903</v>
      </c>
      <c r="O56" s="97" t="s">
        <v>2104</v>
      </c>
    </row>
    <row r="57" spans="1:15">
      <c r="A57" s="101" t="n">
        <v>56</v>
      </c>
      <c r="B57" s="97" t="n">
        <v>222</v>
      </c>
      <c r="C57" s="98" t="s">
        <v>2108</v>
      </c>
      <c r="D57" s="97" t="s">
        <v>560</v>
      </c>
      <c r="E57" s="99" t="n">
        <v>34315</v>
      </c>
      <c r="F57" s="97" t="s">
        <v>1898</v>
      </c>
      <c r="G57" s="98" t="s">
        <v>2109</v>
      </c>
      <c r="H57" s="97" t="n">
        <v>0</v>
      </c>
      <c r="I57" s="97" t="s">
        <v>1900</v>
      </c>
      <c r="J57" s="97" t="n">
        <v>0</v>
      </c>
      <c r="K57" s="98" t="s">
        <v>2110</v>
      </c>
      <c r="L57" s="97" t="s">
        <v>1902</v>
      </c>
      <c r="M57" s="97" t="s">
        <v>25</v>
      </c>
      <c r="N57" s="97" t="s">
        <v>1903</v>
      </c>
      <c r="O57" s="97" t="s">
        <v>2104</v>
      </c>
    </row>
    <row r="58" spans="1:15">
      <c r="A58" s="101" t="n">
        <v>57</v>
      </c>
      <c r="B58" s="97" t="n">
        <v>95</v>
      </c>
      <c r="C58" s="98" t="s">
        <v>2111</v>
      </c>
      <c r="D58" s="97" t="s">
        <v>2112</v>
      </c>
      <c r="E58" s="99" t="n">
        <v>27980</v>
      </c>
      <c r="F58" s="97" t="s">
        <v>1898</v>
      </c>
      <c r="G58" s="98" t="s">
        <v>2113</v>
      </c>
      <c r="H58" s="97" t="n">
        <v>0</v>
      </c>
      <c r="I58" s="97" t="s">
        <v>1900</v>
      </c>
      <c r="J58" s="97" t="n">
        <v>0</v>
      </c>
      <c r="K58" s="98" t="s">
        <v>2114</v>
      </c>
      <c r="L58" s="97" t="s">
        <v>1902</v>
      </c>
      <c r="M58" s="97" t="s">
        <v>25</v>
      </c>
      <c r="N58" s="97" t="s">
        <v>1903</v>
      </c>
      <c r="O58" s="97" t="s">
        <v>2104</v>
      </c>
    </row>
    <row r="59" spans="1:15">
      <c r="A59" s="101" t="n">
        <v>58</v>
      </c>
      <c r="B59" s="97" t="n">
        <v>8</v>
      </c>
      <c r="C59" s="98" t="s">
        <v>2115</v>
      </c>
      <c r="D59" s="97" t="s">
        <v>69</v>
      </c>
      <c r="E59" s="99" t="n">
        <v>26424</v>
      </c>
      <c r="F59" s="97" t="s">
        <v>1898</v>
      </c>
      <c r="G59" s="98" t="s">
        <v>2116</v>
      </c>
      <c r="H59" s="97" t="n">
        <v>0</v>
      </c>
      <c r="I59" s="97" t="s">
        <v>1957</v>
      </c>
      <c r="J59" s="97" t="n">
        <v>0</v>
      </c>
      <c r="K59" s="98" t="s">
        <v>2117</v>
      </c>
      <c r="L59" s="97" t="s">
        <v>1902</v>
      </c>
      <c r="M59" s="97" t="s">
        <v>25</v>
      </c>
      <c r="N59" s="97" t="s">
        <v>1903</v>
      </c>
      <c r="O59" s="97" t="s">
        <v>2104</v>
      </c>
    </row>
    <row r="60" spans="1:15">
      <c r="A60" s="101" t="n">
        <v>59</v>
      </c>
      <c r="B60" s="97" t="n">
        <v>43</v>
      </c>
      <c r="C60" s="98" t="s">
        <v>2118</v>
      </c>
      <c r="D60" s="97" t="s">
        <v>236</v>
      </c>
      <c r="E60" s="99" t="n">
        <v>30512</v>
      </c>
      <c r="F60" s="97" t="s">
        <v>1898</v>
      </c>
      <c r="G60" s="98" t="s">
        <v>2119</v>
      </c>
      <c r="H60" s="97" t="n">
        <v>0</v>
      </c>
      <c r="I60" s="97" t="s">
        <v>1900</v>
      </c>
      <c r="J60" s="97" t="n">
        <v>0</v>
      </c>
      <c r="K60" s="98" t="s">
        <v>2120</v>
      </c>
      <c r="L60" s="97" t="s">
        <v>1902</v>
      </c>
      <c r="M60" s="97" t="s">
        <v>25</v>
      </c>
      <c r="N60" s="97" t="s">
        <v>1903</v>
      </c>
      <c r="O60" s="97" t="s">
        <v>2104</v>
      </c>
    </row>
    <row r="61" spans="1:15">
      <c r="A61" s="101" t="n">
        <v>60</v>
      </c>
      <c r="B61" s="97" t="n">
        <v>99</v>
      </c>
      <c r="C61" s="98" t="s">
        <v>2121</v>
      </c>
      <c r="D61" s="97" t="s">
        <v>360</v>
      </c>
      <c r="E61" s="99" t="n">
        <v>27034</v>
      </c>
      <c r="F61" s="97" t="s">
        <v>1898</v>
      </c>
      <c r="G61" s="98" t="s">
        <v>2122</v>
      </c>
      <c r="H61" s="97" t="n">
        <v>0</v>
      </c>
      <c r="I61" s="97" t="s">
        <v>1900</v>
      </c>
      <c r="J61" s="97" t="n">
        <v>0</v>
      </c>
      <c r="K61" s="98" t="s">
        <v>2123</v>
      </c>
      <c r="L61" s="97" t="s">
        <v>1902</v>
      </c>
      <c r="M61" s="97" t="s">
        <v>25</v>
      </c>
      <c r="N61" s="97" t="s">
        <v>1903</v>
      </c>
      <c r="O61" s="97" t="s">
        <v>2104</v>
      </c>
    </row>
    <row r="62" spans="1:15">
      <c r="A62" s="101" t="n">
        <v>61</v>
      </c>
      <c r="B62" s="97" t="n">
        <v>40</v>
      </c>
      <c r="C62" s="98" t="s">
        <v>2124</v>
      </c>
      <c r="D62" s="97" t="s">
        <v>2125</v>
      </c>
      <c r="E62" s="99" t="n">
        <v>28120</v>
      </c>
      <c r="F62" s="97" t="s">
        <v>1898</v>
      </c>
      <c r="G62" s="98" t="s">
        <v>2126</v>
      </c>
      <c r="H62" s="97" t="n">
        <v>0</v>
      </c>
      <c r="I62" s="97" t="s">
        <v>1900</v>
      </c>
      <c r="J62" s="97" t="n">
        <v>0</v>
      </c>
      <c r="K62" s="98" t="s">
        <v>2127</v>
      </c>
      <c r="L62" s="97" t="s">
        <v>1902</v>
      </c>
      <c r="M62" s="97" t="s">
        <v>25</v>
      </c>
      <c r="N62" s="97" t="s">
        <v>1903</v>
      </c>
      <c r="O62" s="97" t="s">
        <v>2128</v>
      </c>
    </row>
    <row r="63" spans="1:15">
      <c r="A63" s="101" t="n">
        <v>62</v>
      </c>
      <c r="B63" s="97" t="n">
        <v>152</v>
      </c>
      <c r="C63" s="98" t="s">
        <v>2129</v>
      </c>
      <c r="D63" s="97" t="s">
        <v>301</v>
      </c>
      <c r="E63" s="99" t="n">
        <v>30670</v>
      </c>
      <c r="F63" s="97" t="s">
        <v>1898</v>
      </c>
      <c r="G63" s="98" t="s">
        <v>2130</v>
      </c>
      <c r="H63" s="97" t="n">
        <v>0</v>
      </c>
      <c r="I63" s="97" t="s">
        <v>1900</v>
      </c>
      <c r="J63" s="97" t="n">
        <v>0</v>
      </c>
      <c r="K63" s="98" t="s">
        <v>2131</v>
      </c>
      <c r="L63" s="97" t="s">
        <v>1902</v>
      </c>
      <c r="M63" s="97" t="s">
        <v>25</v>
      </c>
      <c r="N63" s="97" t="s">
        <v>1903</v>
      </c>
      <c r="O63" s="97" t="s">
        <v>2104</v>
      </c>
    </row>
    <row r="64" spans="1:15">
      <c r="A64" s="101" t="n">
        <v>63</v>
      </c>
      <c r="B64" s="97" t="n">
        <v>29</v>
      </c>
      <c r="C64" s="98" t="s">
        <v>2132</v>
      </c>
      <c r="D64" s="97" t="s">
        <v>138</v>
      </c>
      <c r="E64" s="99" t="n">
        <v>26542</v>
      </c>
      <c r="F64" s="97" t="s">
        <v>1898</v>
      </c>
      <c r="G64" s="98" t="s">
        <v>2133</v>
      </c>
      <c r="H64" s="97" t="n">
        <v>0</v>
      </c>
      <c r="I64" s="97" t="s">
        <v>1957</v>
      </c>
      <c r="J64" s="97" t="n">
        <v>0</v>
      </c>
      <c r="K64" s="98" t="s">
        <v>2134</v>
      </c>
      <c r="L64" s="97" t="s">
        <v>1902</v>
      </c>
      <c r="M64" s="97" t="s">
        <v>25</v>
      </c>
      <c r="N64" s="97" t="s">
        <v>1903</v>
      </c>
      <c r="O64" s="97" t="s">
        <v>2104</v>
      </c>
    </row>
    <row r="65" spans="1:15">
      <c r="A65" s="101" t="n">
        <v>64</v>
      </c>
      <c r="B65" s="97" t="n">
        <v>22</v>
      </c>
      <c r="C65" s="98" t="s">
        <v>2135</v>
      </c>
      <c r="D65" s="97" t="s">
        <v>36</v>
      </c>
      <c r="E65" s="99" t="n">
        <v>25158</v>
      </c>
      <c r="F65" s="97" t="s">
        <v>1898</v>
      </c>
      <c r="G65" s="98" t="s">
        <v>2136</v>
      </c>
      <c r="H65" s="97" t="n">
        <v>0</v>
      </c>
      <c r="I65" s="97" t="s">
        <v>1957</v>
      </c>
      <c r="J65" s="97" t="n">
        <v>0</v>
      </c>
      <c r="K65" s="98" t="s">
        <v>2137</v>
      </c>
      <c r="L65" s="97" t="s">
        <v>1902</v>
      </c>
      <c r="M65" s="97" t="s">
        <v>25</v>
      </c>
      <c r="N65" s="97" t="s">
        <v>1903</v>
      </c>
      <c r="O65" s="97" t="s">
        <v>2104</v>
      </c>
    </row>
    <row r="66" spans="1:15">
      <c r="A66" s="101" t="n">
        <v>65</v>
      </c>
      <c r="B66" s="97" t="n">
        <v>223</v>
      </c>
      <c r="C66" s="98" t="s">
        <v>2138</v>
      </c>
      <c r="D66" s="97" t="s">
        <v>2139</v>
      </c>
      <c r="E66" s="99" t="n">
        <v>32023</v>
      </c>
      <c r="F66" s="97" t="s">
        <v>1898</v>
      </c>
      <c r="G66" s="98" t="s">
        <v>869</v>
      </c>
      <c r="H66" s="97" t="n">
        <v>0</v>
      </c>
      <c r="I66" s="97" t="s">
        <v>1900</v>
      </c>
      <c r="J66" s="97" t="n">
        <v>0</v>
      </c>
      <c r="K66" s="98" t="s">
        <v>2140</v>
      </c>
      <c r="L66" s="97" t="s">
        <v>1902</v>
      </c>
      <c r="M66" s="97" t="s">
        <v>25</v>
      </c>
      <c r="N66" s="97" t="s">
        <v>1903</v>
      </c>
      <c r="O66" s="97" t="s">
        <v>2104</v>
      </c>
    </row>
    <row r="67" spans="1:15">
      <c r="A67" s="101" t="n">
        <v>66</v>
      </c>
      <c r="B67" s="97" t="n">
        <v>12</v>
      </c>
      <c r="C67" s="98" t="s">
        <v>2141</v>
      </c>
      <c r="D67" s="97" t="s">
        <v>80</v>
      </c>
      <c r="E67" s="99" t="n">
        <v>26236</v>
      </c>
      <c r="F67" s="97" t="s">
        <v>1898</v>
      </c>
      <c r="G67" s="98" t="s">
        <v>2142</v>
      </c>
      <c r="H67" s="97" t="n">
        <v>0</v>
      </c>
      <c r="I67" s="97" t="s">
        <v>1957</v>
      </c>
      <c r="J67" s="97" t="n">
        <v>0</v>
      </c>
      <c r="K67" s="98" t="s">
        <v>2143</v>
      </c>
      <c r="L67" s="97" t="s">
        <v>1902</v>
      </c>
      <c r="M67" s="97" t="s">
        <v>25</v>
      </c>
      <c r="N67" s="97" t="s">
        <v>1903</v>
      </c>
      <c r="O67" s="97" t="s">
        <v>2104</v>
      </c>
    </row>
    <row r="68" spans="1:15">
      <c r="A68" s="101" t="n">
        <v>67</v>
      </c>
      <c r="B68" s="97" t="n">
        <v>180</v>
      </c>
      <c r="C68" s="98" t="s">
        <v>2144</v>
      </c>
      <c r="D68" s="97" t="s">
        <v>462</v>
      </c>
      <c r="E68" s="99" t="n">
        <v>33489</v>
      </c>
      <c r="F68" s="97" t="s">
        <v>1898</v>
      </c>
      <c r="G68" s="98" t="s">
        <v>2145</v>
      </c>
      <c r="H68" s="97" t="n">
        <v>0</v>
      </c>
      <c r="I68" s="97" t="s">
        <v>1900</v>
      </c>
      <c r="J68" s="97" t="n">
        <v>0</v>
      </c>
      <c r="K68" s="98" t="s">
        <v>2146</v>
      </c>
      <c r="L68" s="97" t="s">
        <v>1902</v>
      </c>
      <c r="M68" s="97" t="s">
        <v>25</v>
      </c>
      <c r="N68" s="97" t="s">
        <v>1903</v>
      </c>
      <c r="O68" s="97" t="s">
        <v>2104</v>
      </c>
    </row>
    <row r="69" spans="1:15">
      <c r="A69" s="101" t="n">
        <v>68</v>
      </c>
      <c r="B69" s="97" t="n">
        <v>224</v>
      </c>
      <c r="C69" s="98" t="s">
        <v>2147</v>
      </c>
      <c r="D69" s="97" t="s">
        <v>2148</v>
      </c>
      <c r="E69" s="99" t="n">
        <v>33342</v>
      </c>
      <c r="F69" s="97" t="s">
        <v>1898</v>
      </c>
      <c r="G69" s="98" t="s">
        <v>864</v>
      </c>
      <c r="H69" s="97" t="n">
        <v>0</v>
      </c>
      <c r="I69" s="97" t="s">
        <v>1900</v>
      </c>
      <c r="J69" s="97" t="n">
        <v>0</v>
      </c>
      <c r="K69" s="98" t="s">
        <v>2149</v>
      </c>
      <c r="L69" s="97" t="s">
        <v>1902</v>
      </c>
      <c r="M69" s="97" t="s">
        <v>25</v>
      </c>
      <c r="N69" s="97" t="s">
        <v>1903</v>
      </c>
      <c r="O69" s="97" t="s">
        <v>2104</v>
      </c>
    </row>
    <row r="70" spans="1:15">
      <c r="A70" s="101" t="n">
        <v>69</v>
      </c>
      <c r="B70" s="97" t="n">
        <v>31</v>
      </c>
      <c r="C70" s="98" t="s">
        <v>2150</v>
      </c>
      <c r="D70" s="97" t="s">
        <v>183</v>
      </c>
      <c r="E70" s="99" t="n">
        <v>30695</v>
      </c>
      <c r="F70" s="97" t="s">
        <v>1898</v>
      </c>
      <c r="G70" s="98" t="s">
        <v>2151</v>
      </c>
      <c r="H70" s="97" t="n">
        <v>0</v>
      </c>
      <c r="I70" s="97" t="s">
        <v>1957</v>
      </c>
      <c r="J70" s="97" t="n">
        <v>0</v>
      </c>
      <c r="K70" s="98" t="s">
        <v>2152</v>
      </c>
      <c r="L70" s="97" t="s">
        <v>1902</v>
      </c>
      <c r="M70" s="97" t="s">
        <v>25</v>
      </c>
      <c r="N70" s="97" t="s">
        <v>1903</v>
      </c>
      <c r="O70" s="97" t="s">
        <v>2104</v>
      </c>
    </row>
    <row r="71" spans="1:15">
      <c r="A71" s="101" t="n">
        <v>70</v>
      </c>
      <c r="B71" s="97" t="n">
        <v>39</v>
      </c>
      <c r="C71" s="98" t="s">
        <v>2153</v>
      </c>
      <c r="D71" s="97" t="s">
        <v>191</v>
      </c>
      <c r="E71" s="99" t="n">
        <v>28795</v>
      </c>
      <c r="F71" s="97" t="s">
        <v>1898</v>
      </c>
      <c r="G71" s="98" t="s">
        <v>2154</v>
      </c>
      <c r="H71" s="97" t="n">
        <v>0</v>
      </c>
      <c r="I71" s="97" t="s">
        <v>1900</v>
      </c>
      <c r="J71" s="97" t="n">
        <v>0</v>
      </c>
      <c r="K71" s="98" t="s">
        <v>2155</v>
      </c>
      <c r="L71" s="97" t="s">
        <v>1902</v>
      </c>
      <c r="M71" s="97" t="s">
        <v>25</v>
      </c>
      <c r="N71" s="97" t="s">
        <v>1903</v>
      </c>
      <c r="O71" s="97" t="s">
        <v>2104</v>
      </c>
    </row>
    <row r="72" spans="1:15">
      <c r="A72" s="101" t="n">
        <v>71</v>
      </c>
      <c r="B72" s="97" t="n">
        <v>100</v>
      </c>
      <c r="C72" s="98" t="s">
        <v>2156</v>
      </c>
      <c r="D72" s="97" t="s">
        <v>2157</v>
      </c>
      <c r="E72" s="99" t="n">
        <v>32020</v>
      </c>
      <c r="F72" s="97" t="s">
        <v>1898</v>
      </c>
      <c r="G72" s="98" t="s">
        <v>321</v>
      </c>
      <c r="H72" s="97" t="n">
        <v>0</v>
      </c>
      <c r="I72" s="97" t="s">
        <v>1900</v>
      </c>
      <c r="J72" s="97" t="n">
        <v>0</v>
      </c>
      <c r="K72" s="98" t="s">
        <v>2158</v>
      </c>
      <c r="L72" s="97" t="s">
        <v>1902</v>
      </c>
      <c r="M72" s="97" t="s">
        <v>25</v>
      </c>
      <c r="N72" s="97" t="s">
        <v>1903</v>
      </c>
      <c r="O72" s="97" t="s">
        <v>1904</v>
      </c>
    </row>
    <row r="73" spans="1:15">
      <c r="A73" s="101" t="n">
        <v>72</v>
      </c>
      <c r="B73" s="97" t="n">
        <v>42</v>
      </c>
      <c r="C73" s="98" t="s">
        <v>2159</v>
      </c>
      <c r="D73" s="97" t="s">
        <v>2160</v>
      </c>
      <c r="E73" s="99" t="n">
        <v>29899</v>
      </c>
      <c r="F73" s="97" t="s">
        <v>1898</v>
      </c>
      <c r="G73" s="98" t="s">
        <v>2161</v>
      </c>
      <c r="H73" s="97" t="n">
        <v>0</v>
      </c>
      <c r="I73" s="97" t="s">
        <v>1900</v>
      </c>
      <c r="J73" s="97" t="n">
        <v>0</v>
      </c>
      <c r="K73" s="98" t="s">
        <v>2162</v>
      </c>
      <c r="L73" s="97" t="s">
        <v>1902</v>
      </c>
      <c r="M73" s="97" t="s">
        <v>25</v>
      </c>
      <c r="N73" s="97" t="s">
        <v>1903</v>
      </c>
      <c r="O73" s="97" t="s">
        <v>2104</v>
      </c>
    </row>
    <row r="74" spans="1:15">
      <c r="A74" s="101" t="n">
        <v>73</v>
      </c>
      <c r="B74" s="97" t="n">
        <v>41</v>
      </c>
      <c r="C74" s="98" t="s">
        <v>2163</v>
      </c>
      <c r="D74" s="97" t="s">
        <v>2164</v>
      </c>
      <c r="E74" s="99" t="n">
        <v>29427</v>
      </c>
      <c r="F74" s="97" t="s">
        <v>1898</v>
      </c>
      <c r="G74" s="98" t="s">
        <v>2165</v>
      </c>
      <c r="H74" s="97" t="n">
        <v>0</v>
      </c>
      <c r="I74" s="97" t="s">
        <v>1900</v>
      </c>
      <c r="J74" s="97" t="n">
        <v>0</v>
      </c>
      <c r="K74" s="98" t="s">
        <v>2166</v>
      </c>
      <c r="L74" s="97" t="s">
        <v>1902</v>
      </c>
      <c r="M74" s="97" t="s">
        <v>25</v>
      </c>
      <c r="N74" s="97" t="s">
        <v>1903</v>
      </c>
      <c r="O74" s="97" t="s">
        <v>2104</v>
      </c>
    </row>
    <row r="75" spans="1:15">
      <c r="A75" s="101" t="n">
        <v>74</v>
      </c>
      <c r="B75" s="97" t="n">
        <v>44</v>
      </c>
      <c r="C75" s="98" t="s">
        <v>2167</v>
      </c>
      <c r="D75" s="97" t="s">
        <v>2168</v>
      </c>
      <c r="E75" s="99" t="n">
        <v>29032</v>
      </c>
      <c r="F75" s="97" t="s">
        <v>1898</v>
      </c>
      <c r="G75" s="98" t="s">
        <v>830</v>
      </c>
      <c r="H75" s="97" t="n">
        <v>0</v>
      </c>
      <c r="I75" s="97" t="s">
        <v>1900</v>
      </c>
      <c r="J75" s="97" t="n">
        <v>0</v>
      </c>
      <c r="K75" s="98" t="s">
        <v>2169</v>
      </c>
      <c r="L75" s="97" t="s">
        <v>1902</v>
      </c>
      <c r="M75" s="97" t="s">
        <v>25</v>
      </c>
      <c r="N75" s="97" t="s">
        <v>1903</v>
      </c>
      <c r="O75" s="97" t="s">
        <v>2104</v>
      </c>
    </row>
    <row r="76" spans="1:15">
      <c r="A76" s="101" t="n">
        <v>75</v>
      </c>
      <c r="B76" s="97" t="n">
        <v>182</v>
      </c>
      <c r="C76" s="98" t="s">
        <v>2170</v>
      </c>
      <c r="D76" s="97" t="s">
        <v>565</v>
      </c>
      <c r="E76" s="99" t="n">
        <v>32375</v>
      </c>
      <c r="F76" s="97" t="s">
        <v>1898</v>
      </c>
      <c r="G76" s="98" t="s">
        <v>2171</v>
      </c>
      <c r="H76" s="97" t="n">
        <v>0</v>
      </c>
      <c r="I76" s="97" t="s">
        <v>1900</v>
      </c>
      <c r="J76" s="97" t="n">
        <v>0</v>
      </c>
      <c r="K76" s="98" t="s">
        <v>2172</v>
      </c>
      <c r="L76" s="97" t="s">
        <v>1902</v>
      </c>
      <c r="M76" s="97" t="s">
        <v>25</v>
      </c>
      <c r="N76" s="97" t="s">
        <v>1903</v>
      </c>
      <c r="O76" s="97" t="s">
        <v>2104</v>
      </c>
    </row>
    <row r="77" spans="1:15">
      <c r="A77" s="101" t="n">
        <v>76</v>
      </c>
      <c r="B77" s="97" t="n">
        <v>151</v>
      </c>
      <c r="C77" s="98" t="s">
        <v>2173</v>
      </c>
      <c r="D77" s="97" t="s">
        <v>315</v>
      </c>
      <c r="E77" s="99" t="n">
        <v>30540</v>
      </c>
      <c r="F77" s="97" t="s">
        <v>1898</v>
      </c>
      <c r="G77" s="98" t="s">
        <v>2174</v>
      </c>
      <c r="H77" s="97" t="n">
        <v>0</v>
      </c>
      <c r="I77" s="97" t="s">
        <v>1900</v>
      </c>
      <c r="J77" s="97" t="n">
        <v>0</v>
      </c>
      <c r="K77" s="98" t="s">
        <v>2175</v>
      </c>
      <c r="L77" s="97" t="s">
        <v>1902</v>
      </c>
      <c r="M77" s="97" t="s">
        <v>25</v>
      </c>
      <c r="N77" s="97" t="s">
        <v>1903</v>
      </c>
      <c r="O77" s="97" t="s">
        <v>2104</v>
      </c>
    </row>
    <row r="78" spans="1:15">
      <c r="A78" s="101" t="n">
        <v>77</v>
      </c>
      <c r="B78" s="97" t="n">
        <v>30</v>
      </c>
      <c r="C78" s="98" t="s">
        <v>2176</v>
      </c>
      <c r="D78" s="97" t="s">
        <v>147</v>
      </c>
      <c r="E78" s="99" t="n">
        <v>25628</v>
      </c>
      <c r="F78" s="97" t="s">
        <v>1898</v>
      </c>
      <c r="G78" s="98" t="s">
        <v>2177</v>
      </c>
      <c r="H78" s="97" t="n">
        <v>0</v>
      </c>
      <c r="I78" s="97" t="s">
        <v>1957</v>
      </c>
      <c r="J78" s="97" t="n">
        <v>0</v>
      </c>
      <c r="K78" s="98" t="s">
        <v>2178</v>
      </c>
      <c r="L78" s="97" t="s">
        <v>1902</v>
      </c>
      <c r="M78" s="97" t="s">
        <v>25</v>
      </c>
      <c r="N78" s="97" t="s">
        <v>1903</v>
      </c>
      <c r="O78" s="97" t="s">
        <v>2104</v>
      </c>
    </row>
    <row r="79" spans="1:15">
      <c r="A79" s="101" t="n">
        <v>78</v>
      </c>
      <c r="B79" s="97" t="n">
        <v>9</v>
      </c>
      <c r="C79" s="98" t="s">
        <v>2179</v>
      </c>
      <c r="D79" s="97" t="s">
        <v>2180</v>
      </c>
      <c r="E79" s="99" t="n">
        <v>27234</v>
      </c>
      <c r="F79" s="97" t="s">
        <v>1898</v>
      </c>
      <c r="G79" s="98" t="s">
        <v>2181</v>
      </c>
      <c r="H79" s="97" t="n">
        <v>0</v>
      </c>
      <c r="I79" s="97" t="s">
        <v>1957</v>
      </c>
      <c r="J79" s="97" t="n">
        <v>0</v>
      </c>
      <c r="K79" s="98" t="s">
        <v>2182</v>
      </c>
      <c r="L79" s="97" t="s">
        <v>1902</v>
      </c>
      <c r="M79" s="97" t="s">
        <v>25</v>
      </c>
      <c r="N79" s="97" t="s">
        <v>1903</v>
      </c>
      <c r="O79" s="97" t="s">
        <v>2104</v>
      </c>
    </row>
    <row r="80" spans="1:15">
      <c r="A80" s="101" t="n">
        <v>79</v>
      </c>
      <c r="B80" s="97" t="n">
        <v>16</v>
      </c>
      <c r="C80" s="98" t="s">
        <v>2183</v>
      </c>
      <c r="D80" s="97" t="s">
        <v>78</v>
      </c>
      <c r="E80" s="99" t="n">
        <v>29368</v>
      </c>
      <c r="F80" s="97" t="s">
        <v>1898</v>
      </c>
      <c r="G80" s="98" t="s">
        <v>2184</v>
      </c>
      <c r="H80" s="97" t="n">
        <v>0</v>
      </c>
      <c r="I80" s="97" t="s">
        <v>1957</v>
      </c>
      <c r="J80" s="97" t="n">
        <v>0</v>
      </c>
      <c r="K80" s="98" t="s">
        <v>2185</v>
      </c>
      <c r="L80" s="97" t="s">
        <v>1902</v>
      </c>
      <c r="M80" s="97" t="s">
        <v>25</v>
      </c>
      <c r="N80" s="97" t="s">
        <v>1903</v>
      </c>
      <c r="O80" s="97" t="s">
        <v>2104</v>
      </c>
    </row>
    <row r="81" spans="1:15">
      <c r="A81" s="101" t="n">
        <v>80</v>
      </c>
      <c r="B81" s="97" t="n">
        <v>89</v>
      </c>
      <c r="C81" s="98" t="s">
        <v>2186</v>
      </c>
      <c r="D81" s="97" t="s">
        <v>2187</v>
      </c>
      <c r="E81" s="99" t="n">
        <v>30892</v>
      </c>
      <c r="F81" s="97" t="s">
        <v>1898</v>
      </c>
      <c r="G81" s="98" t="s">
        <v>2188</v>
      </c>
      <c r="H81" s="97" t="n">
        <v>0</v>
      </c>
      <c r="I81" s="97" t="s">
        <v>1900</v>
      </c>
      <c r="J81" s="97" t="n">
        <v>0</v>
      </c>
      <c r="K81" s="98" t="s">
        <v>2189</v>
      </c>
      <c r="L81" s="97" t="s">
        <v>1902</v>
      </c>
      <c r="M81" s="97" t="s">
        <v>25</v>
      </c>
      <c r="N81" s="97" t="s">
        <v>1903</v>
      </c>
      <c r="O81" s="97" t="s">
        <v>2128</v>
      </c>
    </row>
    <row r="82" spans="1:15">
      <c r="A82" s="101" t="n">
        <v>81</v>
      </c>
      <c r="B82" s="97" t="n">
        <v>10</v>
      </c>
      <c r="C82" s="98" t="s">
        <v>2190</v>
      </c>
      <c r="D82" s="97" t="s">
        <v>2191</v>
      </c>
      <c r="E82" s="99" t="n">
        <v>27764</v>
      </c>
      <c r="F82" s="97" t="s">
        <v>1898</v>
      </c>
      <c r="G82" s="98" t="s">
        <v>2192</v>
      </c>
      <c r="H82" s="97" t="n">
        <v>0</v>
      </c>
      <c r="I82" s="97" t="s">
        <v>1957</v>
      </c>
      <c r="J82" s="97" t="n">
        <v>0</v>
      </c>
      <c r="K82" s="98" t="s">
        <v>2193</v>
      </c>
      <c r="L82" s="97" t="s">
        <v>1902</v>
      </c>
      <c r="M82" s="97" t="s">
        <v>25</v>
      </c>
      <c r="N82" s="97" t="s">
        <v>1903</v>
      </c>
      <c r="O82" s="97" t="s">
        <v>2104</v>
      </c>
    </row>
    <row r="83" spans="1:15">
      <c r="A83" s="101" t="n">
        <v>82</v>
      </c>
      <c r="B83" s="97" t="n">
        <v>14</v>
      </c>
      <c r="C83" s="98" t="s">
        <v>2194</v>
      </c>
      <c r="D83" s="97" t="s">
        <v>144</v>
      </c>
      <c r="E83" s="99" t="n">
        <v>30095</v>
      </c>
      <c r="F83" s="97" t="s">
        <v>1898</v>
      </c>
      <c r="G83" s="98" t="s">
        <v>2195</v>
      </c>
      <c r="H83" s="97" t="n">
        <v>0</v>
      </c>
      <c r="I83" s="97" t="s">
        <v>1957</v>
      </c>
      <c r="J83" s="97" t="n">
        <v>0</v>
      </c>
      <c r="K83" s="98" t="s">
        <v>2196</v>
      </c>
      <c r="L83" s="97" t="s">
        <v>1902</v>
      </c>
      <c r="M83" s="97" t="s">
        <v>25</v>
      </c>
      <c r="N83" s="97" t="s">
        <v>1903</v>
      </c>
      <c r="O83" s="97" t="s">
        <v>2104</v>
      </c>
    </row>
    <row r="84" spans="1:19">
      <c r="A84" s="101" t="n">
        <v>83</v>
      </c>
      <c r="B84" s="97" t="n">
        <v>7</v>
      </c>
      <c r="C84" s="98" t="s">
        <v>2197</v>
      </c>
      <c r="D84" s="97" t="s">
        <v>2198</v>
      </c>
      <c r="E84" s="99" t="n">
        <v>25047</v>
      </c>
      <c r="F84" s="97" t="s">
        <v>1898</v>
      </c>
      <c r="G84" s="98" t="s">
        <v>2199</v>
      </c>
      <c r="H84" s="97" t="n">
        <v>0</v>
      </c>
      <c r="I84" s="97" t="s">
        <v>1957</v>
      </c>
      <c r="J84" s="97" t="n">
        <v>0</v>
      </c>
      <c r="K84" s="98" t="s">
        <v>2200</v>
      </c>
      <c r="L84" s="97" t="s">
        <v>1902</v>
      </c>
      <c r="M84" s="97" t="s">
        <v>25</v>
      </c>
      <c r="N84" s="97" t="s">
        <v>1903</v>
      </c>
      <c r="O84" s="97" t="s">
        <v>2104</v>
      </c>
      <c r="R84" s="100" t="n">
        <v>45906.4667361111133</v>
      </c>
      <c r="S84" s="100" t="n">
        <v>45906.4872453703647</v>
      </c>
    </row>
    <row r="85" spans="1:15">
      <c r="A85" s="101" t="n">
        <v>84</v>
      </c>
      <c r="B85" s="97" t="n">
        <v>272</v>
      </c>
      <c r="C85" s="98" t="s">
        <v>2201</v>
      </c>
      <c r="D85" s="97" t="s">
        <v>2202</v>
      </c>
      <c r="E85" s="99" t="n">
        <v>33102</v>
      </c>
      <c r="F85" s="97" t="s">
        <v>1898</v>
      </c>
      <c r="G85" s="98" t="s">
        <v>2203</v>
      </c>
      <c r="H85" s="97" t="n">
        <v>0</v>
      </c>
      <c r="I85" s="97" t="s">
        <v>1907</v>
      </c>
      <c r="J85" s="97" t="n">
        <v>0</v>
      </c>
      <c r="K85" s="98" t="s">
        <v>2204</v>
      </c>
      <c r="L85" s="97" t="s">
        <v>1902</v>
      </c>
      <c r="M85" s="97" t="s">
        <v>25</v>
      </c>
      <c r="N85" s="97" t="s">
        <v>1903</v>
      </c>
      <c r="O85" s="97" t="s">
        <v>1904</v>
      </c>
    </row>
    <row r="86" spans="1:15">
      <c r="A86" s="101" t="n">
        <v>85</v>
      </c>
      <c r="B86" s="97" t="n">
        <v>269</v>
      </c>
      <c r="C86" s="98" t="s">
        <v>2205</v>
      </c>
      <c r="D86" s="97" t="s">
        <v>2206</v>
      </c>
      <c r="E86" s="99" t="n">
        <v>32889</v>
      </c>
      <c r="F86" s="97" t="s">
        <v>1898</v>
      </c>
      <c r="G86" s="98" t="s">
        <v>2207</v>
      </c>
      <c r="H86" s="97" t="n">
        <v>0</v>
      </c>
      <c r="I86" s="97" t="s">
        <v>1907</v>
      </c>
      <c r="J86" s="97" t="n">
        <v>0</v>
      </c>
      <c r="K86" s="98" t="s">
        <v>2208</v>
      </c>
      <c r="L86" s="97" t="s">
        <v>1902</v>
      </c>
      <c r="M86" s="97" t="s">
        <v>25</v>
      </c>
      <c r="N86" s="97" t="s">
        <v>1903</v>
      </c>
      <c r="O86" s="97" t="s">
        <v>1904</v>
      </c>
    </row>
    <row r="87" spans="1:15">
      <c r="A87" s="101" t="n">
        <v>86</v>
      </c>
      <c r="B87" s="97" t="n">
        <v>283</v>
      </c>
      <c r="C87" s="98" t="s">
        <v>2209</v>
      </c>
      <c r="D87" s="97" t="s">
        <v>802</v>
      </c>
      <c r="E87" s="99" t="n">
        <v>34232</v>
      </c>
      <c r="F87" s="97" t="s">
        <v>1898</v>
      </c>
      <c r="G87" s="98" t="s">
        <v>2210</v>
      </c>
      <c r="H87" s="97" t="n">
        <v>0</v>
      </c>
      <c r="I87" s="97" t="s">
        <v>1907</v>
      </c>
      <c r="J87" s="97" t="n">
        <v>0</v>
      </c>
      <c r="K87" s="98" t="s">
        <v>2211</v>
      </c>
      <c r="L87" s="97" t="s">
        <v>1902</v>
      </c>
      <c r="M87" s="97" t="s">
        <v>25</v>
      </c>
      <c r="N87" s="97" t="s">
        <v>1903</v>
      </c>
      <c r="O87" s="97" t="s">
        <v>1904</v>
      </c>
    </row>
    <row r="88" spans="1:15">
      <c r="A88" s="101" t="n">
        <v>87</v>
      </c>
      <c r="B88" s="97" t="n">
        <v>110</v>
      </c>
      <c r="C88" s="98" t="s">
        <v>2212</v>
      </c>
      <c r="D88" s="97" t="s">
        <v>2213</v>
      </c>
      <c r="E88" s="99" t="n">
        <v>29482</v>
      </c>
      <c r="F88" s="97" t="s">
        <v>1898</v>
      </c>
      <c r="G88" s="98" t="s">
        <v>2214</v>
      </c>
      <c r="H88" s="97" t="n">
        <v>0</v>
      </c>
      <c r="I88" s="97" t="s">
        <v>1900</v>
      </c>
      <c r="J88" s="97" t="n">
        <v>0</v>
      </c>
      <c r="K88" s="98" t="s">
        <v>2215</v>
      </c>
      <c r="L88" s="97" t="s">
        <v>1902</v>
      </c>
      <c r="M88" s="97" t="s">
        <v>25</v>
      </c>
      <c r="N88" s="97" t="s">
        <v>1903</v>
      </c>
      <c r="O88" s="97" t="s">
        <v>1904</v>
      </c>
    </row>
    <row r="89" spans="1:15">
      <c r="A89" s="101" t="n">
        <v>88</v>
      </c>
      <c r="B89" s="97" t="n">
        <v>175</v>
      </c>
      <c r="C89" s="98" t="s">
        <v>2216</v>
      </c>
      <c r="D89" s="97" t="s">
        <v>2217</v>
      </c>
      <c r="E89" s="99" t="n">
        <v>30399</v>
      </c>
      <c r="F89" s="97" t="s">
        <v>1898</v>
      </c>
      <c r="G89" s="98" t="s">
        <v>2218</v>
      </c>
      <c r="H89" s="97" t="n">
        <v>0</v>
      </c>
      <c r="I89" s="97" t="s">
        <v>1900</v>
      </c>
      <c r="J89" s="97" t="n">
        <v>0</v>
      </c>
      <c r="K89" s="98" t="s">
        <v>2219</v>
      </c>
      <c r="L89" s="97" t="s">
        <v>1902</v>
      </c>
      <c r="M89" s="97" t="s">
        <v>25</v>
      </c>
      <c r="N89" s="97" t="s">
        <v>1903</v>
      </c>
      <c r="O89" s="97" t="s">
        <v>1904</v>
      </c>
    </row>
    <row r="90" spans="1:15">
      <c r="A90" s="101" t="n">
        <v>89</v>
      </c>
      <c r="B90" s="97" t="n">
        <v>56</v>
      </c>
      <c r="C90" s="98" t="s">
        <v>2220</v>
      </c>
      <c r="D90" s="97" t="s">
        <v>257</v>
      </c>
      <c r="E90" s="99" t="n">
        <v>31524</v>
      </c>
      <c r="F90" s="97" t="s">
        <v>1898</v>
      </c>
      <c r="G90" s="98" t="s">
        <v>2221</v>
      </c>
      <c r="H90" s="97" t="n">
        <v>0</v>
      </c>
      <c r="I90" s="97" t="s">
        <v>1900</v>
      </c>
      <c r="J90" s="97" t="n">
        <v>0</v>
      </c>
      <c r="K90" s="98" t="s">
        <v>2222</v>
      </c>
      <c r="L90" s="97" t="s">
        <v>1902</v>
      </c>
      <c r="M90" s="97" t="s">
        <v>25</v>
      </c>
      <c r="N90" s="97" t="s">
        <v>1903</v>
      </c>
      <c r="O90" s="97" t="s">
        <v>1904</v>
      </c>
    </row>
    <row r="91" spans="1:15">
      <c r="A91" s="101" t="n">
        <v>90</v>
      </c>
      <c r="B91" s="97" t="n">
        <v>136</v>
      </c>
      <c r="C91" s="98" t="s">
        <v>2223</v>
      </c>
      <c r="D91" s="97" t="s">
        <v>2224</v>
      </c>
      <c r="E91" s="99" t="n">
        <v>29220</v>
      </c>
      <c r="F91" s="97" t="s">
        <v>1898</v>
      </c>
      <c r="G91" s="98" t="s">
        <v>2225</v>
      </c>
      <c r="H91" s="97" t="n">
        <v>0</v>
      </c>
      <c r="I91" s="97" t="s">
        <v>1900</v>
      </c>
      <c r="J91" s="97" t="n">
        <v>0</v>
      </c>
      <c r="K91" s="98" t="s">
        <v>2226</v>
      </c>
      <c r="L91" s="97" t="s">
        <v>1902</v>
      </c>
      <c r="M91" s="97" t="s">
        <v>25</v>
      </c>
      <c r="N91" s="97" t="s">
        <v>1903</v>
      </c>
      <c r="O91" s="97" t="s">
        <v>1904</v>
      </c>
    </row>
    <row r="92" spans="1:15">
      <c r="A92" s="101" t="n">
        <v>91</v>
      </c>
      <c r="B92" s="97" t="n">
        <v>190</v>
      </c>
      <c r="C92" s="98" t="s">
        <v>2227</v>
      </c>
      <c r="D92" s="97" t="s">
        <v>2228</v>
      </c>
      <c r="E92" s="99" t="n">
        <v>33270</v>
      </c>
      <c r="F92" s="97" t="s">
        <v>1898</v>
      </c>
      <c r="G92" s="98" t="s">
        <v>2229</v>
      </c>
      <c r="H92" s="97" t="n">
        <v>0</v>
      </c>
      <c r="I92" s="97" t="s">
        <v>1900</v>
      </c>
      <c r="J92" s="97" t="n">
        <v>0</v>
      </c>
      <c r="K92" s="98" t="s">
        <v>2230</v>
      </c>
      <c r="L92" s="97" t="s">
        <v>1902</v>
      </c>
      <c r="M92" s="97" t="s">
        <v>25</v>
      </c>
      <c r="N92" s="97" t="s">
        <v>1903</v>
      </c>
      <c r="O92" s="97" t="s">
        <v>1904</v>
      </c>
    </row>
    <row r="93" spans="1:15">
      <c r="A93" s="101" t="n">
        <v>92</v>
      </c>
      <c r="B93" s="97" t="n">
        <v>82</v>
      </c>
      <c r="C93" s="98" t="s">
        <v>2231</v>
      </c>
      <c r="D93" s="97" t="s">
        <v>2232</v>
      </c>
      <c r="E93" s="99" t="n">
        <v>28531</v>
      </c>
      <c r="F93" s="97" t="s">
        <v>1898</v>
      </c>
      <c r="G93" s="98" t="s">
        <v>2233</v>
      </c>
      <c r="H93" s="97" t="n">
        <v>0</v>
      </c>
      <c r="I93" s="97" t="s">
        <v>1900</v>
      </c>
      <c r="J93" s="97" t="n">
        <v>0</v>
      </c>
      <c r="K93" s="98" t="s">
        <v>2234</v>
      </c>
      <c r="L93" s="97" t="s">
        <v>1902</v>
      </c>
      <c r="M93" s="97" t="s">
        <v>25</v>
      </c>
      <c r="N93" s="97" t="s">
        <v>1903</v>
      </c>
      <c r="O93" s="97" t="s">
        <v>1904</v>
      </c>
    </row>
    <row r="94" spans="1:15">
      <c r="A94" s="101" t="n">
        <v>93</v>
      </c>
      <c r="B94" s="97" t="n">
        <v>123</v>
      </c>
      <c r="C94" s="98" t="s">
        <v>2235</v>
      </c>
      <c r="D94" s="97" t="s">
        <v>2236</v>
      </c>
      <c r="E94" s="99" t="n">
        <v>30402</v>
      </c>
      <c r="F94" s="97" t="s">
        <v>1898</v>
      </c>
      <c r="G94" s="98" t="s">
        <v>2237</v>
      </c>
      <c r="H94" s="97" t="n">
        <v>0</v>
      </c>
      <c r="I94" s="97" t="s">
        <v>1900</v>
      </c>
      <c r="J94" s="97" t="n">
        <v>0</v>
      </c>
      <c r="K94" s="98" t="s">
        <v>2238</v>
      </c>
      <c r="L94" s="97" t="s">
        <v>1902</v>
      </c>
      <c r="M94" s="97" t="s">
        <v>25</v>
      </c>
      <c r="N94" s="97" t="s">
        <v>1903</v>
      </c>
      <c r="O94" s="97" t="s">
        <v>1904</v>
      </c>
    </row>
    <row r="95" spans="1:15">
      <c r="A95" s="101" t="n">
        <v>94</v>
      </c>
      <c r="B95" s="97" t="n">
        <v>66</v>
      </c>
      <c r="C95" s="98" t="s">
        <v>2239</v>
      </c>
      <c r="D95" s="97" t="s">
        <v>2240</v>
      </c>
      <c r="E95" s="99" t="n">
        <v>25745</v>
      </c>
      <c r="F95" s="97" t="s">
        <v>1898</v>
      </c>
      <c r="G95" s="98" t="s">
        <v>2241</v>
      </c>
      <c r="H95" s="97" t="n">
        <v>0</v>
      </c>
      <c r="I95" s="97" t="s">
        <v>1900</v>
      </c>
      <c r="J95" s="97" t="n">
        <v>0</v>
      </c>
      <c r="K95" s="98" t="s">
        <v>2242</v>
      </c>
      <c r="L95" s="97" t="s">
        <v>1902</v>
      </c>
      <c r="M95" s="97" t="s">
        <v>25</v>
      </c>
      <c r="N95" s="97" t="s">
        <v>1903</v>
      </c>
      <c r="O95" s="97" t="s">
        <v>1904</v>
      </c>
    </row>
    <row r="96" spans="1:15">
      <c r="A96" s="101" t="n">
        <v>95</v>
      </c>
      <c r="B96" s="97" t="n">
        <v>65</v>
      </c>
      <c r="C96" s="98" t="s">
        <v>2243</v>
      </c>
      <c r="D96" s="97" t="s">
        <v>2244</v>
      </c>
      <c r="E96" s="99" t="n">
        <v>25681</v>
      </c>
      <c r="F96" s="97" t="s">
        <v>1898</v>
      </c>
      <c r="G96" s="98" t="s">
        <v>2245</v>
      </c>
      <c r="H96" s="97" t="n">
        <v>0</v>
      </c>
      <c r="I96" s="97" t="s">
        <v>1900</v>
      </c>
      <c r="J96" s="97" t="n">
        <v>0</v>
      </c>
      <c r="K96" s="98" t="s">
        <v>2246</v>
      </c>
      <c r="L96" s="97" t="s">
        <v>1902</v>
      </c>
      <c r="M96" s="97" t="s">
        <v>25</v>
      </c>
      <c r="N96" s="97" t="s">
        <v>1903</v>
      </c>
      <c r="O96" s="97" t="s">
        <v>1904</v>
      </c>
    </row>
    <row r="97" spans="1:15">
      <c r="A97" s="101" t="n">
        <v>96</v>
      </c>
      <c r="B97" s="97" t="n">
        <v>48</v>
      </c>
      <c r="C97" s="98" t="s">
        <v>2247</v>
      </c>
      <c r="D97" s="97" t="s">
        <v>2248</v>
      </c>
      <c r="E97" s="99" t="n">
        <v>28596</v>
      </c>
      <c r="F97" s="97" t="s">
        <v>1898</v>
      </c>
      <c r="G97" s="98" t="s">
        <v>2249</v>
      </c>
      <c r="H97" s="97" t="n">
        <v>0</v>
      </c>
      <c r="I97" s="97" t="s">
        <v>1900</v>
      </c>
      <c r="J97" s="97" t="n">
        <v>0</v>
      </c>
      <c r="K97" s="98" t="s">
        <v>2250</v>
      </c>
      <c r="L97" s="97" t="s">
        <v>1902</v>
      </c>
      <c r="M97" s="97" t="s">
        <v>25</v>
      </c>
      <c r="N97" s="97" t="s">
        <v>1903</v>
      </c>
      <c r="O97" s="97" t="s">
        <v>1904</v>
      </c>
    </row>
    <row r="98" spans="1:15">
      <c r="A98" s="101" t="n">
        <v>97</v>
      </c>
      <c r="B98" s="97" t="n">
        <v>60</v>
      </c>
      <c r="C98" s="98" t="s">
        <v>2251</v>
      </c>
      <c r="D98" s="97" t="s">
        <v>206</v>
      </c>
      <c r="E98" s="99" t="n">
        <v>25649</v>
      </c>
      <c r="F98" s="97" t="s">
        <v>1898</v>
      </c>
      <c r="G98" s="98" t="s">
        <v>2252</v>
      </c>
      <c r="H98" s="97" t="n">
        <v>0</v>
      </c>
      <c r="I98" s="97" t="s">
        <v>1900</v>
      </c>
      <c r="J98" s="97" t="n">
        <v>0</v>
      </c>
      <c r="K98" s="98" t="s">
        <v>2253</v>
      </c>
      <c r="L98" s="97" t="s">
        <v>1902</v>
      </c>
      <c r="M98" s="97" t="s">
        <v>25</v>
      </c>
      <c r="N98" s="97" t="s">
        <v>1903</v>
      </c>
      <c r="O98" s="97" t="s">
        <v>1904</v>
      </c>
    </row>
    <row r="99" spans="1:15">
      <c r="A99" s="101" t="n">
        <v>98</v>
      </c>
      <c r="B99" s="97" t="n">
        <v>32</v>
      </c>
      <c r="C99" s="98" t="s">
        <v>2254</v>
      </c>
      <c r="D99" s="97" t="s">
        <v>2255</v>
      </c>
      <c r="E99" s="99" t="n">
        <v>27159</v>
      </c>
      <c r="F99" s="97" t="s">
        <v>1898</v>
      </c>
      <c r="G99" s="98" t="s">
        <v>2256</v>
      </c>
      <c r="H99" s="97" t="n">
        <v>0</v>
      </c>
      <c r="I99" s="97" t="s">
        <v>1957</v>
      </c>
      <c r="J99" s="97" t="n">
        <v>0</v>
      </c>
      <c r="K99" s="98" t="s">
        <v>2257</v>
      </c>
      <c r="L99" s="97" t="s">
        <v>1902</v>
      </c>
      <c r="M99" s="97" t="s">
        <v>25</v>
      </c>
      <c r="N99" s="97" t="s">
        <v>1903</v>
      </c>
      <c r="O99" s="97" t="s">
        <v>1904</v>
      </c>
    </row>
    <row r="100" spans="1:15">
      <c r="A100" s="101" t="n">
        <v>99</v>
      </c>
      <c r="B100" s="97" t="n">
        <v>173</v>
      </c>
      <c r="C100" s="98" t="s">
        <v>2258</v>
      </c>
      <c r="D100" s="97" t="s">
        <v>521</v>
      </c>
      <c r="E100" s="99" t="n">
        <v>28895</v>
      </c>
      <c r="F100" s="97" t="s">
        <v>1898</v>
      </c>
      <c r="G100" s="98" t="s">
        <v>2259</v>
      </c>
      <c r="H100" s="97" t="n">
        <v>0</v>
      </c>
      <c r="I100" s="97" t="s">
        <v>1900</v>
      </c>
      <c r="J100" s="97" t="n">
        <v>0</v>
      </c>
      <c r="K100" s="98" t="s">
        <v>2260</v>
      </c>
      <c r="L100" s="97" t="s">
        <v>1902</v>
      </c>
      <c r="M100" s="97" t="s">
        <v>25</v>
      </c>
      <c r="N100" s="97" t="s">
        <v>1903</v>
      </c>
      <c r="O100" s="97" t="s">
        <v>1904</v>
      </c>
    </row>
    <row r="101" spans="1:15">
      <c r="A101" s="101" t="n">
        <v>100</v>
      </c>
      <c r="B101" s="97" t="n">
        <v>77</v>
      </c>
      <c r="C101" s="98" t="s">
        <v>2261</v>
      </c>
      <c r="D101" s="97" t="s">
        <v>269</v>
      </c>
      <c r="E101" s="99" t="n">
        <v>28354</v>
      </c>
      <c r="F101" s="97" t="s">
        <v>1898</v>
      </c>
      <c r="G101" s="98" t="s">
        <v>2262</v>
      </c>
      <c r="H101" s="97" t="n">
        <v>0</v>
      </c>
      <c r="I101" s="97" t="s">
        <v>1900</v>
      </c>
      <c r="J101" s="97" t="n">
        <v>0</v>
      </c>
      <c r="K101" s="98" t="s">
        <v>2263</v>
      </c>
      <c r="L101" s="97" t="s">
        <v>1902</v>
      </c>
      <c r="M101" s="97" t="s">
        <v>25</v>
      </c>
      <c r="N101" s="97" t="s">
        <v>1903</v>
      </c>
      <c r="O101" s="97" t="s">
        <v>1904</v>
      </c>
    </row>
    <row r="102" spans="1:15">
      <c r="A102" s="101" t="n">
        <v>101</v>
      </c>
      <c r="B102" s="97" t="n">
        <v>142</v>
      </c>
      <c r="C102" s="98" t="s">
        <v>2264</v>
      </c>
      <c r="D102" s="97" t="s">
        <v>2265</v>
      </c>
      <c r="E102" s="99" t="n">
        <v>30842</v>
      </c>
      <c r="F102" s="97" t="s">
        <v>1898</v>
      </c>
      <c r="G102" s="98" t="s">
        <v>2266</v>
      </c>
      <c r="H102" s="97" t="n">
        <v>0</v>
      </c>
      <c r="I102" s="97" t="s">
        <v>1900</v>
      </c>
      <c r="J102" s="97" t="n">
        <v>0</v>
      </c>
      <c r="K102" s="98" t="s">
        <v>2267</v>
      </c>
      <c r="L102" s="97" t="s">
        <v>1902</v>
      </c>
      <c r="M102" s="97" t="s">
        <v>25</v>
      </c>
      <c r="N102" s="97" t="s">
        <v>1903</v>
      </c>
      <c r="O102" s="97" t="s">
        <v>1904</v>
      </c>
    </row>
    <row r="103" spans="1:15">
      <c r="A103" s="101" t="n">
        <v>102</v>
      </c>
      <c r="B103" s="97" t="n">
        <v>111</v>
      </c>
      <c r="C103" s="98" t="s">
        <v>2268</v>
      </c>
      <c r="D103" s="97" t="s">
        <v>2269</v>
      </c>
      <c r="E103" s="99" t="n">
        <v>29639</v>
      </c>
      <c r="F103" s="97" t="s">
        <v>1898</v>
      </c>
      <c r="G103" s="98" t="s">
        <v>2270</v>
      </c>
      <c r="H103" s="97" t="n">
        <v>0</v>
      </c>
      <c r="I103" s="97" t="s">
        <v>1900</v>
      </c>
      <c r="J103" s="97" t="n">
        <v>0</v>
      </c>
      <c r="K103" s="98" t="s">
        <v>2271</v>
      </c>
      <c r="L103" s="97" t="s">
        <v>1902</v>
      </c>
      <c r="M103" s="97" t="s">
        <v>25</v>
      </c>
      <c r="N103" s="97" t="s">
        <v>1903</v>
      </c>
      <c r="O103" s="97" t="s">
        <v>1904</v>
      </c>
    </row>
    <row r="104" spans="1:15">
      <c r="A104" s="101" t="n">
        <v>103</v>
      </c>
      <c r="B104" s="97" t="n">
        <v>198</v>
      </c>
      <c r="C104" s="98" t="s">
        <v>2272</v>
      </c>
      <c r="D104" s="97" t="s">
        <v>2273</v>
      </c>
      <c r="E104" s="99" t="n">
        <v>30425</v>
      </c>
      <c r="F104" s="97" t="s">
        <v>1898</v>
      </c>
      <c r="G104" s="98" t="s">
        <v>2274</v>
      </c>
      <c r="H104" s="97" t="n">
        <v>0</v>
      </c>
      <c r="I104" s="97" t="s">
        <v>1900</v>
      </c>
      <c r="J104" s="97" t="n">
        <v>0</v>
      </c>
      <c r="K104" s="98" t="s">
        <v>2275</v>
      </c>
      <c r="L104" s="97" t="s">
        <v>1902</v>
      </c>
      <c r="M104" s="97" t="s">
        <v>25</v>
      </c>
      <c r="N104" s="97" t="s">
        <v>1903</v>
      </c>
      <c r="O104" s="97" t="s">
        <v>1904</v>
      </c>
    </row>
    <row r="105" spans="1:15">
      <c r="A105" s="101" t="n">
        <v>104</v>
      </c>
      <c r="B105" s="97" t="n">
        <v>93</v>
      </c>
      <c r="C105" s="98" t="s">
        <v>2276</v>
      </c>
      <c r="D105" s="97" t="s">
        <v>2277</v>
      </c>
      <c r="E105" s="99" t="n">
        <v>28227</v>
      </c>
      <c r="F105" s="97" t="s">
        <v>1898</v>
      </c>
      <c r="G105" s="98" t="s">
        <v>2278</v>
      </c>
      <c r="H105" s="97" t="n">
        <v>0</v>
      </c>
      <c r="I105" s="97" t="s">
        <v>1900</v>
      </c>
      <c r="J105" s="97" t="n">
        <v>0</v>
      </c>
      <c r="K105" s="98" t="s">
        <v>2279</v>
      </c>
      <c r="L105" s="97" t="s">
        <v>1902</v>
      </c>
      <c r="M105" s="97" t="s">
        <v>25</v>
      </c>
      <c r="N105" s="97" t="s">
        <v>1903</v>
      </c>
      <c r="O105" s="97" t="s">
        <v>1904</v>
      </c>
    </row>
    <row r="106" spans="1:15">
      <c r="A106" s="101" t="n">
        <v>105</v>
      </c>
      <c r="B106" s="97" t="n">
        <v>225</v>
      </c>
      <c r="C106" s="98" t="s">
        <v>2280</v>
      </c>
      <c r="D106" s="97" t="s">
        <v>668</v>
      </c>
      <c r="E106" s="99" t="n">
        <v>29764</v>
      </c>
      <c r="F106" s="97" t="s">
        <v>1898</v>
      </c>
      <c r="G106" s="98" t="s">
        <v>2281</v>
      </c>
      <c r="H106" s="97" t="n">
        <v>0</v>
      </c>
      <c r="I106" s="97" t="s">
        <v>1900</v>
      </c>
      <c r="J106" s="97" t="n">
        <v>0</v>
      </c>
      <c r="K106" s="98" t="s">
        <v>2282</v>
      </c>
      <c r="L106" s="97" t="s">
        <v>1902</v>
      </c>
      <c r="M106" s="97" t="s">
        <v>25</v>
      </c>
      <c r="N106" s="97" t="s">
        <v>1903</v>
      </c>
      <c r="O106" s="97" t="s">
        <v>1904</v>
      </c>
    </row>
    <row r="107" spans="1:15">
      <c r="A107" s="101" t="n">
        <v>106</v>
      </c>
      <c r="B107" s="97" t="n">
        <v>97</v>
      </c>
      <c r="C107" s="98" t="s">
        <v>2283</v>
      </c>
      <c r="D107" s="97" t="s">
        <v>2284</v>
      </c>
      <c r="E107" s="99" t="n">
        <v>28876</v>
      </c>
      <c r="F107" s="97" t="s">
        <v>1898</v>
      </c>
      <c r="G107" s="98" t="s">
        <v>2285</v>
      </c>
      <c r="H107" s="97" t="n">
        <v>0</v>
      </c>
      <c r="I107" s="97" t="s">
        <v>1900</v>
      </c>
      <c r="J107" s="97" t="n">
        <v>0</v>
      </c>
      <c r="K107" s="98" t="s">
        <v>2286</v>
      </c>
      <c r="L107" s="97" t="s">
        <v>1902</v>
      </c>
      <c r="M107" s="97" t="s">
        <v>25</v>
      </c>
      <c r="N107" s="97" t="s">
        <v>1903</v>
      </c>
      <c r="O107" s="97" t="s">
        <v>1904</v>
      </c>
    </row>
    <row r="108" spans="1:15">
      <c r="A108" s="101" t="n">
        <v>107</v>
      </c>
      <c r="B108" s="97" t="n">
        <v>245</v>
      </c>
      <c r="C108" s="98" t="s">
        <v>2287</v>
      </c>
      <c r="D108" s="97" t="s">
        <v>716</v>
      </c>
      <c r="E108" s="99" t="n">
        <v>24992</v>
      </c>
      <c r="F108" s="97" t="s">
        <v>1898</v>
      </c>
      <c r="G108" s="98" t="s">
        <v>2288</v>
      </c>
      <c r="H108" s="97" t="n">
        <v>0</v>
      </c>
      <c r="I108" s="97" t="s">
        <v>1907</v>
      </c>
      <c r="J108" s="97" t="n">
        <v>0</v>
      </c>
      <c r="K108" s="98" t="s">
        <v>2289</v>
      </c>
      <c r="L108" s="97" t="s">
        <v>1902</v>
      </c>
      <c r="M108" s="97" t="s">
        <v>25</v>
      </c>
      <c r="N108" s="97" t="s">
        <v>1903</v>
      </c>
      <c r="O108" s="97" t="s">
        <v>1904</v>
      </c>
    </row>
    <row r="109" spans="1:15">
      <c r="A109" s="101" t="n">
        <v>108</v>
      </c>
      <c r="B109" s="97" t="n">
        <v>109</v>
      </c>
      <c r="C109" s="98" t="s">
        <v>2290</v>
      </c>
      <c r="D109" s="97" t="s">
        <v>2291</v>
      </c>
      <c r="E109" s="99" t="n">
        <v>29105</v>
      </c>
      <c r="F109" s="97" t="s">
        <v>1898</v>
      </c>
      <c r="G109" s="98" t="s">
        <v>2292</v>
      </c>
      <c r="H109" s="97" t="n">
        <v>0</v>
      </c>
      <c r="I109" s="97" t="s">
        <v>1900</v>
      </c>
      <c r="J109" s="97" t="n">
        <v>0</v>
      </c>
      <c r="K109" s="98" t="s">
        <v>2293</v>
      </c>
      <c r="L109" s="97" t="s">
        <v>1902</v>
      </c>
      <c r="M109" s="97" t="s">
        <v>25</v>
      </c>
      <c r="N109" s="97" t="s">
        <v>1903</v>
      </c>
      <c r="O109" s="97" t="s">
        <v>1904</v>
      </c>
    </row>
    <row r="110" spans="1:15">
      <c r="A110" s="101" t="n">
        <v>109</v>
      </c>
      <c r="B110" s="97" t="n">
        <v>73</v>
      </c>
      <c r="C110" s="98" t="s">
        <v>2294</v>
      </c>
      <c r="D110" s="97" t="s">
        <v>2295</v>
      </c>
      <c r="E110" s="99" t="n">
        <v>27846</v>
      </c>
      <c r="F110" s="97" t="s">
        <v>1898</v>
      </c>
      <c r="G110" s="98" t="s">
        <v>2296</v>
      </c>
      <c r="H110" s="97" t="n">
        <v>0</v>
      </c>
      <c r="I110" s="97" t="s">
        <v>1900</v>
      </c>
      <c r="J110" s="97" t="n">
        <v>0</v>
      </c>
      <c r="K110" s="98" t="s">
        <v>2297</v>
      </c>
      <c r="L110" s="97" t="s">
        <v>1902</v>
      </c>
      <c r="M110" s="97" t="s">
        <v>25</v>
      </c>
      <c r="N110" s="97" t="s">
        <v>1903</v>
      </c>
      <c r="O110" s="97" t="s">
        <v>1904</v>
      </c>
    </row>
    <row r="111" spans="1:15">
      <c r="A111" s="101" t="n">
        <v>110</v>
      </c>
      <c r="B111" s="97" t="n">
        <v>214</v>
      </c>
      <c r="C111" s="98" t="s">
        <v>2298</v>
      </c>
      <c r="D111" s="97" t="s">
        <v>2299</v>
      </c>
      <c r="E111" s="99" t="n">
        <v>32387</v>
      </c>
      <c r="F111" s="97" t="s">
        <v>1898</v>
      </c>
      <c r="G111" s="98" t="s">
        <v>2300</v>
      </c>
      <c r="H111" s="97" t="n">
        <v>0</v>
      </c>
      <c r="I111" s="97" t="s">
        <v>1900</v>
      </c>
      <c r="J111" s="97" t="n">
        <v>0</v>
      </c>
      <c r="K111" s="98" t="s">
        <v>2301</v>
      </c>
      <c r="L111" s="97" t="s">
        <v>1902</v>
      </c>
      <c r="M111" s="97" t="s">
        <v>25</v>
      </c>
      <c r="N111" s="97" t="s">
        <v>1903</v>
      </c>
      <c r="O111" s="97" t="s">
        <v>1904</v>
      </c>
    </row>
    <row r="112" spans="1:15">
      <c r="A112" s="101" t="n">
        <v>111</v>
      </c>
      <c r="B112" s="97" t="n">
        <v>87</v>
      </c>
      <c r="C112" s="98" t="s">
        <v>2302</v>
      </c>
      <c r="D112" s="97" t="s">
        <v>442</v>
      </c>
      <c r="E112" s="99" t="n">
        <v>28821</v>
      </c>
      <c r="F112" s="97" t="s">
        <v>1898</v>
      </c>
      <c r="G112" s="98" t="s">
        <v>2303</v>
      </c>
      <c r="H112" s="97" t="n">
        <v>0</v>
      </c>
      <c r="I112" s="97" t="s">
        <v>1900</v>
      </c>
      <c r="J112" s="97" t="n">
        <v>0</v>
      </c>
      <c r="K112" s="98" t="s">
        <v>2304</v>
      </c>
      <c r="L112" s="97" t="s">
        <v>1902</v>
      </c>
      <c r="M112" s="97" t="s">
        <v>25</v>
      </c>
      <c r="N112" s="97" t="s">
        <v>1903</v>
      </c>
      <c r="O112" s="97" t="s">
        <v>1904</v>
      </c>
    </row>
    <row r="113" spans="1:15">
      <c r="A113" s="101" t="n">
        <v>112</v>
      </c>
      <c r="B113" s="97" t="n">
        <v>260</v>
      </c>
      <c r="C113" s="98" t="s">
        <v>2305</v>
      </c>
      <c r="D113" s="97" t="s">
        <v>2306</v>
      </c>
      <c r="E113" s="99" t="n">
        <v>31322</v>
      </c>
      <c r="F113" s="97" t="s">
        <v>1898</v>
      </c>
      <c r="G113" s="98" t="s">
        <v>2307</v>
      </c>
      <c r="H113" s="97" t="n">
        <v>0</v>
      </c>
      <c r="I113" s="97" t="s">
        <v>1907</v>
      </c>
      <c r="J113" s="97" t="n">
        <v>0</v>
      </c>
      <c r="K113" s="98" t="s">
        <v>2308</v>
      </c>
      <c r="L113" s="97" t="s">
        <v>1902</v>
      </c>
      <c r="M113" s="97" t="s">
        <v>25</v>
      </c>
      <c r="N113" s="97" t="s">
        <v>1903</v>
      </c>
      <c r="O113" s="97" t="s">
        <v>1904</v>
      </c>
    </row>
    <row r="114" spans="1:15">
      <c r="A114" s="101" t="n">
        <v>113</v>
      </c>
      <c r="B114" s="97" t="n">
        <v>153</v>
      </c>
      <c r="C114" s="98" t="s">
        <v>2309</v>
      </c>
      <c r="D114" s="97" t="s">
        <v>2310</v>
      </c>
      <c r="E114" s="99" t="n">
        <v>31758</v>
      </c>
      <c r="F114" s="97" t="s">
        <v>1898</v>
      </c>
      <c r="G114" s="98" t="s">
        <v>2311</v>
      </c>
      <c r="H114" s="97" t="n">
        <v>0</v>
      </c>
      <c r="I114" s="97" t="s">
        <v>1900</v>
      </c>
      <c r="J114" s="97" t="n">
        <v>0</v>
      </c>
      <c r="K114" s="98" t="s">
        <v>2312</v>
      </c>
      <c r="L114" s="97" t="s">
        <v>1902</v>
      </c>
      <c r="M114" s="97" t="s">
        <v>25</v>
      </c>
      <c r="N114" s="97" t="s">
        <v>1903</v>
      </c>
      <c r="O114" s="97" t="s">
        <v>1904</v>
      </c>
    </row>
    <row r="115" spans="1:15">
      <c r="A115" s="101" t="n">
        <v>114</v>
      </c>
      <c r="B115" s="97" t="n">
        <v>149</v>
      </c>
      <c r="C115" s="98" t="s">
        <v>2313</v>
      </c>
      <c r="D115" s="97" t="s">
        <v>2314</v>
      </c>
      <c r="E115" s="99" t="n">
        <v>32245</v>
      </c>
      <c r="F115" s="97" t="s">
        <v>1898</v>
      </c>
      <c r="G115" s="98" t="s">
        <v>2315</v>
      </c>
      <c r="H115" s="97" t="n">
        <v>0</v>
      </c>
      <c r="I115" s="97" t="s">
        <v>1900</v>
      </c>
      <c r="J115" s="97" t="n">
        <v>0</v>
      </c>
      <c r="K115" s="98" t="s">
        <v>2316</v>
      </c>
      <c r="L115" s="97" t="s">
        <v>1902</v>
      </c>
      <c r="M115" s="97" t="s">
        <v>25</v>
      </c>
      <c r="N115" s="97" t="s">
        <v>1903</v>
      </c>
      <c r="O115" s="97" t="s">
        <v>1904</v>
      </c>
    </row>
    <row r="116" spans="1:15">
      <c r="A116" s="101" t="n">
        <v>115</v>
      </c>
      <c r="B116" s="97" t="n">
        <v>277</v>
      </c>
      <c r="C116" s="98" t="s">
        <v>2317</v>
      </c>
      <c r="D116" s="97" t="s">
        <v>2318</v>
      </c>
      <c r="E116" s="99" t="n">
        <v>33274</v>
      </c>
      <c r="F116" s="97" t="s">
        <v>1898</v>
      </c>
      <c r="G116" s="98" t="s">
        <v>2319</v>
      </c>
      <c r="H116" s="97" t="n">
        <v>0</v>
      </c>
      <c r="I116" s="97" t="s">
        <v>1907</v>
      </c>
      <c r="J116" s="97" t="n">
        <v>0</v>
      </c>
      <c r="K116" s="98" t="s">
        <v>2320</v>
      </c>
      <c r="L116" s="97" t="s">
        <v>1902</v>
      </c>
      <c r="M116" s="97" t="s">
        <v>25</v>
      </c>
      <c r="N116" s="97" t="s">
        <v>1903</v>
      </c>
      <c r="O116" s="97" t="s">
        <v>1904</v>
      </c>
    </row>
    <row r="117" spans="1:15">
      <c r="A117" s="101" t="n">
        <v>116</v>
      </c>
      <c r="B117" s="97" t="n">
        <v>274</v>
      </c>
      <c r="C117" s="98" t="s">
        <v>2321</v>
      </c>
      <c r="D117" s="97" t="s">
        <v>2322</v>
      </c>
      <c r="E117" s="99" t="n">
        <v>33200</v>
      </c>
      <c r="F117" s="97" t="s">
        <v>1898</v>
      </c>
      <c r="G117" s="98" t="s">
        <v>2323</v>
      </c>
      <c r="H117" s="97" t="n">
        <v>0</v>
      </c>
      <c r="I117" s="97" t="s">
        <v>1907</v>
      </c>
      <c r="J117" s="97" t="n">
        <v>0</v>
      </c>
      <c r="K117" s="98" t="s">
        <v>2324</v>
      </c>
      <c r="L117" s="97" t="s">
        <v>1902</v>
      </c>
      <c r="M117" s="97" t="s">
        <v>25</v>
      </c>
      <c r="N117" s="97" t="s">
        <v>1903</v>
      </c>
      <c r="O117" s="97" t="s">
        <v>1904</v>
      </c>
    </row>
    <row r="118" spans="1:15">
      <c r="A118" s="101" t="n">
        <v>117</v>
      </c>
      <c r="B118" s="97" t="n">
        <v>278</v>
      </c>
      <c r="C118" s="98" t="s">
        <v>2325</v>
      </c>
      <c r="D118" s="97" t="s">
        <v>2326</v>
      </c>
      <c r="E118" s="99" t="n">
        <v>33676</v>
      </c>
      <c r="F118" s="97" t="s">
        <v>1898</v>
      </c>
      <c r="G118" s="98" t="s">
        <v>2327</v>
      </c>
      <c r="H118" s="97" t="n">
        <v>0</v>
      </c>
      <c r="I118" s="97" t="s">
        <v>1907</v>
      </c>
      <c r="J118" s="97" t="n">
        <v>0</v>
      </c>
      <c r="K118" s="98" t="s">
        <v>2328</v>
      </c>
      <c r="L118" s="97" t="s">
        <v>1902</v>
      </c>
      <c r="M118" s="97" t="s">
        <v>25</v>
      </c>
      <c r="N118" s="97" t="s">
        <v>1903</v>
      </c>
      <c r="O118" s="97" t="s">
        <v>1904</v>
      </c>
    </row>
    <row r="119" spans="1:15">
      <c r="A119" s="101" t="n">
        <v>118</v>
      </c>
      <c r="B119" s="97" t="n">
        <v>116</v>
      </c>
      <c r="C119" s="98" t="s">
        <v>2329</v>
      </c>
      <c r="D119" s="97" t="s">
        <v>386</v>
      </c>
      <c r="E119" s="99" t="n">
        <v>29973</v>
      </c>
      <c r="F119" s="97" t="s">
        <v>1898</v>
      </c>
      <c r="G119" s="98" t="s">
        <v>2330</v>
      </c>
      <c r="H119" s="97" t="n">
        <v>0</v>
      </c>
      <c r="I119" s="97" t="s">
        <v>1900</v>
      </c>
      <c r="J119" s="97" t="n">
        <v>0</v>
      </c>
      <c r="K119" s="98" t="s">
        <v>2331</v>
      </c>
      <c r="L119" s="97" t="s">
        <v>1902</v>
      </c>
      <c r="M119" s="97" t="s">
        <v>25</v>
      </c>
      <c r="N119" s="97" t="s">
        <v>1903</v>
      </c>
      <c r="O119" s="97" t="s">
        <v>1904</v>
      </c>
    </row>
    <row r="120" spans="1:15">
      <c r="A120" s="101" t="n">
        <v>119</v>
      </c>
      <c r="B120" s="97" t="n">
        <v>275</v>
      </c>
      <c r="C120" s="98" t="s">
        <v>2332</v>
      </c>
      <c r="D120" s="97" t="s">
        <v>2333</v>
      </c>
      <c r="E120" s="99" t="n">
        <v>33233</v>
      </c>
      <c r="F120" s="97" t="s">
        <v>1898</v>
      </c>
      <c r="G120" s="98" t="s">
        <v>2334</v>
      </c>
      <c r="H120" s="97" t="n">
        <v>0</v>
      </c>
      <c r="I120" s="97" t="s">
        <v>1907</v>
      </c>
      <c r="J120" s="97" t="n">
        <v>0</v>
      </c>
      <c r="K120" s="98" t="s">
        <v>2335</v>
      </c>
      <c r="L120" s="97" t="s">
        <v>1902</v>
      </c>
      <c r="M120" s="97" t="s">
        <v>25</v>
      </c>
      <c r="N120" s="97" t="s">
        <v>1903</v>
      </c>
      <c r="O120" s="97" t="s">
        <v>1904</v>
      </c>
    </row>
    <row r="121" spans="1:15">
      <c r="A121" s="101" t="n">
        <v>120</v>
      </c>
      <c r="B121" s="97" t="n">
        <v>118</v>
      </c>
      <c r="C121" s="98" t="s">
        <v>2336</v>
      </c>
      <c r="D121" s="97" t="s">
        <v>2337</v>
      </c>
      <c r="E121" s="99" t="n">
        <v>30092</v>
      </c>
      <c r="F121" s="97" t="s">
        <v>1898</v>
      </c>
      <c r="G121" s="98" t="s">
        <v>2338</v>
      </c>
      <c r="H121" s="97" t="n">
        <v>0</v>
      </c>
      <c r="I121" s="97" t="s">
        <v>1900</v>
      </c>
      <c r="J121" s="97" t="n">
        <v>0</v>
      </c>
      <c r="K121" s="98" t="s">
        <v>2339</v>
      </c>
      <c r="L121" s="97" t="s">
        <v>1902</v>
      </c>
      <c r="M121" s="97" t="s">
        <v>25</v>
      </c>
      <c r="N121" s="97" t="s">
        <v>1903</v>
      </c>
      <c r="O121" s="97" t="s">
        <v>1904</v>
      </c>
    </row>
    <row r="122" spans="1:15">
      <c r="A122" s="101" t="n">
        <v>121</v>
      </c>
      <c r="B122" s="97" t="n">
        <v>191</v>
      </c>
      <c r="C122" s="98" t="s">
        <v>2340</v>
      </c>
      <c r="D122" s="97" t="s">
        <v>633</v>
      </c>
      <c r="E122" s="99" t="n">
        <v>33655</v>
      </c>
      <c r="F122" s="97" t="s">
        <v>1898</v>
      </c>
      <c r="G122" s="98" t="s">
        <v>2341</v>
      </c>
      <c r="H122" s="97" t="n">
        <v>0</v>
      </c>
      <c r="I122" s="97" t="s">
        <v>1900</v>
      </c>
      <c r="J122" s="97" t="n">
        <v>0</v>
      </c>
      <c r="K122" s="98" t="s">
        <v>2342</v>
      </c>
      <c r="L122" s="97" t="s">
        <v>1902</v>
      </c>
      <c r="M122" s="97" t="s">
        <v>25</v>
      </c>
      <c r="N122" s="97" t="s">
        <v>1903</v>
      </c>
      <c r="O122" s="97" t="s">
        <v>1904</v>
      </c>
    </row>
    <row r="123" spans="1:15">
      <c r="A123" s="101" t="n">
        <v>122</v>
      </c>
      <c r="B123" s="97" t="n">
        <v>261</v>
      </c>
      <c r="C123" s="98" t="s">
        <v>2343</v>
      </c>
      <c r="D123" s="97" t="s">
        <v>2344</v>
      </c>
      <c r="E123" s="99" t="n">
        <v>31475</v>
      </c>
      <c r="F123" s="97" t="s">
        <v>1898</v>
      </c>
      <c r="G123" s="98" t="s">
        <v>2345</v>
      </c>
      <c r="H123" s="97" t="n">
        <v>0</v>
      </c>
      <c r="I123" s="97" t="s">
        <v>1907</v>
      </c>
      <c r="J123" s="97" t="n">
        <v>0</v>
      </c>
      <c r="K123" s="98" t="s">
        <v>2346</v>
      </c>
      <c r="L123" s="97" t="s">
        <v>1902</v>
      </c>
      <c r="M123" s="97" t="s">
        <v>25</v>
      </c>
      <c r="N123" s="97" t="s">
        <v>1903</v>
      </c>
      <c r="O123" s="97" t="s">
        <v>1904</v>
      </c>
    </row>
    <row r="124" spans="1:15">
      <c r="A124" s="101" t="n">
        <v>123</v>
      </c>
      <c r="B124" s="97" t="n">
        <v>236</v>
      </c>
      <c r="C124" s="98" t="s">
        <v>2347</v>
      </c>
      <c r="D124" s="97" t="s">
        <v>657</v>
      </c>
      <c r="E124" s="99" t="n">
        <v>30177</v>
      </c>
      <c r="F124" s="97" t="s">
        <v>1898</v>
      </c>
      <c r="G124" s="98" t="s">
        <v>2348</v>
      </c>
      <c r="H124" s="97" t="n">
        <v>0</v>
      </c>
      <c r="I124" s="97" t="s">
        <v>1907</v>
      </c>
      <c r="J124" s="97" t="n">
        <v>0</v>
      </c>
      <c r="K124" s="98" t="s">
        <v>2349</v>
      </c>
      <c r="L124" s="97" t="s">
        <v>1902</v>
      </c>
      <c r="M124" s="97" t="s">
        <v>25</v>
      </c>
      <c r="N124" s="97" t="s">
        <v>1903</v>
      </c>
      <c r="O124" s="97" t="s">
        <v>1904</v>
      </c>
    </row>
    <row r="125" spans="1:15">
      <c r="A125" s="101" t="n">
        <v>124</v>
      </c>
      <c r="B125" s="97" t="n">
        <v>257</v>
      </c>
      <c r="C125" s="98" t="s">
        <v>2350</v>
      </c>
      <c r="D125" s="97" t="s">
        <v>2351</v>
      </c>
      <c r="E125" s="99" t="n">
        <v>31157</v>
      </c>
      <c r="F125" s="97" t="s">
        <v>1898</v>
      </c>
      <c r="G125" s="98" t="s">
        <v>2352</v>
      </c>
      <c r="H125" s="97" t="n">
        <v>0</v>
      </c>
      <c r="I125" s="97" t="s">
        <v>1907</v>
      </c>
      <c r="J125" s="97" t="n">
        <v>0</v>
      </c>
      <c r="K125" s="98" t="s">
        <v>2353</v>
      </c>
      <c r="L125" s="97" t="s">
        <v>1902</v>
      </c>
      <c r="M125" s="97" t="s">
        <v>25</v>
      </c>
      <c r="N125" s="97" t="s">
        <v>1903</v>
      </c>
      <c r="O125" s="97" t="s">
        <v>1904</v>
      </c>
    </row>
    <row r="126" spans="1:15">
      <c r="A126" s="101" t="n">
        <v>125</v>
      </c>
      <c r="B126" s="97" t="n">
        <v>103</v>
      </c>
      <c r="C126" s="98" t="s">
        <v>2354</v>
      </c>
      <c r="D126" s="97" t="s">
        <v>239</v>
      </c>
      <c r="E126" s="99" t="n">
        <v>24760</v>
      </c>
      <c r="F126" s="97" t="s">
        <v>1898</v>
      </c>
      <c r="G126" s="98" t="s">
        <v>2355</v>
      </c>
      <c r="H126" s="97" t="n">
        <v>0</v>
      </c>
      <c r="I126" s="97" t="s">
        <v>1900</v>
      </c>
      <c r="J126" s="97" t="n">
        <v>0</v>
      </c>
      <c r="K126" s="98" t="s">
        <v>2356</v>
      </c>
      <c r="L126" s="97" t="s">
        <v>1902</v>
      </c>
      <c r="M126" s="97" t="s">
        <v>25</v>
      </c>
      <c r="N126" s="97" t="s">
        <v>1903</v>
      </c>
      <c r="O126" s="97" t="s">
        <v>1904</v>
      </c>
    </row>
    <row r="127" spans="1:15">
      <c r="A127" s="101" t="n">
        <v>126</v>
      </c>
      <c r="B127" s="97" t="n">
        <v>262</v>
      </c>
      <c r="C127" s="98" t="s">
        <v>2357</v>
      </c>
      <c r="D127" s="97" t="s">
        <v>2358</v>
      </c>
      <c r="E127" s="99" t="n">
        <v>31585</v>
      </c>
      <c r="F127" s="97" t="s">
        <v>1898</v>
      </c>
      <c r="G127" s="98" t="s">
        <v>2359</v>
      </c>
      <c r="H127" s="97" t="n">
        <v>0</v>
      </c>
      <c r="I127" s="97" t="s">
        <v>1907</v>
      </c>
      <c r="J127" s="97" t="n">
        <v>0</v>
      </c>
      <c r="K127" s="98" t="s">
        <v>2360</v>
      </c>
      <c r="L127" s="97" t="s">
        <v>1902</v>
      </c>
      <c r="M127" s="97" t="s">
        <v>25</v>
      </c>
      <c r="N127" s="97" t="s">
        <v>1903</v>
      </c>
      <c r="O127" s="97" t="s">
        <v>1904</v>
      </c>
    </row>
    <row r="128" spans="1:15">
      <c r="A128" s="101" t="n">
        <v>127</v>
      </c>
      <c r="B128" s="97" t="n">
        <v>246</v>
      </c>
      <c r="C128" s="98" t="s">
        <v>2361</v>
      </c>
      <c r="D128" s="97" t="s">
        <v>720</v>
      </c>
      <c r="E128" s="99" t="n">
        <v>25879</v>
      </c>
      <c r="F128" s="97" t="s">
        <v>1898</v>
      </c>
      <c r="G128" s="98" t="s">
        <v>2362</v>
      </c>
      <c r="H128" s="97" t="n">
        <v>0</v>
      </c>
      <c r="I128" s="97" t="s">
        <v>1907</v>
      </c>
      <c r="J128" s="97" t="n">
        <v>0</v>
      </c>
      <c r="K128" s="98" t="s">
        <v>2363</v>
      </c>
      <c r="L128" s="97" t="s">
        <v>1902</v>
      </c>
      <c r="M128" s="97" t="s">
        <v>25</v>
      </c>
      <c r="N128" s="97" t="s">
        <v>1903</v>
      </c>
      <c r="O128" s="97" t="s">
        <v>1904</v>
      </c>
    </row>
    <row r="129" spans="1:15">
      <c r="A129" s="101" t="n">
        <v>128</v>
      </c>
      <c r="B129" s="97" t="n">
        <v>128</v>
      </c>
      <c r="C129" s="98" t="s">
        <v>2364</v>
      </c>
      <c r="D129" s="97" t="s">
        <v>2365</v>
      </c>
      <c r="E129" s="99" t="n">
        <v>31242</v>
      </c>
      <c r="F129" s="97" t="s">
        <v>1898</v>
      </c>
      <c r="G129" s="98" t="s">
        <v>2366</v>
      </c>
      <c r="H129" s="97" t="n">
        <v>0</v>
      </c>
      <c r="I129" s="97" t="s">
        <v>1900</v>
      </c>
      <c r="J129" s="97" t="n">
        <v>0</v>
      </c>
      <c r="K129" s="98" t="s">
        <v>2367</v>
      </c>
      <c r="L129" s="97" t="s">
        <v>1902</v>
      </c>
      <c r="M129" s="97" t="s">
        <v>25</v>
      </c>
      <c r="N129" s="97" t="s">
        <v>1903</v>
      </c>
      <c r="O129" s="97" t="s">
        <v>1904</v>
      </c>
    </row>
    <row r="130" spans="1:15">
      <c r="A130" s="101" t="n">
        <v>129</v>
      </c>
      <c r="B130" s="97" t="n">
        <v>271</v>
      </c>
      <c r="C130" s="98" t="s">
        <v>2368</v>
      </c>
      <c r="D130" s="97" t="s">
        <v>748</v>
      </c>
      <c r="E130" s="99" t="n">
        <v>33057</v>
      </c>
      <c r="F130" s="97" t="s">
        <v>1898</v>
      </c>
      <c r="G130" s="98" t="s">
        <v>2369</v>
      </c>
      <c r="H130" s="97" t="n">
        <v>0</v>
      </c>
      <c r="I130" s="97" t="s">
        <v>1907</v>
      </c>
      <c r="J130" s="97" t="n">
        <v>0</v>
      </c>
      <c r="K130" s="98" t="s">
        <v>2370</v>
      </c>
      <c r="L130" s="97" t="s">
        <v>1902</v>
      </c>
      <c r="M130" s="97" t="s">
        <v>25</v>
      </c>
      <c r="N130" s="97" t="s">
        <v>1903</v>
      </c>
      <c r="O130" s="97" t="s">
        <v>1904</v>
      </c>
    </row>
    <row r="131" spans="1:15">
      <c r="A131" s="101" t="n">
        <v>130</v>
      </c>
      <c r="B131" s="97" t="n">
        <v>201</v>
      </c>
      <c r="C131" s="98" t="s">
        <v>2371</v>
      </c>
      <c r="D131" s="97" t="s">
        <v>2372</v>
      </c>
      <c r="E131" s="99" t="n">
        <v>32142</v>
      </c>
      <c r="F131" s="97" t="s">
        <v>1898</v>
      </c>
      <c r="G131" s="98" t="s">
        <v>2373</v>
      </c>
      <c r="H131" s="97" t="n">
        <v>0</v>
      </c>
      <c r="I131" s="97" t="s">
        <v>1900</v>
      </c>
      <c r="J131" s="97" t="n">
        <v>0</v>
      </c>
      <c r="K131" s="98" t="s">
        <v>2374</v>
      </c>
      <c r="L131" s="97" t="s">
        <v>1902</v>
      </c>
      <c r="M131" s="97" t="s">
        <v>25</v>
      </c>
      <c r="N131" s="97" t="s">
        <v>1903</v>
      </c>
      <c r="O131" s="97" t="s">
        <v>1904</v>
      </c>
    </row>
    <row r="132" spans="1:15">
      <c r="A132" s="101" t="n">
        <v>131</v>
      </c>
      <c r="B132" s="97" t="n">
        <v>105</v>
      </c>
      <c r="C132" s="98" t="s">
        <v>2375</v>
      </c>
      <c r="D132" s="97" t="s">
        <v>2376</v>
      </c>
      <c r="E132" s="99" t="n">
        <v>28689</v>
      </c>
      <c r="F132" s="97" t="s">
        <v>1898</v>
      </c>
      <c r="G132" s="98" t="s">
        <v>2377</v>
      </c>
      <c r="H132" s="97" t="n">
        <v>0</v>
      </c>
      <c r="I132" s="97" t="s">
        <v>1900</v>
      </c>
      <c r="J132" s="97" t="n">
        <v>0</v>
      </c>
      <c r="K132" s="98" t="s">
        <v>2378</v>
      </c>
      <c r="L132" s="97" t="s">
        <v>1902</v>
      </c>
      <c r="M132" s="97" t="s">
        <v>25</v>
      </c>
      <c r="N132" s="97" t="s">
        <v>1903</v>
      </c>
      <c r="O132" s="97" t="s">
        <v>1904</v>
      </c>
    </row>
    <row r="133" spans="1:15">
      <c r="A133" s="101" t="n">
        <v>132</v>
      </c>
      <c r="B133" s="97" t="n">
        <v>299</v>
      </c>
      <c r="C133" s="98" t="s">
        <v>2379</v>
      </c>
      <c r="D133" s="97" t="s">
        <v>813</v>
      </c>
      <c r="E133" s="99" t="n">
        <v>29281</v>
      </c>
      <c r="F133" s="97" t="s">
        <v>1898</v>
      </c>
      <c r="G133" s="98" t="s">
        <v>2380</v>
      </c>
      <c r="H133" s="97" t="n">
        <v>0</v>
      </c>
      <c r="I133" s="97" t="s">
        <v>1907</v>
      </c>
      <c r="J133" s="97" t="n">
        <v>0</v>
      </c>
      <c r="K133" s="98" t="s">
        <v>2381</v>
      </c>
      <c r="L133" s="97" t="s">
        <v>1902</v>
      </c>
      <c r="M133" s="97" t="s">
        <v>25</v>
      </c>
      <c r="N133" s="97" t="s">
        <v>1903</v>
      </c>
      <c r="O133" s="97" t="s">
        <v>1904</v>
      </c>
    </row>
    <row r="134" spans="1:15">
      <c r="A134" s="101" t="n">
        <v>133</v>
      </c>
      <c r="B134" s="97" t="n">
        <v>143</v>
      </c>
      <c r="C134" s="98" t="s">
        <v>2382</v>
      </c>
      <c r="D134" s="97" t="s">
        <v>474</v>
      </c>
      <c r="E134" s="99" t="n">
        <v>31386</v>
      </c>
      <c r="F134" s="97" t="s">
        <v>1898</v>
      </c>
      <c r="G134" s="98" t="s">
        <v>2383</v>
      </c>
      <c r="H134" s="97" t="n">
        <v>0</v>
      </c>
      <c r="I134" s="97" t="s">
        <v>1900</v>
      </c>
      <c r="J134" s="97" t="n">
        <v>0</v>
      </c>
      <c r="K134" s="98" t="s">
        <v>2384</v>
      </c>
      <c r="L134" s="97" t="s">
        <v>1902</v>
      </c>
      <c r="M134" s="97" t="s">
        <v>25</v>
      </c>
      <c r="N134" s="97" t="s">
        <v>1903</v>
      </c>
      <c r="O134" s="97" t="s">
        <v>1904</v>
      </c>
    </row>
    <row r="135" spans="1:15">
      <c r="A135" s="101" t="n">
        <v>134</v>
      </c>
      <c r="B135" s="97" t="n">
        <v>70</v>
      </c>
      <c r="C135" s="98" t="s">
        <v>2385</v>
      </c>
      <c r="D135" s="97" t="s">
        <v>2386</v>
      </c>
      <c r="E135" s="99" t="n">
        <v>27086</v>
      </c>
      <c r="F135" s="97" t="s">
        <v>1898</v>
      </c>
      <c r="G135" s="98" t="s">
        <v>2387</v>
      </c>
      <c r="H135" s="97" t="n">
        <v>0</v>
      </c>
      <c r="I135" s="97" t="s">
        <v>1900</v>
      </c>
      <c r="J135" s="97" t="n">
        <v>0</v>
      </c>
      <c r="K135" s="98" t="s">
        <v>2388</v>
      </c>
      <c r="L135" s="97" t="s">
        <v>1902</v>
      </c>
      <c r="M135" s="97" t="s">
        <v>25</v>
      </c>
      <c r="N135" s="97" t="s">
        <v>1903</v>
      </c>
      <c r="O135" s="97" t="s">
        <v>1904</v>
      </c>
    </row>
    <row r="136" spans="1:15">
      <c r="A136" s="101" t="n">
        <v>135</v>
      </c>
      <c r="B136" s="97" t="n">
        <v>241</v>
      </c>
      <c r="C136" s="98" t="s">
        <v>2389</v>
      </c>
      <c r="D136" s="97" t="s">
        <v>714</v>
      </c>
      <c r="E136" s="99" t="n">
        <v>28901</v>
      </c>
      <c r="F136" s="97" t="s">
        <v>1898</v>
      </c>
      <c r="G136" s="98" t="s">
        <v>2390</v>
      </c>
      <c r="H136" s="97" t="n">
        <v>0</v>
      </c>
      <c r="I136" s="97" t="s">
        <v>1907</v>
      </c>
      <c r="J136" s="97" t="n">
        <v>0</v>
      </c>
      <c r="K136" s="98" t="s">
        <v>2391</v>
      </c>
      <c r="L136" s="97" t="s">
        <v>1902</v>
      </c>
      <c r="M136" s="97" t="s">
        <v>25</v>
      </c>
      <c r="N136" s="97" t="s">
        <v>1903</v>
      </c>
      <c r="O136" s="97" t="s">
        <v>1904</v>
      </c>
    </row>
    <row r="137" spans="1:15">
      <c r="A137" s="101" t="n">
        <v>136</v>
      </c>
      <c r="B137" s="97" t="n">
        <v>63</v>
      </c>
      <c r="C137" s="98" t="s">
        <v>2392</v>
      </c>
      <c r="D137" s="97" t="s">
        <v>163</v>
      </c>
      <c r="E137" s="99" t="n">
        <v>24748</v>
      </c>
      <c r="F137" s="97" t="s">
        <v>1898</v>
      </c>
      <c r="G137" s="98" t="s">
        <v>2393</v>
      </c>
      <c r="H137" s="97" t="n">
        <v>0</v>
      </c>
      <c r="I137" s="97" t="s">
        <v>1900</v>
      </c>
      <c r="J137" s="97" t="n">
        <v>0</v>
      </c>
      <c r="K137" s="98" t="s">
        <v>2394</v>
      </c>
      <c r="L137" s="97" t="s">
        <v>1902</v>
      </c>
      <c r="M137" s="97" t="s">
        <v>25</v>
      </c>
      <c r="N137" s="97" t="s">
        <v>1903</v>
      </c>
      <c r="O137" s="97" t="s">
        <v>1904</v>
      </c>
    </row>
    <row r="138" spans="1:15">
      <c r="A138" s="101" t="n">
        <v>137</v>
      </c>
      <c r="B138" s="97" t="n">
        <v>156</v>
      </c>
      <c r="C138" s="98" t="s">
        <v>2395</v>
      </c>
      <c r="D138" s="97" t="s">
        <v>524</v>
      </c>
      <c r="E138" s="99" t="n">
        <v>26062</v>
      </c>
      <c r="F138" s="97" t="s">
        <v>1898</v>
      </c>
      <c r="G138" s="98" t="s">
        <v>2396</v>
      </c>
      <c r="H138" s="97" t="n">
        <v>0</v>
      </c>
      <c r="I138" s="97" t="s">
        <v>1900</v>
      </c>
      <c r="J138" s="97" t="n">
        <v>0</v>
      </c>
      <c r="K138" s="98" t="s">
        <v>2397</v>
      </c>
      <c r="L138" s="97" t="s">
        <v>1902</v>
      </c>
      <c r="M138" s="97" t="s">
        <v>25</v>
      </c>
      <c r="N138" s="97" t="s">
        <v>1903</v>
      </c>
      <c r="O138" s="97" t="s">
        <v>1904</v>
      </c>
    </row>
    <row r="139" spans="1:15">
      <c r="A139" s="101" t="n">
        <v>138</v>
      </c>
      <c r="B139" s="97" t="n">
        <v>160</v>
      </c>
      <c r="C139" s="98" t="s">
        <v>2398</v>
      </c>
      <c r="D139" s="97" t="s">
        <v>410</v>
      </c>
      <c r="E139" s="99" t="n">
        <v>27147</v>
      </c>
      <c r="F139" s="97" t="s">
        <v>1898</v>
      </c>
      <c r="G139" s="98" t="s">
        <v>2399</v>
      </c>
      <c r="H139" s="97" t="n">
        <v>0</v>
      </c>
      <c r="I139" s="97" t="s">
        <v>1900</v>
      </c>
      <c r="J139" s="97" t="n">
        <v>0</v>
      </c>
      <c r="K139" s="98" t="s">
        <v>2400</v>
      </c>
      <c r="L139" s="97" t="s">
        <v>1902</v>
      </c>
      <c r="M139" s="97" t="s">
        <v>25</v>
      </c>
      <c r="N139" s="97" t="s">
        <v>1903</v>
      </c>
      <c r="O139" s="97" t="s">
        <v>1904</v>
      </c>
    </row>
    <row r="140" spans="1:15">
      <c r="A140" s="101" t="n">
        <v>139</v>
      </c>
      <c r="B140" s="97" t="n">
        <v>157</v>
      </c>
      <c r="C140" s="98" t="s">
        <v>2401</v>
      </c>
      <c r="D140" s="97" t="s">
        <v>412</v>
      </c>
      <c r="E140" s="99" t="n">
        <v>26195</v>
      </c>
      <c r="F140" s="97" t="s">
        <v>1898</v>
      </c>
      <c r="G140" s="98" t="s">
        <v>2402</v>
      </c>
      <c r="H140" s="97" t="n">
        <v>0</v>
      </c>
      <c r="I140" s="97" t="s">
        <v>1900</v>
      </c>
      <c r="J140" s="97" t="n">
        <v>0</v>
      </c>
      <c r="K140" s="98" t="s">
        <v>2403</v>
      </c>
      <c r="L140" s="97" t="s">
        <v>1902</v>
      </c>
      <c r="M140" s="97" t="s">
        <v>25</v>
      </c>
      <c r="N140" s="97" t="s">
        <v>1903</v>
      </c>
      <c r="O140" s="97" t="s">
        <v>1904</v>
      </c>
    </row>
    <row r="141" spans="1:15">
      <c r="A141" s="101" t="n">
        <v>140</v>
      </c>
      <c r="B141" s="97" t="n">
        <v>226</v>
      </c>
      <c r="C141" s="98" t="s">
        <v>2404</v>
      </c>
      <c r="D141" s="97" t="s">
        <v>2405</v>
      </c>
      <c r="E141" s="99" t="n">
        <v>30977</v>
      </c>
      <c r="F141" s="97" t="s">
        <v>1898</v>
      </c>
      <c r="G141" s="98" t="s">
        <v>2406</v>
      </c>
      <c r="H141" s="97" t="n">
        <v>0</v>
      </c>
      <c r="I141" s="97" t="s">
        <v>1900</v>
      </c>
      <c r="J141" s="97" t="n">
        <v>0</v>
      </c>
      <c r="K141" s="98" t="s">
        <v>2407</v>
      </c>
      <c r="L141" s="97" t="s">
        <v>1902</v>
      </c>
      <c r="M141" s="97" t="s">
        <v>25</v>
      </c>
      <c r="N141" s="97" t="s">
        <v>1903</v>
      </c>
      <c r="O141" s="97" t="s">
        <v>1904</v>
      </c>
    </row>
    <row r="142" spans="1:15">
      <c r="A142" s="101" t="n">
        <v>141</v>
      </c>
      <c r="B142" s="97" t="n">
        <v>293</v>
      </c>
      <c r="C142" s="98" t="s">
        <v>2408</v>
      </c>
      <c r="D142" s="97" t="s">
        <v>2409</v>
      </c>
      <c r="E142" s="99" t="n">
        <v>35658</v>
      </c>
      <c r="F142" s="97" t="s">
        <v>1898</v>
      </c>
      <c r="G142" s="98" t="s">
        <v>2410</v>
      </c>
      <c r="H142" s="97" t="n">
        <v>0</v>
      </c>
      <c r="I142" s="97" t="s">
        <v>1907</v>
      </c>
      <c r="J142" s="97" t="n">
        <v>0</v>
      </c>
      <c r="K142" s="98" t="s">
        <v>2411</v>
      </c>
      <c r="L142" s="97" t="s">
        <v>1902</v>
      </c>
      <c r="M142" s="97" t="s">
        <v>25</v>
      </c>
      <c r="N142" s="97" t="s">
        <v>1903</v>
      </c>
      <c r="O142" s="97" t="s">
        <v>1904</v>
      </c>
    </row>
    <row r="143" spans="1:15">
      <c r="A143" s="101" t="n">
        <v>142</v>
      </c>
      <c r="B143" s="97" t="n">
        <v>76</v>
      </c>
      <c r="C143" s="98" t="s">
        <v>2412</v>
      </c>
      <c r="D143" s="97" t="s">
        <v>337</v>
      </c>
      <c r="E143" s="99" t="n">
        <v>28249</v>
      </c>
      <c r="F143" s="97" t="s">
        <v>1898</v>
      </c>
      <c r="G143" s="98" t="s">
        <v>2413</v>
      </c>
      <c r="H143" s="97" t="n">
        <v>0</v>
      </c>
      <c r="I143" s="97" t="s">
        <v>1900</v>
      </c>
      <c r="J143" s="97" t="n">
        <v>0</v>
      </c>
      <c r="K143" s="98" t="s">
        <v>2414</v>
      </c>
      <c r="L143" s="97" t="s">
        <v>1902</v>
      </c>
      <c r="M143" s="97" t="s">
        <v>25</v>
      </c>
      <c r="N143" s="97" t="s">
        <v>1903</v>
      </c>
      <c r="O143" s="97" t="s">
        <v>1904</v>
      </c>
    </row>
    <row r="144" spans="1:15">
      <c r="A144" s="101" t="n">
        <v>143</v>
      </c>
      <c r="B144" s="97" t="n">
        <v>203</v>
      </c>
      <c r="C144" s="98" t="s">
        <v>2415</v>
      </c>
      <c r="D144" s="97" t="s">
        <v>2416</v>
      </c>
      <c r="E144" s="99" t="n">
        <v>28375</v>
      </c>
      <c r="F144" s="97" t="s">
        <v>1898</v>
      </c>
      <c r="G144" s="98" t="s">
        <v>2417</v>
      </c>
      <c r="H144" s="97" t="n">
        <v>0</v>
      </c>
      <c r="I144" s="97" t="s">
        <v>1900</v>
      </c>
      <c r="J144" s="97" t="n">
        <v>0</v>
      </c>
      <c r="K144" s="98" t="s">
        <v>2418</v>
      </c>
      <c r="L144" s="97" t="s">
        <v>1902</v>
      </c>
      <c r="M144" s="97" t="s">
        <v>25</v>
      </c>
      <c r="N144" s="97" t="s">
        <v>1903</v>
      </c>
      <c r="O144" s="97" t="s">
        <v>1904</v>
      </c>
    </row>
    <row r="145" spans="1:15">
      <c r="A145" s="101" t="n">
        <v>144</v>
      </c>
      <c r="B145" s="97" t="n">
        <v>124</v>
      </c>
      <c r="C145" s="98" t="s">
        <v>2419</v>
      </c>
      <c r="D145" s="97" t="s">
        <v>2420</v>
      </c>
      <c r="E145" s="99" t="n">
        <v>26860</v>
      </c>
      <c r="F145" s="97" t="s">
        <v>1898</v>
      </c>
      <c r="G145" s="98" t="s">
        <v>2421</v>
      </c>
      <c r="H145" s="97" t="n">
        <v>0</v>
      </c>
      <c r="I145" s="97" t="s">
        <v>1900</v>
      </c>
      <c r="J145" s="97" t="n">
        <v>0</v>
      </c>
      <c r="K145" s="98" t="s">
        <v>2422</v>
      </c>
      <c r="L145" s="97" t="s">
        <v>1902</v>
      </c>
      <c r="M145" s="97" t="s">
        <v>25</v>
      </c>
      <c r="N145" s="97" t="s">
        <v>1903</v>
      </c>
      <c r="O145" s="97" t="s">
        <v>1904</v>
      </c>
    </row>
    <row r="146" spans="1:15">
      <c r="A146" s="101" t="n">
        <v>145</v>
      </c>
      <c r="B146" s="97" t="n">
        <v>217</v>
      </c>
      <c r="C146" s="98" t="s">
        <v>2423</v>
      </c>
      <c r="D146" s="97" t="s">
        <v>2424</v>
      </c>
      <c r="E146" s="99" t="n">
        <v>30444</v>
      </c>
      <c r="F146" s="97" t="s">
        <v>1898</v>
      </c>
      <c r="G146" s="98" t="s">
        <v>2425</v>
      </c>
      <c r="H146" s="97" t="n">
        <v>0</v>
      </c>
      <c r="I146" s="97" t="s">
        <v>1900</v>
      </c>
      <c r="J146" s="97" t="n">
        <v>0</v>
      </c>
      <c r="K146" s="98" t="s">
        <v>2426</v>
      </c>
      <c r="L146" s="97" t="s">
        <v>1902</v>
      </c>
      <c r="M146" s="97" t="s">
        <v>25</v>
      </c>
      <c r="N146" s="97" t="s">
        <v>1903</v>
      </c>
      <c r="O146" s="97" t="s">
        <v>1904</v>
      </c>
    </row>
    <row r="147" spans="1:15">
      <c r="A147" s="101" t="n">
        <v>146</v>
      </c>
      <c r="B147" s="97" t="n">
        <v>107</v>
      </c>
      <c r="C147" s="98" t="s">
        <v>2427</v>
      </c>
      <c r="D147" s="97" t="s">
        <v>2428</v>
      </c>
      <c r="E147" s="99" t="n">
        <v>29704</v>
      </c>
      <c r="F147" s="97" t="s">
        <v>1898</v>
      </c>
      <c r="G147" s="98" t="s">
        <v>2429</v>
      </c>
      <c r="H147" s="97" t="n">
        <v>0</v>
      </c>
      <c r="I147" s="97" t="s">
        <v>1900</v>
      </c>
      <c r="J147" s="97" t="n">
        <v>0</v>
      </c>
      <c r="K147" s="98" t="s">
        <v>2430</v>
      </c>
      <c r="L147" s="97" t="s">
        <v>1902</v>
      </c>
      <c r="M147" s="97" t="s">
        <v>25</v>
      </c>
      <c r="N147" s="97" t="s">
        <v>1903</v>
      </c>
      <c r="O147" s="97" t="s">
        <v>1904</v>
      </c>
    </row>
    <row r="148" spans="1:15">
      <c r="A148" s="101" t="n">
        <v>147</v>
      </c>
      <c r="B148" s="97" t="n">
        <v>86</v>
      </c>
      <c r="C148" s="98" t="s">
        <v>2431</v>
      </c>
      <c r="D148" s="97" t="s">
        <v>2432</v>
      </c>
      <c r="E148" s="99" t="n">
        <v>30944</v>
      </c>
      <c r="F148" s="97" t="s">
        <v>1898</v>
      </c>
      <c r="G148" s="98" t="s">
        <v>2433</v>
      </c>
      <c r="H148" s="97" t="n">
        <v>0</v>
      </c>
      <c r="I148" s="97" t="s">
        <v>1900</v>
      </c>
      <c r="J148" s="97" t="n">
        <v>0</v>
      </c>
      <c r="K148" s="98" t="s">
        <v>2434</v>
      </c>
      <c r="L148" s="97" t="s">
        <v>1902</v>
      </c>
      <c r="M148" s="97" t="s">
        <v>25</v>
      </c>
      <c r="N148" s="97" t="s">
        <v>1903</v>
      </c>
      <c r="O148" s="97" t="s">
        <v>1904</v>
      </c>
    </row>
    <row r="149" spans="1:15">
      <c r="A149" s="101" t="n">
        <v>148</v>
      </c>
      <c r="B149" s="97" t="n">
        <v>259</v>
      </c>
      <c r="C149" s="98" t="s">
        <v>2435</v>
      </c>
      <c r="D149" s="97" t="s">
        <v>2436</v>
      </c>
      <c r="E149" s="99" t="n">
        <v>31263</v>
      </c>
      <c r="F149" s="97" t="s">
        <v>1898</v>
      </c>
      <c r="G149" s="98" t="s">
        <v>2437</v>
      </c>
      <c r="H149" s="97" t="n">
        <v>0</v>
      </c>
      <c r="I149" s="97" t="s">
        <v>1907</v>
      </c>
      <c r="J149" s="97" t="n">
        <v>0</v>
      </c>
      <c r="K149" s="98" t="s">
        <v>2438</v>
      </c>
      <c r="L149" s="97" t="s">
        <v>1902</v>
      </c>
      <c r="M149" s="97" t="s">
        <v>25</v>
      </c>
      <c r="N149" s="97" t="s">
        <v>1903</v>
      </c>
      <c r="O149" s="97" t="s">
        <v>1904</v>
      </c>
    </row>
    <row r="150" spans="1:15">
      <c r="A150" s="101" t="n">
        <v>149</v>
      </c>
      <c r="B150" s="97" t="n">
        <v>295</v>
      </c>
      <c r="C150" s="98" t="s">
        <v>2439</v>
      </c>
      <c r="D150" s="97" t="s">
        <v>2440</v>
      </c>
      <c r="E150" s="99" t="n">
        <v>35723</v>
      </c>
      <c r="F150" s="97" t="s">
        <v>1898</v>
      </c>
      <c r="G150" s="98" t="s">
        <v>2441</v>
      </c>
      <c r="H150" s="97" t="n">
        <v>0</v>
      </c>
      <c r="I150" s="97" t="s">
        <v>1907</v>
      </c>
      <c r="J150" s="97" t="n">
        <v>0</v>
      </c>
      <c r="K150" s="98" t="s">
        <v>2442</v>
      </c>
      <c r="L150" s="97" t="s">
        <v>1902</v>
      </c>
      <c r="M150" s="97" t="s">
        <v>25</v>
      </c>
      <c r="N150" s="97" t="s">
        <v>1903</v>
      </c>
      <c r="O150" s="97" t="s">
        <v>1904</v>
      </c>
    </row>
    <row r="151" spans="1:15">
      <c r="A151" s="101" t="n">
        <v>150</v>
      </c>
      <c r="B151" s="97" t="n">
        <v>62</v>
      </c>
      <c r="C151" s="98" t="s">
        <v>2443</v>
      </c>
      <c r="D151" s="97" t="s">
        <v>169</v>
      </c>
      <c r="E151" s="99" t="n">
        <v>27056</v>
      </c>
      <c r="F151" s="97" t="s">
        <v>1898</v>
      </c>
      <c r="G151" s="98" t="s">
        <v>2444</v>
      </c>
      <c r="H151" s="97" t="n">
        <v>0</v>
      </c>
      <c r="I151" s="97" t="s">
        <v>1900</v>
      </c>
      <c r="J151" s="97" t="n">
        <v>0</v>
      </c>
      <c r="K151" s="98" t="s">
        <v>2445</v>
      </c>
      <c r="L151" s="97" t="s">
        <v>1902</v>
      </c>
      <c r="M151" s="97" t="s">
        <v>25</v>
      </c>
      <c r="N151" s="97" t="s">
        <v>1903</v>
      </c>
      <c r="O151" s="97" t="s">
        <v>1904</v>
      </c>
    </row>
    <row r="152" spans="1:15">
      <c r="A152" s="101" t="n">
        <v>151</v>
      </c>
      <c r="B152" s="97" t="n">
        <v>146</v>
      </c>
      <c r="C152" s="98" t="s">
        <v>2446</v>
      </c>
      <c r="D152" s="97" t="s">
        <v>2447</v>
      </c>
      <c r="E152" s="99" t="n">
        <v>31848</v>
      </c>
      <c r="F152" s="97" t="s">
        <v>1898</v>
      </c>
      <c r="G152" s="98" t="s">
        <v>2448</v>
      </c>
      <c r="H152" s="97" t="n">
        <v>0</v>
      </c>
      <c r="I152" s="97" t="s">
        <v>1900</v>
      </c>
      <c r="J152" s="97" t="n">
        <v>0</v>
      </c>
      <c r="K152" s="98" t="s">
        <v>2449</v>
      </c>
      <c r="L152" s="97" t="s">
        <v>1902</v>
      </c>
      <c r="M152" s="97" t="s">
        <v>25</v>
      </c>
      <c r="N152" s="97" t="s">
        <v>1903</v>
      </c>
      <c r="O152" s="97" t="s">
        <v>1904</v>
      </c>
    </row>
    <row r="153" spans="1:15">
      <c r="A153" s="101" t="n">
        <v>152</v>
      </c>
      <c r="B153" s="97" t="n">
        <v>81</v>
      </c>
      <c r="C153" s="98" t="s">
        <v>2450</v>
      </c>
      <c r="D153" s="97" t="s">
        <v>2451</v>
      </c>
      <c r="E153" s="99" t="n">
        <v>28253</v>
      </c>
      <c r="F153" s="97" t="s">
        <v>1898</v>
      </c>
      <c r="G153" s="98" t="s">
        <v>2452</v>
      </c>
      <c r="H153" s="97" t="n">
        <v>0</v>
      </c>
      <c r="I153" s="97" t="s">
        <v>1900</v>
      </c>
      <c r="J153" s="97" t="n">
        <v>0</v>
      </c>
      <c r="K153" s="98" t="s">
        <v>2453</v>
      </c>
      <c r="L153" s="97" t="s">
        <v>1902</v>
      </c>
      <c r="M153" s="97" t="s">
        <v>25</v>
      </c>
      <c r="N153" s="97" t="s">
        <v>1903</v>
      </c>
      <c r="O153" s="97" t="s">
        <v>1904</v>
      </c>
    </row>
    <row r="154" spans="1:15">
      <c r="A154" s="101" t="n">
        <v>153</v>
      </c>
      <c r="B154" s="97" t="n">
        <v>290</v>
      </c>
      <c r="C154" s="98" t="s">
        <v>2454</v>
      </c>
      <c r="D154" s="97" t="s">
        <v>2455</v>
      </c>
      <c r="E154" s="99" t="n">
        <v>35255</v>
      </c>
      <c r="F154" s="97" t="s">
        <v>1898</v>
      </c>
      <c r="G154" s="98" t="s">
        <v>2456</v>
      </c>
      <c r="H154" s="97" t="n">
        <v>0</v>
      </c>
      <c r="I154" s="97" t="s">
        <v>1907</v>
      </c>
      <c r="J154" s="97" t="n">
        <v>0</v>
      </c>
      <c r="K154" s="98" t="s">
        <v>2457</v>
      </c>
      <c r="L154" s="97" t="s">
        <v>1902</v>
      </c>
      <c r="M154" s="97" t="s">
        <v>25</v>
      </c>
      <c r="N154" s="97" t="s">
        <v>1903</v>
      </c>
      <c r="O154" s="97" t="s">
        <v>1904</v>
      </c>
    </row>
    <row r="155" spans="1:15">
      <c r="A155" s="101" t="n">
        <v>154</v>
      </c>
      <c r="B155" s="97" t="n">
        <v>264</v>
      </c>
      <c r="C155" s="98" t="s">
        <v>2458</v>
      </c>
      <c r="D155" s="97" t="s">
        <v>746</v>
      </c>
      <c r="E155" s="99" t="n">
        <v>32056</v>
      </c>
      <c r="F155" s="97" t="s">
        <v>1898</v>
      </c>
      <c r="G155" s="98" t="s">
        <v>2459</v>
      </c>
      <c r="H155" s="97" t="n">
        <v>0</v>
      </c>
      <c r="I155" s="97" t="s">
        <v>1907</v>
      </c>
      <c r="J155" s="97" t="n">
        <v>0</v>
      </c>
      <c r="K155" s="98" t="s">
        <v>2460</v>
      </c>
      <c r="L155" s="97" t="s">
        <v>1902</v>
      </c>
      <c r="M155" s="97" t="s">
        <v>25</v>
      </c>
      <c r="N155" s="97" t="s">
        <v>1903</v>
      </c>
      <c r="O155" s="97" t="s">
        <v>1904</v>
      </c>
    </row>
    <row r="156" spans="1:15">
      <c r="A156" s="101" t="n">
        <v>155</v>
      </c>
      <c r="B156" s="97" t="n">
        <v>238</v>
      </c>
      <c r="C156" s="98" t="s">
        <v>2461</v>
      </c>
      <c r="D156" s="97" t="s">
        <v>2462</v>
      </c>
      <c r="E156" s="99" t="n">
        <v>26084</v>
      </c>
      <c r="F156" s="97" t="s">
        <v>1898</v>
      </c>
      <c r="G156" s="98" t="s">
        <v>2463</v>
      </c>
      <c r="H156" s="97" t="n">
        <v>0</v>
      </c>
      <c r="I156" s="97" t="s">
        <v>1907</v>
      </c>
      <c r="J156" s="97" t="n">
        <v>0</v>
      </c>
      <c r="K156" s="98" t="s">
        <v>2464</v>
      </c>
      <c r="L156" s="97" t="s">
        <v>1902</v>
      </c>
      <c r="M156" s="97" t="s">
        <v>25</v>
      </c>
      <c r="N156" s="97" t="s">
        <v>1903</v>
      </c>
      <c r="O156" s="97" t="s">
        <v>1904</v>
      </c>
    </row>
    <row r="157" spans="1:15">
      <c r="A157" s="101" t="n">
        <v>156</v>
      </c>
      <c r="B157" s="97" t="n">
        <v>84</v>
      </c>
      <c r="C157" s="98" t="s">
        <v>2465</v>
      </c>
      <c r="D157" s="97" t="s">
        <v>307</v>
      </c>
      <c r="E157" s="99" t="n">
        <v>29682</v>
      </c>
      <c r="F157" s="97" t="s">
        <v>1898</v>
      </c>
      <c r="G157" s="98" t="s">
        <v>2466</v>
      </c>
      <c r="H157" s="97" t="n">
        <v>0</v>
      </c>
      <c r="I157" s="97" t="s">
        <v>1900</v>
      </c>
      <c r="J157" s="97" t="n">
        <v>0</v>
      </c>
      <c r="K157" s="98" t="s">
        <v>2467</v>
      </c>
      <c r="L157" s="97" t="s">
        <v>1902</v>
      </c>
      <c r="M157" s="97" t="s">
        <v>25</v>
      </c>
      <c r="N157" s="97" t="s">
        <v>1903</v>
      </c>
      <c r="O157" s="97" t="s">
        <v>1904</v>
      </c>
    </row>
    <row r="158" spans="1:15">
      <c r="A158" s="101" t="n">
        <v>157</v>
      </c>
      <c r="B158" s="97" t="n">
        <v>122</v>
      </c>
      <c r="C158" s="98" t="s">
        <v>2468</v>
      </c>
      <c r="D158" s="97" t="s">
        <v>2469</v>
      </c>
      <c r="E158" s="99" t="n">
        <v>30399</v>
      </c>
      <c r="F158" s="97" t="s">
        <v>1898</v>
      </c>
      <c r="G158" s="98" t="s">
        <v>2470</v>
      </c>
      <c r="H158" s="97" t="n">
        <v>0</v>
      </c>
      <c r="I158" s="97" t="s">
        <v>1900</v>
      </c>
      <c r="J158" s="97" t="n">
        <v>0</v>
      </c>
      <c r="K158" s="98" t="s">
        <v>2471</v>
      </c>
      <c r="L158" s="97" t="s">
        <v>1902</v>
      </c>
      <c r="M158" s="97" t="s">
        <v>25</v>
      </c>
      <c r="N158" s="97" t="s">
        <v>1903</v>
      </c>
      <c r="O158" s="97" t="s">
        <v>1904</v>
      </c>
    </row>
    <row r="159" spans="1:15">
      <c r="A159" s="101" t="n">
        <v>158</v>
      </c>
      <c r="B159" s="97" t="n">
        <v>229</v>
      </c>
      <c r="C159" s="98" t="s">
        <v>2472</v>
      </c>
      <c r="D159" s="97" t="s">
        <v>2473</v>
      </c>
      <c r="E159" s="99" t="n">
        <v>28947</v>
      </c>
      <c r="F159" s="97" t="s">
        <v>1898</v>
      </c>
      <c r="G159" s="98" t="s">
        <v>2474</v>
      </c>
      <c r="H159" s="97" t="n">
        <v>0</v>
      </c>
      <c r="I159" s="97" t="s">
        <v>1900</v>
      </c>
      <c r="J159" s="97" t="n">
        <v>0</v>
      </c>
      <c r="K159" s="98" t="s">
        <v>2475</v>
      </c>
      <c r="L159" s="97" t="s">
        <v>1902</v>
      </c>
      <c r="M159" s="97" t="s">
        <v>25</v>
      </c>
      <c r="N159" s="97" t="s">
        <v>1903</v>
      </c>
      <c r="O159" s="97" t="s">
        <v>1904</v>
      </c>
    </row>
    <row r="160" spans="1:15">
      <c r="A160" s="101" t="n">
        <v>159</v>
      </c>
      <c r="B160" s="97" t="n">
        <v>80</v>
      </c>
      <c r="C160" s="98" t="s">
        <v>2476</v>
      </c>
      <c r="D160" s="97" t="s">
        <v>2477</v>
      </c>
      <c r="E160" s="99" t="n">
        <v>28471</v>
      </c>
      <c r="F160" s="97" t="s">
        <v>1898</v>
      </c>
      <c r="G160" s="98" t="s">
        <v>2478</v>
      </c>
      <c r="H160" s="97" t="n">
        <v>0</v>
      </c>
      <c r="I160" s="97" t="s">
        <v>1900</v>
      </c>
      <c r="J160" s="97" t="n">
        <v>0</v>
      </c>
      <c r="K160" s="98" t="s">
        <v>2479</v>
      </c>
      <c r="L160" s="97" t="s">
        <v>1902</v>
      </c>
      <c r="M160" s="97" t="s">
        <v>25</v>
      </c>
      <c r="N160" s="97" t="s">
        <v>1903</v>
      </c>
      <c r="O160" s="97" t="s">
        <v>1904</v>
      </c>
    </row>
    <row r="161" spans="1:15">
      <c r="A161" s="101" t="n">
        <v>160</v>
      </c>
      <c r="B161" s="97" t="n">
        <v>150</v>
      </c>
      <c r="C161" s="98" t="s">
        <v>2480</v>
      </c>
      <c r="D161" s="97" t="s">
        <v>2481</v>
      </c>
      <c r="E161" s="99" t="n">
        <v>32267</v>
      </c>
      <c r="F161" s="97" t="s">
        <v>1898</v>
      </c>
      <c r="G161" s="98" t="s">
        <v>2482</v>
      </c>
      <c r="H161" s="97" t="n">
        <v>0</v>
      </c>
      <c r="I161" s="97" t="s">
        <v>1900</v>
      </c>
      <c r="J161" s="97" t="n">
        <v>0</v>
      </c>
      <c r="K161" s="98" t="s">
        <v>2483</v>
      </c>
      <c r="L161" s="97" t="s">
        <v>1902</v>
      </c>
      <c r="M161" s="97" t="s">
        <v>25</v>
      </c>
      <c r="N161" s="97" t="s">
        <v>1903</v>
      </c>
      <c r="O161" s="97" t="s">
        <v>1904</v>
      </c>
    </row>
    <row r="162" spans="1:15">
      <c r="A162" s="101" t="n">
        <v>161</v>
      </c>
      <c r="B162" s="97" t="n">
        <v>161</v>
      </c>
      <c r="C162" s="98" t="s">
        <v>2484</v>
      </c>
      <c r="D162" s="97" t="s">
        <v>2485</v>
      </c>
      <c r="E162" s="99" t="n">
        <v>27526</v>
      </c>
      <c r="F162" s="97" t="s">
        <v>1898</v>
      </c>
      <c r="G162" s="98" t="s">
        <v>2486</v>
      </c>
      <c r="H162" s="97" t="n">
        <v>0</v>
      </c>
      <c r="I162" s="97" t="s">
        <v>1900</v>
      </c>
      <c r="J162" s="97" t="n">
        <v>0</v>
      </c>
      <c r="K162" s="98" t="s">
        <v>2487</v>
      </c>
      <c r="L162" s="97" t="s">
        <v>1902</v>
      </c>
      <c r="M162" s="97" t="s">
        <v>25</v>
      </c>
      <c r="N162" s="97" t="s">
        <v>1903</v>
      </c>
      <c r="O162" s="97" t="s">
        <v>1904</v>
      </c>
    </row>
    <row r="163" spans="1:15">
      <c r="A163" s="101" t="n">
        <v>162</v>
      </c>
      <c r="B163" s="97" t="n">
        <v>11</v>
      </c>
      <c r="C163" s="98" t="s">
        <v>2488</v>
      </c>
      <c r="D163" s="97" t="s">
        <v>2489</v>
      </c>
      <c r="E163" s="99" t="n">
        <v>26280</v>
      </c>
      <c r="F163" s="97" t="s">
        <v>1898</v>
      </c>
      <c r="G163" s="98" t="s">
        <v>32</v>
      </c>
      <c r="H163" s="97" t="n">
        <v>0</v>
      </c>
      <c r="I163" s="97" t="s">
        <v>1957</v>
      </c>
      <c r="J163" s="97" t="n">
        <v>0</v>
      </c>
      <c r="K163" s="98" t="s">
        <v>2490</v>
      </c>
      <c r="L163" s="97" t="s">
        <v>1902</v>
      </c>
      <c r="M163" s="97" t="s">
        <v>25</v>
      </c>
      <c r="N163" s="97" t="s">
        <v>1903</v>
      </c>
      <c r="O163" s="97" t="s">
        <v>1904</v>
      </c>
    </row>
    <row r="164" spans="1:15">
      <c r="A164" s="101" t="n">
        <v>163</v>
      </c>
      <c r="B164" s="97" t="n">
        <v>46</v>
      </c>
      <c r="C164" s="98" t="s">
        <v>2491</v>
      </c>
      <c r="D164" s="97" t="s">
        <v>2492</v>
      </c>
      <c r="E164" s="99" t="n">
        <v>27872</v>
      </c>
      <c r="F164" s="97" t="s">
        <v>1898</v>
      </c>
      <c r="G164" s="98" t="s">
        <v>2493</v>
      </c>
      <c r="H164" s="97" t="n">
        <v>0</v>
      </c>
      <c r="I164" s="97" t="s">
        <v>1900</v>
      </c>
      <c r="J164" s="97" t="n">
        <v>0</v>
      </c>
      <c r="K164" s="98" t="s">
        <v>2494</v>
      </c>
      <c r="L164" s="97" t="s">
        <v>1902</v>
      </c>
      <c r="M164" s="97" t="s">
        <v>25</v>
      </c>
      <c r="N164" s="97" t="s">
        <v>1903</v>
      </c>
      <c r="O164" s="97" t="s">
        <v>1904</v>
      </c>
    </row>
    <row r="165" spans="1:15">
      <c r="A165" s="101" t="n">
        <v>164</v>
      </c>
      <c r="B165" s="97" t="n">
        <v>300</v>
      </c>
      <c r="C165" s="98" t="s">
        <v>2495</v>
      </c>
      <c r="D165" s="97" t="s">
        <v>816</v>
      </c>
      <c r="E165" s="99" t="n">
        <v>30502</v>
      </c>
      <c r="F165" s="97" t="s">
        <v>1898</v>
      </c>
      <c r="G165" s="98" t="s">
        <v>2496</v>
      </c>
      <c r="H165" s="97" t="n">
        <v>0</v>
      </c>
      <c r="I165" s="97" t="s">
        <v>1907</v>
      </c>
      <c r="J165" s="97" t="n">
        <v>0</v>
      </c>
      <c r="K165" s="98" t="s">
        <v>2497</v>
      </c>
      <c r="L165" s="97" t="s">
        <v>1902</v>
      </c>
      <c r="M165" s="97" t="s">
        <v>25</v>
      </c>
      <c r="N165" s="97" t="s">
        <v>1903</v>
      </c>
      <c r="O165" s="97" t="s">
        <v>1904</v>
      </c>
    </row>
    <row r="166" spans="1:15">
      <c r="A166" s="101" t="n">
        <v>165</v>
      </c>
      <c r="B166" s="97" t="n">
        <v>21</v>
      </c>
      <c r="C166" s="98" t="s">
        <v>2498</v>
      </c>
      <c r="D166" s="97" t="s">
        <v>2499</v>
      </c>
      <c r="E166" s="99" t="n">
        <v>25461</v>
      </c>
      <c r="F166" s="97" t="s">
        <v>1898</v>
      </c>
      <c r="G166" s="98" t="s">
        <v>2500</v>
      </c>
      <c r="H166" s="97" t="n">
        <v>0</v>
      </c>
      <c r="I166" s="97" t="s">
        <v>1957</v>
      </c>
      <c r="J166" s="97" t="n">
        <v>0</v>
      </c>
      <c r="K166" s="98" t="s">
        <v>2501</v>
      </c>
      <c r="L166" s="97" t="s">
        <v>1902</v>
      </c>
      <c r="M166" s="97" t="s">
        <v>25</v>
      </c>
      <c r="N166" s="97" t="s">
        <v>1903</v>
      </c>
      <c r="O166" s="97" t="s">
        <v>1904</v>
      </c>
    </row>
    <row r="167" spans="1:15">
      <c r="A167" s="101" t="n">
        <v>166</v>
      </c>
      <c r="B167" s="97" t="n">
        <v>51</v>
      </c>
      <c r="C167" s="98" t="s">
        <v>2502</v>
      </c>
      <c r="D167" s="97" t="s">
        <v>2503</v>
      </c>
      <c r="E167" s="99" t="n">
        <v>30418</v>
      </c>
      <c r="F167" s="97" t="s">
        <v>1898</v>
      </c>
      <c r="G167" s="98" t="s">
        <v>2504</v>
      </c>
      <c r="H167" s="97" t="n">
        <v>0</v>
      </c>
      <c r="I167" s="97" t="s">
        <v>1900</v>
      </c>
      <c r="J167" s="97" t="n">
        <v>0</v>
      </c>
      <c r="K167" s="98" t="s">
        <v>2505</v>
      </c>
      <c r="L167" s="97" t="s">
        <v>1902</v>
      </c>
      <c r="M167" s="97" t="s">
        <v>25</v>
      </c>
      <c r="N167" s="97" t="s">
        <v>1903</v>
      </c>
      <c r="O167" s="97" t="s">
        <v>1904</v>
      </c>
    </row>
    <row r="168" spans="1:15">
      <c r="A168" s="101" t="n">
        <v>167</v>
      </c>
      <c r="B168" s="97" t="n">
        <v>202</v>
      </c>
      <c r="C168" s="98" t="s">
        <v>2506</v>
      </c>
      <c r="D168" s="97" t="s">
        <v>481</v>
      </c>
      <c r="E168" s="99" t="n">
        <v>27995</v>
      </c>
      <c r="F168" s="97" t="s">
        <v>1898</v>
      </c>
      <c r="G168" s="98" t="s">
        <v>2507</v>
      </c>
      <c r="H168" s="97" t="n">
        <v>0</v>
      </c>
      <c r="I168" s="97" t="s">
        <v>1900</v>
      </c>
      <c r="J168" s="97" t="n">
        <v>0</v>
      </c>
      <c r="K168" s="98" t="s">
        <v>2508</v>
      </c>
      <c r="L168" s="97" t="s">
        <v>1902</v>
      </c>
      <c r="M168" s="97" t="s">
        <v>25</v>
      </c>
      <c r="N168" s="97" t="s">
        <v>1903</v>
      </c>
      <c r="O168" s="97" t="s">
        <v>1904</v>
      </c>
    </row>
    <row r="169" spans="1:15">
      <c r="A169" s="101" t="n">
        <v>168</v>
      </c>
      <c r="B169" s="97" t="n">
        <v>221</v>
      </c>
      <c r="C169" s="98" t="s">
        <v>2509</v>
      </c>
      <c r="D169" s="97" t="s">
        <v>2510</v>
      </c>
      <c r="E169" s="99" t="n">
        <v>29501</v>
      </c>
      <c r="F169" s="97" t="s">
        <v>1898</v>
      </c>
      <c r="G169" s="98" t="s">
        <v>2511</v>
      </c>
      <c r="H169" s="97" t="n">
        <v>0</v>
      </c>
      <c r="I169" s="97" t="s">
        <v>1900</v>
      </c>
      <c r="J169" s="97" t="n">
        <v>0</v>
      </c>
      <c r="K169" s="98" t="s">
        <v>2512</v>
      </c>
      <c r="L169" s="97" t="s">
        <v>1902</v>
      </c>
      <c r="M169" s="97" t="s">
        <v>25</v>
      </c>
      <c r="N169" s="97" t="s">
        <v>1903</v>
      </c>
      <c r="O169" s="97" t="s">
        <v>1904</v>
      </c>
    </row>
    <row r="170" spans="1:15">
      <c r="A170" s="101" t="n">
        <v>169</v>
      </c>
      <c r="B170" s="97" t="n">
        <v>294</v>
      </c>
      <c r="C170" s="98" t="s">
        <v>2513</v>
      </c>
      <c r="D170" s="97" t="s">
        <v>2514</v>
      </c>
      <c r="E170" s="99" t="n">
        <v>35722</v>
      </c>
      <c r="F170" s="97" t="s">
        <v>1898</v>
      </c>
      <c r="G170" s="98" t="s">
        <v>2515</v>
      </c>
      <c r="H170" s="97" t="n">
        <v>0</v>
      </c>
      <c r="I170" s="97" t="s">
        <v>1907</v>
      </c>
      <c r="J170" s="97" t="n">
        <v>0</v>
      </c>
      <c r="K170" s="98" t="s">
        <v>2516</v>
      </c>
      <c r="L170" s="97" t="s">
        <v>1902</v>
      </c>
      <c r="M170" s="97" t="s">
        <v>25</v>
      </c>
      <c r="N170" s="97" t="s">
        <v>1903</v>
      </c>
      <c r="O170" s="97" t="s">
        <v>1904</v>
      </c>
    </row>
    <row r="171" spans="1:15">
      <c r="A171" s="101" t="n">
        <v>170</v>
      </c>
      <c r="B171" s="97" t="n">
        <v>181</v>
      </c>
      <c r="C171" s="98" t="s">
        <v>2517</v>
      </c>
      <c r="D171" s="97" t="s">
        <v>2518</v>
      </c>
      <c r="E171" s="99" t="n">
        <v>31171</v>
      </c>
      <c r="F171" s="97" t="s">
        <v>1898</v>
      </c>
      <c r="G171" s="98" t="s">
        <v>2519</v>
      </c>
      <c r="H171" s="97" t="n">
        <v>0</v>
      </c>
      <c r="I171" s="97" t="s">
        <v>1900</v>
      </c>
      <c r="J171" s="97" t="n">
        <v>0</v>
      </c>
      <c r="K171" s="98" t="s">
        <v>2520</v>
      </c>
      <c r="L171" s="97" t="s">
        <v>1902</v>
      </c>
      <c r="M171" s="97" t="s">
        <v>25</v>
      </c>
      <c r="N171" s="97" t="s">
        <v>1903</v>
      </c>
      <c r="O171" s="97" t="s">
        <v>1904</v>
      </c>
    </row>
    <row r="172" spans="1:15">
      <c r="A172" s="101" t="n">
        <v>171</v>
      </c>
      <c r="B172" s="97" t="n">
        <v>164</v>
      </c>
      <c r="C172" s="98" t="s">
        <v>2521</v>
      </c>
      <c r="D172" s="97" t="s">
        <v>2522</v>
      </c>
      <c r="E172" s="99" t="n">
        <v>28713</v>
      </c>
      <c r="F172" s="97" t="s">
        <v>1898</v>
      </c>
      <c r="G172" s="98" t="s">
        <v>2523</v>
      </c>
      <c r="H172" s="97" t="n">
        <v>0</v>
      </c>
      <c r="I172" s="97" t="s">
        <v>1900</v>
      </c>
      <c r="J172" s="97" t="n">
        <v>0</v>
      </c>
      <c r="K172" s="98" t="s">
        <v>2524</v>
      </c>
      <c r="L172" s="97" t="s">
        <v>1902</v>
      </c>
      <c r="M172" s="97" t="s">
        <v>25</v>
      </c>
      <c r="N172" s="97" t="s">
        <v>1903</v>
      </c>
      <c r="O172" s="97" t="s">
        <v>1904</v>
      </c>
    </row>
    <row r="173" spans="1:15">
      <c r="A173" s="101" t="n">
        <v>172</v>
      </c>
      <c r="B173" s="97" t="n">
        <v>15</v>
      </c>
      <c r="C173" s="98" t="s">
        <v>2525</v>
      </c>
      <c r="D173" s="97" t="s">
        <v>2526</v>
      </c>
      <c r="E173" s="99" t="n">
        <v>27974</v>
      </c>
      <c r="F173" s="97" t="s">
        <v>1898</v>
      </c>
      <c r="G173" s="98" t="s">
        <v>2527</v>
      </c>
      <c r="H173" s="97" t="n">
        <v>0</v>
      </c>
      <c r="I173" s="97" t="s">
        <v>1957</v>
      </c>
      <c r="J173" s="97" t="n">
        <v>0</v>
      </c>
      <c r="K173" s="98" t="s">
        <v>2528</v>
      </c>
      <c r="L173" s="97" t="s">
        <v>1902</v>
      </c>
      <c r="M173" s="97" t="s">
        <v>25</v>
      </c>
      <c r="N173" s="97" t="s">
        <v>1903</v>
      </c>
      <c r="O173" s="97" t="s">
        <v>1904</v>
      </c>
    </row>
    <row r="174" spans="1:15">
      <c r="A174" s="101" t="n">
        <v>173</v>
      </c>
      <c r="B174" s="97" t="n">
        <v>193</v>
      </c>
      <c r="C174" s="98" t="s">
        <v>2529</v>
      </c>
      <c r="D174" s="97" t="s">
        <v>2530</v>
      </c>
      <c r="E174" s="99" t="n">
        <v>34510</v>
      </c>
      <c r="F174" s="97" t="s">
        <v>1898</v>
      </c>
      <c r="G174" s="98" t="s">
        <v>2531</v>
      </c>
      <c r="H174" s="97" t="n">
        <v>0</v>
      </c>
      <c r="I174" s="97" t="s">
        <v>1900</v>
      </c>
      <c r="J174" s="97" t="n">
        <v>0</v>
      </c>
      <c r="K174" s="98" t="s">
        <v>2532</v>
      </c>
      <c r="L174" s="97" t="s">
        <v>1902</v>
      </c>
      <c r="M174" s="97" t="s">
        <v>25</v>
      </c>
      <c r="N174" s="97" t="s">
        <v>1903</v>
      </c>
      <c r="O174" s="97" t="s">
        <v>1904</v>
      </c>
    </row>
    <row r="175" spans="1:15">
      <c r="A175" s="101" t="n">
        <v>174</v>
      </c>
      <c r="B175" s="97" t="n">
        <v>19</v>
      </c>
      <c r="C175" s="98" t="s">
        <v>2533</v>
      </c>
      <c r="D175" s="97" t="s">
        <v>2534</v>
      </c>
      <c r="E175" s="99" t="n">
        <v>26913</v>
      </c>
      <c r="F175" s="97" t="s">
        <v>1898</v>
      </c>
      <c r="G175" s="98" t="s">
        <v>2535</v>
      </c>
      <c r="H175" s="97" t="n">
        <v>0</v>
      </c>
      <c r="I175" s="97" t="s">
        <v>1957</v>
      </c>
      <c r="J175" s="97" t="n">
        <v>0</v>
      </c>
      <c r="K175" s="98" t="s">
        <v>2536</v>
      </c>
      <c r="L175" s="97" t="s">
        <v>1902</v>
      </c>
      <c r="M175" s="97" t="s">
        <v>25</v>
      </c>
      <c r="N175" s="97" t="s">
        <v>1903</v>
      </c>
      <c r="O175" s="97" t="s">
        <v>1904</v>
      </c>
    </row>
    <row r="176" spans="1:15">
      <c r="A176" s="101" t="n">
        <v>175</v>
      </c>
      <c r="B176" s="97" t="n">
        <v>288</v>
      </c>
      <c r="C176" s="98" t="s">
        <v>2537</v>
      </c>
      <c r="D176" s="97" t="s">
        <v>2538</v>
      </c>
      <c r="E176" s="99" t="n">
        <v>35009</v>
      </c>
      <c r="F176" s="97" t="s">
        <v>1898</v>
      </c>
      <c r="G176" s="98" t="s">
        <v>2539</v>
      </c>
      <c r="H176" s="97" t="n">
        <v>0</v>
      </c>
      <c r="I176" s="97" t="s">
        <v>1907</v>
      </c>
      <c r="J176" s="97" t="n">
        <v>0</v>
      </c>
      <c r="K176" s="98" t="s">
        <v>2540</v>
      </c>
      <c r="L176" s="97" t="s">
        <v>1902</v>
      </c>
      <c r="M176" s="97" t="s">
        <v>25</v>
      </c>
      <c r="N176" s="97" t="s">
        <v>1903</v>
      </c>
      <c r="O176" s="97" t="s">
        <v>1904</v>
      </c>
    </row>
    <row r="177" spans="1:15">
      <c r="A177" s="101" t="n">
        <v>176</v>
      </c>
      <c r="B177" s="97" t="n">
        <v>17</v>
      </c>
      <c r="C177" s="98" t="s">
        <v>2541</v>
      </c>
      <c r="D177" s="97" t="s">
        <v>2542</v>
      </c>
      <c r="E177" s="99" t="n">
        <v>29955</v>
      </c>
      <c r="F177" s="97" t="s">
        <v>1898</v>
      </c>
      <c r="G177" s="98" t="s">
        <v>2543</v>
      </c>
      <c r="H177" s="97" t="n">
        <v>0</v>
      </c>
      <c r="I177" s="97" t="s">
        <v>1957</v>
      </c>
      <c r="J177" s="97" t="n">
        <v>0</v>
      </c>
      <c r="K177" s="98" t="s">
        <v>2544</v>
      </c>
      <c r="L177" s="97" t="s">
        <v>1902</v>
      </c>
      <c r="M177" s="97" t="s">
        <v>25</v>
      </c>
      <c r="N177" s="97" t="s">
        <v>1903</v>
      </c>
      <c r="O177" s="97" t="s">
        <v>1904</v>
      </c>
    </row>
    <row r="178" spans="1:15">
      <c r="A178" s="101" t="n">
        <v>177</v>
      </c>
      <c r="B178" s="97" t="n">
        <v>205</v>
      </c>
      <c r="C178" s="98" t="s">
        <v>2545</v>
      </c>
      <c r="D178" s="97" t="s">
        <v>2546</v>
      </c>
      <c r="E178" s="99" t="n">
        <v>29959</v>
      </c>
      <c r="F178" s="97" t="s">
        <v>1898</v>
      </c>
      <c r="G178" s="98" t="s">
        <v>2547</v>
      </c>
      <c r="H178" s="97" t="n">
        <v>0</v>
      </c>
      <c r="I178" s="97" t="s">
        <v>1900</v>
      </c>
      <c r="J178" s="97" t="n">
        <v>0</v>
      </c>
      <c r="K178" s="98" t="s">
        <v>2548</v>
      </c>
      <c r="L178" s="97" t="s">
        <v>1902</v>
      </c>
      <c r="M178" s="97" t="s">
        <v>25</v>
      </c>
      <c r="N178" s="97" t="s">
        <v>1903</v>
      </c>
      <c r="O178" s="97" t="s">
        <v>1904</v>
      </c>
    </row>
    <row r="179" spans="1:15">
      <c r="A179" s="101" t="n">
        <v>178</v>
      </c>
      <c r="B179" s="97" t="n">
        <v>166</v>
      </c>
      <c r="C179" s="98" t="s">
        <v>2549</v>
      </c>
      <c r="D179" s="97" t="s">
        <v>545</v>
      </c>
      <c r="E179" s="99" t="n">
        <v>29479</v>
      </c>
      <c r="F179" s="97" t="s">
        <v>1898</v>
      </c>
      <c r="G179" s="98" t="s">
        <v>2550</v>
      </c>
      <c r="H179" s="97" t="n">
        <v>0</v>
      </c>
      <c r="I179" s="97" t="s">
        <v>1900</v>
      </c>
      <c r="J179" s="97" t="n">
        <v>0</v>
      </c>
      <c r="K179" s="98" t="s">
        <v>2551</v>
      </c>
      <c r="L179" s="97" t="s">
        <v>1902</v>
      </c>
      <c r="M179" s="97" t="s">
        <v>25</v>
      </c>
      <c r="N179" s="97" t="s">
        <v>1903</v>
      </c>
      <c r="O179" s="97" t="s">
        <v>1904</v>
      </c>
    </row>
    <row r="180" spans="1:15">
      <c r="A180" s="101" t="n">
        <v>179</v>
      </c>
      <c r="B180" s="97" t="n">
        <v>90</v>
      </c>
      <c r="C180" s="98" t="s">
        <v>2552</v>
      </c>
      <c r="D180" s="97" t="s">
        <v>2553</v>
      </c>
      <c r="E180" s="99" t="n">
        <v>25657</v>
      </c>
      <c r="F180" s="97" t="s">
        <v>1898</v>
      </c>
      <c r="G180" s="98" t="s">
        <v>2554</v>
      </c>
      <c r="H180" s="97" t="n">
        <v>0</v>
      </c>
      <c r="I180" s="97" t="s">
        <v>1900</v>
      </c>
      <c r="J180" s="97" t="n">
        <v>0</v>
      </c>
      <c r="K180" s="98" t="s">
        <v>2555</v>
      </c>
      <c r="L180" s="97" t="s">
        <v>1902</v>
      </c>
      <c r="M180" s="97" t="s">
        <v>25</v>
      </c>
      <c r="N180" s="97" t="s">
        <v>1903</v>
      </c>
      <c r="O180" s="97" t="s">
        <v>1904</v>
      </c>
    </row>
    <row r="181" spans="1:15">
      <c r="A181" s="101" t="n">
        <v>180</v>
      </c>
      <c r="B181" s="97" t="n">
        <v>215</v>
      </c>
      <c r="C181" s="98" t="s">
        <v>2556</v>
      </c>
      <c r="D181" s="97" t="s">
        <v>620</v>
      </c>
      <c r="E181" s="99" t="n">
        <v>32785</v>
      </c>
      <c r="F181" s="97" t="s">
        <v>1898</v>
      </c>
      <c r="G181" s="98" t="s">
        <v>2557</v>
      </c>
      <c r="H181" s="97" t="n">
        <v>0</v>
      </c>
      <c r="I181" s="97" t="s">
        <v>1900</v>
      </c>
      <c r="J181" s="97" t="n">
        <v>0</v>
      </c>
      <c r="K181" s="98" t="s">
        <v>2558</v>
      </c>
      <c r="L181" s="97" t="s">
        <v>1902</v>
      </c>
      <c r="M181" s="97" t="s">
        <v>25</v>
      </c>
      <c r="N181" s="97" t="s">
        <v>1903</v>
      </c>
      <c r="O181" s="97" t="s">
        <v>1904</v>
      </c>
    </row>
    <row r="182" spans="1:15">
      <c r="A182" s="101" t="n">
        <v>181</v>
      </c>
      <c r="B182" s="97" t="n">
        <v>125</v>
      </c>
      <c r="C182" s="98" t="s">
        <v>2559</v>
      </c>
      <c r="D182" s="97" t="s">
        <v>2560</v>
      </c>
      <c r="E182" s="99" t="n">
        <v>29053</v>
      </c>
      <c r="F182" s="97" t="s">
        <v>1898</v>
      </c>
      <c r="G182" s="98" t="s">
        <v>2561</v>
      </c>
      <c r="H182" s="97" t="n">
        <v>0</v>
      </c>
      <c r="I182" s="97" t="s">
        <v>1900</v>
      </c>
      <c r="J182" s="97" t="n">
        <v>0</v>
      </c>
      <c r="K182" s="98" t="s">
        <v>2562</v>
      </c>
      <c r="L182" s="97" t="s">
        <v>1902</v>
      </c>
      <c r="M182" s="97" t="s">
        <v>25</v>
      </c>
      <c r="N182" s="97" t="s">
        <v>1903</v>
      </c>
      <c r="O182" s="97" t="s">
        <v>1904</v>
      </c>
    </row>
    <row r="183" spans="1:15">
      <c r="A183" s="101" t="n">
        <v>182</v>
      </c>
      <c r="B183" s="97" t="n">
        <v>266</v>
      </c>
      <c r="C183" s="98" t="s">
        <v>2563</v>
      </c>
      <c r="D183" s="97" t="s">
        <v>2564</v>
      </c>
      <c r="E183" s="99" t="n">
        <v>32431</v>
      </c>
      <c r="F183" s="97" t="s">
        <v>1898</v>
      </c>
      <c r="G183" s="98" t="s">
        <v>2565</v>
      </c>
      <c r="H183" s="97" t="n">
        <v>0</v>
      </c>
      <c r="I183" s="97" t="s">
        <v>1907</v>
      </c>
      <c r="J183" s="97" t="n">
        <v>0</v>
      </c>
      <c r="K183" s="98" t="s">
        <v>2566</v>
      </c>
      <c r="L183" s="97" t="s">
        <v>1902</v>
      </c>
      <c r="M183" s="97" t="s">
        <v>25</v>
      </c>
      <c r="N183" s="97" t="s">
        <v>1903</v>
      </c>
      <c r="O183" s="97" t="s">
        <v>1904</v>
      </c>
    </row>
    <row r="184" spans="1:15">
      <c r="A184" s="101" t="n">
        <v>183</v>
      </c>
      <c r="B184" s="97" t="n">
        <v>282</v>
      </c>
      <c r="C184" s="98" t="s">
        <v>2567</v>
      </c>
      <c r="D184" s="97" t="s">
        <v>2568</v>
      </c>
      <c r="E184" s="99" t="n">
        <v>34094</v>
      </c>
      <c r="F184" s="97" t="s">
        <v>1898</v>
      </c>
      <c r="G184" s="98" t="s">
        <v>2569</v>
      </c>
      <c r="H184" s="97" t="n">
        <v>0</v>
      </c>
      <c r="I184" s="97" t="s">
        <v>1907</v>
      </c>
      <c r="J184" s="97" t="n">
        <v>0</v>
      </c>
      <c r="K184" s="98" t="s">
        <v>2570</v>
      </c>
      <c r="L184" s="97" t="s">
        <v>1902</v>
      </c>
      <c r="M184" s="97" t="s">
        <v>25</v>
      </c>
      <c r="N184" s="97" t="s">
        <v>1903</v>
      </c>
      <c r="O184" s="97" t="s">
        <v>1904</v>
      </c>
    </row>
    <row r="185" spans="1:15">
      <c r="A185" s="101" t="n">
        <v>184</v>
      </c>
      <c r="B185" s="97" t="n">
        <v>256</v>
      </c>
      <c r="C185" s="98" t="s">
        <v>2571</v>
      </c>
      <c r="D185" s="97" t="s">
        <v>2572</v>
      </c>
      <c r="E185" s="99" t="n">
        <v>31050</v>
      </c>
      <c r="F185" s="97" t="s">
        <v>1898</v>
      </c>
      <c r="G185" s="98" t="s">
        <v>2573</v>
      </c>
      <c r="H185" s="97" t="n">
        <v>0</v>
      </c>
      <c r="I185" s="97" t="s">
        <v>1907</v>
      </c>
      <c r="J185" s="97" t="n">
        <v>0</v>
      </c>
      <c r="K185" s="98" t="s">
        <v>2574</v>
      </c>
      <c r="L185" s="97" t="s">
        <v>1902</v>
      </c>
      <c r="M185" s="97" t="s">
        <v>25</v>
      </c>
      <c r="N185" s="97" t="s">
        <v>1903</v>
      </c>
      <c r="O185" s="97" t="s">
        <v>1904</v>
      </c>
    </row>
    <row r="186" spans="1:15">
      <c r="A186" s="101" t="n">
        <v>185</v>
      </c>
      <c r="B186" s="97" t="n">
        <v>117</v>
      </c>
      <c r="C186" s="98" t="s">
        <v>2575</v>
      </c>
      <c r="D186" s="97" t="s">
        <v>2576</v>
      </c>
      <c r="E186" s="99" t="n">
        <v>30049</v>
      </c>
      <c r="F186" s="97" t="s">
        <v>1898</v>
      </c>
      <c r="G186" s="98" t="s">
        <v>2577</v>
      </c>
      <c r="H186" s="97" t="n">
        <v>0</v>
      </c>
      <c r="I186" s="97" t="s">
        <v>1900</v>
      </c>
      <c r="J186" s="97" t="n">
        <v>0</v>
      </c>
      <c r="K186" s="98" t="s">
        <v>2578</v>
      </c>
      <c r="L186" s="97" t="s">
        <v>1902</v>
      </c>
      <c r="M186" s="97" t="s">
        <v>25</v>
      </c>
      <c r="N186" s="97" t="s">
        <v>1903</v>
      </c>
      <c r="O186" s="97" t="s">
        <v>1904</v>
      </c>
    </row>
    <row r="187" spans="1:15">
      <c r="A187" s="101" t="n">
        <v>186</v>
      </c>
      <c r="B187" s="97" t="n">
        <v>177</v>
      </c>
      <c r="C187" s="98" t="s">
        <v>2579</v>
      </c>
      <c r="D187" s="97" t="s">
        <v>465</v>
      </c>
      <c r="E187" s="99" t="n">
        <v>31541</v>
      </c>
      <c r="F187" s="97" t="s">
        <v>1898</v>
      </c>
      <c r="G187" s="98" t="s">
        <v>2580</v>
      </c>
      <c r="H187" s="97" t="n">
        <v>0</v>
      </c>
      <c r="I187" s="97" t="s">
        <v>1900</v>
      </c>
      <c r="J187" s="97" t="n">
        <v>0</v>
      </c>
      <c r="K187" s="98" t="s">
        <v>2581</v>
      </c>
      <c r="L187" s="97" t="s">
        <v>1902</v>
      </c>
      <c r="M187" s="97" t="s">
        <v>25</v>
      </c>
      <c r="N187" s="97" t="s">
        <v>1903</v>
      </c>
      <c r="O187" s="97" t="s">
        <v>1904</v>
      </c>
    </row>
    <row r="188" spans="1:15">
      <c r="A188" s="101" t="n">
        <v>187</v>
      </c>
      <c r="B188" s="97" t="n">
        <v>53</v>
      </c>
      <c r="C188" s="98" t="s">
        <v>2582</v>
      </c>
      <c r="D188" s="97" t="s">
        <v>255</v>
      </c>
      <c r="E188" s="99" t="n">
        <v>30809</v>
      </c>
      <c r="F188" s="97" t="s">
        <v>1898</v>
      </c>
      <c r="G188" s="98" t="s">
        <v>2583</v>
      </c>
      <c r="H188" s="97" t="n">
        <v>0</v>
      </c>
      <c r="I188" s="97" t="s">
        <v>1900</v>
      </c>
      <c r="J188" s="97" t="n">
        <v>0</v>
      </c>
      <c r="K188" s="98" t="s">
        <v>2584</v>
      </c>
      <c r="L188" s="97" t="s">
        <v>1902</v>
      </c>
      <c r="M188" s="97" t="s">
        <v>25</v>
      </c>
      <c r="N188" s="97" t="s">
        <v>1903</v>
      </c>
      <c r="O188" s="97" t="s">
        <v>1904</v>
      </c>
    </row>
    <row r="189" spans="1:15">
      <c r="A189" s="101" t="n">
        <v>188</v>
      </c>
      <c r="B189" s="97" t="n">
        <v>154</v>
      </c>
      <c r="C189" s="98" t="s">
        <v>2585</v>
      </c>
      <c r="D189" s="97" t="s">
        <v>2586</v>
      </c>
      <c r="E189" s="99" t="n">
        <v>25116</v>
      </c>
      <c r="F189" s="97" t="s">
        <v>1898</v>
      </c>
      <c r="G189" s="98" t="s">
        <v>2587</v>
      </c>
      <c r="H189" s="97" t="n">
        <v>0</v>
      </c>
      <c r="I189" s="97" t="s">
        <v>1900</v>
      </c>
      <c r="J189" s="97" t="n">
        <v>0</v>
      </c>
      <c r="K189" s="98" t="s">
        <v>2588</v>
      </c>
      <c r="L189" s="97" t="s">
        <v>1902</v>
      </c>
      <c r="M189" s="97" t="s">
        <v>25</v>
      </c>
      <c r="N189" s="97" t="s">
        <v>1903</v>
      </c>
      <c r="O189" s="97" t="s">
        <v>1904</v>
      </c>
    </row>
    <row r="190" spans="1:15">
      <c r="A190" s="101" t="n">
        <v>189</v>
      </c>
      <c r="B190" s="97" t="n">
        <v>102</v>
      </c>
      <c r="C190" s="98" t="s">
        <v>2589</v>
      </c>
      <c r="D190" s="97" t="s">
        <v>2590</v>
      </c>
      <c r="E190" s="99" t="n">
        <v>25989</v>
      </c>
      <c r="F190" s="97" t="s">
        <v>1898</v>
      </c>
      <c r="G190" s="98" t="s">
        <v>2591</v>
      </c>
      <c r="H190" s="97" t="n">
        <v>0</v>
      </c>
      <c r="I190" s="97" t="s">
        <v>1900</v>
      </c>
      <c r="J190" s="97" t="n">
        <v>0</v>
      </c>
      <c r="K190" s="98" t="s">
        <v>2592</v>
      </c>
      <c r="L190" s="97" t="s">
        <v>1902</v>
      </c>
      <c r="M190" s="97" t="s">
        <v>25</v>
      </c>
      <c r="N190" s="97" t="s">
        <v>1903</v>
      </c>
      <c r="O190" s="97" t="s">
        <v>1904</v>
      </c>
    </row>
    <row r="191" spans="1:15">
      <c r="A191" s="101" t="n">
        <v>190</v>
      </c>
      <c r="B191" s="97" t="n">
        <v>169</v>
      </c>
      <c r="C191" s="98" t="s">
        <v>2593</v>
      </c>
      <c r="D191" s="97" t="s">
        <v>2594</v>
      </c>
      <c r="E191" s="99" t="n">
        <v>29824</v>
      </c>
      <c r="F191" s="97" t="s">
        <v>1898</v>
      </c>
      <c r="G191" s="98" t="s">
        <v>2595</v>
      </c>
      <c r="H191" s="97" t="n">
        <v>0</v>
      </c>
      <c r="I191" s="97" t="s">
        <v>1900</v>
      </c>
      <c r="J191" s="97" t="n">
        <v>0</v>
      </c>
      <c r="K191" s="98" t="s">
        <v>2596</v>
      </c>
      <c r="L191" s="97" t="s">
        <v>1902</v>
      </c>
      <c r="M191" s="97" t="s">
        <v>25</v>
      </c>
      <c r="N191" s="97" t="s">
        <v>1903</v>
      </c>
      <c r="O191" s="97" t="s">
        <v>1904</v>
      </c>
    </row>
    <row r="192" spans="1:15">
      <c r="A192" s="101" t="n">
        <v>191</v>
      </c>
      <c r="B192" s="97" t="n">
        <v>284</v>
      </c>
      <c r="C192" s="98" t="s">
        <v>2597</v>
      </c>
      <c r="D192" s="97" t="s">
        <v>2598</v>
      </c>
      <c r="E192" s="99" t="n">
        <v>34284</v>
      </c>
      <c r="F192" s="97" t="s">
        <v>1898</v>
      </c>
      <c r="G192" s="98" t="s">
        <v>2599</v>
      </c>
      <c r="H192" s="97" t="n">
        <v>0</v>
      </c>
      <c r="I192" s="97" t="s">
        <v>1907</v>
      </c>
      <c r="J192" s="97" t="n">
        <v>0</v>
      </c>
      <c r="K192" s="98" t="s">
        <v>2600</v>
      </c>
      <c r="L192" s="97" t="s">
        <v>1902</v>
      </c>
      <c r="M192" s="97" t="s">
        <v>25</v>
      </c>
      <c r="N192" s="97" t="s">
        <v>1903</v>
      </c>
      <c r="O192" s="97" t="s">
        <v>1904</v>
      </c>
    </row>
    <row r="193" spans="1:15">
      <c r="A193" s="101" t="n">
        <v>192</v>
      </c>
      <c r="B193" s="97" t="n">
        <v>298</v>
      </c>
      <c r="C193" s="98" t="s">
        <v>2601</v>
      </c>
      <c r="D193" s="97" t="s">
        <v>810</v>
      </c>
      <c r="E193" s="99" t="n">
        <v>29808</v>
      </c>
      <c r="F193" s="97" t="s">
        <v>1898</v>
      </c>
      <c r="G193" s="98" t="s">
        <v>2602</v>
      </c>
      <c r="H193" s="97" t="n">
        <v>0</v>
      </c>
      <c r="I193" s="97" t="s">
        <v>1907</v>
      </c>
      <c r="J193" s="97" t="n">
        <v>0</v>
      </c>
      <c r="K193" s="98" t="s">
        <v>2603</v>
      </c>
      <c r="L193" s="97" t="s">
        <v>1902</v>
      </c>
      <c r="M193" s="97" t="s">
        <v>25</v>
      </c>
      <c r="N193" s="97" t="s">
        <v>1903</v>
      </c>
      <c r="O193" s="97" t="s">
        <v>1904</v>
      </c>
    </row>
    <row r="194" spans="1:15">
      <c r="A194" s="101" t="n">
        <v>193</v>
      </c>
      <c r="B194" s="97" t="n">
        <v>249</v>
      </c>
      <c r="C194" s="98" t="s">
        <v>2604</v>
      </c>
      <c r="D194" s="97" t="s">
        <v>690</v>
      </c>
      <c r="E194" s="99" t="n">
        <v>26737</v>
      </c>
      <c r="F194" s="97" t="s">
        <v>1898</v>
      </c>
      <c r="G194" s="98" t="s">
        <v>2605</v>
      </c>
      <c r="H194" s="97" t="n">
        <v>0</v>
      </c>
      <c r="I194" s="97" t="s">
        <v>1907</v>
      </c>
      <c r="J194" s="97" t="n">
        <v>0</v>
      </c>
      <c r="K194" s="98" t="s">
        <v>2606</v>
      </c>
      <c r="L194" s="97" t="s">
        <v>1902</v>
      </c>
      <c r="M194" s="97" t="s">
        <v>25</v>
      </c>
      <c r="N194" s="97" t="s">
        <v>1903</v>
      </c>
      <c r="O194" s="97" t="s">
        <v>1904</v>
      </c>
    </row>
    <row r="195" spans="1:15">
      <c r="A195" s="101" t="n">
        <v>194</v>
      </c>
      <c r="B195" s="97" t="n">
        <v>234</v>
      </c>
      <c r="C195" s="98" t="s">
        <v>2607</v>
      </c>
      <c r="D195" s="97" t="s">
        <v>692</v>
      </c>
      <c r="E195" s="99" t="n">
        <v>26055</v>
      </c>
      <c r="F195" s="97" t="s">
        <v>1898</v>
      </c>
      <c r="G195" s="98" t="s">
        <v>2608</v>
      </c>
      <c r="H195" s="97" t="n">
        <v>0</v>
      </c>
      <c r="I195" s="97" t="s">
        <v>1907</v>
      </c>
      <c r="J195" s="97" t="n">
        <v>0</v>
      </c>
      <c r="K195" s="98" t="s">
        <v>2609</v>
      </c>
      <c r="L195" s="97" t="s">
        <v>1902</v>
      </c>
      <c r="M195" s="97" t="s">
        <v>25</v>
      </c>
      <c r="N195" s="97" t="s">
        <v>1903</v>
      </c>
      <c r="O195" s="97" t="s">
        <v>1904</v>
      </c>
    </row>
    <row r="196" spans="1:15">
      <c r="A196" s="101" t="n">
        <v>195</v>
      </c>
      <c r="B196" s="97" t="n">
        <v>88</v>
      </c>
      <c r="C196" s="98" t="s">
        <v>2610</v>
      </c>
      <c r="D196" s="97" t="s">
        <v>2611</v>
      </c>
      <c r="E196" s="99" t="n">
        <v>32007</v>
      </c>
      <c r="F196" s="97" t="s">
        <v>1898</v>
      </c>
      <c r="G196" s="98" t="s">
        <v>2612</v>
      </c>
      <c r="H196" s="97" t="n">
        <v>0</v>
      </c>
      <c r="I196" s="97" t="s">
        <v>1900</v>
      </c>
      <c r="J196" s="97" t="n">
        <v>0</v>
      </c>
      <c r="K196" s="98" t="s">
        <v>2613</v>
      </c>
      <c r="L196" s="97" t="s">
        <v>1902</v>
      </c>
      <c r="M196" s="97" t="s">
        <v>25</v>
      </c>
      <c r="N196" s="97" t="s">
        <v>1903</v>
      </c>
      <c r="O196" s="97" t="s">
        <v>1904</v>
      </c>
    </row>
    <row r="197" spans="1:15">
      <c r="A197" s="101" t="n">
        <v>196</v>
      </c>
      <c r="B197" s="97" t="n">
        <v>27</v>
      </c>
      <c r="C197" s="98" t="s">
        <v>2614</v>
      </c>
      <c r="D197" s="97" t="s">
        <v>2615</v>
      </c>
      <c r="E197" s="99" t="n">
        <v>24981</v>
      </c>
      <c r="F197" s="97" t="s">
        <v>1898</v>
      </c>
      <c r="G197" s="98" t="s">
        <v>2616</v>
      </c>
      <c r="H197" s="97" t="n">
        <v>0</v>
      </c>
      <c r="I197" s="97" t="s">
        <v>1957</v>
      </c>
      <c r="J197" s="97" t="n">
        <v>0</v>
      </c>
      <c r="K197" s="98" t="s">
        <v>2617</v>
      </c>
      <c r="L197" s="97" t="s">
        <v>1902</v>
      </c>
      <c r="M197" s="97" t="s">
        <v>25</v>
      </c>
      <c r="N197" s="97" t="s">
        <v>1903</v>
      </c>
      <c r="O197" s="97" t="s">
        <v>1904</v>
      </c>
    </row>
    <row r="198" spans="1:15">
      <c r="A198" s="101" t="n">
        <v>197</v>
      </c>
      <c r="B198" s="97" t="n">
        <v>242</v>
      </c>
      <c r="C198" s="98" t="s">
        <v>2618</v>
      </c>
      <c r="D198" s="97" t="s">
        <v>710</v>
      </c>
      <c r="E198" s="99" t="n">
        <v>29343</v>
      </c>
      <c r="F198" s="97" t="s">
        <v>1898</v>
      </c>
      <c r="G198" s="98" t="s">
        <v>2619</v>
      </c>
      <c r="H198" s="97" t="n">
        <v>0</v>
      </c>
      <c r="I198" s="97" t="s">
        <v>1907</v>
      </c>
      <c r="J198" s="97" t="n">
        <v>0</v>
      </c>
      <c r="K198" s="98" t="s">
        <v>2620</v>
      </c>
      <c r="L198" s="97" t="s">
        <v>1902</v>
      </c>
      <c r="M198" s="97" t="s">
        <v>25</v>
      </c>
      <c r="N198" s="97" t="s">
        <v>1903</v>
      </c>
      <c r="O198" s="97" t="s">
        <v>1904</v>
      </c>
    </row>
    <row r="199" spans="1:15">
      <c r="A199" s="101" t="n">
        <v>198</v>
      </c>
      <c r="B199" s="97" t="n">
        <v>289</v>
      </c>
      <c r="C199" s="98" t="s">
        <v>2621</v>
      </c>
      <c r="D199" s="97" t="s">
        <v>790</v>
      </c>
      <c r="E199" s="99" t="n">
        <v>35237</v>
      </c>
      <c r="F199" s="97" t="s">
        <v>1898</v>
      </c>
      <c r="G199" s="98" t="s">
        <v>2622</v>
      </c>
      <c r="H199" s="97" t="n">
        <v>0</v>
      </c>
      <c r="I199" s="97" t="s">
        <v>1907</v>
      </c>
      <c r="J199" s="97" t="n">
        <v>0</v>
      </c>
      <c r="K199" s="98" t="s">
        <v>2623</v>
      </c>
      <c r="L199" s="97" t="s">
        <v>1902</v>
      </c>
      <c r="M199" s="97" t="s">
        <v>25</v>
      </c>
      <c r="N199" s="97" t="s">
        <v>1903</v>
      </c>
      <c r="O199" s="97" t="s">
        <v>1904</v>
      </c>
    </row>
    <row r="200" spans="1:15">
      <c r="A200" s="101" t="n">
        <v>199</v>
      </c>
      <c r="B200" s="97" t="n">
        <v>208</v>
      </c>
      <c r="C200" s="98" t="s">
        <v>2624</v>
      </c>
      <c r="D200" s="97" t="s">
        <v>596</v>
      </c>
      <c r="E200" s="99" t="n">
        <v>31152</v>
      </c>
      <c r="F200" s="97" t="s">
        <v>1898</v>
      </c>
      <c r="G200" s="98" t="s">
        <v>2625</v>
      </c>
      <c r="H200" s="97" t="n">
        <v>0</v>
      </c>
      <c r="I200" s="97" t="s">
        <v>1900</v>
      </c>
      <c r="J200" s="97" t="n">
        <v>0</v>
      </c>
      <c r="K200" s="98" t="s">
        <v>2626</v>
      </c>
      <c r="L200" s="97" t="s">
        <v>1902</v>
      </c>
      <c r="M200" s="97" t="s">
        <v>25</v>
      </c>
      <c r="N200" s="97" t="s">
        <v>1903</v>
      </c>
      <c r="O200" s="97" t="s">
        <v>1904</v>
      </c>
    </row>
    <row r="201" spans="1:15">
      <c r="A201" s="101" t="n">
        <v>200</v>
      </c>
      <c r="B201" s="97" t="n">
        <v>219</v>
      </c>
      <c r="C201" s="98" t="s">
        <v>2627</v>
      </c>
      <c r="D201" s="97" t="s">
        <v>2628</v>
      </c>
      <c r="E201" s="99" t="n">
        <v>31723</v>
      </c>
      <c r="F201" s="97" t="s">
        <v>1898</v>
      </c>
      <c r="G201" s="98" t="s">
        <v>2629</v>
      </c>
      <c r="H201" s="97" t="n">
        <v>0</v>
      </c>
      <c r="I201" s="97" t="s">
        <v>1900</v>
      </c>
      <c r="J201" s="97" t="n">
        <v>0</v>
      </c>
      <c r="K201" s="98" t="s">
        <v>2630</v>
      </c>
      <c r="L201" s="97" t="s">
        <v>1902</v>
      </c>
      <c r="M201" s="97" t="s">
        <v>25</v>
      </c>
      <c r="N201" s="97" t="s">
        <v>1903</v>
      </c>
      <c r="O201" s="97" t="s">
        <v>1904</v>
      </c>
    </row>
    <row r="202" spans="1:15">
      <c r="A202" s="101" t="n">
        <v>201</v>
      </c>
      <c r="B202" s="97" t="n">
        <v>254</v>
      </c>
      <c r="C202" s="98" t="s">
        <v>2631</v>
      </c>
      <c r="D202" s="97" t="s">
        <v>712</v>
      </c>
      <c r="E202" s="99" t="n">
        <v>30452</v>
      </c>
      <c r="F202" s="97" t="s">
        <v>1898</v>
      </c>
      <c r="G202" s="98" t="s">
        <v>2632</v>
      </c>
      <c r="H202" s="97" t="n">
        <v>0</v>
      </c>
      <c r="I202" s="97" t="s">
        <v>1907</v>
      </c>
      <c r="J202" s="97" t="n">
        <v>0</v>
      </c>
      <c r="K202" s="98" t="s">
        <v>2633</v>
      </c>
      <c r="L202" s="97" t="s">
        <v>1902</v>
      </c>
      <c r="M202" s="97" t="s">
        <v>25</v>
      </c>
      <c r="N202" s="97" t="s">
        <v>1903</v>
      </c>
      <c r="O202" s="97" t="s">
        <v>1904</v>
      </c>
    </row>
    <row r="203" spans="1:15">
      <c r="A203" s="101" t="n">
        <v>202</v>
      </c>
      <c r="B203" s="97" t="n">
        <v>211</v>
      </c>
      <c r="C203" s="98" t="s">
        <v>2634</v>
      </c>
      <c r="D203" s="97" t="s">
        <v>2635</v>
      </c>
      <c r="E203" s="99" t="n">
        <v>31611</v>
      </c>
      <c r="F203" s="97" t="s">
        <v>1898</v>
      </c>
      <c r="G203" s="98" t="s">
        <v>2636</v>
      </c>
      <c r="H203" s="97" t="n">
        <v>0</v>
      </c>
      <c r="I203" s="97" t="s">
        <v>1900</v>
      </c>
      <c r="J203" s="97" t="n">
        <v>0</v>
      </c>
      <c r="K203" s="98" t="s">
        <v>2637</v>
      </c>
      <c r="L203" s="97" t="s">
        <v>1902</v>
      </c>
      <c r="M203" s="97" t="s">
        <v>25</v>
      </c>
      <c r="N203" s="97" t="s">
        <v>1903</v>
      </c>
      <c r="O203" s="97" t="s">
        <v>1904</v>
      </c>
    </row>
    <row r="204" spans="1:15">
      <c r="A204" s="101" t="n">
        <v>203</v>
      </c>
      <c r="B204" s="97" t="n">
        <v>268</v>
      </c>
      <c r="C204" s="98" t="s">
        <v>2638</v>
      </c>
      <c r="D204" s="97" t="s">
        <v>2639</v>
      </c>
      <c r="E204" s="99" t="n">
        <v>32625</v>
      </c>
      <c r="F204" s="97" t="s">
        <v>1898</v>
      </c>
      <c r="G204" s="98" t="s">
        <v>2640</v>
      </c>
      <c r="H204" s="97" t="n">
        <v>0</v>
      </c>
      <c r="I204" s="97" t="s">
        <v>1907</v>
      </c>
      <c r="J204" s="97" t="n">
        <v>0</v>
      </c>
      <c r="K204" s="98" t="s">
        <v>2641</v>
      </c>
      <c r="L204" s="97" t="s">
        <v>1902</v>
      </c>
      <c r="M204" s="97" t="s">
        <v>25</v>
      </c>
      <c r="N204" s="97" t="s">
        <v>1903</v>
      </c>
      <c r="O204" s="97" t="s">
        <v>1904</v>
      </c>
    </row>
    <row r="205" spans="1:15">
      <c r="A205" s="101" t="n">
        <v>204</v>
      </c>
      <c r="B205" s="97" t="n">
        <v>47</v>
      </c>
      <c r="C205" s="98" t="s">
        <v>2642</v>
      </c>
      <c r="D205" s="97" t="s">
        <v>2643</v>
      </c>
      <c r="E205" s="99" t="n">
        <v>28103</v>
      </c>
      <c r="F205" s="97" t="s">
        <v>1898</v>
      </c>
      <c r="G205" s="98" t="s">
        <v>2644</v>
      </c>
      <c r="H205" s="97" t="n">
        <v>0</v>
      </c>
      <c r="I205" s="97" t="s">
        <v>1900</v>
      </c>
      <c r="J205" s="97" t="n">
        <v>0</v>
      </c>
      <c r="K205" s="98" t="s">
        <v>2645</v>
      </c>
      <c r="L205" s="97" t="s">
        <v>1902</v>
      </c>
      <c r="M205" s="97" t="s">
        <v>25</v>
      </c>
      <c r="N205" s="97" t="s">
        <v>1903</v>
      </c>
      <c r="O205" s="97" t="s">
        <v>1904</v>
      </c>
    </row>
    <row r="206" spans="1:15">
      <c r="A206" s="101" t="n">
        <v>205</v>
      </c>
      <c r="B206" s="97" t="n">
        <v>285</v>
      </c>
      <c r="C206" s="98" t="s">
        <v>2646</v>
      </c>
      <c r="D206" s="97" t="s">
        <v>2647</v>
      </c>
      <c r="E206" s="99" t="n">
        <v>34352</v>
      </c>
      <c r="F206" s="97" t="s">
        <v>1898</v>
      </c>
      <c r="G206" s="98" t="s">
        <v>2648</v>
      </c>
      <c r="H206" s="97" t="n">
        <v>0</v>
      </c>
      <c r="I206" s="97" t="s">
        <v>1907</v>
      </c>
      <c r="J206" s="97" t="n">
        <v>0</v>
      </c>
      <c r="K206" s="98" t="s">
        <v>2649</v>
      </c>
      <c r="L206" s="97" t="s">
        <v>1902</v>
      </c>
      <c r="M206" s="97" t="s">
        <v>25</v>
      </c>
      <c r="N206" s="97" t="s">
        <v>1903</v>
      </c>
      <c r="O206" s="97" t="s">
        <v>1904</v>
      </c>
    </row>
    <row r="207" spans="1:15">
      <c r="A207" s="101" t="n">
        <v>206</v>
      </c>
      <c r="B207" s="97" t="n">
        <v>199</v>
      </c>
      <c r="C207" s="98" t="s">
        <v>2650</v>
      </c>
      <c r="D207" s="97" t="s">
        <v>2651</v>
      </c>
      <c r="E207" s="99" t="n">
        <v>30952</v>
      </c>
      <c r="F207" s="97" t="s">
        <v>1898</v>
      </c>
      <c r="G207" s="98" t="s">
        <v>2652</v>
      </c>
      <c r="H207" s="97" t="n">
        <v>0</v>
      </c>
      <c r="I207" s="97" t="s">
        <v>1900</v>
      </c>
      <c r="J207" s="97" t="n">
        <v>0</v>
      </c>
      <c r="K207" s="98" t="s">
        <v>2653</v>
      </c>
      <c r="L207" s="97" t="s">
        <v>1902</v>
      </c>
      <c r="M207" s="97" t="s">
        <v>25</v>
      </c>
      <c r="N207" s="97" t="s">
        <v>1903</v>
      </c>
      <c r="O207" s="97" t="s">
        <v>1904</v>
      </c>
    </row>
    <row r="208" spans="1:15">
      <c r="A208" s="101" t="n">
        <v>207</v>
      </c>
      <c r="B208" s="97" t="n">
        <v>94</v>
      </c>
      <c r="C208" s="98" t="s">
        <v>2654</v>
      </c>
      <c r="D208" s="97" t="s">
        <v>2655</v>
      </c>
      <c r="E208" s="99" t="n">
        <v>27945</v>
      </c>
      <c r="F208" s="97" t="s">
        <v>1898</v>
      </c>
      <c r="G208" s="98" t="s">
        <v>2656</v>
      </c>
      <c r="H208" s="97" t="n">
        <v>0</v>
      </c>
      <c r="I208" s="97" t="s">
        <v>1900</v>
      </c>
      <c r="J208" s="97" t="n">
        <v>0</v>
      </c>
      <c r="K208" s="98" t="s">
        <v>2657</v>
      </c>
      <c r="L208" s="97" t="s">
        <v>1902</v>
      </c>
      <c r="M208" s="97" t="s">
        <v>25</v>
      </c>
      <c r="N208" s="97" t="s">
        <v>1903</v>
      </c>
      <c r="O208" s="97" t="s">
        <v>1904</v>
      </c>
    </row>
    <row r="209" spans="1:15">
      <c r="A209" s="101" t="n">
        <v>208</v>
      </c>
      <c r="B209" s="97" t="n">
        <v>258</v>
      </c>
      <c r="C209" s="98" t="s">
        <v>2658</v>
      </c>
      <c r="D209" s="97" t="s">
        <v>800</v>
      </c>
      <c r="E209" s="99" t="n">
        <v>31255</v>
      </c>
      <c r="F209" s="97" t="s">
        <v>1898</v>
      </c>
      <c r="G209" s="98" t="s">
        <v>2659</v>
      </c>
      <c r="H209" s="97" t="n">
        <v>0</v>
      </c>
      <c r="I209" s="97" t="s">
        <v>1907</v>
      </c>
      <c r="J209" s="97" t="n">
        <v>0</v>
      </c>
      <c r="K209" s="98" t="s">
        <v>2660</v>
      </c>
      <c r="L209" s="97" t="s">
        <v>1902</v>
      </c>
      <c r="M209" s="97" t="s">
        <v>25</v>
      </c>
      <c r="N209" s="97" t="s">
        <v>1903</v>
      </c>
      <c r="O209" s="97" t="s">
        <v>1904</v>
      </c>
    </row>
    <row r="210" spans="1:15">
      <c r="A210" s="101" t="n">
        <v>209</v>
      </c>
      <c r="B210" s="97" t="n">
        <v>74</v>
      </c>
      <c r="C210" s="98" t="s">
        <v>2661</v>
      </c>
      <c r="D210" s="97" t="s">
        <v>2662</v>
      </c>
      <c r="E210" s="99" t="n">
        <v>28090</v>
      </c>
      <c r="F210" s="97" t="s">
        <v>1898</v>
      </c>
      <c r="G210" s="98" t="s">
        <v>2663</v>
      </c>
      <c r="H210" s="97" t="n">
        <v>0</v>
      </c>
      <c r="I210" s="97" t="s">
        <v>1900</v>
      </c>
      <c r="J210" s="97" t="n">
        <v>0</v>
      </c>
      <c r="K210" s="98" t="s">
        <v>2664</v>
      </c>
      <c r="L210" s="97" t="s">
        <v>1902</v>
      </c>
      <c r="M210" s="97" t="s">
        <v>25</v>
      </c>
      <c r="N210" s="97" t="s">
        <v>1903</v>
      </c>
      <c r="O210" s="97" t="s">
        <v>1904</v>
      </c>
    </row>
    <row r="211" spans="1:15">
      <c r="A211" s="101" t="n">
        <v>210</v>
      </c>
      <c r="B211" s="97" t="n">
        <v>183</v>
      </c>
      <c r="C211" s="98" t="s">
        <v>2665</v>
      </c>
      <c r="D211" s="97" t="s">
        <v>2666</v>
      </c>
      <c r="E211" s="99" t="n">
        <v>34802</v>
      </c>
      <c r="F211" s="97" t="s">
        <v>1898</v>
      </c>
      <c r="G211" s="98" t="s">
        <v>2667</v>
      </c>
      <c r="H211" s="97" t="n">
        <v>0</v>
      </c>
      <c r="I211" s="97" t="s">
        <v>1900</v>
      </c>
      <c r="J211" s="97" t="n">
        <v>0</v>
      </c>
      <c r="K211" s="98" t="s">
        <v>2668</v>
      </c>
      <c r="L211" s="97" t="s">
        <v>1902</v>
      </c>
      <c r="M211" s="97" t="s">
        <v>25</v>
      </c>
      <c r="N211" s="97" t="s">
        <v>1903</v>
      </c>
      <c r="O211" s="97" t="s">
        <v>1904</v>
      </c>
    </row>
    <row r="212" spans="1:15">
      <c r="A212" s="101" t="n">
        <v>211</v>
      </c>
      <c r="B212" s="97" t="n">
        <v>35</v>
      </c>
      <c r="C212" s="98" t="s">
        <v>2669</v>
      </c>
      <c r="D212" s="97" t="s">
        <v>2670</v>
      </c>
      <c r="E212" s="99" t="n">
        <v>25654</v>
      </c>
      <c r="F212" s="97" t="s">
        <v>1898</v>
      </c>
      <c r="G212" s="98" t="s">
        <v>2671</v>
      </c>
      <c r="H212" s="97" t="n">
        <v>0</v>
      </c>
      <c r="I212" s="97" t="s">
        <v>1900</v>
      </c>
      <c r="J212" s="97" t="n">
        <v>0</v>
      </c>
      <c r="K212" s="98" t="s">
        <v>2672</v>
      </c>
      <c r="L212" s="97" t="s">
        <v>1902</v>
      </c>
      <c r="M212" s="97" t="s">
        <v>25</v>
      </c>
      <c r="N212" s="97" t="s">
        <v>1903</v>
      </c>
      <c r="O212" s="97" t="s">
        <v>1904</v>
      </c>
    </row>
    <row r="213" spans="1:15">
      <c r="A213" s="101" t="n">
        <v>212</v>
      </c>
      <c r="B213" s="97" t="n">
        <v>163</v>
      </c>
      <c r="C213" s="98" t="s">
        <v>2673</v>
      </c>
      <c r="D213" s="97" t="s">
        <v>529</v>
      </c>
      <c r="E213" s="99" t="n">
        <v>28400</v>
      </c>
      <c r="F213" s="97" t="s">
        <v>1898</v>
      </c>
      <c r="G213" s="98" t="s">
        <v>2674</v>
      </c>
      <c r="H213" s="97" t="n">
        <v>0</v>
      </c>
      <c r="I213" s="97" t="s">
        <v>1900</v>
      </c>
      <c r="J213" s="97" t="n">
        <v>0</v>
      </c>
      <c r="K213" s="98" t="s">
        <v>2675</v>
      </c>
      <c r="L213" s="97" t="s">
        <v>1902</v>
      </c>
      <c r="M213" s="97" t="s">
        <v>25</v>
      </c>
      <c r="N213" s="97" t="s">
        <v>1903</v>
      </c>
      <c r="O213" s="97" t="s">
        <v>1904</v>
      </c>
    </row>
    <row r="214" spans="1:15">
      <c r="A214" s="101" t="n">
        <v>213</v>
      </c>
      <c r="B214" s="97" t="n">
        <v>132</v>
      </c>
      <c r="C214" s="98" t="s">
        <v>2676</v>
      </c>
      <c r="D214" s="97" t="s">
        <v>2677</v>
      </c>
      <c r="E214" s="99" t="n">
        <v>31511</v>
      </c>
      <c r="F214" s="97" t="s">
        <v>1898</v>
      </c>
      <c r="G214" s="98" t="s">
        <v>2678</v>
      </c>
      <c r="H214" s="97" t="n">
        <v>0</v>
      </c>
      <c r="I214" s="97" t="s">
        <v>1900</v>
      </c>
      <c r="J214" s="97" t="n">
        <v>0</v>
      </c>
      <c r="K214" s="98" t="s">
        <v>2679</v>
      </c>
      <c r="L214" s="97" t="s">
        <v>1902</v>
      </c>
      <c r="M214" s="97" t="s">
        <v>25</v>
      </c>
      <c r="N214" s="97" t="s">
        <v>1903</v>
      </c>
      <c r="O214" s="97" t="s">
        <v>1904</v>
      </c>
    </row>
    <row r="215" spans="1:15">
      <c r="A215" s="101" t="n">
        <v>214</v>
      </c>
      <c r="B215" s="97" t="n">
        <v>174</v>
      </c>
      <c r="C215" s="98" t="s">
        <v>2680</v>
      </c>
      <c r="D215" s="97" t="s">
        <v>2681</v>
      </c>
      <c r="E215" s="99" t="n">
        <v>29011</v>
      </c>
      <c r="F215" s="97" t="s">
        <v>1898</v>
      </c>
      <c r="G215" s="98" t="s">
        <v>2682</v>
      </c>
      <c r="H215" s="97" t="n">
        <v>0</v>
      </c>
      <c r="I215" s="97" t="s">
        <v>1900</v>
      </c>
      <c r="J215" s="97" t="n">
        <v>0</v>
      </c>
      <c r="K215" s="98" t="s">
        <v>2683</v>
      </c>
      <c r="L215" s="97" t="s">
        <v>1902</v>
      </c>
      <c r="M215" s="97" t="s">
        <v>25</v>
      </c>
      <c r="N215" s="97" t="s">
        <v>1903</v>
      </c>
      <c r="O215" s="97" t="s">
        <v>1904</v>
      </c>
    </row>
    <row r="216" spans="1:15">
      <c r="A216" s="101" t="n">
        <v>215</v>
      </c>
      <c r="B216" s="97" t="n">
        <v>58</v>
      </c>
      <c r="C216" s="98" t="s">
        <v>2684</v>
      </c>
      <c r="D216" s="97" t="s">
        <v>2685</v>
      </c>
      <c r="E216" s="99" t="n">
        <v>24912</v>
      </c>
      <c r="F216" s="97" t="s">
        <v>1898</v>
      </c>
      <c r="G216" s="98" t="s">
        <v>2686</v>
      </c>
      <c r="H216" s="97" t="n">
        <v>0</v>
      </c>
      <c r="I216" s="97" t="s">
        <v>1900</v>
      </c>
      <c r="J216" s="97" t="n">
        <v>0</v>
      </c>
      <c r="K216" s="98" t="s">
        <v>2687</v>
      </c>
      <c r="L216" s="97" t="s">
        <v>1902</v>
      </c>
      <c r="M216" s="97" t="s">
        <v>25</v>
      </c>
      <c r="N216" s="97" t="s">
        <v>1903</v>
      </c>
      <c r="O216" s="97" t="s">
        <v>1904</v>
      </c>
    </row>
    <row r="217" spans="1:15">
      <c r="A217" s="101" t="n">
        <v>216</v>
      </c>
      <c r="B217" s="97" t="n">
        <v>267</v>
      </c>
      <c r="C217" s="98" t="s">
        <v>2688</v>
      </c>
      <c r="D217" s="97" t="s">
        <v>2689</v>
      </c>
      <c r="E217" s="99" t="n">
        <v>32584</v>
      </c>
      <c r="F217" s="97" t="s">
        <v>1898</v>
      </c>
      <c r="G217" s="98" t="s">
        <v>2690</v>
      </c>
      <c r="H217" s="97" t="n">
        <v>0</v>
      </c>
      <c r="I217" s="97" t="s">
        <v>1907</v>
      </c>
      <c r="J217" s="97" t="n">
        <v>0</v>
      </c>
      <c r="K217" s="98" t="s">
        <v>2691</v>
      </c>
      <c r="L217" s="97" t="s">
        <v>1902</v>
      </c>
      <c r="M217" s="97" t="s">
        <v>25</v>
      </c>
      <c r="N217" s="97" t="s">
        <v>1903</v>
      </c>
      <c r="O217" s="97" t="s">
        <v>1904</v>
      </c>
    </row>
    <row r="218" spans="1:15">
      <c r="A218" s="101" t="n">
        <v>217</v>
      </c>
      <c r="B218" s="97" t="n">
        <v>233</v>
      </c>
      <c r="C218" s="98" t="s">
        <v>2692</v>
      </c>
      <c r="D218" s="97" t="s">
        <v>2693</v>
      </c>
      <c r="E218" s="99" t="n">
        <v>36314</v>
      </c>
      <c r="F218" s="97" t="s">
        <v>1898</v>
      </c>
      <c r="G218" s="98" t="s">
        <v>874</v>
      </c>
      <c r="H218" s="97" t="n">
        <v>0</v>
      </c>
      <c r="I218" s="97" t="s">
        <v>1900</v>
      </c>
      <c r="J218" s="97" t="n">
        <v>0</v>
      </c>
      <c r="K218" s="98" t="s">
        <v>2694</v>
      </c>
      <c r="L218" s="97" t="s">
        <v>1902</v>
      </c>
      <c r="M218" s="97" t="s">
        <v>25</v>
      </c>
      <c r="N218" s="97" t="s">
        <v>1903</v>
      </c>
      <c r="O218" s="97" t="s">
        <v>1904</v>
      </c>
    </row>
    <row r="219" spans="1:15">
      <c r="A219" s="101" t="n">
        <v>218</v>
      </c>
      <c r="B219" s="97" t="n">
        <v>91</v>
      </c>
      <c r="C219" s="98" t="s">
        <v>2695</v>
      </c>
      <c r="D219" s="97" t="s">
        <v>2696</v>
      </c>
      <c r="E219" s="99" t="n">
        <v>27854</v>
      </c>
      <c r="F219" s="97" t="s">
        <v>1898</v>
      </c>
      <c r="G219" s="98" t="s">
        <v>2697</v>
      </c>
      <c r="H219" s="97" t="n">
        <v>0</v>
      </c>
      <c r="I219" s="97" t="s">
        <v>1900</v>
      </c>
      <c r="J219" s="97" t="n">
        <v>0</v>
      </c>
      <c r="K219" s="98" t="s">
        <v>2698</v>
      </c>
      <c r="L219" s="97" t="s">
        <v>1902</v>
      </c>
      <c r="M219" s="97" t="s">
        <v>25</v>
      </c>
      <c r="N219" s="97" t="s">
        <v>1903</v>
      </c>
      <c r="O219" s="97" t="s">
        <v>1904</v>
      </c>
    </row>
    <row r="220" spans="1:15">
      <c r="A220" s="101" t="n">
        <v>219</v>
      </c>
      <c r="B220" s="97" t="n">
        <v>145</v>
      </c>
      <c r="C220" s="98" t="s">
        <v>2699</v>
      </c>
      <c r="D220" s="97" t="s">
        <v>2700</v>
      </c>
      <c r="E220" s="99" t="n">
        <v>31564</v>
      </c>
      <c r="F220" s="97" t="s">
        <v>1898</v>
      </c>
      <c r="G220" s="98" t="s">
        <v>2701</v>
      </c>
      <c r="H220" s="97" t="n">
        <v>0</v>
      </c>
      <c r="I220" s="97" t="s">
        <v>1900</v>
      </c>
      <c r="J220" s="97" t="n">
        <v>0</v>
      </c>
      <c r="K220" s="98" t="s">
        <v>2702</v>
      </c>
      <c r="L220" s="97" t="s">
        <v>1902</v>
      </c>
      <c r="M220" s="97" t="s">
        <v>25</v>
      </c>
      <c r="N220" s="97" t="s">
        <v>1903</v>
      </c>
      <c r="O220" s="97" t="s">
        <v>1904</v>
      </c>
    </row>
    <row r="221" spans="1:15">
      <c r="A221" s="101" t="n">
        <v>220</v>
      </c>
      <c r="B221" s="97" t="n">
        <v>71</v>
      </c>
      <c r="C221" s="98" t="s">
        <v>2703</v>
      </c>
      <c r="D221" s="97" t="s">
        <v>2704</v>
      </c>
      <c r="E221" s="99" t="n">
        <v>27112</v>
      </c>
      <c r="F221" s="97" t="s">
        <v>1898</v>
      </c>
      <c r="G221" s="98" t="s">
        <v>2705</v>
      </c>
      <c r="H221" s="97" t="n">
        <v>0</v>
      </c>
      <c r="I221" s="97" t="s">
        <v>1900</v>
      </c>
      <c r="J221" s="97" t="n">
        <v>0</v>
      </c>
      <c r="K221" s="98" t="s">
        <v>2706</v>
      </c>
      <c r="L221" s="97" t="s">
        <v>1902</v>
      </c>
      <c r="M221" s="97" t="s">
        <v>25</v>
      </c>
      <c r="N221" s="97" t="s">
        <v>1903</v>
      </c>
      <c r="O221" s="97" t="s">
        <v>1904</v>
      </c>
    </row>
    <row r="222" spans="1:15">
      <c r="A222" s="101" t="n">
        <v>221</v>
      </c>
      <c r="B222" s="97" t="n">
        <v>137</v>
      </c>
      <c r="C222" s="98" t="s">
        <v>2707</v>
      </c>
      <c r="D222" s="97" t="s">
        <v>2708</v>
      </c>
      <c r="E222" s="99" t="n">
        <v>29729</v>
      </c>
      <c r="F222" s="97" t="s">
        <v>1898</v>
      </c>
      <c r="G222" s="98" t="s">
        <v>2709</v>
      </c>
      <c r="H222" s="97" t="n">
        <v>0</v>
      </c>
      <c r="I222" s="97" t="s">
        <v>1900</v>
      </c>
      <c r="J222" s="97" t="n">
        <v>0</v>
      </c>
      <c r="K222" s="98" t="s">
        <v>2710</v>
      </c>
      <c r="L222" s="97" t="s">
        <v>1902</v>
      </c>
      <c r="M222" s="97" t="s">
        <v>25</v>
      </c>
      <c r="N222" s="97" t="s">
        <v>1903</v>
      </c>
      <c r="O222" s="97" t="s">
        <v>1904</v>
      </c>
    </row>
    <row r="223" spans="1:15">
      <c r="A223" s="101" t="n">
        <v>222</v>
      </c>
      <c r="B223" s="97" t="n">
        <v>104</v>
      </c>
      <c r="C223" s="98" t="s">
        <v>2711</v>
      </c>
      <c r="D223" s="97" t="s">
        <v>2712</v>
      </c>
      <c r="E223" s="99" t="n">
        <v>29471</v>
      </c>
      <c r="F223" s="97" t="s">
        <v>1898</v>
      </c>
      <c r="G223" s="98" t="s">
        <v>2713</v>
      </c>
      <c r="H223" s="97" t="n">
        <v>0</v>
      </c>
      <c r="I223" s="97" t="s">
        <v>1900</v>
      </c>
      <c r="J223" s="97" t="n">
        <v>0</v>
      </c>
      <c r="K223" s="98" t="s">
        <v>2714</v>
      </c>
      <c r="L223" s="97" t="s">
        <v>1902</v>
      </c>
      <c r="M223" s="97" t="s">
        <v>25</v>
      </c>
      <c r="N223" s="97" t="s">
        <v>1903</v>
      </c>
      <c r="O223" s="97" t="s">
        <v>1904</v>
      </c>
    </row>
    <row r="224" spans="1:15">
      <c r="A224" s="101" t="n">
        <v>223</v>
      </c>
      <c r="B224" s="97" t="n">
        <v>130</v>
      </c>
      <c r="C224" s="98" t="s">
        <v>2715</v>
      </c>
      <c r="D224" s="97" t="s">
        <v>2716</v>
      </c>
      <c r="E224" s="99" t="n">
        <v>31488</v>
      </c>
      <c r="F224" s="97" t="s">
        <v>1898</v>
      </c>
      <c r="G224" s="98" t="s">
        <v>2717</v>
      </c>
      <c r="H224" s="97" t="n">
        <v>0</v>
      </c>
      <c r="I224" s="97" t="s">
        <v>1900</v>
      </c>
      <c r="J224" s="97" t="n">
        <v>0</v>
      </c>
      <c r="K224" s="98" t="s">
        <v>2718</v>
      </c>
      <c r="L224" s="97" t="s">
        <v>1902</v>
      </c>
      <c r="M224" s="97" t="s">
        <v>25</v>
      </c>
      <c r="N224" s="97" t="s">
        <v>1903</v>
      </c>
      <c r="O224" s="97" t="s">
        <v>1904</v>
      </c>
    </row>
    <row r="225" spans="1:15">
      <c r="A225" s="101" t="n">
        <v>224</v>
      </c>
      <c r="B225" s="97" t="n">
        <v>216</v>
      </c>
      <c r="C225" s="98" t="s">
        <v>2719</v>
      </c>
      <c r="D225" s="97" t="s">
        <v>2720</v>
      </c>
      <c r="E225" s="99" t="n">
        <v>33336</v>
      </c>
      <c r="F225" s="97" t="s">
        <v>1898</v>
      </c>
      <c r="G225" s="98" t="s">
        <v>2721</v>
      </c>
      <c r="H225" s="97" t="n">
        <v>0</v>
      </c>
      <c r="I225" s="97" t="s">
        <v>1900</v>
      </c>
      <c r="J225" s="97" t="n">
        <v>0</v>
      </c>
      <c r="K225" s="98" t="s">
        <v>2722</v>
      </c>
      <c r="L225" s="97" t="s">
        <v>1902</v>
      </c>
      <c r="M225" s="97" t="s">
        <v>25</v>
      </c>
      <c r="N225" s="97" t="s">
        <v>1903</v>
      </c>
      <c r="O225" s="97" t="s">
        <v>1904</v>
      </c>
    </row>
    <row r="226" spans="1:15">
      <c r="A226" s="101" t="n">
        <v>225</v>
      </c>
      <c r="B226" s="97" t="n">
        <v>115</v>
      </c>
      <c r="C226" s="98" t="s">
        <v>2723</v>
      </c>
      <c r="D226" s="97" t="s">
        <v>2724</v>
      </c>
      <c r="E226" s="99" t="n">
        <v>29887</v>
      </c>
      <c r="F226" s="97" t="s">
        <v>1898</v>
      </c>
      <c r="G226" s="98" t="s">
        <v>2725</v>
      </c>
      <c r="H226" s="97" t="n">
        <v>0</v>
      </c>
      <c r="I226" s="97" t="s">
        <v>1900</v>
      </c>
      <c r="J226" s="97" t="n">
        <v>0</v>
      </c>
      <c r="K226" s="98" t="s">
        <v>2726</v>
      </c>
      <c r="L226" s="97" t="s">
        <v>1902</v>
      </c>
      <c r="M226" s="97" t="s">
        <v>25</v>
      </c>
      <c r="N226" s="97" t="s">
        <v>1903</v>
      </c>
      <c r="O226" s="97" t="s">
        <v>1904</v>
      </c>
    </row>
    <row r="227" spans="1:15">
      <c r="A227" s="101" t="n">
        <v>226</v>
      </c>
      <c r="B227" s="97" t="n">
        <v>139</v>
      </c>
      <c r="C227" s="98" t="s">
        <v>2727</v>
      </c>
      <c r="D227" s="97" t="s">
        <v>2728</v>
      </c>
      <c r="E227" s="99" t="n">
        <v>30504</v>
      </c>
      <c r="F227" s="97" t="s">
        <v>1898</v>
      </c>
      <c r="G227" s="98" t="s">
        <v>2729</v>
      </c>
      <c r="H227" s="97" t="n">
        <v>0</v>
      </c>
      <c r="I227" s="97" t="s">
        <v>1900</v>
      </c>
      <c r="J227" s="97" t="n">
        <v>0</v>
      </c>
      <c r="K227" s="98" t="s">
        <v>2730</v>
      </c>
      <c r="L227" s="97" t="s">
        <v>1902</v>
      </c>
      <c r="M227" s="97" t="s">
        <v>25</v>
      </c>
      <c r="N227" s="97" t="s">
        <v>1903</v>
      </c>
      <c r="O227" s="97" t="s">
        <v>1904</v>
      </c>
    </row>
    <row r="228" spans="1:15">
      <c r="A228" s="101" t="n">
        <v>227</v>
      </c>
      <c r="B228" s="97" t="n">
        <v>140</v>
      </c>
      <c r="C228" s="98" t="s">
        <v>2731</v>
      </c>
      <c r="D228" s="97" t="s">
        <v>552</v>
      </c>
      <c r="E228" s="99" t="n">
        <v>30793</v>
      </c>
      <c r="F228" s="97" t="s">
        <v>1898</v>
      </c>
      <c r="G228" s="98" t="s">
        <v>2732</v>
      </c>
      <c r="H228" s="97" t="n">
        <v>0</v>
      </c>
      <c r="I228" s="97" t="s">
        <v>1900</v>
      </c>
      <c r="J228" s="97" t="n">
        <v>0</v>
      </c>
      <c r="K228" s="98" t="s">
        <v>2733</v>
      </c>
      <c r="L228" s="97" t="s">
        <v>1902</v>
      </c>
      <c r="M228" s="97" t="s">
        <v>25</v>
      </c>
      <c r="N228" s="97" t="s">
        <v>1903</v>
      </c>
      <c r="O228" s="97" t="s">
        <v>1904</v>
      </c>
    </row>
    <row r="229" spans="1:15">
      <c r="A229" s="101" t="n">
        <v>228</v>
      </c>
      <c r="B229" s="97" t="n">
        <v>147</v>
      </c>
      <c r="C229" s="98" t="s">
        <v>2734</v>
      </c>
      <c r="D229" s="97" t="s">
        <v>2735</v>
      </c>
      <c r="E229" s="99" t="n">
        <v>31878</v>
      </c>
      <c r="F229" s="97" t="s">
        <v>1898</v>
      </c>
      <c r="G229" s="98" t="s">
        <v>2736</v>
      </c>
      <c r="H229" s="97" t="n">
        <v>0</v>
      </c>
      <c r="I229" s="97" t="s">
        <v>1900</v>
      </c>
      <c r="J229" s="97" t="n">
        <v>0</v>
      </c>
      <c r="K229" s="98" t="s">
        <v>2737</v>
      </c>
      <c r="L229" s="97" t="s">
        <v>1902</v>
      </c>
      <c r="M229" s="97" t="s">
        <v>25</v>
      </c>
      <c r="N229" s="97" t="s">
        <v>1903</v>
      </c>
      <c r="O229" s="97" t="s">
        <v>1904</v>
      </c>
    </row>
    <row r="230" spans="1:15">
      <c r="A230" s="101" t="n">
        <v>229</v>
      </c>
      <c r="B230" s="97" t="n">
        <v>212</v>
      </c>
      <c r="C230" s="98" t="s">
        <v>2738</v>
      </c>
      <c r="D230" s="97" t="s">
        <v>2739</v>
      </c>
      <c r="E230" s="99" t="n">
        <v>31617</v>
      </c>
      <c r="F230" s="97" t="s">
        <v>1898</v>
      </c>
      <c r="G230" s="98" t="s">
        <v>2740</v>
      </c>
      <c r="H230" s="97" t="n">
        <v>0</v>
      </c>
      <c r="I230" s="97" t="s">
        <v>1900</v>
      </c>
      <c r="J230" s="97" t="n">
        <v>0</v>
      </c>
      <c r="K230" s="98" t="s">
        <v>2741</v>
      </c>
      <c r="L230" s="97" t="s">
        <v>1902</v>
      </c>
      <c r="M230" s="97" t="s">
        <v>25</v>
      </c>
      <c r="N230" s="97" t="s">
        <v>1903</v>
      </c>
      <c r="O230" s="97" t="s">
        <v>1904</v>
      </c>
    </row>
    <row r="231" spans="1:15">
      <c r="A231" s="101" t="n">
        <v>230</v>
      </c>
      <c r="B231" s="97" t="n">
        <v>232</v>
      </c>
      <c r="C231" s="98" t="s">
        <v>2742</v>
      </c>
      <c r="D231" s="97" t="s">
        <v>2743</v>
      </c>
      <c r="E231" s="99" t="n">
        <v>33741</v>
      </c>
      <c r="F231" s="97" t="s">
        <v>1898</v>
      </c>
      <c r="G231" s="98" t="s">
        <v>2744</v>
      </c>
      <c r="H231" s="97" t="n">
        <v>0</v>
      </c>
      <c r="I231" s="97" t="s">
        <v>1900</v>
      </c>
      <c r="J231" s="97" t="n">
        <v>0</v>
      </c>
      <c r="K231" s="98" t="s">
        <v>2745</v>
      </c>
      <c r="L231" s="97" t="s">
        <v>1902</v>
      </c>
      <c r="M231" s="97" t="s">
        <v>25</v>
      </c>
      <c r="N231" s="97" t="s">
        <v>1903</v>
      </c>
      <c r="O231" s="97" t="s">
        <v>1904</v>
      </c>
    </row>
    <row r="232" spans="1:15">
      <c r="A232" s="101" t="n">
        <v>231</v>
      </c>
      <c r="B232" s="97" t="n">
        <v>281</v>
      </c>
      <c r="C232" s="98" t="s">
        <v>2746</v>
      </c>
      <c r="D232" s="97" t="s">
        <v>2747</v>
      </c>
      <c r="E232" s="99" t="n">
        <v>34001</v>
      </c>
      <c r="F232" s="97" t="s">
        <v>1898</v>
      </c>
      <c r="G232" s="98" t="s">
        <v>2748</v>
      </c>
      <c r="H232" s="97" t="n">
        <v>0</v>
      </c>
      <c r="I232" s="97" t="s">
        <v>1907</v>
      </c>
      <c r="J232" s="97" t="n">
        <v>0</v>
      </c>
      <c r="K232" s="98" t="s">
        <v>2749</v>
      </c>
      <c r="L232" s="97" t="s">
        <v>1902</v>
      </c>
      <c r="M232" s="97" t="s">
        <v>25</v>
      </c>
      <c r="N232" s="97" t="s">
        <v>1903</v>
      </c>
      <c r="O232" s="97" t="s">
        <v>1904</v>
      </c>
    </row>
    <row r="233" spans="1:15">
      <c r="A233" s="101" t="n">
        <v>232</v>
      </c>
      <c r="B233" s="97" t="n">
        <v>218</v>
      </c>
      <c r="C233" s="98" t="s">
        <v>2750</v>
      </c>
      <c r="D233" s="97" t="s">
        <v>2751</v>
      </c>
      <c r="E233" s="99" t="n">
        <v>31562</v>
      </c>
      <c r="F233" s="97" t="s">
        <v>1898</v>
      </c>
      <c r="G233" s="98" t="s">
        <v>2752</v>
      </c>
      <c r="H233" s="97" t="n">
        <v>0</v>
      </c>
      <c r="I233" s="97" t="s">
        <v>1900</v>
      </c>
      <c r="J233" s="97" t="n">
        <v>0</v>
      </c>
      <c r="K233" s="98" t="s">
        <v>2753</v>
      </c>
      <c r="L233" s="97" t="s">
        <v>1902</v>
      </c>
      <c r="M233" s="97" t="s">
        <v>25</v>
      </c>
      <c r="N233" s="97" t="s">
        <v>1903</v>
      </c>
      <c r="O233" s="97" t="s">
        <v>1904</v>
      </c>
    </row>
    <row r="234" spans="1:15">
      <c r="A234" s="101" t="n">
        <v>233</v>
      </c>
      <c r="B234" s="97" t="n">
        <v>59</v>
      </c>
      <c r="C234" s="98" t="s">
        <v>2754</v>
      </c>
      <c r="D234" s="97" t="s">
        <v>140</v>
      </c>
      <c r="E234" s="99" t="n">
        <v>25646</v>
      </c>
      <c r="F234" s="97" t="s">
        <v>1898</v>
      </c>
      <c r="G234" s="98" t="s">
        <v>2755</v>
      </c>
      <c r="H234" s="97" t="n">
        <v>0</v>
      </c>
      <c r="I234" s="97" t="s">
        <v>1900</v>
      </c>
      <c r="J234" s="97" t="n">
        <v>0</v>
      </c>
      <c r="K234" s="98" t="s">
        <v>2756</v>
      </c>
      <c r="L234" s="97" t="s">
        <v>1902</v>
      </c>
      <c r="M234" s="97" t="s">
        <v>25</v>
      </c>
      <c r="N234" s="97" t="s">
        <v>1903</v>
      </c>
      <c r="O234" s="97" t="s">
        <v>1904</v>
      </c>
    </row>
    <row r="235" spans="1:15">
      <c r="A235" s="101" t="n">
        <v>234</v>
      </c>
      <c r="B235" s="97" t="n">
        <v>287</v>
      </c>
      <c r="C235" s="98" t="s">
        <v>2757</v>
      </c>
      <c r="D235" s="97" t="s">
        <v>2758</v>
      </c>
      <c r="E235" s="99" t="n">
        <v>34924</v>
      </c>
      <c r="F235" s="97" t="s">
        <v>1898</v>
      </c>
      <c r="G235" s="98" t="s">
        <v>2759</v>
      </c>
      <c r="H235" s="97" t="n">
        <v>0</v>
      </c>
      <c r="I235" s="97" t="s">
        <v>1907</v>
      </c>
      <c r="J235" s="97" t="n">
        <v>0</v>
      </c>
      <c r="K235" s="98" t="s">
        <v>2760</v>
      </c>
      <c r="L235" s="97" t="s">
        <v>1902</v>
      </c>
      <c r="M235" s="97" t="s">
        <v>25</v>
      </c>
      <c r="N235" s="97" t="s">
        <v>1903</v>
      </c>
      <c r="O235" s="97" t="s">
        <v>1904</v>
      </c>
    </row>
    <row r="236" spans="1:15">
      <c r="A236" s="101" t="n">
        <v>235</v>
      </c>
      <c r="B236" s="97" t="n">
        <v>37</v>
      </c>
      <c r="C236" s="98" t="s">
        <v>2761</v>
      </c>
      <c r="D236" s="97" t="s">
        <v>2762</v>
      </c>
      <c r="E236" s="99" t="n">
        <v>28720</v>
      </c>
      <c r="F236" s="97" t="s">
        <v>1898</v>
      </c>
      <c r="G236" s="98" t="s">
        <v>2763</v>
      </c>
      <c r="H236" s="97" t="n">
        <v>0</v>
      </c>
      <c r="I236" s="97" t="s">
        <v>1900</v>
      </c>
      <c r="J236" s="97" t="n">
        <v>0</v>
      </c>
      <c r="K236" s="98" t="s">
        <v>2764</v>
      </c>
      <c r="L236" s="97" t="s">
        <v>1902</v>
      </c>
      <c r="M236" s="97" t="s">
        <v>25</v>
      </c>
      <c r="N236" s="97" t="s">
        <v>1903</v>
      </c>
      <c r="O236" s="97" t="s">
        <v>1904</v>
      </c>
    </row>
    <row r="237" spans="1:15">
      <c r="A237" s="101" t="n">
        <v>236</v>
      </c>
      <c r="B237" s="97" t="n">
        <v>176</v>
      </c>
      <c r="C237" s="98" t="s">
        <v>2765</v>
      </c>
      <c r="D237" s="97" t="s">
        <v>2766</v>
      </c>
      <c r="E237" s="99" t="n">
        <v>31018</v>
      </c>
      <c r="F237" s="97" t="s">
        <v>1898</v>
      </c>
      <c r="G237" s="98" t="s">
        <v>2767</v>
      </c>
      <c r="H237" s="97" t="n">
        <v>0</v>
      </c>
      <c r="I237" s="97" t="s">
        <v>1900</v>
      </c>
      <c r="J237" s="97" t="n">
        <v>0</v>
      </c>
      <c r="K237" s="98" t="s">
        <v>2768</v>
      </c>
      <c r="L237" s="97" t="s">
        <v>1902</v>
      </c>
      <c r="M237" s="97" t="s">
        <v>25</v>
      </c>
      <c r="N237" s="97" t="s">
        <v>1903</v>
      </c>
      <c r="O237" s="97" t="s">
        <v>1904</v>
      </c>
    </row>
    <row r="238" spans="1:15">
      <c r="A238" s="101" t="n">
        <v>237</v>
      </c>
      <c r="B238" s="97" t="n">
        <v>120</v>
      </c>
      <c r="C238" s="98" t="s">
        <v>2769</v>
      </c>
      <c r="D238" s="97" t="s">
        <v>2770</v>
      </c>
      <c r="E238" s="99" t="n">
        <v>30231</v>
      </c>
      <c r="F238" s="97" t="s">
        <v>1898</v>
      </c>
      <c r="G238" s="98" t="s">
        <v>2771</v>
      </c>
      <c r="H238" s="97" t="n">
        <v>0</v>
      </c>
      <c r="I238" s="97" t="s">
        <v>1900</v>
      </c>
      <c r="J238" s="97" t="n">
        <v>0</v>
      </c>
      <c r="K238" s="98" t="s">
        <v>2772</v>
      </c>
      <c r="L238" s="97" t="s">
        <v>1902</v>
      </c>
      <c r="M238" s="97" t="s">
        <v>25</v>
      </c>
      <c r="N238" s="97" t="s">
        <v>1903</v>
      </c>
      <c r="O238" s="97" t="s">
        <v>1904</v>
      </c>
    </row>
    <row r="239" spans="1:15">
      <c r="A239" s="101" t="n">
        <v>238</v>
      </c>
      <c r="B239" s="97" t="n">
        <v>231</v>
      </c>
      <c r="C239" s="98" t="s">
        <v>2773</v>
      </c>
      <c r="D239" s="97" t="s">
        <v>2774</v>
      </c>
      <c r="E239" s="99" t="n">
        <v>30008</v>
      </c>
      <c r="F239" s="97" t="s">
        <v>1898</v>
      </c>
      <c r="G239" s="98" t="s">
        <v>2775</v>
      </c>
      <c r="H239" s="97" t="n">
        <v>0</v>
      </c>
      <c r="I239" s="97" t="s">
        <v>1900</v>
      </c>
      <c r="J239" s="97" t="n">
        <v>0</v>
      </c>
      <c r="K239" s="98" t="s">
        <v>2776</v>
      </c>
      <c r="L239" s="97" t="s">
        <v>1902</v>
      </c>
      <c r="M239" s="97" t="s">
        <v>25</v>
      </c>
      <c r="N239" s="97" t="s">
        <v>1903</v>
      </c>
      <c r="O239" s="97" t="s">
        <v>1904</v>
      </c>
    </row>
    <row r="240" spans="1:15">
      <c r="A240" s="101" t="n">
        <v>239</v>
      </c>
      <c r="B240" s="97" t="n">
        <v>230</v>
      </c>
      <c r="C240" s="98" t="s">
        <v>2777</v>
      </c>
      <c r="D240" s="97" t="s">
        <v>2778</v>
      </c>
      <c r="E240" s="99" t="n">
        <v>29863</v>
      </c>
      <c r="F240" s="97" t="s">
        <v>1898</v>
      </c>
      <c r="G240" s="98" t="s">
        <v>2779</v>
      </c>
      <c r="H240" s="97" t="n">
        <v>0</v>
      </c>
      <c r="I240" s="97" t="s">
        <v>1900</v>
      </c>
      <c r="J240" s="97" t="n">
        <v>0</v>
      </c>
      <c r="K240" s="98" t="s">
        <v>2780</v>
      </c>
      <c r="L240" s="97" t="s">
        <v>1902</v>
      </c>
      <c r="M240" s="97" t="s">
        <v>25</v>
      </c>
      <c r="N240" s="97" t="s">
        <v>1903</v>
      </c>
      <c r="O240" s="97" t="s">
        <v>1904</v>
      </c>
    </row>
    <row r="241" spans="1:15">
      <c r="A241" s="101" t="n">
        <v>240</v>
      </c>
      <c r="B241" s="97" t="n">
        <v>28</v>
      </c>
      <c r="C241" s="98" t="s">
        <v>2781</v>
      </c>
      <c r="D241" s="97" t="s">
        <v>2782</v>
      </c>
      <c r="E241" s="99" t="n">
        <v>24723</v>
      </c>
      <c r="F241" s="97" t="s">
        <v>1898</v>
      </c>
      <c r="G241" s="98" t="s">
        <v>2783</v>
      </c>
      <c r="H241" s="97" t="n">
        <v>0</v>
      </c>
      <c r="I241" s="97" t="s">
        <v>1957</v>
      </c>
      <c r="J241" s="97" t="n">
        <v>0</v>
      </c>
      <c r="K241" s="98" t="s">
        <v>2784</v>
      </c>
      <c r="L241" s="97" t="s">
        <v>1902</v>
      </c>
      <c r="M241" s="97" t="s">
        <v>25</v>
      </c>
      <c r="N241" s="97" t="s">
        <v>1903</v>
      </c>
      <c r="O241" s="97" t="s">
        <v>1904</v>
      </c>
    </row>
    <row r="242" spans="1:15">
      <c r="A242" s="101" t="n">
        <v>241</v>
      </c>
      <c r="B242" s="97" t="n">
        <v>114</v>
      </c>
      <c r="C242" s="98" t="s">
        <v>2785</v>
      </c>
      <c r="D242" s="97" t="s">
        <v>2786</v>
      </c>
      <c r="E242" s="99" t="n">
        <v>29882</v>
      </c>
      <c r="F242" s="97" t="s">
        <v>1898</v>
      </c>
      <c r="G242" s="98" t="s">
        <v>2787</v>
      </c>
      <c r="H242" s="97" t="n">
        <v>0</v>
      </c>
      <c r="I242" s="97" t="s">
        <v>1900</v>
      </c>
      <c r="J242" s="97" t="n">
        <v>0</v>
      </c>
      <c r="K242" s="98" t="s">
        <v>2788</v>
      </c>
      <c r="L242" s="97" t="s">
        <v>1902</v>
      </c>
      <c r="M242" s="97" t="s">
        <v>25</v>
      </c>
      <c r="N242" s="97" t="s">
        <v>1903</v>
      </c>
      <c r="O242" s="97" t="s">
        <v>1904</v>
      </c>
    </row>
    <row r="243" spans="1:15">
      <c r="A243" s="101" t="n">
        <v>242</v>
      </c>
      <c r="B243" s="97" t="n">
        <v>83</v>
      </c>
      <c r="C243" s="98" t="s">
        <v>2789</v>
      </c>
      <c r="D243" s="97" t="s">
        <v>272</v>
      </c>
      <c r="E243" s="99" t="n">
        <v>29555</v>
      </c>
      <c r="F243" s="97" t="s">
        <v>1898</v>
      </c>
      <c r="G243" s="98" t="s">
        <v>2790</v>
      </c>
      <c r="H243" s="97" t="n">
        <v>0</v>
      </c>
      <c r="I243" s="97" t="s">
        <v>1900</v>
      </c>
      <c r="J243" s="97" t="n">
        <v>0</v>
      </c>
      <c r="K243" s="98" t="s">
        <v>2791</v>
      </c>
      <c r="L243" s="97" t="s">
        <v>1902</v>
      </c>
      <c r="M243" s="97" t="s">
        <v>25</v>
      </c>
      <c r="N243" s="97" t="s">
        <v>1903</v>
      </c>
      <c r="O243" s="97" t="s">
        <v>1904</v>
      </c>
    </row>
    <row r="244" spans="1:15">
      <c r="A244" s="101" t="n">
        <v>243</v>
      </c>
      <c r="B244" s="97" t="n">
        <v>61</v>
      </c>
      <c r="C244" s="98" t="s">
        <v>2792</v>
      </c>
      <c r="D244" s="97" t="s">
        <v>2793</v>
      </c>
      <c r="E244" s="99" t="n">
        <v>25441</v>
      </c>
      <c r="F244" s="97" t="s">
        <v>1898</v>
      </c>
      <c r="G244" s="98" t="s">
        <v>2794</v>
      </c>
      <c r="H244" s="97" t="n">
        <v>0</v>
      </c>
      <c r="I244" s="97" t="s">
        <v>1900</v>
      </c>
      <c r="J244" s="97" t="n">
        <v>0</v>
      </c>
      <c r="K244" s="98" t="s">
        <v>2795</v>
      </c>
      <c r="L244" s="97" t="s">
        <v>1902</v>
      </c>
      <c r="M244" s="97" t="s">
        <v>25</v>
      </c>
      <c r="N244" s="97" t="s">
        <v>1903</v>
      </c>
      <c r="O244" s="97" t="s">
        <v>1904</v>
      </c>
    </row>
    <row r="245" spans="1:15">
      <c r="A245" s="101" t="n">
        <v>244</v>
      </c>
      <c r="B245" s="97" t="n">
        <v>184</v>
      </c>
      <c r="C245" s="98" t="s">
        <v>2796</v>
      </c>
      <c r="D245" s="97" t="s">
        <v>2797</v>
      </c>
      <c r="E245" s="99" t="n">
        <v>34884</v>
      </c>
      <c r="F245" s="97" t="s">
        <v>1898</v>
      </c>
      <c r="G245" s="98" t="s">
        <v>2798</v>
      </c>
      <c r="H245" s="97" t="n">
        <v>0</v>
      </c>
      <c r="I245" s="97" t="s">
        <v>1900</v>
      </c>
      <c r="J245" s="97" t="n">
        <v>0</v>
      </c>
      <c r="K245" s="98" t="s">
        <v>2799</v>
      </c>
      <c r="L245" s="97" t="s">
        <v>1902</v>
      </c>
      <c r="M245" s="97" t="s">
        <v>25</v>
      </c>
      <c r="N245" s="97" t="s">
        <v>1903</v>
      </c>
      <c r="O245" s="97" t="s">
        <v>1904</v>
      </c>
    </row>
    <row r="246" spans="1:15">
      <c r="A246" s="101" t="n">
        <v>245</v>
      </c>
      <c r="B246" s="97" t="n">
        <v>20</v>
      </c>
      <c r="C246" s="98" t="s">
        <v>2800</v>
      </c>
      <c r="D246" s="97" t="s">
        <v>2801</v>
      </c>
      <c r="E246" s="99" t="n">
        <v>28507</v>
      </c>
      <c r="F246" s="97" t="s">
        <v>1898</v>
      </c>
      <c r="G246" s="98" t="s">
        <v>2802</v>
      </c>
      <c r="H246" s="97" t="n">
        <v>0</v>
      </c>
      <c r="I246" s="97" t="s">
        <v>1957</v>
      </c>
      <c r="J246" s="97" t="n">
        <v>0</v>
      </c>
      <c r="K246" s="98" t="s">
        <v>2803</v>
      </c>
      <c r="L246" s="97" t="s">
        <v>1902</v>
      </c>
      <c r="M246" s="97" t="s">
        <v>25</v>
      </c>
      <c r="N246" s="97" t="s">
        <v>1903</v>
      </c>
      <c r="O246" s="97" t="s">
        <v>1904</v>
      </c>
    </row>
    <row r="247" spans="1:15">
      <c r="A247" s="101" t="n">
        <v>246</v>
      </c>
      <c r="B247" s="97" t="n">
        <v>248</v>
      </c>
      <c r="C247" s="98" t="s">
        <v>2804</v>
      </c>
      <c r="D247" s="97" t="s">
        <v>718</v>
      </c>
      <c r="E247" s="99" t="n">
        <v>26724</v>
      </c>
      <c r="F247" s="97" t="s">
        <v>1898</v>
      </c>
      <c r="G247" s="98" t="s">
        <v>2805</v>
      </c>
      <c r="H247" s="97" t="n">
        <v>0</v>
      </c>
      <c r="I247" s="97" t="s">
        <v>1907</v>
      </c>
      <c r="J247" s="97" t="n">
        <v>0</v>
      </c>
      <c r="K247" s="98" t="s">
        <v>2806</v>
      </c>
      <c r="L247" s="97" t="s">
        <v>1902</v>
      </c>
      <c r="M247" s="97" t="s">
        <v>25</v>
      </c>
      <c r="N247" s="97" t="s">
        <v>1903</v>
      </c>
      <c r="O247" s="97" t="s">
        <v>1904</v>
      </c>
    </row>
    <row r="248" spans="1:15">
      <c r="A248" s="101" t="n">
        <v>247</v>
      </c>
      <c r="B248" s="97" t="n">
        <v>133</v>
      </c>
      <c r="C248" s="98" t="s">
        <v>2807</v>
      </c>
      <c r="D248" s="97" t="s">
        <v>445</v>
      </c>
      <c r="E248" s="99" t="n">
        <v>31567</v>
      </c>
      <c r="F248" s="97" t="s">
        <v>1898</v>
      </c>
      <c r="G248" s="98" t="s">
        <v>2808</v>
      </c>
      <c r="H248" s="97" t="n">
        <v>0</v>
      </c>
      <c r="I248" s="97" t="s">
        <v>1900</v>
      </c>
      <c r="J248" s="97" t="n">
        <v>0</v>
      </c>
      <c r="K248" s="98" t="s">
        <v>2809</v>
      </c>
      <c r="L248" s="97" t="s">
        <v>1902</v>
      </c>
      <c r="M248" s="97" t="s">
        <v>25</v>
      </c>
      <c r="N248" s="97" t="s">
        <v>1903</v>
      </c>
      <c r="O248" s="97" t="s">
        <v>1904</v>
      </c>
    </row>
    <row r="249" spans="1:15">
      <c r="A249" s="101" t="n">
        <v>248</v>
      </c>
      <c r="B249" s="97" t="n">
        <v>52</v>
      </c>
      <c r="C249" s="98" t="s">
        <v>2810</v>
      </c>
      <c r="D249" s="97" t="s">
        <v>2811</v>
      </c>
      <c r="E249" s="99" t="n">
        <v>30651</v>
      </c>
      <c r="F249" s="97" t="s">
        <v>1898</v>
      </c>
      <c r="G249" s="98" t="s">
        <v>2812</v>
      </c>
      <c r="H249" s="97" t="n">
        <v>0</v>
      </c>
      <c r="I249" s="97" t="s">
        <v>1900</v>
      </c>
      <c r="J249" s="97" t="n">
        <v>0</v>
      </c>
      <c r="K249" s="98" t="s">
        <v>2813</v>
      </c>
      <c r="L249" s="97" t="s">
        <v>1902</v>
      </c>
      <c r="M249" s="97" t="s">
        <v>25</v>
      </c>
      <c r="N249" s="97" t="s">
        <v>1903</v>
      </c>
      <c r="O249" s="97" t="s">
        <v>1904</v>
      </c>
    </row>
    <row r="250" spans="1:15">
      <c r="A250" s="101" t="n">
        <v>249</v>
      </c>
      <c r="B250" s="97" t="n">
        <v>158</v>
      </c>
      <c r="C250" s="98" t="s">
        <v>2814</v>
      </c>
      <c r="D250" s="97" t="s">
        <v>434</v>
      </c>
      <c r="E250" s="99" t="n">
        <v>26433</v>
      </c>
      <c r="F250" s="97" t="s">
        <v>1898</v>
      </c>
      <c r="G250" s="98" t="s">
        <v>2815</v>
      </c>
      <c r="H250" s="97" t="n">
        <v>0</v>
      </c>
      <c r="I250" s="97" t="s">
        <v>1900</v>
      </c>
      <c r="J250" s="97" t="n">
        <v>0</v>
      </c>
      <c r="K250" s="98" t="s">
        <v>2813</v>
      </c>
      <c r="L250" s="97" t="s">
        <v>1902</v>
      </c>
      <c r="M250" s="97" t="s">
        <v>25</v>
      </c>
      <c r="N250" s="97" t="s">
        <v>1903</v>
      </c>
      <c r="O250" s="97" t="s">
        <v>1904</v>
      </c>
    </row>
    <row r="251" spans="1:15">
      <c r="A251" s="101" t="n">
        <v>250</v>
      </c>
      <c r="B251" s="97" t="n">
        <v>79</v>
      </c>
      <c r="C251" s="98" t="s">
        <v>2816</v>
      </c>
      <c r="D251" s="97" t="s">
        <v>2817</v>
      </c>
      <c r="E251" s="99" t="n">
        <v>28202</v>
      </c>
      <c r="F251" s="97" t="s">
        <v>1898</v>
      </c>
      <c r="G251" s="98" t="s">
        <v>2818</v>
      </c>
      <c r="H251" s="97" t="n">
        <v>0</v>
      </c>
      <c r="I251" s="97" t="s">
        <v>1900</v>
      </c>
      <c r="J251" s="97" t="n">
        <v>0</v>
      </c>
      <c r="K251" s="98" t="s">
        <v>2819</v>
      </c>
      <c r="L251" s="97" t="s">
        <v>1902</v>
      </c>
      <c r="M251" s="97" t="s">
        <v>25</v>
      </c>
      <c r="N251" s="97" t="s">
        <v>1903</v>
      </c>
      <c r="O251" s="97" t="s">
        <v>1904</v>
      </c>
    </row>
    <row r="252" spans="1:15">
      <c r="A252" s="101" t="n">
        <v>251</v>
      </c>
      <c r="B252" s="97" t="n">
        <v>108</v>
      </c>
      <c r="C252" s="98" t="s">
        <v>2820</v>
      </c>
      <c r="D252" s="97" t="s">
        <v>2821</v>
      </c>
      <c r="E252" s="99" t="n">
        <v>28923</v>
      </c>
      <c r="F252" s="97" t="s">
        <v>1898</v>
      </c>
      <c r="G252" s="98" t="s">
        <v>2822</v>
      </c>
      <c r="H252" s="97" t="n">
        <v>0</v>
      </c>
      <c r="I252" s="97" t="s">
        <v>1900</v>
      </c>
      <c r="J252" s="97" t="n">
        <v>0</v>
      </c>
      <c r="K252" s="98" t="s">
        <v>2823</v>
      </c>
      <c r="L252" s="97" t="s">
        <v>1902</v>
      </c>
      <c r="M252" s="97" t="s">
        <v>25</v>
      </c>
      <c r="N252" s="97" t="s">
        <v>1903</v>
      </c>
      <c r="O252" s="97" t="s">
        <v>1904</v>
      </c>
    </row>
    <row r="253" spans="1:15">
      <c r="A253" s="101" t="n">
        <v>252</v>
      </c>
      <c r="B253" s="97" t="n">
        <v>206</v>
      </c>
      <c r="C253" s="98" t="s">
        <v>2824</v>
      </c>
      <c r="D253" s="97" t="s">
        <v>539</v>
      </c>
      <c r="E253" s="99" t="n">
        <v>30525</v>
      </c>
      <c r="F253" s="97" t="s">
        <v>1898</v>
      </c>
      <c r="G253" s="98" t="s">
        <v>2825</v>
      </c>
      <c r="H253" s="97" t="n">
        <v>0</v>
      </c>
      <c r="I253" s="97" t="s">
        <v>1900</v>
      </c>
      <c r="J253" s="97" t="n">
        <v>0</v>
      </c>
      <c r="K253" s="98" t="s">
        <v>2826</v>
      </c>
      <c r="L253" s="97" t="s">
        <v>1902</v>
      </c>
      <c r="M253" s="97" t="s">
        <v>25</v>
      </c>
      <c r="N253" s="97" t="s">
        <v>1903</v>
      </c>
      <c r="O253" s="97" t="s">
        <v>1904</v>
      </c>
    </row>
    <row r="254" spans="1:15">
      <c r="A254" s="101" t="n">
        <v>253</v>
      </c>
      <c r="B254" s="97" t="n">
        <v>251</v>
      </c>
      <c r="C254" s="98" t="s">
        <v>2827</v>
      </c>
      <c r="D254" s="97" t="s">
        <v>704</v>
      </c>
      <c r="E254" s="99" t="n">
        <v>29980</v>
      </c>
      <c r="F254" s="97" t="s">
        <v>1898</v>
      </c>
      <c r="G254" s="98" t="s">
        <v>2828</v>
      </c>
      <c r="H254" s="97" t="n">
        <v>0</v>
      </c>
      <c r="I254" s="97" t="s">
        <v>1907</v>
      </c>
      <c r="J254" s="97" t="n">
        <v>0</v>
      </c>
      <c r="K254" s="98" t="s">
        <v>2829</v>
      </c>
      <c r="L254" s="97" t="s">
        <v>1902</v>
      </c>
      <c r="M254" s="97" t="s">
        <v>25</v>
      </c>
      <c r="N254" s="97" t="s">
        <v>1903</v>
      </c>
      <c r="O254" s="97" t="s">
        <v>1904</v>
      </c>
    </row>
    <row r="255" spans="1:15">
      <c r="A255" s="101" t="n">
        <v>254</v>
      </c>
      <c r="B255" s="97" t="n">
        <v>26</v>
      </c>
      <c r="C255" s="98" t="s">
        <v>2830</v>
      </c>
      <c r="D255" s="97" t="s">
        <v>50</v>
      </c>
      <c r="E255" s="99" t="n">
        <v>25184</v>
      </c>
      <c r="F255" s="97" t="s">
        <v>1898</v>
      </c>
      <c r="G255" s="98" t="s">
        <v>2831</v>
      </c>
      <c r="H255" s="97" t="n">
        <v>0</v>
      </c>
      <c r="I255" s="97" t="s">
        <v>1957</v>
      </c>
      <c r="J255" s="97" t="n">
        <v>0</v>
      </c>
      <c r="K255" s="98" t="s">
        <v>2832</v>
      </c>
      <c r="L255" s="97" t="s">
        <v>1902</v>
      </c>
      <c r="M255" s="97" t="s">
        <v>25</v>
      </c>
      <c r="N255" s="97" t="s">
        <v>1903</v>
      </c>
      <c r="O255" s="97" t="s">
        <v>1904</v>
      </c>
    </row>
    <row r="256" spans="1:15">
      <c r="A256" s="101" t="n">
        <v>255</v>
      </c>
      <c r="B256" s="97" t="n">
        <v>244</v>
      </c>
      <c r="C256" s="98" t="s">
        <v>2833</v>
      </c>
      <c r="D256" s="97" t="s">
        <v>706</v>
      </c>
      <c r="E256" s="99" t="n">
        <v>30076</v>
      </c>
      <c r="F256" s="97" t="s">
        <v>1898</v>
      </c>
      <c r="G256" s="98" t="s">
        <v>2834</v>
      </c>
      <c r="H256" s="97" t="n">
        <v>0</v>
      </c>
      <c r="I256" s="97" t="s">
        <v>1907</v>
      </c>
      <c r="J256" s="97" t="n">
        <v>0</v>
      </c>
      <c r="K256" s="98" t="s">
        <v>2835</v>
      </c>
      <c r="L256" s="97" t="s">
        <v>1902</v>
      </c>
      <c r="M256" s="97" t="s">
        <v>25</v>
      </c>
      <c r="N256" s="97" t="s">
        <v>1903</v>
      </c>
      <c r="O256" s="97" t="s">
        <v>1904</v>
      </c>
    </row>
    <row r="257" spans="1:15">
      <c r="A257" s="101" t="n">
        <v>256</v>
      </c>
      <c r="B257" s="97" t="n">
        <v>155</v>
      </c>
      <c r="C257" s="98" t="s">
        <v>2836</v>
      </c>
      <c r="D257" s="97" t="s">
        <v>2837</v>
      </c>
      <c r="E257" s="99" t="n">
        <v>28714</v>
      </c>
      <c r="F257" s="97" t="s">
        <v>1898</v>
      </c>
      <c r="G257" s="98" t="s">
        <v>2838</v>
      </c>
      <c r="H257" s="97" t="n">
        <v>0</v>
      </c>
      <c r="I257" s="97" t="s">
        <v>1900</v>
      </c>
      <c r="J257" s="97" t="n">
        <v>0</v>
      </c>
      <c r="K257" s="98" t="s">
        <v>2839</v>
      </c>
      <c r="L257" s="97" t="s">
        <v>1902</v>
      </c>
      <c r="M257" s="97" t="s">
        <v>25</v>
      </c>
      <c r="N257" s="97" t="s">
        <v>1903</v>
      </c>
      <c r="O257" s="97" t="s">
        <v>1904</v>
      </c>
    </row>
    <row r="258" spans="1:15">
      <c r="A258" s="101" t="n">
        <v>257</v>
      </c>
      <c r="B258" s="97" t="n">
        <v>138</v>
      </c>
      <c r="C258" s="98" t="s">
        <v>2840</v>
      </c>
      <c r="D258" s="97" t="s">
        <v>2841</v>
      </c>
      <c r="E258" s="99" t="n">
        <v>30263</v>
      </c>
      <c r="F258" s="97" t="s">
        <v>1898</v>
      </c>
      <c r="G258" s="98" t="s">
        <v>2842</v>
      </c>
      <c r="H258" s="97" t="n">
        <v>0</v>
      </c>
      <c r="I258" s="97" t="s">
        <v>1900</v>
      </c>
      <c r="J258" s="97" t="n">
        <v>0</v>
      </c>
      <c r="K258" s="98" t="s">
        <v>2772</v>
      </c>
      <c r="L258" s="97" t="s">
        <v>1902</v>
      </c>
      <c r="M258" s="97" t="s">
        <v>25</v>
      </c>
      <c r="N258" s="97" t="s">
        <v>1903</v>
      </c>
      <c r="O258" s="97" t="s">
        <v>1904</v>
      </c>
    </row>
    <row r="259" spans="1:15">
      <c r="A259" s="101" t="n">
        <v>258</v>
      </c>
      <c r="B259" s="97" t="n">
        <v>253</v>
      </c>
      <c r="C259" s="98" t="s">
        <v>2843</v>
      </c>
      <c r="D259" s="97" t="s">
        <v>702</v>
      </c>
      <c r="E259" s="99" t="n">
        <v>28676</v>
      </c>
      <c r="F259" s="97" t="s">
        <v>1898</v>
      </c>
      <c r="G259" s="98" t="s">
        <v>2844</v>
      </c>
      <c r="H259" s="97" t="n">
        <v>0</v>
      </c>
      <c r="I259" s="97" t="s">
        <v>1907</v>
      </c>
      <c r="J259" s="97" t="n">
        <v>0</v>
      </c>
      <c r="K259" s="98" t="s">
        <v>2845</v>
      </c>
      <c r="L259" s="97" t="s">
        <v>1902</v>
      </c>
      <c r="M259" s="97" t="s">
        <v>25</v>
      </c>
      <c r="N259" s="97" t="s">
        <v>1903</v>
      </c>
      <c r="O259" s="97" t="s">
        <v>1904</v>
      </c>
    </row>
    <row r="260" spans="1:15">
      <c r="A260" s="101" t="n">
        <v>259</v>
      </c>
      <c r="B260" s="97" t="n">
        <v>23</v>
      </c>
      <c r="C260" s="98" t="s">
        <v>2846</v>
      </c>
      <c r="D260" s="97" t="s">
        <v>2847</v>
      </c>
      <c r="E260" s="99" t="n">
        <v>25314</v>
      </c>
      <c r="F260" s="97" t="s">
        <v>1898</v>
      </c>
      <c r="G260" s="98" t="s">
        <v>2848</v>
      </c>
      <c r="H260" s="97" t="n">
        <v>0</v>
      </c>
      <c r="I260" s="97" t="s">
        <v>1957</v>
      </c>
      <c r="J260" s="97" t="n">
        <v>0</v>
      </c>
      <c r="K260" s="98" t="s">
        <v>2849</v>
      </c>
      <c r="L260" s="97" t="s">
        <v>1902</v>
      </c>
      <c r="M260" s="97" t="s">
        <v>25</v>
      </c>
      <c r="N260" s="97" t="s">
        <v>1903</v>
      </c>
      <c r="O260" s="97" t="s">
        <v>1904</v>
      </c>
    </row>
    <row r="261" spans="1:15">
      <c r="A261" s="101" t="n">
        <v>260</v>
      </c>
      <c r="B261" s="97" t="n">
        <v>239</v>
      </c>
      <c r="C261" s="98" t="s">
        <v>2850</v>
      </c>
      <c r="D261" s="97" t="s">
        <v>670</v>
      </c>
      <c r="E261" s="99" t="n">
        <v>27618</v>
      </c>
      <c r="F261" s="97" t="s">
        <v>1898</v>
      </c>
      <c r="G261" s="98" t="s">
        <v>2851</v>
      </c>
      <c r="H261" s="97" t="n">
        <v>0</v>
      </c>
      <c r="I261" s="97" t="s">
        <v>1907</v>
      </c>
      <c r="J261" s="97" t="n">
        <v>0</v>
      </c>
      <c r="K261" s="98" t="s">
        <v>2852</v>
      </c>
      <c r="L261" s="97" t="s">
        <v>1902</v>
      </c>
      <c r="M261" s="97" t="s">
        <v>25</v>
      </c>
      <c r="N261" s="97" t="s">
        <v>1903</v>
      </c>
      <c r="O261" s="97" t="s">
        <v>1904</v>
      </c>
    </row>
    <row r="262" spans="1:15">
      <c r="A262" s="101" t="n">
        <v>261</v>
      </c>
      <c r="B262" s="97" t="n">
        <v>302</v>
      </c>
      <c r="C262" s="98" t="s">
        <v>2853</v>
      </c>
      <c r="D262" s="97" t="s">
        <v>824</v>
      </c>
      <c r="E262" s="99" t="n">
        <v>31174</v>
      </c>
      <c r="F262" s="97" t="s">
        <v>1898</v>
      </c>
      <c r="G262" s="98" t="s">
        <v>2854</v>
      </c>
      <c r="H262" s="97" t="n">
        <v>0</v>
      </c>
      <c r="I262" s="97" t="s">
        <v>2855</v>
      </c>
      <c r="J262" s="97" t="n">
        <v>0</v>
      </c>
      <c r="K262" s="98" t="s">
        <v>2856</v>
      </c>
      <c r="L262" s="97" t="s">
        <v>1902</v>
      </c>
      <c r="M262" s="97" t="s">
        <v>25</v>
      </c>
      <c r="N262" s="97" t="s">
        <v>1903</v>
      </c>
      <c r="O262" s="97" t="s">
        <v>1904</v>
      </c>
    </row>
    <row r="263" spans="1:15">
      <c r="A263" s="101" t="n">
        <v>262</v>
      </c>
      <c r="B263" s="97" t="n">
        <v>196</v>
      </c>
      <c r="C263" s="98" t="s">
        <v>2857</v>
      </c>
      <c r="D263" s="97" t="s">
        <v>509</v>
      </c>
      <c r="E263" s="99" t="n">
        <v>30494</v>
      </c>
      <c r="F263" s="97" t="s">
        <v>1898</v>
      </c>
      <c r="G263" s="98" t="s">
        <v>2858</v>
      </c>
      <c r="H263" s="97" t="n">
        <v>0</v>
      </c>
      <c r="I263" s="97" t="s">
        <v>1900</v>
      </c>
      <c r="J263" s="97" t="n">
        <v>0</v>
      </c>
      <c r="K263" s="98" t="s">
        <v>2859</v>
      </c>
      <c r="L263" s="97" t="s">
        <v>1902</v>
      </c>
      <c r="M263" s="97" t="s">
        <v>25</v>
      </c>
      <c r="N263" s="97" t="s">
        <v>1903</v>
      </c>
      <c r="O263" s="97" t="s">
        <v>1904</v>
      </c>
    </row>
    <row r="264" spans="1:15">
      <c r="A264" s="101" t="n">
        <v>263</v>
      </c>
      <c r="B264" s="97" t="n">
        <v>64</v>
      </c>
      <c r="C264" s="98" t="s">
        <v>2860</v>
      </c>
      <c r="D264" s="97" t="s">
        <v>2861</v>
      </c>
      <c r="E264" s="99" t="n">
        <v>25660</v>
      </c>
      <c r="F264" s="97" t="s">
        <v>1898</v>
      </c>
      <c r="G264" s="98" t="s">
        <v>2862</v>
      </c>
      <c r="H264" s="97" t="n">
        <v>0</v>
      </c>
      <c r="I264" s="97" t="s">
        <v>1900</v>
      </c>
      <c r="J264" s="97" t="n">
        <v>0</v>
      </c>
      <c r="K264" s="98" t="s">
        <v>2863</v>
      </c>
      <c r="L264" s="97" t="s">
        <v>1902</v>
      </c>
      <c r="M264" s="97" t="s">
        <v>25</v>
      </c>
      <c r="N264" s="97" t="s">
        <v>1903</v>
      </c>
      <c r="O264" s="97" t="s">
        <v>1904</v>
      </c>
    </row>
    <row r="265" spans="1:15">
      <c r="A265" s="101" t="n">
        <v>264</v>
      </c>
      <c r="B265" s="97" t="n">
        <v>186</v>
      </c>
      <c r="C265" s="98" t="s">
        <v>2864</v>
      </c>
      <c r="D265" s="97" t="s">
        <v>2865</v>
      </c>
      <c r="E265" s="99" t="n">
        <v>35568</v>
      </c>
      <c r="F265" s="97" t="s">
        <v>1898</v>
      </c>
      <c r="G265" s="98" t="s">
        <v>2866</v>
      </c>
      <c r="H265" s="97" t="n">
        <v>0</v>
      </c>
      <c r="I265" s="97" t="s">
        <v>1900</v>
      </c>
      <c r="J265" s="97" t="n">
        <v>0</v>
      </c>
      <c r="K265" s="98" t="s">
        <v>2867</v>
      </c>
      <c r="L265" s="97" t="s">
        <v>1902</v>
      </c>
      <c r="M265" s="97" t="s">
        <v>25</v>
      </c>
      <c r="N265" s="97" t="s">
        <v>1903</v>
      </c>
      <c r="O265" s="97" t="s">
        <v>1904</v>
      </c>
    </row>
    <row r="266" spans="1:15">
      <c r="A266" s="101" t="n">
        <v>265</v>
      </c>
      <c r="B266" s="97" t="n">
        <v>126</v>
      </c>
      <c r="C266" s="98" t="s">
        <v>2868</v>
      </c>
      <c r="D266" s="97" t="s">
        <v>2869</v>
      </c>
      <c r="E266" s="99" t="n">
        <v>30251</v>
      </c>
      <c r="F266" s="97" t="s">
        <v>1898</v>
      </c>
      <c r="G266" s="98" t="s">
        <v>2870</v>
      </c>
      <c r="H266" s="97" t="n">
        <v>0</v>
      </c>
      <c r="I266" s="97" t="s">
        <v>1900</v>
      </c>
      <c r="J266" s="97" t="n">
        <v>0</v>
      </c>
      <c r="K266" s="98" t="s">
        <v>2871</v>
      </c>
      <c r="L266" s="97" t="s">
        <v>1902</v>
      </c>
      <c r="M266" s="97" t="s">
        <v>25</v>
      </c>
      <c r="N266" s="97" t="s">
        <v>1903</v>
      </c>
      <c r="O266" s="97" t="s">
        <v>1904</v>
      </c>
    </row>
    <row r="267" spans="1:15">
      <c r="A267" s="101" t="n">
        <v>266</v>
      </c>
      <c r="B267" s="97" t="n">
        <v>162</v>
      </c>
      <c r="C267" s="98" t="s">
        <v>2872</v>
      </c>
      <c r="D267" s="97" t="s">
        <v>390</v>
      </c>
      <c r="E267" s="99" t="n">
        <v>27964</v>
      </c>
      <c r="F267" s="97" t="s">
        <v>1898</v>
      </c>
      <c r="G267" s="98" t="s">
        <v>2873</v>
      </c>
      <c r="H267" s="97" t="n">
        <v>0</v>
      </c>
      <c r="I267" s="97" t="s">
        <v>1900</v>
      </c>
      <c r="J267" s="97" t="n">
        <v>0</v>
      </c>
      <c r="K267" s="98" t="s">
        <v>2874</v>
      </c>
      <c r="L267" s="97" t="s">
        <v>1902</v>
      </c>
      <c r="M267" s="97" t="s">
        <v>25</v>
      </c>
      <c r="N267" s="97" t="s">
        <v>1903</v>
      </c>
      <c r="O267" s="97" t="s">
        <v>1904</v>
      </c>
    </row>
    <row r="268" spans="1:15">
      <c r="A268" s="101" t="n">
        <v>267</v>
      </c>
      <c r="B268" s="97" t="n">
        <v>50</v>
      </c>
      <c r="C268" s="98" t="s">
        <v>2875</v>
      </c>
      <c r="D268" s="97" t="s">
        <v>2876</v>
      </c>
      <c r="E268" s="99" t="n">
        <v>29870</v>
      </c>
      <c r="F268" s="97" t="s">
        <v>1898</v>
      </c>
      <c r="G268" s="98" t="s">
        <v>2877</v>
      </c>
      <c r="H268" s="97" t="n">
        <v>0</v>
      </c>
      <c r="I268" s="97" t="s">
        <v>1900</v>
      </c>
      <c r="J268" s="97" t="n">
        <v>0</v>
      </c>
      <c r="K268" s="98" t="s">
        <v>2878</v>
      </c>
      <c r="L268" s="97" t="s">
        <v>1902</v>
      </c>
      <c r="M268" s="97" t="s">
        <v>25</v>
      </c>
      <c r="N268" s="97" t="s">
        <v>1903</v>
      </c>
      <c r="O268" s="97" t="s">
        <v>1904</v>
      </c>
    </row>
    <row r="269" spans="1:15">
      <c r="A269" s="101" t="n">
        <v>268</v>
      </c>
      <c r="B269" s="97" t="n">
        <v>167</v>
      </c>
      <c r="C269" s="98" t="s">
        <v>2879</v>
      </c>
      <c r="D269" s="97" t="s">
        <v>532</v>
      </c>
      <c r="E269" s="99" t="n">
        <v>29481</v>
      </c>
      <c r="F269" s="97" t="s">
        <v>1898</v>
      </c>
      <c r="G269" s="98" t="s">
        <v>2880</v>
      </c>
      <c r="H269" s="97" t="n">
        <v>0</v>
      </c>
      <c r="I269" s="97" t="s">
        <v>1900</v>
      </c>
      <c r="J269" s="97" t="n">
        <v>0</v>
      </c>
      <c r="K269" s="98" t="s">
        <v>2881</v>
      </c>
      <c r="L269" s="97" t="s">
        <v>1902</v>
      </c>
      <c r="M269" s="97" t="s">
        <v>25</v>
      </c>
      <c r="N269" s="97" t="s">
        <v>1903</v>
      </c>
      <c r="O269" s="97" t="s">
        <v>1904</v>
      </c>
    </row>
    <row r="270" spans="1:15">
      <c r="A270" s="101" t="n">
        <v>269</v>
      </c>
      <c r="B270" s="97" t="n">
        <v>49</v>
      </c>
      <c r="C270" s="98" t="s">
        <v>2882</v>
      </c>
      <c r="D270" s="97" t="s">
        <v>2883</v>
      </c>
      <c r="E270" s="99" t="n">
        <v>28004</v>
      </c>
      <c r="F270" s="97" t="s">
        <v>1898</v>
      </c>
      <c r="G270" s="98" t="s">
        <v>2884</v>
      </c>
      <c r="H270" s="97" t="n">
        <v>0</v>
      </c>
      <c r="I270" s="97" t="s">
        <v>1900</v>
      </c>
      <c r="J270" s="97" t="n">
        <v>0</v>
      </c>
      <c r="K270" s="98" t="s">
        <v>2885</v>
      </c>
      <c r="L270" s="97" t="s">
        <v>1902</v>
      </c>
      <c r="M270" s="97" t="s">
        <v>25</v>
      </c>
      <c r="N270" s="97" t="s">
        <v>1903</v>
      </c>
      <c r="O270" s="97" t="s">
        <v>1904</v>
      </c>
    </row>
    <row r="271" spans="1:15">
      <c r="A271" s="101" t="n">
        <v>270</v>
      </c>
      <c r="B271" s="97" t="n">
        <v>250</v>
      </c>
      <c r="C271" s="98" t="s">
        <v>2886</v>
      </c>
      <c r="D271" s="97" t="s">
        <v>700</v>
      </c>
      <c r="E271" s="99" t="n">
        <v>29679</v>
      </c>
      <c r="F271" s="97" t="s">
        <v>1898</v>
      </c>
      <c r="G271" s="98" t="s">
        <v>2887</v>
      </c>
      <c r="H271" s="97" t="n">
        <v>0</v>
      </c>
      <c r="I271" s="97" t="s">
        <v>1907</v>
      </c>
      <c r="J271" s="97" t="n">
        <v>0</v>
      </c>
      <c r="K271" s="98" t="s">
        <v>2888</v>
      </c>
      <c r="L271" s="97" t="s">
        <v>1902</v>
      </c>
      <c r="M271" s="97" t="s">
        <v>25</v>
      </c>
      <c r="N271" s="97" t="s">
        <v>1903</v>
      </c>
      <c r="O271" s="97" t="s">
        <v>1904</v>
      </c>
    </row>
    <row r="272" spans="1:15">
      <c r="A272" s="101" t="n">
        <v>271</v>
      </c>
      <c r="B272" s="97" t="n">
        <v>144</v>
      </c>
      <c r="C272" s="98" t="s">
        <v>2889</v>
      </c>
      <c r="D272" s="97" t="s">
        <v>2890</v>
      </c>
      <c r="E272" s="99" t="n">
        <v>31412</v>
      </c>
      <c r="F272" s="97" t="s">
        <v>1898</v>
      </c>
      <c r="G272" s="98" t="s">
        <v>2891</v>
      </c>
      <c r="H272" s="97" t="n">
        <v>0</v>
      </c>
      <c r="I272" s="97" t="s">
        <v>1900</v>
      </c>
      <c r="J272" s="97" t="n">
        <v>0</v>
      </c>
      <c r="K272" s="98" t="s">
        <v>2892</v>
      </c>
      <c r="L272" s="97" t="s">
        <v>1902</v>
      </c>
      <c r="M272" s="97" t="s">
        <v>25</v>
      </c>
      <c r="N272" s="97" t="s">
        <v>1903</v>
      </c>
      <c r="O272" s="97" t="s">
        <v>1904</v>
      </c>
    </row>
    <row r="273" spans="1:15">
      <c r="A273" s="101" t="n">
        <v>272</v>
      </c>
      <c r="B273" s="97" t="n">
        <v>276</v>
      </c>
      <c r="C273" s="98" t="s">
        <v>2893</v>
      </c>
      <c r="D273" s="97" t="s">
        <v>2894</v>
      </c>
      <c r="E273" s="99" t="n">
        <v>33266</v>
      </c>
      <c r="F273" s="97" t="s">
        <v>1898</v>
      </c>
      <c r="G273" s="98" t="s">
        <v>2895</v>
      </c>
      <c r="H273" s="97" t="n">
        <v>0</v>
      </c>
      <c r="I273" s="97" t="s">
        <v>1907</v>
      </c>
      <c r="J273" s="97" t="n">
        <v>0</v>
      </c>
      <c r="K273" s="98" t="s">
        <v>2896</v>
      </c>
      <c r="L273" s="97" t="s">
        <v>1902</v>
      </c>
      <c r="M273" s="97" t="s">
        <v>25</v>
      </c>
      <c r="N273" s="97" t="s">
        <v>1903</v>
      </c>
      <c r="O273" s="97" t="s">
        <v>1904</v>
      </c>
    </row>
    <row r="274" spans="1:15">
      <c r="A274" s="101" t="n">
        <v>273</v>
      </c>
      <c r="B274" s="97" t="n">
        <v>189</v>
      </c>
      <c r="C274" s="98" t="s">
        <v>2897</v>
      </c>
      <c r="D274" s="97" t="s">
        <v>629</v>
      </c>
      <c r="E274" s="99" t="n">
        <v>33173</v>
      </c>
      <c r="F274" s="97" t="s">
        <v>1898</v>
      </c>
      <c r="G274" s="98" t="s">
        <v>2898</v>
      </c>
      <c r="H274" s="97" t="n">
        <v>0</v>
      </c>
      <c r="I274" s="97" t="s">
        <v>1900</v>
      </c>
      <c r="J274" s="97" t="n">
        <v>0</v>
      </c>
      <c r="K274" s="98" t="s">
        <v>2899</v>
      </c>
      <c r="L274" s="97" t="s">
        <v>1902</v>
      </c>
      <c r="M274" s="97" t="s">
        <v>25</v>
      </c>
      <c r="N274" s="97" t="s">
        <v>1903</v>
      </c>
      <c r="O274" s="97" t="s">
        <v>1904</v>
      </c>
    </row>
    <row r="275" spans="1:15">
      <c r="A275" s="101" t="n">
        <v>274</v>
      </c>
      <c r="B275" s="97" t="n">
        <v>178</v>
      </c>
      <c r="C275" s="98" t="s">
        <v>2900</v>
      </c>
      <c r="D275" s="97" t="s">
        <v>2901</v>
      </c>
      <c r="E275" s="99" t="n">
        <v>30164</v>
      </c>
      <c r="F275" s="97" t="s">
        <v>1898</v>
      </c>
      <c r="G275" s="98" t="s">
        <v>2902</v>
      </c>
      <c r="H275" s="97" t="n">
        <v>0</v>
      </c>
      <c r="I275" s="97" t="s">
        <v>1900</v>
      </c>
      <c r="J275" s="97" t="n">
        <v>0</v>
      </c>
      <c r="K275" s="98" t="s">
        <v>2903</v>
      </c>
      <c r="L275" s="97" t="s">
        <v>1902</v>
      </c>
      <c r="M275" s="97" t="s">
        <v>25</v>
      </c>
      <c r="N275" s="97" t="s">
        <v>1903</v>
      </c>
      <c r="O275" s="97" t="s">
        <v>1904</v>
      </c>
    </row>
    <row r="276" spans="1:15">
      <c r="A276" s="101" t="n">
        <v>275</v>
      </c>
      <c r="B276" s="97" t="n">
        <v>291</v>
      </c>
      <c r="C276" s="98" t="s">
        <v>2904</v>
      </c>
      <c r="D276" s="97" t="s">
        <v>788</v>
      </c>
      <c r="E276" s="99" t="n">
        <v>35319</v>
      </c>
      <c r="F276" s="97" t="s">
        <v>1898</v>
      </c>
      <c r="G276" s="98" t="s">
        <v>2905</v>
      </c>
      <c r="H276" s="97" t="n">
        <v>0</v>
      </c>
      <c r="I276" s="97" t="s">
        <v>1907</v>
      </c>
      <c r="J276" s="97" t="n">
        <v>0</v>
      </c>
      <c r="K276" s="98" t="s">
        <v>2906</v>
      </c>
      <c r="L276" s="97" t="s">
        <v>1902</v>
      </c>
      <c r="M276" s="97" t="s">
        <v>25</v>
      </c>
      <c r="N276" s="97" t="s">
        <v>1903</v>
      </c>
      <c r="O276" s="97" t="s">
        <v>1904</v>
      </c>
    </row>
    <row r="277" spans="1:15">
      <c r="A277" s="101" t="n">
        <v>276</v>
      </c>
      <c r="B277" s="97" t="n">
        <v>57</v>
      </c>
      <c r="C277" s="98" t="s">
        <v>2907</v>
      </c>
      <c r="D277" s="97" t="s">
        <v>123</v>
      </c>
      <c r="E277" s="99" t="n">
        <v>24911</v>
      </c>
      <c r="F277" s="97" t="s">
        <v>1898</v>
      </c>
      <c r="G277" s="98" t="s">
        <v>2908</v>
      </c>
      <c r="H277" s="97" t="n">
        <v>0</v>
      </c>
      <c r="I277" s="97" t="s">
        <v>1900</v>
      </c>
      <c r="J277" s="97" t="n">
        <v>0</v>
      </c>
      <c r="K277" s="98" t="s">
        <v>2909</v>
      </c>
      <c r="L277" s="97" t="s">
        <v>1902</v>
      </c>
      <c r="M277" s="97" t="s">
        <v>25</v>
      </c>
      <c r="N277" s="97" t="s">
        <v>1903</v>
      </c>
      <c r="O277" s="97" t="s">
        <v>1904</v>
      </c>
    </row>
    <row r="278" spans="1:15">
      <c r="A278" s="101" t="n">
        <v>277</v>
      </c>
      <c r="B278" s="97" t="n">
        <v>197</v>
      </c>
      <c r="C278" s="98" t="s">
        <v>2910</v>
      </c>
      <c r="D278" s="97" t="s">
        <v>2911</v>
      </c>
      <c r="E278" s="99" t="n">
        <v>30297</v>
      </c>
      <c r="F278" s="97" t="s">
        <v>1898</v>
      </c>
      <c r="G278" s="98" t="s">
        <v>2912</v>
      </c>
      <c r="H278" s="97" t="n">
        <v>0</v>
      </c>
      <c r="I278" s="97" t="s">
        <v>1900</v>
      </c>
      <c r="J278" s="97" t="n">
        <v>0</v>
      </c>
      <c r="K278" s="98" t="s">
        <v>2913</v>
      </c>
      <c r="L278" s="97" t="s">
        <v>1902</v>
      </c>
      <c r="M278" s="97" t="s">
        <v>25</v>
      </c>
      <c r="N278" s="97" t="s">
        <v>1903</v>
      </c>
      <c r="O278" s="97" t="s">
        <v>1904</v>
      </c>
    </row>
    <row r="279" spans="1:15">
      <c r="A279" s="101" t="n">
        <v>278</v>
      </c>
      <c r="B279" s="97" t="n">
        <v>113</v>
      </c>
      <c r="C279" s="98" t="s">
        <v>2914</v>
      </c>
      <c r="D279" s="97" t="s">
        <v>2915</v>
      </c>
      <c r="E279" s="99" t="n">
        <v>29882</v>
      </c>
      <c r="F279" s="97" t="s">
        <v>1898</v>
      </c>
      <c r="G279" s="98" t="s">
        <v>2916</v>
      </c>
      <c r="H279" s="97" t="n">
        <v>0</v>
      </c>
      <c r="I279" s="97" t="s">
        <v>1900</v>
      </c>
      <c r="J279" s="97" t="n">
        <v>0</v>
      </c>
      <c r="K279" s="98" t="s">
        <v>2917</v>
      </c>
      <c r="L279" s="97" t="s">
        <v>1902</v>
      </c>
      <c r="M279" s="97" t="s">
        <v>25</v>
      </c>
      <c r="N279" s="97" t="s">
        <v>1903</v>
      </c>
      <c r="O279" s="97" t="s">
        <v>1904</v>
      </c>
    </row>
    <row r="280" spans="1:15">
      <c r="A280" s="101" t="n">
        <v>279</v>
      </c>
      <c r="B280" s="97" t="n">
        <v>292</v>
      </c>
      <c r="C280" s="98" t="s">
        <v>2918</v>
      </c>
      <c r="D280" s="97" t="s">
        <v>2919</v>
      </c>
      <c r="E280" s="99" t="n">
        <v>35424</v>
      </c>
      <c r="F280" s="97" t="s">
        <v>1898</v>
      </c>
      <c r="G280" s="98" t="s">
        <v>2920</v>
      </c>
      <c r="H280" s="97" t="n">
        <v>0</v>
      </c>
      <c r="I280" s="97" t="s">
        <v>1907</v>
      </c>
      <c r="J280" s="97" t="n">
        <v>0</v>
      </c>
      <c r="K280" s="98" t="s">
        <v>2921</v>
      </c>
      <c r="L280" s="97" t="s">
        <v>1902</v>
      </c>
      <c r="M280" s="97" t="s">
        <v>25</v>
      </c>
      <c r="N280" s="97" t="s">
        <v>1903</v>
      </c>
      <c r="O280" s="97" t="s">
        <v>1904</v>
      </c>
    </row>
    <row r="281" spans="1:15">
      <c r="A281" s="101" t="n">
        <v>280</v>
      </c>
      <c r="B281" s="97" t="n">
        <v>55</v>
      </c>
      <c r="C281" s="98" t="s">
        <v>2922</v>
      </c>
      <c r="D281" s="97" t="s">
        <v>2923</v>
      </c>
      <c r="E281" s="99" t="n">
        <v>31235</v>
      </c>
      <c r="F281" s="97" t="s">
        <v>1898</v>
      </c>
      <c r="G281" s="98" t="s">
        <v>2924</v>
      </c>
      <c r="H281" s="97" t="n">
        <v>0</v>
      </c>
      <c r="I281" s="97" t="s">
        <v>1900</v>
      </c>
      <c r="J281" s="97" t="n">
        <v>0</v>
      </c>
      <c r="K281" s="98" t="s">
        <v>2925</v>
      </c>
      <c r="L281" s="97" t="s">
        <v>1902</v>
      </c>
      <c r="M281" s="97" t="s">
        <v>25</v>
      </c>
      <c r="N281" s="97" t="s">
        <v>1903</v>
      </c>
      <c r="O281" s="97" t="s">
        <v>1904</v>
      </c>
    </row>
    <row r="282" spans="1:15">
      <c r="A282" s="101" t="n">
        <v>281</v>
      </c>
      <c r="B282" s="97" t="n">
        <v>25</v>
      </c>
      <c r="C282" s="98" t="s">
        <v>2926</v>
      </c>
      <c r="D282" s="97" t="s">
        <v>2927</v>
      </c>
      <c r="E282" s="99" t="n">
        <v>24957</v>
      </c>
      <c r="F282" s="97" t="s">
        <v>1898</v>
      </c>
      <c r="G282" s="98" t="s">
        <v>47</v>
      </c>
      <c r="H282" s="97" t="n">
        <v>0</v>
      </c>
      <c r="I282" s="97" t="s">
        <v>1957</v>
      </c>
      <c r="J282" s="97" t="n">
        <v>0</v>
      </c>
      <c r="K282" s="98" t="s">
        <v>2928</v>
      </c>
      <c r="L282" s="97" t="s">
        <v>1902</v>
      </c>
      <c r="M282" s="97" t="s">
        <v>25</v>
      </c>
      <c r="N282" s="97" t="s">
        <v>1903</v>
      </c>
      <c r="O282" s="97" t="s">
        <v>1904</v>
      </c>
    </row>
    <row r="283" spans="1:15">
      <c r="A283" s="101" t="n">
        <v>282</v>
      </c>
      <c r="B283" s="97" t="n">
        <v>148</v>
      </c>
      <c r="C283" s="98" t="s">
        <v>2929</v>
      </c>
      <c r="D283" s="97" t="s">
        <v>2930</v>
      </c>
      <c r="E283" s="99" t="n">
        <v>32093</v>
      </c>
      <c r="F283" s="97" t="s">
        <v>1898</v>
      </c>
      <c r="G283" s="98" t="s">
        <v>2931</v>
      </c>
      <c r="H283" s="97" t="n">
        <v>0</v>
      </c>
      <c r="I283" s="97" t="s">
        <v>1900</v>
      </c>
      <c r="J283" s="97" t="n">
        <v>0</v>
      </c>
      <c r="K283" s="98" t="s">
        <v>2932</v>
      </c>
      <c r="L283" s="97" t="s">
        <v>1902</v>
      </c>
      <c r="M283" s="97" t="s">
        <v>25</v>
      </c>
      <c r="N283" s="97" t="s">
        <v>1903</v>
      </c>
      <c r="O283" s="97" t="s">
        <v>1904</v>
      </c>
    </row>
    <row r="284" spans="1:15">
      <c r="A284" s="101" t="n">
        <v>283</v>
      </c>
      <c r="B284" s="97" t="n">
        <v>96</v>
      </c>
      <c r="C284" s="98" t="s">
        <v>2933</v>
      </c>
      <c r="D284" s="97" t="s">
        <v>2934</v>
      </c>
      <c r="E284" s="99" t="n">
        <v>29651</v>
      </c>
      <c r="F284" s="97" t="s">
        <v>1898</v>
      </c>
      <c r="G284" s="98" t="s">
        <v>2935</v>
      </c>
      <c r="H284" s="97" t="n">
        <v>0</v>
      </c>
      <c r="I284" s="97" t="s">
        <v>1900</v>
      </c>
      <c r="J284" s="97" t="n">
        <v>0</v>
      </c>
      <c r="K284" s="98" t="s">
        <v>2936</v>
      </c>
      <c r="L284" s="97" t="s">
        <v>1902</v>
      </c>
      <c r="M284" s="97" t="s">
        <v>25</v>
      </c>
      <c r="N284" s="97" t="s">
        <v>1903</v>
      </c>
      <c r="O284" s="97" t="s">
        <v>1904</v>
      </c>
    </row>
    <row r="285" spans="1:15">
      <c r="A285" s="101" t="n">
        <v>284</v>
      </c>
      <c r="B285" s="97" t="n">
        <v>170</v>
      </c>
      <c r="C285" s="98" t="s">
        <v>2937</v>
      </c>
      <c r="D285" s="97" t="s">
        <v>2938</v>
      </c>
      <c r="E285" s="99" t="n">
        <v>30053</v>
      </c>
      <c r="F285" s="97" t="s">
        <v>1898</v>
      </c>
      <c r="G285" s="98" t="s">
        <v>2939</v>
      </c>
      <c r="H285" s="97" t="n">
        <v>0</v>
      </c>
      <c r="I285" s="97" t="s">
        <v>1900</v>
      </c>
      <c r="J285" s="97" t="n">
        <v>0</v>
      </c>
      <c r="K285" s="98" t="s">
        <v>2940</v>
      </c>
      <c r="L285" s="97" t="s">
        <v>1902</v>
      </c>
      <c r="M285" s="97" t="s">
        <v>25</v>
      </c>
      <c r="N285" s="97" t="s">
        <v>1903</v>
      </c>
      <c r="O285" s="97" t="s">
        <v>1904</v>
      </c>
    </row>
    <row r="286" spans="1:15">
      <c r="A286" s="101" t="n">
        <v>285</v>
      </c>
      <c r="B286" s="97" t="n">
        <v>141</v>
      </c>
      <c r="C286" s="98" t="s">
        <v>2941</v>
      </c>
      <c r="D286" s="97" t="s">
        <v>485</v>
      </c>
      <c r="E286" s="99" t="n">
        <v>30806</v>
      </c>
      <c r="F286" s="97" t="s">
        <v>1898</v>
      </c>
      <c r="G286" s="98" t="s">
        <v>2942</v>
      </c>
      <c r="H286" s="97" t="n">
        <v>0</v>
      </c>
      <c r="I286" s="97" t="s">
        <v>1900</v>
      </c>
      <c r="J286" s="97" t="n">
        <v>0</v>
      </c>
      <c r="K286" s="98" t="s">
        <v>2943</v>
      </c>
      <c r="L286" s="97" t="s">
        <v>1902</v>
      </c>
      <c r="M286" s="97" t="s">
        <v>25</v>
      </c>
      <c r="N286" s="97" t="s">
        <v>1903</v>
      </c>
      <c r="O286" s="97" t="s">
        <v>1904</v>
      </c>
    </row>
    <row r="287" spans="1:15">
      <c r="A287" s="101" t="n">
        <v>286</v>
      </c>
      <c r="B287" s="97" t="n">
        <v>265</v>
      </c>
      <c r="C287" s="98" t="s">
        <v>2944</v>
      </c>
      <c r="D287" s="97" t="s">
        <v>2945</v>
      </c>
      <c r="E287" s="99" t="n">
        <v>32382</v>
      </c>
      <c r="F287" s="97" t="s">
        <v>1898</v>
      </c>
      <c r="G287" s="98" t="s">
        <v>2946</v>
      </c>
      <c r="H287" s="97" t="n">
        <v>0</v>
      </c>
      <c r="I287" s="97" t="s">
        <v>1907</v>
      </c>
      <c r="J287" s="97" t="n">
        <v>0</v>
      </c>
      <c r="K287" s="98" t="s">
        <v>2947</v>
      </c>
      <c r="L287" s="97" t="s">
        <v>1902</v>
      </c>
      <c r="M287" s="97" t="s">
        <v>25</v>
      </c>
      <c r="N287" s="97" t="s">
        <v>1903</v>
      </c>
      <c r="O287" s="97" t="s">
        <v>1904</v>
      </c>
    </row>
    <row r="288" spans="1:15">
      <c r="A288" s="101" t="n">
        <v>287</v>
      </c>
      <c r="B288" s="97" t="n">
        <v>135</v>
      </c>
      <c r="C288" s="98" t="s">
        <v>2948</v>
      </c>
      <c r="D288" s="97" t="s">
        <v>526</v>
      </c>
      <c r="E288" s="99" t="n">
        <v>31616</v>
      </c>
      <c r="F288" s="97" t="s">
        <v>1898</v>
      </c>
      <c r="G288" s="98" t="s">
        <v>2949</v>
      </c>
      <c r="H288" s="97" t="n">
        <v>0</v>
      </c>
      <c r="I288" s="97" t="s">
        <v>1900</v>
      </c>
      <c r="J288" s="97" t="n">
        <v>0</v>
      </c>
      <c r="K288" s="98" t="s">
        <v>2950</v>
      </c>
      <c r="L288" s="97" t="s">
        <v>1902</v>
      </c>
      <c r="M288" s="97" t="s">
        <v>25</v>
      </c>
      <c r="N288" s="97" t="s">
        <v>1903</v>
      </c>
      <c r="O288" s="97" t="s">
        <v>1904</v>
      </c>
    </row>
    <row r="289" spans="1:15">
      <c r="A289" s="101" t="n">
        <v>288</v>
      </c>
      <c r="B289" s="97" t="n">
        <v>273</v>
      </c>
      <c r="C289" s="98" t="s">
        <v>2951</v>
      </c>
      <c r="D289" s="97" t="s">
        <v>2952</v>
      </c>
      <c r="E289" s="99" t="n">
        <v>33105</v>
      </c>
      <c r="F289" s="97" t="s">
        <v>1898</v>
      </c>
      <c r="G289" s="98" t="s">
        <v>2953</v>
      </c>
      <c r="H289" s="97" t="n">
        <v>0</v>
      </c>
      <c r="I289" s="97" t="s">
        <v>1907</v>
      </c>
      <c r="J289" s="97" t="n">
        <v>0</v>
      </c>
      <c r="K289" s="98" t="s">
        <v>2954</v>
      </c>
      <c r="L289" s="97" t="s">
        <v>1902</v>
      </c>
      <c r="M289" s="97" t="s">
        <v>25</v>
      </c>
      <c r="N289" s="97" t="s">
        <v>1903</v>
      </c>
      <c r="O289" s="97" t="s">
        <v>1904</v>
      </c>
    </row>
    <row r="290" spans="1:15">
      <c r="A290" s="101" t="n">
        <v>289</v>
      </c>
      <c r="B290" s="97" t="n">
        <v>36</v>
      </c>
      <c r="C290" s="98" t="s">
        <v>2955</v>
      </c>
      <c r="D290" s="97" t="s">
        <v>2956</v>
      </c>
      <c r="E290" s="99" t="n">
        <v>29049</v>
      </c>
      <c r="F290" s="97" t="s">
        <v>1898</v>
      </c>
      <c r="G290" s="98" t="s">
        <v>2957</v>
      </c>
      <c r="H290" s="97" t="n">
        <v>0</v>
      </c>
      <c r="I290" s="97" t="s">
        <v>1900</v>
      </c>
      <c r="J290" s="97" t="n">
        <v>0</v>
      </c>
      <c r="K290" s="98" t="s">
        <v>2958</v>
      </c>
      <c r="L290" s="97" t="s">
        <v>1902</v>
      </c>
      <c r="M290" s="97" t="s">
        <v>25</v>
      </c>
      <c r="N290" s="97" t="s">
        <v>1903</v>
      </c>
      <c r="O290" s="97" t="s">
        <v>1904</v>
      </c>
    </row>
    <row r="291" spans="1:15">
      <c r="A291" s="101" t="n">
        <v>290</v>
      </c>
      <c r="B291" s="97" t="n">
        <v>252</v>
      </c>
      <c r="C291" s="98" t="s">
        <v>2959</v>
      </c>
      <c r="D291" s="97" t="s">
        <v>806</v>
      </c>
      <c r="E291" s="99" t="n">
        <v>25382</v>
      </c>
      <c r="F291" s="97" t="s">
        <v>1898</v>
      </c>
      <c r="G291" s="98" t="s">
        <v>2960</v>
      </c>
      <c r="H291" s="97" t="n">
        <v>0</v>
      </c>
      <c r="I291" s="97" t="s">
        <v>1907</v>
      </c>
      <c r="J291" s="97" t="n">
        <v>0</v>
      </c>
      <c r="K291" s="98" t="s">
        <v>2961</v>
      </c>
      <c r="L291" s="97" t="s">
        <v>1902</v>
      </c>
      <c r="M291" s="97" t="s">
        <v>25</v>
      </c>
      <c r="N291" s="97" t="s">
        <v>1903</v>
      </c>
      <c r="O291" s="97" t="s">
        <v>1904</v>
      </c>
    </row>
    <row r="292" spans="1:15">
      <c r="A292" s="101" t="n">
        <v>291</v>
      </c>
      <c r="B292" s="97" t="n">
        <v>263</v>
      </c>
      <c r="C292" s="98" t="s">
        <v>2962</v>
      </c>
      <c r="D292" s="97" t="s">
        <v>2963</v>
      </c>
      <c r="E292" s="99" t="n">
        <v>31930</v>
      </c>
      <c r="F292" s="97" t="s">
        <v>1898</v>
      </c>
      <c r="G292" s="98" t="s">
        <v>2964</v>
      </c>
      <c r="H292" s="97" t="n">
        <v>0</v>
      </c>
      <c r="I292" s="97" t="s">
        <v>1907</v>
      </c>
      <c r="J292" s="97" t="n">
        <v>0</v>
      </c>
      <c r="K292" s="98" t="s">
        <v>2965</v>
      </c>
      <c r="L292" s="97" t="s">
        <v>1902</v>
      </c>
      <c r="M292" s="97" t="s">
        <v>25</v>
      </c>
      <c r="N292" s="97" t="s">
        <v>1903</v>
      </c>
      <c r="O292" s="97" t="s">
        <v>1904</v>
      </c>
    </row>
    <row r="293" spans="1:15">
      <c r="A293" s="101" t="n">
        <v>292</v>
      </c>
      <c r="B293" s="97" t="n">
        <v>194</v>
      </c>
      <c r="C293" s="98" t="s">
        <v>2966</v>
      </c>
      <c r="D293" s="97" t="s">
        <v>2967</v>
      </c>
      <c r="E293" s="99" t="n">
        <v>31578</v>
      </c>
      <c r="F293" s="97" t="s">
        <v>1898</v>
      </c>
      <c r="G293" s="98" t="s">
        <v>2968</v>
      </c>
      <c r="H293" s="97" t="n">
        <v>0</v>
      </c>
      <c r="I293" s="97" t="s">
        <v>1900</v>
      </c>
      <c r="J293" s="97" t="n">
        <v>0</v>
      </c>
      <c r="K293" s="98" t="s">
        <v>2969</v>
      </c>
      <c r="L293" s="97" t="s">
        <v>1902</v>
      </c>
      <c r="M293" s="97" t="s">
        <v>25</v>
      </c>
      <c r="N293" s="97" t="s">
        <v>1903</v>
      </c>
      <c r="O293" s="97" t="s">
        <v>1904</v>
      </c>
    </row>
    <row r="294" spans="1:15">
      <c r="A294" s="101" t="n">
        <v>293</v>
      </c>
      <c r="B294" s="97" t="n">
        <v>119</v>
      </c>
      <c r="C294" s="98" t="s">
        <v>2970</v>
      </c>
      <c r="D294" s="97" t="s">
        <v>407</v>
      </c>
      <c r="E294" s="99" t="n">
        <v>30107</v>
      </c>
      <c r="F294" s="97" t="s">
        <v>1898</v>
      </c>
      <c r="G294" s="98" t="s">
        <v>2971</v>
      </c>
      <c r="H294" s="97" t="n">
        <v>0</v>
      </c>
      <c r="I294" s="97" t="s">
        <v>1900</v>
      </c>
      <c r="J294" s="97" t="n">
        <v>0</v>
      </c>
      <c r="K294" s="98" t="s">
        <v>2972</v>
      </c>
      <c r="L294" s="97" t="s">
        <v>1902</v>
      </c>
      <c r="M294" s="97" t="s">
        <v>25</v>
      </c>
      <c r="N294" s="97" t="s">
        <v>1903</v>
      </c>
      <c r="O294" s="97" t="s">
        <v>1904</v>
      </c>
    </row>
    <row r="295" spans="1:15">
      <c r="A295" s="101" t="n">
        <v>294</v>
      </c>
      <c r="B295" s="97" t="n">
        <v>168</v>
      </c>
      <c r="C295" s="98" t="s">
        <v>2973</v>
      </c>
      <c r="D295" s="97" t="s">
        <v>2974</v>
      </c>
      <c r="E295" s="99" t="n">
        <v>29691</v>
      </c>
      <c r="F295" s="97" t="s">
        <v>1898</v>
      </c>
      <c r="G295" s="98" t="s">
        <v>2975</v>
      </c>
      <c r="H295" s="97" t="n">
        <v>0</v>
      </c>
      <c r="I295" s="97" t="s">
        <v>1900</v>
      </c>
      <c r="J295" s="97" t="n">
        <v>0</v>
      </c>
      <c r="K295" s="98" t="s">
        <v>2976</v>
      </c>
      <c r="L295" s="97" t="s">
        <v>1902</v>
      </c>
      <c r="M295" s="97" t="s">
        <v>25</v>
      </c>
      <c r="N295" s="97" t="s">
        <v>1903</v>
      </c>
      <c r="O295" s="97" t="s">
        <v>1904</v>
      </c>
    </row>
    <row r="296" spans="1:15">
      <c r="A296" s="101" t="n">
        <v>295</v>
      </c>
      <c r="B296" s="97" t="n">
        <v>279</v>
      </c>
      <c r="C296" s="98" t="s">
        <v>2977</v>
      </c>
      <c r="D296" s="97" t="s">
        <v>2978</v>
      </c>
      <c r="E296" s="99" t="n">
        <v>33792</v>
      </c>
      <c r="F296" s="97" t="s">
        <v>1898</v>
      </c>
      <c r="G296" s="98" t="s">
        <v>2979</v>
      </c>
      <c r="H296" s="97" t="n">
        <v>0</v>
      </c>
      <c r="I296" s="97" t="s">
        <v>1907</v>
      </c>
      <c r="J296" s="97" t="n">
        <v>0</v>
      </c>
      <c r="K296" s="98" t="s">
        <v>2980</v>
      </c>
      <c r="L296" s="97" t="s">
        <v>1902</v>
      </c>
      <c r="M296" s="97" t="s">
        <v>25</v>
      </c>
      <c r="N296" s="97" t="s">
        <v>1903</v>
      </c>
      <c r="O296" s="97" t="s">
        <v>1904</v>
      </c>
    </row>
    <row r="297" spans="1:15">
      <c r="A297" s="101" t="n">
        <v>296</v>
      </c>
      <c r="B297" s="97" t="n">
        <v>38</v>
      </c>
      <c r="C297" s="98" t="s">
        <v>2981</v>
      </c>
      <c r="D297" s="97" t="s">
        <v>2982</v>
      </c>
      <c r="E297" s="99" t="n">
        <v>29725</v>
      </c>
      <c r="F297" s="97" t="s">
        <v>1898</v>
      </c>
      <c r="G297" s="98" t="s">
        <v>2983</v>
      </c>
      <c r="H297" s="97" t="n">
        <v>0</v>
      </c>
      <c r="I297" s="97" t="s">
        <v>1900</v>
      </c>
      <c r="J297" s="97" t="n">
        <v>0</v>
      </c>
      <c r="K297" s="98" t="s">
        <v>2984</v>
      </c>
      <c r="L297" s="97" t="s">
        <v>1902</v>
      </c>
      <c r="M297" s="97" t="s">
        <v>25</v>
      </c>
      <c r="N297" s="97" t="s">
        <v>1903</v>
      </c>
      <c r="O297" s="97" t="s">
        <v>1904</v>
      </c>
    </row>
    <row r="298" spans="1:15">
      <c r="A298" s="101" t="n">
        <v>297</v>
      </c>
      <c r="B298" s="97" t="n">
        <v>361</v>
      </c>
      <c r="C298" s="98" t="s">
        <v>2985</v>
      </c>
      <c r="D298" s="97" t="s">
        <v>2986</v>
      </c>
      <c r="E298" s="99" t="n">
        <v>31752</v>
      </c>
      <c r="F298" s="97" t="s">
        <v>1898</v>
      </c>
      <c r="G298" s="98" t="s">
        <v>900</v>
      </c>
      <c r="H298" s="97" t="n">
        <v>0</v>
      </c>
      <c r="I298" s="97" t="s">
        <v>2987</v>
      </c>
      <c r="J298" s="97" t="n">
        <v>0</v>
      </c>
      <c r="K298" s="98" t="s">
        <v>2988</v>
      </c>
      <c r="L298" s="97" t="s">
        <v>1902</v>
      </c>
      <c r="M298" s="97" t="s">
        <v>880</v>
      </c>
      <c r="N298" s="97" t="s">
        <v>1903</v>
      </c>
      <c r="O298" s="97" t="s">
        <v>1904</v>
      </c>
    </row>
    <row r="299" spans="1:15">
      <c r="A299" s="101" t="n">
        <v>298</v>
      </c>
      <c r="B299" s="97" t="n">
        <v>412</v>
      </c>
      <c r="C299" s="98" t="s">
        <v>2989</v>
      </c>
      <c r="D299" s="97" t="s">
        <v>2990</v>
      </c>
      <c r="E299" s="99" t="n">
        <v>34081</v>
      </c>
      <c r="F299" s="97" t="s">
        <v>1898</v>
      </c>
      <c r="G299" s="98" t="s">
        <v>903</v>
      </c>
      <c r="H299" s="97" t="n">
        <v>0</v>
      </c>
      <c r="I299" s="97" t="s">
        <v>2987</v>
      </c>
      <c r="J299" s="97" t="n">
        <v>0</v>
      </c>
      <c r="K299" s="98" t="s">
        <v>2991</v>
      </c>
      <c r="L299" s="97" t="s">
        <v>1902</v>
      </c>
      <c r="M299" s="97" t="s">
        <v>880</v>
      </c>
      <c r="N299" s="97" t="s">
        <v>1903</v>
      </c>
      <c r="O299" s="97" t="s">
        <v>1904</v>
      </c>
    </row>
    <row r="300" spans="1:15">
      <c r="A300" s="101" t="n">
        <v>299</v>
      </c>
      <c r="B300" s="97" t="n">
        <v>422</v>
      </c>
      <c r="C300" s="98" t="s">
        <v>2992</v>
      </c>
      <c r="D300" s="97" t="s">
        <v>2993</v>
      </c>
      <c r="E300" s="99" t="n">
        <v>34713</v>
      </c>
      <c r="F300" s="97" t="s">
        <v>1898</v>
      </c>
      <c r="G300" s="98" t="s">
        <v>905</v>
      </c>
      <c r="H300" s="97" t="n">
        <v>0</v>
      </c>
      <c r="I300" s="97" t="s">
        <v>2987</v>
      </c>
      <c r="J300" s="97" t="n">
        <v>0</v>
      </c>
      <c r="K300" s="98" t="s">
        <v>2994</v>
      </c>
      <c r="L300" s="97" t="s">
        <v>1902</v>
      </c>
      <c r="M300" s="97" t="s">
        <v>880</v>
      </c>
      <c r="N300" s="97" t="s">
        <v>1903</v>
      </c>
      <c r="O300" s="97" t="s">
        <v>1904</v>
      </c>
    </row>
    <row r="301" spans="1:15">
      <c r="A301" s="101" t="n">
        <v>300</v>
      </c>
      <c r="B301" s="97" t="n">
        <v>324</v>
      </c>
      <c r="C301" s="98" t="s">
        <v>2995</v>
      </c>
      <c r="D301" s="97" t="s">
        <v>2996</v>
      </c>
      <c r="E301" s="99" t="n">
        <v>34777</v>
      </c>
      <c r="F301" s="97" t="s">
        <v>1898</v>
      </c>
      <c r="G301" s="98" t="s">
        <v>2997</v>
      </c>
      <c r="H301" s="97" t="n">
        <v>0</v>
      </c>
      <c r="I301" s="97" t="s">
        <v>2998</v>
      </c>
      <c r="J301" s="97" t="n">
        <v>0</v>
      </c>
      <c r="K301" s="98" t="s">
        <v>2999</v>
      </c>
      <c r="L301" s="97" t="s">
        <v>1902</v>
      </c>
      <c r="M301" s="97" t="s">
        <v>880</v>
      </c>
      <c r="N301" s="97" t="s">
        <v>1903</v>
      </c>
      <c r="O301" s="97" t="s">
        <v>1904</v>
      </c>
    </row>
    <row r="302" spans="1:15">
      <c r="A302" s="101" t="n">
        <v>301</v>
      </c>
      <c r="B302" s="97" t="n">
        <v>348</v>
      </c>
      <c r="C302" s="98" t="s">
        <v>3000</v>
      </c>
      <c r="D302" s="97" t="s">
        <v>3001</v>
      </c>
      <c r="E302" s="99" t="n">
        <v>30786</v>
      </c>
      <c r="F302" s="97" t="s">
        <v>1898</v>
      </c>
      <c r="G302" s="98" t="s">
        <v>907</v>
      </c>
      <c r="H302" s="97" t="n">
        <v>0</v>
      </c>
      <c r="I302" s="97" t="s">
        <v>2987</v>
      </c>
      <c r="J302" s="97" t="n">
        <v>0</v>
      </c>
      <c r="K302" s="98" t="s">
        <v>3002</v>
      </c>
      <c r="L302" s="97" t="s">
        <v>1902</v>
      </c>
      <c r="M302" s="97" t="s">
        <v>880</v>
      </c>
      <c r="N302" s="97" t="s">
        <v>1903</v>
      </c>
      <c r="O302" s="97" t="s">
        <v>1904</v>
      </c>
    </row>
    <row r="303" spans="1:15">
      <c r="A303" s="101" t="n">
        <v>302</v>
      </c>
      <c r="B303" s="97" t="n">
        <v>427</v>
      </c>
      <c r="C303" s="98" t="s">
        <v>3003</v>
      </c>
      <c r="D303" s="97" t="s">
        <v>3004</v>
      </c>
      <c r="E303" s="99" t="n">
        <v>34888</v>
      </c>
      <c r="F303" s="97" t="s">
        <v>1898</v>
      </c>
      <c r="G303" s="98" t="s">
        <v>3005</v>
      </c>
      <c r="H303" s="97" t="n">
        <v>0</v>
      </c>
      <c r="I303" s="97" t="s">
        <v>2987</v>
      </c>
      <c r="J303" s="97" t="n">
        <v>0</v>
      </c>
      <c r="K303" s="98" t="s">
        <v>3006</v>
      </c>
      <c r="L303" s="97" t="s">
        <v>1902</v>
      </c>
      <c r="M303" s="97" t="s">
        <v>880</v>
      </c>
      <c r="N303" s="97" t="s">
        <v>1903</v>
      </c>
      <c r="O303" s="97" t="s">
        <v>1904</v>
      </c>
    </row>
    <row r="304" spans="1:15">
      <c r="A304" s="101" t="n">
        <v>303</v>
      </c>
      <c r="B304" s="97" t="n">
        <v>392</v>
      </c>
      <c r="C304" s="98" t="s">
        <v>3007</v>
      </c>
      <c r="D304" s="97" t="s">
        <v>3008</v>
      </c>
      <c r="E304" s="99" t="n">
        <v>33381</v>
      </c>
      <c r="F304" s="97" t="s">
        <v>1898</v>
      </c>
      <c r="G304" s="98" t="s">
        <v>912</v>
      </c>
      <c r="H304" s="97" t="n">
        <v>0</v>
      </c>
      <c r="I304" s="97" t="s">
        <v>2987</v>
      </c>
      <c r="J304" s="97" t="n">
        <v>0</v>
      </c>
      <c r="K304" s="98" t="s">
        <v>3009</v>
      </c>
      <c r="L304" s="97" t="s">
        <v>1902</v>
      </c>
      <c r="M304" s="97" t="s">
        <v>880</v>
      </c>
      <c r="N304" s="97" t="s">
        <v>1903</v>
      </c>
      <c r="O304" s="97" t="s">
        <v>1904</v>
      </c>
    </row>
    <row r="305" spans="1:15">
      <c r="A305" s="101" t="n">
        <v>304</v>
      </c>
      <c r="B305" s="97" t="n">
        <v>357</v>
      </c>
      <c r="C305" s="98" t="s">
        <v>3010</v>
      </c>
      <c r="D305" s="97" t="s">
        <v>3011</v>
      </c>
      <c r="E305" s="99" t="n">
        <v>31388</v>
      </c>
      <c r="F305" s="97" t="s">
        <v>1898</v>
      </c>
      <c r="G305" s="98" t="s">
        <v>916</v>
      </c>
      <c r="H305" s="97" t="n">
        <v>0</v>
      </c>
      <c r="I305" s="97" t="s">
        <v>2987</v>
      </c>
      <c r="J305" s="97" t="n">
        <v>0</v>
      </c>
      <c r="K305" s="98" t="s">
        <v>3012</v>
      </c>
      <c r="L305" s="97" t="s">
        <v>1902</v>
      </c>
      <c r="M305" s="97" t="s">
        <v>880</v>
      </c>
      <c r="N305" s="97" t="s">
        <v>1903</v>
      </c>
      <c r="O305" s="97" t="s">
        <v>1904</v>
      </c>
    </row>
    <row r="306" spans="1:15">
      <c r="A306" s="101" t="n">
        <v>305</v>
      </c>
      <c r="B306" s="97" t="n">
        <v>363</v>
      </c>
      <c r="C306" s="98" t="s">
        <v>3013</v>
      </c>
      <c r="D306" s="97" t="s">
        <v>3014</v>
      </c>
      <c r="E306" s="99" t="n">
        <v>31863</v>
      </c>
      <c r="F306" s="97" t="s">
        <v>1898</v>
      </c>
      <c r="G306" s="98" t="s">
        <v>923</v>
      </c>
      <c r="H306" s="97" t="n">
        <v>0</v>
      </c>
      <c r="I306" s="97" t="s">
        <v>2987</v>
      </c>
      <c r="J306" s="97" t="n">
        <v>0</v>
      </c>
      <c r="K306" s="98" t="s">
        <v>3015</v>
      </c>
      <c r="L306" s="97" t="s">
        <v>1902</v>
      </c>
      <c r="M306" s="97" t="s">
        <v>880</v>
      </c>
      <c r="N306" s="97" t="s">
        <v>1903</v>
      </c>
      <c r="O306" s="97" t="s">
        <v>1904</v>
      </c>
    </row>
    <row r="307" spans="1:15">
      <c r="A307" s="101" t="n">
        <v>306</v>
      </c>
      <c r="B307" s="97" t="n">
        <v>358</v>
      </c>
      <c r="C307" s="98" t="s">
        <v>3016</v>
      </c>
      <c r="D307" s="97" t="s">
        <v>3017</v>
      </c>
      <c r="E307" s="99" t="n">
        <v>31475</v>
      </c>
      <c r="F307" s="97" t="s">
        <v>1898</v>
      </c>
      <c r="G307" s="98" t="s">
        <v>925</v>
      </c>
      <c r="H307" s="97" t="n">
        <v>0</v>
      </c>
      <c r="I307" s="97" t="s">
        <v>2987</v>
      </c>
      <c r="J307" s="97" t="n">
        <v>0</v>
      </c>
      <c r="K307" s="98" t="s">
        <v>3018</v>
      </c>
      <c r="L307" s="97" t="s">
        <v>1902</v>
      </c>
      <c r="M307" s="97" t="s">
        <v>880</v>
      </c>
      <c r="N307" s="97" t="s">
        <v>1903</v>
      </c>
      <c r="O307" s="97" t="s">
        <v>1904</v>
      </c>
    </row>
    <row r="308" spans="1:15">
      <c r="A308" s="101" t="n">
        <v>307</v>
      </c>
      <c r="B308" s="97" t="n">
        <v>404</v>
      </c>
      <c r="C308" s="98" t="s">
        <v>3019</v>
      </c>
      <c r="D308" s="97" t="s">
        <v>3020</v>
      </c>
      <c r="E308" s="99" t="n">
        <v>33780</v>
      </c>
      <c r="F308" s="97" t="s">
        <v>1898</v>
      </c>
      <c r="G308" s="98" t="s">
        <v>928</v>
      </c>
      <c r="H308" s="97" t="n">
        <v>0</v>
      </c>
      <c r="I308" s="97" t="s">
        <v>2987</v>
      </c>
      <c r="J308" s="97" t="n">
        <v>0</v>
      </c>
      <c r="K308" s="98" t="s">
        <v>3021</v>
      </c>
      <c r="L308" s="97" t="s">
        <v>1902</v>
      </c>
      <c r="M308" s="97" t="s">
        <v>880</v>
      </c>
      <c r="N308" s="97" t="s">
        <v>1903</v>
      </c>
      <c r="O308" s="97" t="s">
        <v>1904</v>
      </c>
    </row>
    <row r="309" spans="1:15">
      <c r="A309" s="101" t="n">
        <v>308</v>
      </c>
      <c r="B309" s="97" t="n">
        <v>351</v>
      </c>
      <c r="C309" s="98" t="s">
        <v>3022</v>
      </c>
      <c r="D309" s="97" t="s">
        <v>3023</v>
      </c>
      <c r="E309" s="99" t="n">
        <v>30847</v>
      </c>
      <c r="F309" s="97" t="s">
        <v>1898</v>
      </c>
      <c r="G309" s="98" t="s">
        <v>879</v>
      </c>
      <c r="H309" s="97" t="n">
        <v>0</v>
      </c>
      <c r="I309" s="97" t="s">
        <v>2987</v>
      </c>
      <c r="J309" s="97" t="n">
        <v>0</v>
      </c>
      <c r="K309" s="98" t="s">
        <v>3024</v>
      </c>
      <c r="L309" s="97" t="s">
        <v>1902</v>
      </c>
      <c r="M309" s="97" t="s">
        <v>880</v>
      </c>
      <c r="N309" s="97" t="s">
        <v>1903</v>
      </c>
      <c r="O309" s="97" t="s">
        <v>1904</v>
      </c>
    </row>
    <row r="310" spans="1:15">
      <c r="A310" s="101" t="n">
        <v>309</v>
      </c>
      <c r="B310" s="97" t="n">
        <v>438</v>
      </c>
      <c r="C310" s="98" t="s">
        <v>3025</v>
      </c>
      <c r="D310" s="97" t="s">
        <v>3026</v>
      </c>
      <c r="E310" s="99" t="n">
        <v>35887</v>
      </c>
      <c r="F310" s="97" t="s">
        <v>1898</v>
      </c>
      <c r="G310" s="98" t="s">
        <v>3027</v>
      </c>
      <c r="H310" s="97" t="n">
        <v>0</v>
      </c>
      <c r="I310" s="97" t="s">
        <v>2987</v>
      </c>
      <c r="J310" s="97" t="n">
        <v>0</v>
      </c>
      <c r="K310" s="98" t="s">
        <v>3028</v>
      </c>
      <c r="L310" s="97" t="s">
        <v>1902</v>
      </c>
      <c r="M310" s="97" t="s">
        <v>880</v>
      </c>
      <c r="N310" s="97" t="s">
        <v>1903</v>
      </c>
      <c r="O310" s="97" t="s">
        <v>1904</v>
      </c>
    </row>
    <row r="311" spans="1:15">
      <c r="A311" s="101" t="n">
        <v>310</v>
      </c>
      <c r="B311" s="97" t="n">
        <v>379</v>
      </c>
      <c r="C311" s="98" t="s">
        <v>3029</v>
      </c>
      <c r="D311" s="97" t="s">
        <v>3030</v>
      </c>
      <c r="E311" s="99" t="n">
        <v>33030</v>
      </c>
      <c r="F311" s="97" t="s">
        <v>1898</v>
      </c>
      <c r="G311" s="98" t="s">
        <v>3031</v>
      </c>
      <c r="H311" s="97" t="n">
        <v>0</v>
      </c>
      <c r="I311" s="97" t="s">
        <v>2987</v>
      </c>
      <c r="J311" s="97" t="n">
        <v>0</v>
      </c>
      <c r="K311" s="98" t="s">
        <v>3032</v>
      </c>
      <c r="L311" s="97" t="s">
        <v>1902</v>
      </c>
      <c r="M311" s="97" t="s">
        <v>880</v>
      </c>
      <c r="N311" s="97" t="s">
        <v>1903</v>
      </c>
      <c r="O311" s="97" t="s">
        <v>1904</v>
      </c>
    </row>
    <row r="312" spans="1:15">
      <c r="A312" s="101" t="n">
        <v>311</v>
      </c>
      <c r="B312" s="97" t="n">
        <v>364</v>
      </c>
      <c r="C312" s="98" t="s">
        <v>3033</v>
      </c>
      <c r="D312" s="97" t="s">
        <v>3034</v>
      </c>
      <c r="E312" s="99" t="n">
        <v>31895</v>
      </c>
      <c r="F312" s="97" t="s">
        <v>1898</v>
      </c>
      <c r="G312" s="98" t="s">
        <v>930</v>
      </c>
      <c r="H312" s="97" t="n">
        <v>0</v>
      </c>
      <c r="I312" s="97" t="s">
        <v>2987</v>
      </c>
      <c r="J312" s="97" t="n">
        <v>0</v>
      </c>
      <c r="K312" s="98" t="s">
        <v>3035</v>
      </c>
      <c r="L312" s="97" t="s">
        <v>1902</v>
      </c>
      <c r="M312" s="97" t="s">
        <v>880</v>
      </c>
      <c r="N312" s="97" t="s">
        <v>1903</v>
      </c>
      <c r="O312" s="97" t="s">
        <v>1904</v>
      </c>
    </row>
    <row r="313" spans="1:15">
      <c r="A313" s="101" t="n">
        <v>312</v>
      </c>
      <c r="B313" s="97" t="n">
        <v>320</v>
      </c>
      <c r="C313" s="98" t="s">
        <v>3036</v>
      </c>
      <c r="D313" s="97" t="s">
        <v>3037</v>
      </c>
      <c r="E313" s="99" t="n">
        <v>33344</v>
      </c>
      <c r="F313" s="97" t="s">
        <v>1898</v>
      </c>
      <c r="G313" s="98" t="s">
        <v>3038</v>
      </c>
      <c r="H313" s="97" t="n">
        <v>0</v>
      </c>
      <c r="I313" s="97" t="s">
        <v>2998</v>
      </c>
      <c r="J313" s="97" t="n">
        <v>0</v>
      </c>
      <c r="K313" s="98" t="s">
        <v>3039</v>
      </c>
      <c r="L313" s="97" t="s">
        <v>1902</v>
      </c>
      <c r="M313" s="97" t="s">
        <v>880</v>
      </c>
      <c r="N313" s="97" t="s">
        <v>1903</v>
      </c>
      <c r="O313" s="97" t="s">
        <v>1904</v>
      </c>
    </row>
    <row r="314" spans="1:15">
      <c r="A314" s="101" t="n">
        <v>313</v>
      </c>
      <c r="B314" s="97" t="n">
        <v>435</v>
      </c>
      <c r="C314" s="98" t="s">
        <v>3040</v>
      </c>
      <c r="D314" s="97" t="s">
        <v>3041</v>
      </c>
      <c r="E314" s="99" t="n">
        <v>35591</v>
      </c>
      <c r="F314" s="97" t="s">
        <v>1898</v>
      </c>
      <c r="G314" s="98" t="s">
        <v>3042</v>
      </c>
      <c r="H314" s="97" t="n">
        <v>0</v>
      </c>
      <c r="I314" s="97" t="s">
        <v>2987</v>
      </c>
      <c r="J314" s="97" t="n">
        <v>0</v>
      </c>
      <c r="K314" s="98" t="s">
        <v>3043</v>
      </c>
      <c r="L314" s="97" t="s">
        <v>1902</v>
      </c>
      <c r="M314" s="97" t="s">
        <v>880</v>
      </c>
      <c r="N314" s="97" t="s">
        <v>1903</v>
      </c>
      <c r="O314" s="97" t="s">
        <v>1904</v>
      </c>
    </row>
    <row r="315" spans="1:15">
      <c r="A315" s="101" t="n">
        <v>314</v>
      </c>
      <c r="B315" s="97" t="n">
        <v>331</v>
      </c>
      <c r="C315" s="98" t="s">
        <v>3044</v>
      </c>
      <c r="D315" s="97" t="s">
        <v>3045</v>
      </c>
      <c r="E315" s="99" t="n">
        <v>33154</v>
      </c>
      <c r="F315" s="97" t="s">
        <v>1898</v>
      </c>
      <c r="G315" s="98" t="s">
        <v>932</v>
      </c>
      <c r="H315" s="97" t="n">
        <v>0</v>
      </c>
      <c r="I315" s="97" t="s">
        <v>2998</v>
      </c>
      <c r="J315" s="97" t="n">
        <v>0</v>
      </c>
      <c r="K315" s="98" t="s">
        <v>3046</v>
      </c>
      <c r="L315" s="97" t="s">
        <v>1902</v>
      </c>
      <c r="M315" s="97" t="s">
        <v>880</v>
      </c>
      <c r="N315" s="97" t="s">
        <v>1903</v>
      </c>
      <c r="O315" s="97" t="s">
        <v>1904</v>
      </c>
    </row>
    <row r="316" spans="1:15">
      <c r="A316" s="101" t="n">
        <v>315</v>
      </c>
      <c r="B316" s="97" t="n">
        <v>414</v>
      </c>
      <c r="C316" s="98" t="s">
        <v>3047</v>
      </c>
      <c r="D316" s="97" t="s">
        <v>3048</v>
      </c>
      <c r="E316" s="99" t="n">
        <v>34187</v>
      </c>
      <c r="F316" s="97" t="s">
        <v>1898</v>
      </c>
      <c r="G316" s="98" t="s">
        <v>3049</v>
      </c>
      <c r="H316" s="97" t="n">
        <v>0</v>
      </c>
      <c r="I316" s="97" t="s">
        <v>2987</v>
      </c>
      <c r="J316" s="97" t="n">
        <v>0</v>
      </c>
      <c r="K316" s="98" t="s">
        <v>3050</v>
      </c>
      <c r="L316" s="97" t="s">
        <v>1902</v>
      </c>
      <c r="M316" s="97" t="s">
        <v>880</v>
      </c>
      <c r="N316" s="97" t="s">
        <v>1903</v>
      </c>
      <c r="O316" s="97" t="s">
        <v>1904</v>
      </c>
    </row>
    <row r="317" spans="1:15">
      <c r="A317" s="101" t="n">
        <v>316</v>
      </c>
      <c r="B317" s="97" t="n">
        <v>433</v>
      </c>
      <c r="C317" s="98" t="s">
        <v>3051</v>
      </c>
      <c r="D317" s="97" t="s">
        <v>3052</v>
      </c>
      <c r="E317" s="99" t="n">
        <v>35480</v>
      </c>
      <c r="F317" s="97" t="s">
        <v>1898</v>
      </c>
      <c r="G317" s="98" t="s">
        <v>936</v>
      </c>
      <c r="H317" s="97" t="n">
        <v>0</v>
      </c>
      <c r="I317" s="97" t="s">
        <v>2987</v>
      </c>
      <c r="J317" s="97" t="n">
        <v>0</v>
      </c>
      <c r="K317" s="98" t="s">
        <v>3053</v>
      </c>
      <c r="L317" s="97" t="s">
        <v>1902</v>
      </c>
      <c r="M317" s="97" t="s">
        <v>880</v>
      </c>
      <c r="N317" s="97" t="s">
        <v>1903</v>
      </c>
      <c r="O317" s="97" t="s">
        <v>1904</v>
      </c>
    </row>
    <row r="318" spans="1:15">
      <c r="A318" s="101" t="n">
        <v>317</v>
      </c>
      <c r="B318" s="97" t="n">
        <v>334</v>
      </c>
      <c r="C318" s="98" t="s">
        <v>3054</v>
      </c>
      <c r="D318" s="97" t="s">
        <v>1151</v>
      </c>
      <c r="E318" s="99" t="n">
        <v>34207</v>
      </c>
      <c r="F318" s="97" t="s">
        <v>1898</v>
      </c>
      <c r="G318" s="98" t="s">
        <v>3055</v>
      </c>
      <c r="H318" s="97" t="n">
        <v>0</v>
      </c>
      <c r="I318" s="97" t="s">
        <v>2998</v>
      </c>
      <c r="J318" s="97" t="n">
        <v>0</v>
      </c>
      <c r="K318" s="98" t="s">
        <v>3056</v>
      </c>
      <c r="L318" s="97" t="s">
        <v>1902</v>
      </c>
      <c r="M318" s="97" t="s">
        <v>880</v>
      </c>
      <c r="N318" s="97" t="s">
        <v>1903</v>
      </c>
      <c r="O318" s="97" t="s">
        <v>1904</v>
      </c>
    </row>
    <row r="319" spans="1:15">
      <c r="A319" s="101" t="n">
        <v>318</v>
      </c>
      <c r="B319" s="97" t="n">
        <v>304</v>
      </c>
      <c r="C319" s="98" t="s">
        <v>3057</v>
      </c>
      <c r="D319" s="97" t="s">
        <v>3058</v>
      </c>
      <c r="E319" s="99" t="n">
        <v>26038</v>
      </c>
      <c r="F319" s="97" t="s">
        <v>1898</v>
      </c>
      <c r="G319" s="98" t="s">
        <v>919</v>
      </c>
      <c r="H319" s="97" t="n">
        <v>0</v>
      </c>
      <c r="I319" s="97" t="s">
        <v>2998</v>
      </c>
      <c r="J319" s="97" t="n">
        <v>0</v>
      </c>
      <c r="K319" s="98" t="s">
        <v>3059</v>
      </c>
      <c r="L319" s="97" t="s">
        <v>1902</v>
      </c>
      <c r="M319" s="97" t="s">
        <v>880</v>
      </c>
      <c r="N319" s="97" t="s">
        <v>1903</v>
      </c>
      <c r="O319" s="97" t="s">
        <v>1904</v>
      </c>
    </row>
    <row r="320" spans="1:15">
      <c r="A320" s="101" t="n">
        <v>319</v>
      </c>
      <c r="B320" s="97" t="n">
        <v>303</v>
      </c>
      <c r="C320" s="98" t="s">
        <v>3060</v>
      </c>
      <c r="D320" s="97" t="s">
        <v>3061</v>
      </c>
      <c r="E320" s="99" t="n">
        <v>31344</v>
      </c>
      <c r="F320" s="97" t="s">
        <v>1898</v>
      </c>
      <c r="G320" s="98" t="s">
        <v>3062</v>
      </c>
      <c r="H320" s="97" t="n">
        <v>0</v>
      </c>
      <c r="I320" s="97" t="s">
        <v>2998</v>
      </c>
      <c r="J320" s="97" t="n">
        <v>0</v>
      </c>
      <c r="K320" s="98" t="s">
        <v>3063</v>
      </c>
      <c r="L320" s="97" t="s">
        <v>1902</v>
      </c>
      <c r="M320" s="97" t="s">
        <v>880</v>
      </c>
      <c r="N320" s="97" t="s">
        <v>1903</v>
      </c>
      <c r="O320" s="97" t="s">
        <v>1904</v>
      </c>
    </row>
    <row r="321" spans="1:15">
      <c r="A321" s="101" t="n">
        <v>320</v>
      </c>
      <c r="B321" s="97" t="n">
        <v>305</v>
      </c>
      <c r="C321" s="98" t="s">
        <v>3064</v>
      </c>
      <c r="D321" s="97" t="s">
        <v>3065</v>
      </c>
      <c r="E321" s="99" t="n">
        <v>26944</v>
      </c>
      <c r="F321" s="97" t="s">
        <v>1898</v>
      </c>
      <c r="G321" s="98" t="s">
        <v>981</v>
      </c>
      <c r="H321" s="97" t="n">
        <v>0</v>
      </c>
      <c r="I321" s="97" t="s">
        <v>2998</v>
      </c>
      <c r="J321" s="97" t="n">
        <v>0</v>
      </c>
      <c r="K321" s="98" t="s">
        <v>3066</v>
      </c>
      <c r="L321" s="97" t="s">
        <v>1902</v>
      </c>
      <c r="M321" s="97" t="s">
        <v>880</v>
      </c>
      <c r="N321" s="97" t="s">
        <v>1903</v>
      </c>
      <c r="O321" s="97" t="s">
        <v>1904</v>
      </c>
    </row>
    <row r="322" spans="1:15">
      <c r="A322" s="101" t="n">
        <v>321</v>
      </c>
      <c r="B322" s="97" t="n">
        <v>402</v>
      </c>
      <c r="C322" s="98" t="s">
        <v>3067</v>
      </c>
      <c r="D322" s="97" t="s">
        <v>3068</v>
      </c>
      <c r="E322" s="99" t="n">
        <v>33706</v>
      </c>
      <c r="F322" s="97" t="s">
        <v>1898</v>
      </c>
      <c r="G322" s="98" t="s">
        <v>938</v>
      </c>
      <c r="H322" s="97" t="n">
        <v>0</v>
      </c>
      <c r="I322" s="97" t="s">
        <v>2987</v>
      </c>
      <c r="J322" s="97" t="n">
        <v>0</v>
      </c>
      <c r="K322" s="98" t="s">
        <v>3069</v>
      </c>
      <c r="L322" s="97" t="s">
        <v>1902</v>
      </c>
      <c r="M322" s="97" t="s">
        <v>880</v>
      </c>
      <c r="N322" s="97" t="s">
        <v>1903</v>
      </c>
      <c r="O322" s="97" t="s">
        <v>1904</v>
      </c>
    </row>
    <row r="323" spans="1:15">
      <c r="A323" s="101" t="n">
        <v>322</v>
      </c>
      <c r="B323" s="97" t="n">
        <v>355</v>
      </c>
      <c r="C323" s="98" t="s">
        <v>3070</v>
      </c>
      <c r="D323" s="97" t="s">
        <v>1078</v>
      </c>
      <c r="E323" s="99" t="n">
        <v>31110</v>
      </c>
      <c r="F323" s="97" t="s">
        <v>1898</v>
      </c>
      <c r="G323" s="98" t="s">
        <v>3071</v>
      </c>
      <c r="H323" s="97" t="n">
        <v>0</v>
      </c>
      <c r="I323" s="97" t="s">
        <v>2987</v>
      </c>
      <c r="J323" s="97" t="n">
        <v>0</v>
      </c>
      <c r="K323" s="98" t="s">
        <v>3072</v>
      </c>
      <c r="L323" s="97" t="s">
        <v>1902</v>
      </c>
      <c r="M323" s="97" t="s">
        <v>880</v>
      </c>
      <c r="N323" s="97" t="s">
        <v>1903</v>
      </c>
      <c r="O323" s="97" t="s">
        <v>1904</v>
      </c>
    </row>
    <row r="324" spans="1:15">
      <c r="A324" s="101" t="n">
        <v>323</v>
      </c>
      <c r="B324" s="97" t="n">
        <v>338</v>
      </c>
      <c r="C324" s="98" t="s">
        <v>3073</v>
      </c>
      <c r="D324" s="97" t="s">
        <v>3074</v>
      </c>
      <c r="E324" s="99" t="n">
        <v>35757</v>
      </c>
      <c r="F324" s="97" t="s">
        <v>1898</v>
      </c>
      <c r="G324" s="98" t="s">
        <v>1142</v>
      </c>
      <c r="H324" s="97" t="n">
        <v>0</v>
      </c>
      <c r="I324" s="97" t="s">
        <v>2998</v>
      </c>
      <c r="J324" s="97" t="n">
        <v>0</v>
      </c>
      <c r="K324" s="98" t="s">
        <v>3075</v>
      </c>
      <c r="L324" s="97" t="s">
        <v>1902</v>
      </c>
      <c r="M324" s="97" t="s">
        <v>880</v>
      </c>
      <c r="N324" s="97" t="s">
        <v>1903</v>
      </c>
      <c r="O324" s="97" t="s">
        <v>1904</v>
      </c>
    </row>
    <row r="325" spans="1:15">
      <c r="A325" s="101" t="n">
        <v>324</v>
      </c>
      <c r="B325" s="97" t="n">
        <v>385</v>
      </c>
      <c r="C325" s="98" t="s">
        <v>3076</v>
      </c>
      <c r="D325" s="97" t="s">
        <v>3077</v>
      </c>
      <c r="E325" s="99" t="n">
        <v>33182</v>
      </c>
      <c r="F325" s="97" t="s">
        <v>1898</v>
      </c>
      <c r="G325" s="98" t="s">
        <v>3078</v>
      </c>
      <c r="H325" s="97" t="n">
        <v>0</v>
      </c>
      <c r="I325" s="97" t="s">
        <v>2987</v>
      </c>
      <c r="J325" s="97" t="n">
        <v>0</v>
      </c>
      <c r="K325" s="98" t="s">
        <v>3079</v>
      </c>
      <c r="L325" s="97" t="s">
        <v>1902</v>
      </c>
      <c r="M325" s="97" t="s">
        <v>880</v>
      </c>
      <c r="N325" s="97" t="s">
        <v>1903</v>
      </c>
      <c r="O325" s="97" t="s">
        <v>1904</v>
      </c>
    </row>
    <row r="326" spans="1:15">
      <c r="A326" s="101" t="n">
        <v>325</v>
      </c>
      <c r="B326" s="97" t="n">
        <v>313</v>
      </c>
      <c r="C326" s="98" t="s">
        <v>3080</v>
      </c>
      <c r="D326" s="97" t="s">
        <v>3081</v>
      </c>
      <c r="E326" s="99" t="n">
        <v>32463</v>
      </c>
      <c r="F326" s="97" t="s">
        <v>1898</v>
      </c>
      <c r="G326" s="98" t="s">
        <v>887</v>
      </c>
      <c r="H326" s="97" t="n">
        <v>0</v>
      </c>
      <c r="I326" s="97" t="s">
        <v>2998</v>
      </c>
      <c r="J326" s="97" t="n">
        <v>0</v>
      </c>
      <c r="K326" s="98" t="s">
        <v>3082</v>
      </c>
      <c r="L326" s="97" t="s">
        <v>1902</v>
      </c>
      <c r="M326" s="97" t="s">
        <v>880</v>
      </c>
      <c r="N326" s="97" t="s">
        <v>1903</v>
      </c>
      <c r="O326" s="97" t="s">
        <v>1904</v>
      </c>
    </row>
    <row r="327" spans="1:15">
      <c r="A327" s="101" t="n">
        <v>326</v>
      </c>
      <c r="B327" s="97" t="n">
        <v>329</v>
      </c>
      <c r="C327" s="98" t="s">
        <v>3083</v>
      </c>
      <c r="D327" s="97" t="s">
        <v>3084</v>
      </c>
      <c r="E327" s="99" t="n">
        <v>33022</v>
      </c>
      <c r="F327" s="97" t="s">
        <v>1898</v>
      </c>
      <c r="G327" s="98" t="s">
        <v>3085</v>
      </c>
      <c r="H327" s="97" t="n">
        <v>0</v>
      </c>
      <c r="I327" s="97" t="s">
        <v>2998</v>
      </c>
      <c r="J327" s="97" t="n">
        <v>0</v>
      </c>
      <c r="K327" s="98" t="s">
        <v>3086</v>
      </c>
      <c r="L327" s="97" t="s">
        <v>1902</v>
      </c>
      <c r="M327" s="97" t="s">
        <v>880</v>
      </c>
      <c r="N327" s="97" t="s">
        <v>1903</v>
      </c>
      <c r="O327" s="97" t="s">
        <v>1904</v>
      </c>
    </row>
    <row r="328" spans="1:15">
      <c r="A328" s="101" t="n">
        <v>327</v>
      </c>
      <c r="B328" s="97" t="n">
        <v>356</v>
      </c>
      <c r="C328" s="98" t="s">
        <v>3087</v>
      </c>
      <c r="D328" s="97" t="s">
        <v>3088</v>
      </c>
      <c r="E328" s="99" t="n">
        <v>31157</v>
      </c>
      <c r="F328" s="97" t="s">
        <v>1898</v>
      </c>
      <c r="G328" s="98" t="s">
        <v>940</v>
      </c>
      <c r="H328" s="97" t="n">
        <v>0</v>
      </c>
      <c r="I328" s="97" t="s">
        <v>2987</v>
      </c>
      <c r="J328" s="97" t="n">
        <v>0</v>
      </c>
      <c r="K328" s="98" t="s">
        <v>3089</v>
      </c>
      <c r="L328" s="97" t="s">
        <v>1902</v>
      </c>
      <c r="M328" s="97" t="s">
        <v>880</v>
      </c>
      <c r="N328" s="97" t="s">
        <v>1903</v>
      </c>
      <c r="O328" s="97" t="s">
        <v>1904</v>
      </c>
    </row>
    <row r="329" spans="1:15">
      <c r="A329" s="101" t="n">
        <v>328</v>
      </c>
      <c r="B329" s="97" t="n">
        <v>336</v>
      </c>
      <c r="C329" s="98" t="s">
        <v>3090</v>
      </c>
      <c r="D329" s="97" t="s">
        <v>3091</v>
      </c>
      <c r="E329" s="99" t="n">
        <v>34856</v>
      </c>
      <c r="F329" s="97" t="s">
        <v>1898</v>
      </c>
      <c r="G329" s="98" t="s">
        <v>942</v>
      </c>
      <c r="H329" s="97" t="n">
        <v>0</v>
      </c>
      <c r="I329" s="97" t="s">
        <v>2998</v>
      </c>
      <c r="J329" s="97" t="n">
        <v>0</v>
      </c>
      <c r="K329" s="98" t="s">
        <v>3092</v>
      </c>
      <c r="L329" s="97" t="s">
        <v>1902</v>
      </c>
      <c r="M329" s="97" t="s">
        <v>880</v>
      </c>
      <c r="N329" s="97" t="s">
        <v>1903</v>
      </c>
      <c r="O329" s="97" t="s">
        <v>1904</v>
      </c>
    </row>
    <row r="330" spans="1:15">
      <c r="A330" s="101" t="n">
        <v>329</v>
      </c>
      <c r="B330" s="97" t="n">
        <v>327</v>
      </c>
      <c r="C330" s="98" t="s">
        <v>3093</v>
      </c>
      <c r="D330" s="97" t="s">
        <v>1162</v>
      </c>
      <c r="E330" s="99" t="n">
        <v>35492</v>
      </c>
      <c r="F330" s="97" t="s">
        <v>1898</v>
      </c>
      <c r="G330" s="98" t="s">
        <v>3094</v>
      </c>
      <c r="H330" s="97" t="n">
        <v>0</v>
      </c>
      <c r="I330" s="97" t="s">
        <v>2998</v>
      </c>
      <c r="J330" s="97" t="n">
        <v>0</v>
      </c>
      <c r="K330" s="98" t="s">
        <v>3095</v>
      </c>
      <c r="L330" s="97" t="s">
        <v>1902</v>
      </c>
      <c r="M330" s="97" t="s">
        <v>880</v>
      </c>
      <c r="N330" s="97" t="s">
        <v>1903</v>
      </c>
      <c r="O330" s="97" t="s">
        <v>1904</v>
      </c>
    </row>
    <row r="331" spans="1:15">
      <c r="A331" s="101" t="n">
        <v>330</v>
      </c>
      <c r="B331" s="97" t="n">
        <v>340</v>
      </c>
      <c r="C331" s="98" t="s">
        <v>3096</v>
      </c>
      <c r="D331" s="97" t="s">
        <v>3097</v>
      </c>
      <c r="E331" s="99" t="n">
        <v>29051</v>
      </c>
      <c r="F331" s="97" t="s">
        <v>1898</v>
      </c>
      <c r="G331" s="98" t="s">
        <v>945</v>
      </c>
      <c r="H331" s="97" t="n">
        <v>0</v>
      </c>
      <c r="I331" s="97" t="s">
        <v>2987</v>
      </c>
      <c r="J331" s="97" t="n">
        <v>0</v>
      </c>
      <c r="K331" s="98" t="s">
        <v>3098</v>
      </c>
      <c r="L331" s="97" t="s">
        <v>1902</v>
      </c>
      <c r="M331" s="97" t="s">
        <v>880</v>
      </c>
      <c r="N331" s="97" t="s">
        <v>1903</v>
      </c>
      <c r="O331" s="97" t="s">
        <v>1904</v>
      </c>
    </row>
    <row r="332" spans="1:15">
      <c r="A332" s="101" t="n">
        <v>331</v>
      </c>
      <c r="B332" s="97" t="n">
        <v>344</v>
      </c>
      <c r="C332" s="98" t="s">
        <v>3099</v>
      </c>
      <c r="D332" s="97" t="s">
        <v>3100</v>
      </c>
      <c r="E332" s="99" t="n">
        <v>30329</v>
      </c>
      <c r="F332" s="97" t="s">
        <v>1898</v>
      </c>
      <c r="G332" s="98" t="s">
        <v>947</v>
      </c>
      <c r="H332" s="97" t="n">
        <v>0</v>
      </c>
      <c r="I332" s="97" t="s">
        <v>2987</v>
      </c>
      <c r="J332" s="97" t="n">
        <v>0</v>
      </c>
      <c r="K332" s="98" t="s">
        <v>3101</v>
      </c>
      <c r="L332" s="97" t="s">
        <v>1902</v>
      </c>
      <c r="M332" s="97" t="s">
        <v>880</v>
      </c>
      <c r="N332" s="97" t="s">
        <v>1903</v>
      </c>
      <c r="O332" s="97" t="s">
        <v>1904</v>
      </c>
    </row>
    <row r="333" spans="1:15">
      <c r="A333" s="101" t="n">
        <v>332</v>
      </c>
      <c r="B333" s="97" t="n">
        <v>398</v>
      </c>
      <c r="C333" s="98" t="s">
        <v>3102</v>
      </c>
      <c r="D333" s="97" t="s">
        <v>3103</v>
      </c>
      <c r="E333" s="99" t="n">
        <v>33532</v>
      </c>
      <c r="F333" s="97" t="s">
        <v>1898</v>
      </c>
      <c r="G333" s="98" t="s">
        <v>949</v>
      </c>
      <c r="H333" s="97" t="n">
        <v>0</v>
      </c>
      <c r="I333" s="97" t="s">
        <v>2987</v>
      </c>
      <c r="J333" s="97" t="n">
        <v>0</v>
      </c>
      <c r="K333" s="98" t="s">
        <v>3104</v>
      </c>
      <c r="L333" s="97" t="s">
        <v>1902</v>
      </c>
      <c r="M333" s="97" t="s">
        <v>880</v>
      </c>
      <c r="N333" s="97" t="s">
        <v>1903</v>
      </c>
      <c r="O333" s="97" t="s">
        <v>1904</v>
      </c>
    </row>
    <row r="334" spans="1:15">
      <c r="A334" s="101" t="n">
        <v>333</v>
      </c>
      <c r="B334" s="97" t="n">
        <v>339</v>
      </c>
      <c r="C334" s="98" t="s">
        <v>3105</v>
      </c>
      <c r="D334" s="97" t="s">
        <v>3106</v>
      </c>
      <c r="E334" s="99" t="n">
        <v>36202</v>
      </c>
      <c r="F334" s="97" t="s">
        <v>1898</v>
      </c>
      <c r="G334" s="98" t="s">
        <v>951</v>
      </c>
      <c r="H334" s="97" t="n">
        <v>0</v>
      </c>
      <c r="I334" s="97" t="s">
        <v>2998</v>
      </c>
      <c r="J334" s="97" t="n">
        <v>0</v>
      </c>
      <c r="K334" s="98" t="s">
        <v>3107</v>
      </c>
      <c r="L334" s="97" t="s">
        <v>1902</v>
      </c>
      <c r="M334" s="97" t="s">
        <v>880</v>
      </c>
      <c r="N334" s="97" t="s">
        <v>1903</v>
      </c>
      <c r="O334" s="97" t="s">
        <v>1904</v>
      </c>
    </row>
    <row r="335" spans="1:15">
      <c r="A335" s="101" t="n">
        <v>334</v>
      </c>
      <c r="B335" s="97" t="n">
        <v>368</v>
      </c>
      <c r="C335" s="98" t="s">
        <v>3108</v>
      </c>
      <c r="D335" s="97" t="s">
        <v>3109</v>
      </c>
      <c r="E335" s="99" t="n">
        <v>32263</v>
      </c>
      <c r="F335" s="97" t="s">
        <v>1898</v>
      </c>
      <c r="G335" s="98" t="s">
        <v>954</v>
      </c>
      <c r="H335" s="97" t="n">
        <v>0</v>
      </c>
      <c r="I335" s="97" t="s">
        <v>2987</v>
      </c>
      <c r="J335" s="97" t="n">
        <v>0</v>
      </c>
      <c r="K335" s="98" t="s">
        <v>3110</v>
      </c>
      <c r="L335" s="97" t="s">
        <v>1902</v>
      </c>
      <c r="M335" s="97" t="s">
        <v>880</v>
      </c>
      <c r="N335" s="97" t="s">
        <v>1903</v>
      </c>
      <c r="O335" s="97" t="s">
        <v>1904</v>
      </c>
    </row>
    <row r="336" spans="1:15">
      <c r="A336" s="101" t="n">
        <v>335</v>
      </c>
      <c r="B336" s="97" t="n">
        <v>374</v>
      </c>
      <c r="C336" s="98" t="s">
        <v>3111</v>
      </c>
      <c r="D336" s="97" t="s">
        <v>3112</v>
      </c>
      <c r="E336" s="99" t="n">
        <v>32927</v>
      </c>
      <c r="F336" s="97" t="s">
        <v>1898</v>
      </c>
      <c r="G336" s="98" t="s">
        <v>956</v>
      </c>
      <c r="H336" s="97" t="n">
        <v>0</v>
      </c>
      <c r="I336" s="97" t="s">
        <v>2987</v>
      </c>
      <c r="J336" s="97" t="n">
        <v>0</v>
      </c>
      <c r="K336" s="98" t="s">
        <v>3113</v>
      </c>
      <c r="L336" s="97" t="s">
        <v>1902</v>
      </c>
      <c r="M336" s="97" t="s">
        <v>880</v>
      </c>
      <c r="N336" s="97" t="s">
        <v>1903</v>
      </c>
      <c r="O336" s="97" t="s">
        <v>1904</v>
      </c>
    </row>
    <row r="337" spans="1:15">
      <c r="A337" s="101" t="n">
        <v>336</v>
      </c>
      <c r="B337" s="97" t="n">
        <v>333</v>
      </c>
      <c r="C337" s="98" t="s">
        <v>3114</v>
      </c>
      <c r="D337" s="97" t="s">
        <v>3115</v>
      </c>
      <c r="E337" s="99" t="n">
        <v>33884</v>
      </c>
      <c r="F337" s="97" t="s">
        <v>1898</v>
      </c>
      <c r="G337" s="98" t="s">
        <v>1126</v>
      </c>
      <c r="H337" s="97" t="n">
        <v>0</v>
      </c>
      <c r="I337" s="97" t="s">
        <v>2998</v>
      </c>
      <c r="J337" s="97" t="n">
        <v>0</v>
      </c>
      <c r="K337" s="98" t="s">
        <v>3116</v>
      </c>
      <c r="L337" s="97" t="s">
        <v>1902</v>
      </c>
      <c r="M337" s="97" t="s">
        <v>880</v>
      </c>
      <c r="N337" s="97" t="s">
        <v>1903</v>
      </c>
      <c r="O337" s="97" t="s">
        <v>1904</v>
      </c>
    </row>
    <row r="338" spans="1:15">
      <c r="A338" s="101" t="n">
        <v>337</v>
      </c>
      <c r="B338" s="97" t="n">
        <v>436</v>
      </c>
      <c r="C338" s="98" t="s">
        <v>3117</v>
      </c>
      <c r="D338" s="97" t="s">
        <v>3118</v>
      </c>
      <c r="E338" s="99" t="n">
        <v>35694</v>
      </c>
      <c r="F338" s="97" t="s">
        <v>1898</v>
      </c>
      <c r="G338" s="98" t="s">
        <v>3119</v>
      </c>
      <c r="H338" s="97" t="n">
        <v>0</v>
      </c>
      <c r="I338" s="97" t="s">
        <v>2987</v>
      </c>
      <c r="J338" s="97" t="n">
        <v>0</v>
      </c>
      <c r="K338" s="98" t="s">
        <v>3120</v>
      </c>
      <c r="L338" s="97" t="s">
        <v>1902</v>
      </c>
      <c r="M338" s="97" t="s">
        <v>880</v>
      </c>
      <c r="N338" s="97" t="s">
        <v>1903</v>
      </c>
      <c r="O338" s="97" t="s">
        <v>1904</v>
      </c>
    </row>
    <row r="339" spans="1:15">
      <c r="A339" s="101" t="n">
        <v>338</v>
      </c>
      <c r="B339" s="97" t="n">
        <v>416</v>
      </c>
      <c r="C339" s="98" t="s">
        <v>3121</v>
      </c>
      <c r="D339" s="97" t="s">
        <v>3122</v>
      </c>
      <c r="E339" s="99" t="n">
        <v>34447</v>
      </c>
      <c r="F339" s="97" t="s">
        <v>1898</v>
      </c>
      <c r="G339" s="98" t="s">
        <v>958</v>
      </c>
      <c r="H339" s="97" t="n">
        <v>0</v>
      </c>
      <c r="I339" s="97" t="s">
        <v>2987</v>
      </c>
      <c r="J339" s="97" t="n">
        <v>0</v>
      </c>
      <c r="K339" s="98" t="s">
        <v>3123</v>
      </c>
      <c r="L339" s="97" t="s">
        <v>1902</v>
      </c>
      <c r="M339" s="97" t="s">
        <v>880</v>
      </c>
      <c r="N339" s="97" t="s">
        <v>1903</v>
      </c>
      <c r="O339" s="97" t="s">
        <v>1904</v>
      </c>
    </row>
    <row r="340" spans="1:15">
      <c r="A340" s="101" t="n">
        <v>339</v>
      </c>
      <c r="B340" s="97" t="n">
        <v>366</v>
      </c>
      <c r="C340" s="98" t="s">
        <v>3124</v>
      </c>
      <c r="D340" s="97" t="s">
        <v>3125</v>
      </c>
      <c r="E340" s="99" t="n">
        <v>31938</v>
      </c>
      <c r="F340" s="97" t="s">
        <v>1898</v>
      </c>
      <c r="G340" s="98" t="s">
        <v>894</v>
      </c>
      <c r="H340" s="97" t="n">
        <v>0</v>
      </c>
      <c r="I340" s="97" t="s">
        <v>2987</v>
      </c>
      <c r="J340" s="97" t="n">
        <v>0</v>
      </c>
      <c r="K340" s="98" t="s">
        <v>3126</v>
      </c>
      <c r="L340" s="97" t="s">
        <v>1902</v>
      </c>
      <c r="M340" s="97" t="s">
        <v>880</v>
      </c>
      <c r="N340" s="97" t="s">
        <v>1903</v>
      </c>
      <c r="O340" s="97" t="s">
        <v>1904</v>
      </c>
    </row>
    <row r="341" spans="1:15">
      <c r="A341" s="101" t="n">
        <v>340</v>
      </c>
      <c r="B341" s="97" t="n">
        <v>375</v>
      </c>
      <c r="C341" s="98" t="s">
        <v>3127</v>
      </c>
      <c r="D341" s="97" t="s">
        <v>3128</v>
      </c>
      <c r="E341" s="99" t="n">
        <v>32937</v>
      </c>
      <c r="F341" s="97" t="s">
        <v>1898</v>
      </c>
      <c r="G341" s="98" t="s">
        <v>898</v>
      </c>
      <c r="H341" s="97" t="n">
        <v>0</v>
      </c>
      <c r="I341" s="97" t="s">
        <v>2987</v>
      </c>
      <c r="J341" s="97" t="n">
        <v>0</v>
      </c>
      <c r="K341" s="98" t="s">
        <v>3129</v>
      </c>
      <c r="L341" s="97" t="s">
        <v>1902</v>
      </c>
      <c r="M341" s="97" t="s">
        <v>880</v>
      </c>
      <c r="N341" s="97" t="s">
        <v>1903</v>
      </c>
      <c r="O341" s="97" t="s">
        <v>1904</v>
      </c>
    </row>
    <row r="342" spans="1:15">
      <c r="A342" s="101" t="n">
        <v>341</v>
      </c>
      <c r="B342" s="97" t="n">
        <v>319</v>
      </c>
      <c r="C342" s="98" t="s">
        <v>3130</v>
      </c>
      <c r="D342" s="97" t="s">
        <v>3131</v>
      </c>
      <c r="E342" s="99" t="n">
        <v>33329</v>
      </c>
      <c r="F342" s="97" t="s">
        <v>1898</v>
      </c>
      <c r="G342" s="98" t="s">
        <v>960</v>
      </c>
      <c r="H342" s="97" t="n">
        <v>0</v>
      </c>
      <c r="I342" s="97" t="s">
        <v>2998</v>
      </c>
      <c r="J342" s="97" t="n">
        <v>0</v>
      </c>
      <c r="K342" s="98" t="s">
        <v>3132</v>
      </c>
      <c r="L342" s="97" t="s">
        <v>1902</v>
      </c>
      <c r="M342" s="97" t="s">
        <v>880</v>
      </c>
      <c r="N342" s="97" t="s">
        <v>1903</v>
      </c>
      <c r="O342" s="97" t="s">
        <v>1904</v>
      </c>
    </row>
    <row r="343" spans="1:15">
      <c r="A343" s="101" t="n">
        <v>342</v>
      </c>
      <c r="B343" s="97" t="n">
        <v>342</v>
      </c>
      <c r="C343" s="98" t="s">
        <v>3133</v>
      </c>
      <c r="D343" s="97" t="s">
        <v>3134</v>
      </c>
      <c r="E343" s="99" t="n">
        <v>29926</v>
      </c>
      <c r="F343" s="97" t="s">
        <v>1898</v>
      </c>
      <c r="G343" s="98" t="s">
        <v>885</v>
      </c>
      <c r="H343" s="97" t="n">
        <v>0</v>
      </c>
      <c r="I343" s="97" t="s">
        <v>2987</v>
      </c>
      <c r="J343" s="97" t="n">
        <v>0</v>
      </c>
      <c r="K343" s="98" t="s">
        <v>3135</v>
      </c>
      <c r="L343" s="97" t="s">
        <v>1902</v>
      </c>
      <c r="M343" s="97" t="s">
        <v>880</v>
      </c>
      <c r="N343" s="97" t="s">
        <v>1903</v>
      </c>
      <c r="O343" s="97" t="s">
        <v>1904</v>
      </c>
    </row>
    <row r="344" spans="1:15">
      <c r="A344" s="101" t="n">
        <v>343</v>
      </c>
      <c r="B344" s="97" t="n">
        <v>360</v>
      </c>
      <c r="C344" s="98" t="s">
        <v>3136</v>
      </c>
      <c r="D344" s="97" t="s">
        <v>3137</v>
      </c>
      <c r="E344" s="99" t="n">
        <v>31546</v>
      </c>
      <c r="F344" s="97" t="s">
        <v>1898</v>
      </c>
      <c r="G344" s="98" t="s">
        <v>962</v>
      </c>
      <c r="H344" s="97" t="n">
        <v>0</v>
      </c>
      <c r="I344" s="97" t="s">
        <v>2987</v>
      </c>
      <c r="J344" s="97" t="n">
        <v>0</v>
      </c>
      <c r="K344" s="98" t="s">
        <v>3138</v>
      </c>
      <c r="L344" s="97" t="s">
        <v>1902</v>
      </c>
      <c r="M344" s="97" t="s">
        <v>880</v>
      </c>
      <c r="N344" s="97" t="s">
        <v>1903</v>
      </c>
      <c r="O344" s="97" t="s">
        <v>1904</v>
      </c>
    </row>
    <row r="345" spans="1:15">
      <c r="A345" s="101" t="n">
        <v>344</v>
      </c>
      <c r="B345" s="97" t="n">
        <v>440</v>
      </c>
      <c r="C345" s="98" t="s">
        <v>3139</v>
      </c>
      <c r="D345" s="97" t="s">
        <v>3140</v>
      </c>
      <c r="E345" s="99" t="n">
        <v>35974</v>
      </c>
      <c r="F345" s="97" t="s">
        <v>1898</v>
      </c>
      <c r="G345" s="98" t="s">
        <v>1140</v>
      </c>
      <c r="H345" s="97" t="n">
        <v>0</v>
      </c>
      <c r="I345" s="97" t="s">
        <v>2987</v>
      </c>
      <c r="J345" s="97" t="n">
        <v>0</v>
      </c>
      <c r="K345" s="98" t="s">
        <v>3141</v>
      </c>
      <c r="L345" s="97" t="s">
        <v>1902</v>
      </c>
      <c r="M345" s="97" t="s">
        <v>880</v>
      </c>
      <c r="N345" s="97" t="s">
        <v>1903</v>
      </c>
      <c r="O345" s="97" t="s">
        <v>1904</v>
      </c>
    </row>
    <row r="346" spans="1:15">
      <c r="A346" s="101" t="n">
        <v>345</v>
      </c>
      <c r="B346" s="97" t="n">
        <v>376</v>
      </c>
      <c r="C346" s="98" t="s">
        <v>3142</v>
      </c>
      <c r="D346" s="97" t="s">
        <v>3143</v>
      </c>
      <c r="E346" s="99" t="n">
        <v>32958</v>
      </c>
      <c r="F346" s="97" t="s">
        <v>1898</v>
      </c>
      <c r="G346" s="98" t="s">
        <v>964</v>
      </c>
      <c r="H346" s="97" t="n">
        <v>0</v>
      </c>
      <c r="I346" s="97" t="s">
        <v>2987</v>
      </c>
      <c r="J346" s="97" t="n">
        <v>0</v>
      </c>
      <c r="K346" s="98" t="s">
        <v>3144</v>
      </c>
      <c r="L346" s="97" t="s">
        <v>1902</v>
      </c>
      <c r="M346" s="97" t="s">
        <v>880</v>
      </c>
      <c r="N346" s="97" t="s">
        <v>1903</v>
      </c>
      <c r="O346" s="97" t="s">
        <v>1904</v>
      </c>
    </row>
    <row r="347" spans="1:15">
      <c r="A347" s="101" t="n">
        <v>346</v>
      </c>
      <c r="B347" s="97" t="n">
        <v>350</v>
      </c>
      <c r="C347" s="98" t="s">
        <v>3145</v>
      </c>
      <c r="D347" s="97" t="s">
        <v>3146</v>
      </c>
      <c r="E347" s="99" t="n">
        <v>30814</v>
      </c>
      <c r="F347" s="97" t="s">
        <v>1898</v>
      </c>
      <c r="G347" s="98" t="s">
        <v>966</v>
      </c>
      <c r="H347" s="97" t="n">
        <v>0</v>
      </c>
      <c r="I347" s="97" t="s">
        <v>2987</v>
      </c>
      <c r="J347" s="97" t="n">
        <v>0</v>
      </c>
      <c r="K347" s="98" t="s">
        <v>3147</v>
      </c>
      <c r="L347" s="97" t="s">
        <v>1902</v>
      </c>
      <c r="M347" s="97" t="s">
        <v>880</v>
      </c>
      <c r="N347" s="97" t="s">
        <v>1903</v>
      </c>
      <c r="O347" s="97" t="s">
        <v>1904</v>
      </c>
    </row>
    <row r="348" spans="1:15">
      <c r="A348" s="101" t="n">
        <v>347</v>
      </c>
      <c r="B348" s="97" t="n">
        <v>325</v>
      </c>
      <c r="C348" s="98" t="s">
        <v>3148</v>
      </c>
      <c r="D348" s="97" t="s">
        <v>3149</v>
      </c>
      <c r="E348" s="99" t="n">
        <v>34814</v>
      </c>
      <c r="F348" s="97" t="s">
        <v>1898</v>
      </c>
      <c r="G348" s="98" t="s">
        <v>968</v>
      </c>
      <c r="H348" s="97" t="n">
        <v>0</v>
      </c>
      <c r="I348" s="97" t="s">
        <v>2998</v>
      </c>
      <c r="J348" s="97" t="n">
        <v>0</v>
      </c>
      <c r="K348" s="98" t="s">
        <v>3150</v>
      </c>
      <c r="L348" s="97" t="s">
        <v>1902</v>
      </c>
      <c r="M348" s="97" t="s">
        <v>880</v>
      </c>
      <c r="N348" s="97" t="s">
        <v>1903</v>
      </c>
      <c r="O348" s="97" t="s">
        <v>1904</v>
      </c>
    </row>
    <row r="349" spans="1:15">
      <c r="A349" s="101" t="n">
        <v>348</v>
      </c>
      <c r="B349" s="97" t="n">
        <v>312</v>
      </c>
      <c r="C349" s="98" t="s">
        <v>3151</v>
      </c>
      <c r="D349" s="97" t="s">
        <v>3152</v>
      </c>
      <c r="E349" s="99" t="n">
        <v>31981</v>
      </c>
      <c r="F349" s="97" t="s">
        <v>1898</v>
      </c>
      <c r="G349" s="98" t="s">
        <v>970</v>
      </c>
      <c r="H349" s="97" t="n">
        <v>0</v>
      </c>
      <c r="I349" s="97" t="s">
        <v>2998</v>
      </c>
      <c r="J349" s="97" t="n">
        <v>0</v>
      </c>
      <c r="K349" s="98" t="s">
        <v>3153</v>
      </c>
      <c r="L349" s="97" t="s">
        <v>1902</v>
      </c>
      <c r="M349" s="97" t="s">
        <v>880</v>
      </c>
      <c r="N349" s="97" t="s">
        <v>1903</v>
      </c>
      <c r="O349" s="97" t="s">
        <v>1904</v>
      </c>
    </row>
    <row r="350" spans="1:15">
      <c r="A350" s="101" t="n">
        <v>349</v>
      </c>
      <c r="B350" s="97" t="n">
        <v>314</v>
      </c>
      <c r="C350" s="98" t="s">
        <v>3154</v>
      </c>
      <c r="D350" s="97" t="s">
        <v>3155</v>
      </c>
      <c r="E350" s="99" t="n">
        <v>32469</v>
      </c>
      <c r="F350" s="97" t="s">
        <v>1898</v>
      </c>
      <c r="G350" s="98" t="s">
        <v>3156</v>
      </c>
      <c r="H350" s="97" t="n">
        <v>0</v>
      </c>
      <c r="I350" s="97" t="s">
        <v>2998</v>
      </c>
      <c r="J350" s="97" t="n">
        <v>0</v>
      </c>
      <c r="K350" s="98" t="s">
        <v>3157</v>
      </c>
      <c r="L350" s="97" t="s">
        <v>1902</v>
      </c>
      <c r="M350" s="97" t="s">
        <v>880</v>
      </c>
      <c r="N350" s="97" t="s">
        <v>1903</v>
      </c>
      <c r="O350" s="97" t="s">
        <v>1904</v>
      </c>
    </row>
    <row r="351" spans="1:15">
      <c r="A351" s="101" t="n">
        <v>350</v>
      </c>
      <c r="B351" s="97" t="n">
        <v>353</v>
      </c>
      <c r="C351" s="98" t="s">
        <v>3158</v>
      </c>
      <c r="D351" s="97" t="s">
        <v>3159</v>
      </c>
      <c r="E351" s="99" t="n">
        <v>30964</v>
      </c>
      <c r="F351" s="97" t="s">
        <v>1898</v>
      </c>
      <c r="G351" s="98" t="s">
        <v>972</v>
      </c>
      <c r="H351" s="97" t="n">
        <v>0</v>
      </c>
      <c r="I351" s="97" t="s">
        <v>2987</v>
      </c>
      <c r="J351" s="97" t="n">
        <v>0</v>
      </c>
      <c r="K351" s="98" t="s">
        <v>3160</v>
      </c>
      <c r="L351" s="97" t="s">
        <v>1902</v>
      </c>
      <c r="M351" s="97" t="s">
        <v>880</v>
      </c>
      <c r="N351" s="97" t="s">
        <v>1903</v>
      </c>
      <c r="O351" s="97" t="s">
        <v>1904</v>
      </c>
    </row>
    <row r="352" spans="1:15">
      <c r="A352" s="101" t="n">
        <v>351</v>
      </c>
      <c r="B352" s="97" t="n">
        <v>424</v>
      </c>
      <c r="C352" s="98" t="s">
        <v>3161</v>
      </c>
      <c r="D352" s="97" t="s">
        <v>3162</v>
      </c>
      <c r="E352" s="99" t="n">
        <v>34735</v>
      </c>
      <c r="F352" s="97" t="s">
        <v>1898</v>
      </c>
      <c r="G352" s="98" t="s">
        <v>975</v>
      </c>
      <c r="H352" s="97" t="n">
        <v>0</v>
      </c>
      <c r="I352" s="97" t="s">
        <v>2987</v>
      </c>
      <c r="J352" s="97" t="n">
        <v>0</v>
      </c>
      <c r="K352" s="98" t="s">
        <v>3163</v>
      </c>
      <c r="L352" s="97" t="s">
        <v>1902</v>
      </c>
      <c r="M352" s="97" t="s">
        <v>880</v>
      </c>
      <c r="N352" s="97" t="s">
        <v>1903</v>
      </c>
      <c r="O352" s="97" t="s">
        <v>1904</v>
      </c>
    </row>
    <row r="353" spans="1:15">
      <c r="A353" s="101" t="n">
        <v>352</v>
      </c>
      <c r="B353" s="97" t="n">
        <v>425</v>
      </c>
      <c r="C353" s="98" t="s">
        <v>3164</v>
      </c>
      <c r="D353" s="97" t="s">
        <v>3165</v>
      </c>
      <c r="E353" s="99" t="n">
        <v>34774</v>
      </c>
      <c r="F353" s="97" t="s">
        <v>1898</v>
      </c>
      <c r="G353" s="98" t="s">
        <v>977</v>
      </c>
      <c r="H353" s="97" t="n">
        <v>0</v>
      </c>
      <c r="I353" s="97" t="s">
        <v>2987</v>
      </c>
      <c r="J353" s="97" t="n">
        <v>0</v>
      </c>
      <c r="K353" s="98" t="s">
        <v>3166</v>
      </c>
      <c r="L353" s="97" t="s">
        <v>1902</v>
      </c>
      <c r="M353" s="97" t="s">
        <v>880</v>
      </c>
      <c r="N353" s="97" t="s">
        <v>1903</v>
      </c>
      <c r="O353" s="97" t="s">
        <v>1904</v>
      </c>
    </row>
    <row r="354" spans="1:15">
      <c r="A354" s="101" t="n">
        <v>353</v>
      </c>
      <c r="B354" s="97" t="n">
        <v>401</v>
      </c>
      <c r="C354" s="98" t="s">
        <v>3167</v>
      </c>
      <c r="D354" s="97" t="s">
        <v>3168</v>
      </c>
      <c r="E354" s="99" t="n">
        <v>33666</v>
      </c>
      <c r="F354" s="97" t="s">
        <v>1898</v>
      </c>
      <c r="G354" s="98" t="s">
        <v>3169</v>
      </c>
      <c r="H354" s="97" t="n">
        <v>0</v>
      </c>
      <c r="I354" s="97" t="s">
        <v>2987</v>
      </c>
      <c r="J354" s="97" t="n">
        <v>0</v>
      </c>
      <c r="K354" s="98" t="s">
        <v>3170</v>
      </c>
      <c r="L354" s="97" t="s">
        <v>1902</v>
      </c>
      <c r="M354" s="97" t="s">
        <v>880</v>
      </c>
      <c r="N354" s="97" t="s">
        <v>1903</v>
      </c>
      <c r="O354" s="97" t="s">
        <v>1904</v>
      </c>
    </row>
    <row r="355" spans="1:15">
      <c r="A355" s="101" t="n">
        <v>354</v>
      </c>
      <c r="B355" s="97" t="n">
        <v>411</v>
      </c>
      <c r="C355" s="98" t="s">
        <v>3171</v>
      </c>
      <c r="D355" s="97" t="s">
        <v>3172</v>
      </c>
      <c r="E355" s="99" t="n">
        <v>34057</v>
      </c>
      <c r="F355" s="97" t="s">
        <v>1898</v>
      </c>
      <c r="G355" s="98" t="s">
        <v>979</v>
      </c>
      <c r="H355" s="97" t="n">
        <v>0</v>
      </c>
      <c r="I355" s="97" t="s">
        <v>2987</v>
      </c>
      <c r="J355" s="97" t="n">
        <v>0</v>
      </c>
      <c r="K355" s="98" t="s">
        <v>3173</v>
      </c>
      <c r="L355" s="97" t="s">
        <v>1902</v>
      </c>
      <c r="M355" s="97" t="s">
        <v>880</v>
      </c>
      <c r="N355" s="97" t="s">
        <v>1903</v>
      </c>
      <c r="O355" s="97" t="s">
        <v>1904</v>
      </c>
    </row>
    <row r="356" spans="1:15">
      <c r="A356" s="101" t="n">
        <v>355</v>
      </c>
      <c r="B356" s="97" t="n">
        <v>397</v>
      </c>
      <c r="C356" s="98" t="s">
        <v>3174</v>
      </c>
      <c r="D356" s="97" t="s">
        <v>3175</v>
      </c>
      <c r="E356" s="99" t="n">
        <v>33519</v>
      </c>
      <c r="F356" s="97" t="s">
        <v>1898</v>
      </c>
      <c r="G356" s="98" t="s">
        <v>985</v>
      </c>
      <c r="H356" s="97" t="n">
        <v>0</v>
      </c>
      <c r="I356" s="97" t="s">
        <v>2987</v>
      </c>
      <c r="J356" s="97" t="n">
        <v>0</v>
      </c>
      <c r="K356" s="98" t="s">
        <v>3176</v>
      </c>
      <c r="L356" s="97" t="s">
        <v>1902</v>
      </c>
      <c r="M356" s="97" t="s">
        <v>880</v>
      </c>
      <c r="N356" s="97" t="s">
        <v>1903</v>
      </c>
      <c r="O356" s="97" t="s">
        <v>1904</v>
      </c>
    </row>
    <row r="357" spans="1:15">
      <c r="A357" s="101" t="n">
        <v>356</v>
      </c>
      <c r="B357" s="97" t="n">
        <v>306</v>
      </c>
      <c r="C357" s="98" t="s">
        <v>3177</v>
      </c>
      <c r="D357" s="97" t="s">
        <v>3178</v>
      </c>
      <c r="E357" s="99" t="n">
        <v>29667</v>
      </c>
      <c r="F357" s="97" t="s">
        <v>1898</v>
      </c>
      <c r="G357" s="98" t="s">
        <v>987</v>
      </c>
      <c r="H357" s="97" t="n">
        <v>0</v>
      </c>
      <c r="I357" s="97" t="s">
        <v>2998</v>
      </c>
      <c r="J357" s="97" t="n">
        <v>0</v>
      </c>
      <c r="K357" s="98" t="s">
        <v>3177</v>
      </c>
      <c r="L357" s="97" t="s">
        <v>1902</v>
      </c>
      <c r="M357" s="97" t="s">
        <v>880</v>
      </c>
      <c r="N357" s="97" t="s">
        <v>1903</v>
      </c>
      <c r="O357" s="97" t="s">
        <v>1904</v>
      </c>
    </row>
    <row r="358" spans="1:15">
      <c r="A358" s="101" t="n">
        <v>357</v>
      </c>
      <c r="B358" s="97" t="n">
        <v>328</v>
      </c>
      <c r="C358" s="98" t="s">
        <v>3179</v>
      </c>
      <c r="D358" s="97" t="s">
        <v>3180</v>
      </c>
      <c r="E358" s="99" t="n">
        <v>32476</v>
      </c>
      <c r="F358" s="97" t="s">
        <v>1898</v>
      </c>
      <c r="G358" s="98" t="s">
        <v>991</v>
      </c>
      <c r="H358" s="97" t="n">
        <v>0</v>
      </c>
      <c r="I358" s="97" t="s">
        <v>2998</v>
      </c>
      <c r="J358" s="97" t="n">
        <v>0</v>
      </c>
      <c r="K358" s="98" t="s">
        <v>3181</v>
      </c>
      <c r="L358" s="97" t="s">
        <v>1902</v>
      </c>
      <c r="M358" s="97" t="s">
        <v>880</v>
      </c>
      <c r="N358" s="97" t="s">
        <v>1903</v>
      </c>
      <c r="O358" s="97" t="s">
        <v>1904</v>
      </c>
    </row>
    <row r="359" spans="1:15">
      <c r="A359" s="101" t="n">
        <v>358</v>
      </c>
      <c r="B359" s="97" t="n">
        <v>400</v>
      </c>
      <c r="C359" s="98" t="s">
        <v>3182</v>
      </c>
      <c r="D359" s="97" t="s">
        <v>3183</v>
      </c>
      <c r="E359" s="99" t="n">
        <v>33626</v>
      </c>
      <c r="F359" s="97" t="s">
        <v>1898</v>
      </c>
      <c r="G359" s="98" t="s">
        <v>995</v>
      </c>
      <c r="H359" s="97" t="n">
        <v>0</v>
      </c>
      <c r="I359" s="97" t="s">
        <v>2987</v>
      </c>
      <c r="J359" s="97" t="n">
        <v>0</v>
      </c>
      <c r="K359" s="98" t="s">
        <v>3184</v>
      </c>
      <c r="L359" s="97" t="s">
        <v>1902</v>
      </c>
      <c r="M359" s="97" t="s">
        <v>880</v>
      </c>
      <c r="N359" s="97" t="s">
        <v>1903</v>
      </c>
      <c r="O359" s="97" t="s">
        <v>1904</v>
      </c>
    </row>
    <row r="360" spans="1:15">
      <c r="A360" s="101" t="n">
        <v>359</v>
      </c>
      <c r="B360" s="97" t="n">
        <v>369</v>
      </c>
      <c r="C360" s="98" t="s">
        <v>3185</v>
      </c>
      <c r="D360" s="97" t="s">
        <v>3186</v>
      </c>
      <c r="E360" s="99" t="n">
        <v>32447</v>
      </c>
      <c r="F360" s="97" t="s">
        <v>1898</v>
      </c>
      <c r="G360" s="98" t="s">
        <v>3187</v>
      </c>
      <c r="H360" s="97" t="n">
        <v>0</v>
      </c>
      <c r="I360" s="97" t="s">
        <v>2987</v>
      </c>
      <c r="J360" s="97" t="n">
        <v>0</v>
      </c>
      <c r="K360" s="98" t="s">
        <v>3188</v>
      </c>
      <c r="L360" s="97" t="s">
        <v>1902</v>
      </c>
      <c r="M360" s="97" t="s">
        <v>880</v>
      </c>
      <c r="N360" s="97" t="s">
        <v>1903</v>
      </c>
      <c r="O360" s="97" t="s">
        <v>1904</v>
      </c>
    </row>
    <row r="361" spans="1:15">
      <c r="A361" s="101" t="n">
        <v>360</v>
      </c>
      <c r="B361" s="97" t="n">
        <v>409</v>
      </c>
      <c r="C361" s="98" t="s">
        <v>3189</v>
      </c>
      <c r="D361" s="97" t="s">
        <v>3190</v>
      </c>
      <c r="E361" s="99" t="n">
        <v>34000</v>
      </c>
      <c r="F361" s="97" t="s">
        <v>1898</v>
      </c>
      <c r="G361" s="98" t="s">
        <v>997</v>
      </c>
      <c r="H361" s="97" t="n">
        <v>0</v>
      </c>
      <c r="I361" s="97" t="s">
        <v>2987</v>
      </c>
      <c r="J361" s="97" t="n">
        <v>0</v>
      </c>
      <c r="K361" s="98" t="s">
        <v>3191</v>
      </c>
      <c r="L361" s="97" t="s">
        <v>1902</v>
      </c>
      <c r="M361" s="97" t="s">
        <v>880</v>
      </c>
      <c r="N361" s="97" t="s">
        <v>1903</v>
      </c>
      <c r="O361" s="97" t="s">
        <v>1904</v>
      </c>
    </row>
    <row r="362" spans="1:15">
      <c r="A362" s="101" t="n">
        <v>361</v>
      </c>
      <c r="B362" s="97" t="n">
        <v>441</v>
      </c>
      <c r="C362" s="98" t="s">
        <v>3192</v>
      </c>
      <c r="D362" s="97" t="s">
        <v>1154</v>
      </c>
      <c r="E362" s="99" t="n">
        <v>35988</v>
      </c>
      <c r="F362" s="97" t="s">
        <v>1898</v>
      </c>
      <c r="G362" s="98" t="s">
        <v>3193</v>
      </c>
      <c r="H362" s="97" t="n">
        <v>0</v>
      </c>
      <c r="I362" s="97" t="s">
        <v>2987</v>
      </c>
      <c r="J362" s="97" t="n">
        <v>0</v>
      </c>
      <c r="K362" s="98" t="s">
        <v>3194</v>
      </c>
      <c r="L362" s="97" t="s">
        <v>1902</v>
      </c>
      <c r="M362" s="97" t="s">
        <v>880</v>
      </c>
      <c r="N362" s="97" t="s">
        <v>1903</v>
      </c>
      <c r="O362" s="97" t="s">
        <v>1904</v>
      </c>
    </row>
    <row r="363" spans="1:15">
      <c r="A363" s="101" t="n">
        <v>362</v>
      </c>
      <c r="B363" s="97" t="n">
        <v>372</v>
      </c>
      <c r="C363" s="98" t="s">
        <v>3195</v>
      </c>
      <c r="D363" s="97" t="s">
        <v>3196</v>
      </c>
      <c r="E363" s="99" t="n">
        <v>32889</v>
      </c>
      <c r="F363" s="97" t="s">
        <v>1898</v>
      </c>
      <c r="G363" s="98" t="s">
        <v>999</v>
      </c>
      <c r="H363" s="97" t="n">
        <v>0</v>
      </c>
      <c r="I363" s="97" t="s">
        <v>2987</v>
      </c>
      <c r="J363" s="97" t="n">
        <v>0</v>
      </c>
      <c r="K363" s="98" t="s">
        <v>3197</v>
      </c>
      <c r="L363" s="97" t="s">
        <v>1902</v>
      </c>
      <c r="M363" s="97" t="s">
        <v>880</v>
      </c>
      <c r="N363" s="97" t="s">
        <v>1903</v>
      </c>
      <c r="O363" s="97" t="s">
        <v>1904</v>
      </c>
    </row>
    <row r="364" spans="1:15">
      <c r="A364" s="101" t="n">
        <v>363</v>
      </c>
      <c r="B364" s="97" t="n">
        <v>439</v>
      </c>
      <c r="C364" s="98" t="s">
        <v>3198</v>
      </c>
      <c r="D364" s="97" t="s">
        <v>3199</v>
      </c>
      <c r="E364" s="99" t="n">
        <v>35974</v>
      </c>
      <c r="F364" s="97" t="s">
        <v>1898</v>
      </c>
      <c r="G364" s="98" t="s">
        <v>1001</v>
      </c>
      <c r="H364" s="97" t="n">
        <v>0</v>
      </c>
      <c r="I364" s="97" t="s">
        <v>2987</v>
      </c>
      <c r="J364" s="97" t="n">
        <v>0</v>
      </c>
      <c r="K364" s="98" t="s">
        <v>3200</v>
      </c>
      <c r="L364" s="97" t="s">
        <v>1902</v>
      </c>
      <c r="M364" s="97" t="s">
        <v>880</v>
      </c>
      <c r="N364" s="97" t="s">
        <v>1903</v>
      </c>
      <c r="O364" s="97" t="s">
        <v>1904</v>
      </c>
    </row>
    <row r="365" spans="1:15">
      <c r="A365" s="101" t="n">
        <v>364</v>
      </c>
      <c r="B365" s="97" t="n">
        <v>419</v>
      </c>
      <c r="C365" s="98" t="s">
        <v>3201</v>
      </c>
      <c r="D365" s="97" t="s">
        <v>3202</v>
      </c>
      <c r="E365" s="99" t="n">
        <v>34570</v>
      </c>
      <c r="F365" s="97" t="s">
        <v>1898</v>
      </c>
      <c r="G365" s="98" t="s">
        <v>1003</v>
      </c>
      <c r="H365" s="97" t="n">
        <v>0</v>
      </c>
      <c r="I365" s="97" t="s">
        <v>2987</v>
      </c>
      <c r="J365" s="97" t="n">
        <v>0</v>
      </c>
      <c r="K365" s="98" t="s">
        <v>3203</v>
      </c>
      <c r="L365" s="97" t="s">
        <v>1902</v>
      </c>
      <c r="M365" s="97" t="s">
        <v>880</v>
      </c>
      <c r="N365" s="97" t="s">
        <v>1903</v>
      </c>
      <c r="O365" s="97" t="s">
        <v>1904</v>
      </c>
    </row>
    <row r="366" spans="1:15">
      <c r="A366" s="101" t="n">
        <v>365</v>
      </c>
      <c r="B366" s="97" t="n">
        <v>388</v>
      </c>
      <c r="C366" s="98" t="s">
        <v>3204</v>
      </c>
      <c r="D366" s="97" t="s">
        <v>3205</v>
      </c>
      <c r="E366" s="99" t="n">
        <v>33255</v>
      </c>
      <c r="F366" s="97" t="s">
        <v>1898</v>
      </c>
      <c r="G366" s="98" t="s">
        <v>3206</v>
      </c>
      <c r="H366" s="97" t="n">
        <v>0</v>
      </c>
      <c r="I366" s="97" t="s">
        <v>2987</v>
      </c>
      <c r="J366" s="97" t="n">
        <v>0</v>
      </c>
      <c r="K366" s="98" t="s">
        <v>3207</v>
      </c>
      <c r="L366" s="97" t="s">
        <v>1902</v>
      </c>
      <c r="M366" s="97" t="s">
        <v>880</v>
      </c>
      <c r="N366" s="97" t="s">
        <v>1903</v>
      </c>
      <c r="O366" s="97" t="s">
        <v>1904</v>
      </c>
    </row>
    <row r="367" spans="1:15">
      <c r="A367" s="101" t="n">
        <v>366</v>
      </c>
      <c r="B367" s="97" t="n">
        <v>408</v>
      </c>
      <c r="C367" s="98" t="s">
        <v>3208</v>
      </c>
      <c r="D367" s="97" t="s">
        <v>1165</v>
      </c>
      <c r="E367" s="99" t="n">
        <v>33960</v>
      </c>
      <c r="F367" s="97" t="s">
        <v>1898</v>
      </c>
      <c r="G367" s="98" t="s">
        <v>3209</v>
      </c>
      <c r="H367" s="97" t="n">
        <v>0</v>
      </c>
      <c r="I367" s="97" t="s">
        <v>2987</v>
      </c>
      <c r="J367" s="97" t="n">
        <v>0</v>
      </c>
      <c r="K367" s="98" t="s">
        <v>3210</v>
      </c>
      <c r="L367" s="97" t="s">
        <v>1902</v>
      </c>
      <c r="M367" s="97" t="s">
        <v>880</v>
      </c>
      <c r="N367" s="97" t="s">
        <v>1903</v>
      </c>
      <c r="O367" s="97" t="s">
        <v>1904</v>
      </c>
    </row>
    <row r="368" spans="1:15">
      <c r="A368" s="101" t="n">
        <v>367</v>
      </c>
      <c r="B368" s="97" t="n">
        <v>323</v>
      </c>
      <c r="C368" s="98" t="s">
        <v>3211</v>
      </c>
      <c r="D368" s="97" t="s">
        <v>3212</v>
      </c>
      <c r="E368" s="99" t="n">
        <v>33981</v>
      </c>
      <c r="F368" s="97" t="s">
        <v>1898</v>
      </c>
      <c r="G368" s="98" t="s">
        <v>1006</v>
      </c>
      <c r="H368" s="97" t="n">
        <v>0</v>
      </c>
      <c r="I368" s="97" t="s">
        <v>2998</v>
      </c>
      <c r="J368" s="97" t="n">
        <v>0</v>
      </c>
      <c r="K368" s="98" t="s">
        <v>3213</v>
      </c>
      <c r="L368" s="97" t="s">
        <v>1902</v>
      </c>
      <c r="M368" s="97" t="s">
        <v>880</v>
      </c>
      <c r="N368" s="97" t="s">
        <v>1903</v>
      </c>
      <c r="O368" s="97" t="s">
        <v>1904</v>
      </c>
    </row>
    <row r="369" spans="1:15">
      <c r="A369" s="101" t="n">
        <v>368</v>
      </c>
      <c r="B369" s="97" t="n">
        <v>420</v>
      </c>
      <c r="C369" s="98" t="s">
        <v>3214</v>
      </c>
      <c r="D369" s="97" t="s">
        <v>3215</v>
      </c>
      <c r="E369" s="99" t="n">
        <v>34574</v>
      </c>
      <c r="F369" s="97" t="s">
        <v>1898</v>
      </c>
      <c r="G369" s="98" t="s">
        <v>1008</v>
      </c>
      <c r="H369" s="97" t="n">
        <v>0</v>
      </c>
      <c r="I369" s="97" t="s">
        <v>2987</v>
      </c>
      <c r="J369" s="97" t="n">
        <v>0</v>
      </c>
      <c r="K369" s="98" t="s">
        <v>3216</v>
      </c>
      <c r="L369" s="97" t="s">
        <v>1902</v>
      </c>
      <c r="M369" s="97" t="s">
        <v>880</v>
      </c>
      <c r="N369" s="97" t="s">
        <v>1903</v>
      </c>
      <c r="O369" s="97" t="s">
        <v>1904</v>
      </c>
    </row>
    <row r="370" spans="1:15">
      <c r="A370" s="101" t="n">
        <v>369</v>
      </c>
      <c r="B370" s="97" t="n">
        <v>326</v>
      </c>
      <c r="C370" s="98" t="s">
        <v>3217</v>
      </c>
      <c r="D370" s="97" t="s">
        <v>3218</v>
      </c>
      <c r="E370" s="99" t="n">
        <v>35005</v>
      </c>
      <c r="F370" s="97" t="s">
        <v>1898</v>
      </c>
      <c r="G370" s="98" t="s">
        <v>3219</v>
      </c>
      <c r="H370" s="97" t="n">
        <v>0</v>
      </c>
      <c r="I370" s="97" t="s">
        <v>2998</v>
      </c>
      <c r="J370" s="97" t="n">
        <v>0</v>
      </c>
      <c r="K370" s="98" t="s">
        <v>3220</v>
      </c>
      <c r="L370" s="97" t="s">
        <v>1902</v>
      </c>
      <c r="M370" s="97" t="s">
        <v>880</v>
      </c>
      <c r="N370" s="97" t="s">
        <v>1903</v>
      </c>
      <c r="O370" s="97" t="s">
        <v>1904</v>
      </c>
    </row>
    <row r="371" spans="1:15">
      <c r="A371" s="101" t="n">
        <v>370</v>
      </c>
      <c r="B371" s="97" t="n">
        <v>349</v>
      </c>
      <c r="C371" s="98" t="s">
        <v>3221</v>
      </c>
      <c r="D371" s="97" t="s">
        <v>1077</v>
      </c>
      <c r="E371" s="99" t="n">
        <v>30806</v>
      </c>
      <c r="F371" s="97" t="s">
        <v>1898</v>
      </c>
      <c r="G371" s="98" t="s">
        <v>3222</v>
      </c>
      <c r="H371" s="97" t="n">
        <v>0</v>
      </c>
      <c r="I371" s="97" t="s">
        <v>2987</v>
      </c>
      <c r="J371" s="97" t="n">
        <v>0</v>
      </c>
      <c r="K371" s="98" t="s">
        <v>3223</v>
      </c>
      <c r="L371" s="97" t="s">
        <v>1902</v>
      </c>
      <c r="M371" s="97" t="s">
        <v>880</v>
      </c>
      <c r="N371" s="97" t="s">
        <v>1903</v>
      </c>
      <c r="O371" s="97" t="s">
        <v>1904</v>
      </c>
    </row>
    <row r="372" spans="1:15">
      <c r="A372" s="101" t="n">
        <v>371</v>
      </c>
      <c r="B372" s="97" t="n">
        <v>332</v>
      </c>
      <c r="C372" s="98" t="s">
        <v>3224</v>
      </c>
      <c r="D372" s="97" t="s">
        <v>3225</v>
      </c>
      <c r="E372" s="99" t="n">
        <v>33486</v>
      </c>
      <c r="F372" s="97" t="s">
        <v>1898</v>
      </c>
      <c r="G372" s="98" t="s">
        <v>3226</v>
      </c>
      <c r="H372" s="97" t="n">
        <v>0</v>
      </c>
      <c r="I372" s="97" t="s">
        <v>2998</v>
      </c>
      <c r="J372" s="97" t="n">
        <v>0</v>
      </c>
      <c r="K372" s="98" t="s">
        <v>3227</v>
      </c>
      <c r="L372" s="97" t="s">
        <v>1902</v>
      </c>
      <c r="M372" s="97" t="s">
        <v>880</v>
      </c>
      <c r="N372" s="97" t="s">
        <v>1903</v>
      </c>
      <c r="O372" s="97" t="s">
        <v>1904</v>
      </c>
    </row>
    <row r="373" spans="1:15">
      <c r="A373" s="101" t="n">
        <v>372</v>
      </c>
      <c r="B373" s="97" t="n">
        <v>423</v>
      </c>
      <c r="C373" s="98" t="s">
        <v>3228</v>
      </c>
      <c r="D373" s="97" t="s">
        <v>1167</v>
      </c>
      <c r="E373" s="99" t="n">
        <v>34717</v>
      </c>
      <c r="F373" s="97" t="s">
        <v>1898</v>
      </c>
      <c r="G373" s="98" t="s">
        <v>3229</v>
      </c>
      <c r="H373" s="97" t="n">
        <v>0</v>
      </c>
      <c r="I373" s="97" t="s">
        <v>2987</v>
      </c>
      <c r="J373" s="97" t="n">
        <v>0</v>
      </c>
      <c r="K373" s="98" t="s">
        <v>3230</v>
      </c>
      <c r="L373" s="97" t="s">
        <v>1902</v>
      </c>
      <c r="M373" s="97" t="s">
        <v>880</v>
      </c>
      <c r="N373" s="97" t="s">
        <v>1903</v>
      </c>
      <c r="O373" s="97" t="s">
        <v>1904</v>
      </c>
    </row>
    <row r="374" spans="1:15">
      <c r="A374" s="101" t="n">
        <v>373</v>
      </c>
      <c r="B374" s="97" t="n">
        <v>347</v>
      </c>
      <c r="C374" s="98" t="s">
        <v>3231</v>
      </c>
      <c r="D374" s="97" t="s">
        <v>3232</v>
      </c>
      <c r="E374" s="99" t="n">
        <v>30560</v>
      </c>
      <c r="F374" s="97" t="s">
        <v>1898</v>
      </c>
      <c r="G374" s="98" t="s">
        <v>3233</v>
      </c>
      <c r="H374" s="97" t="n">
        <v>0</v>
      </c>
      <c r="I374" s="97" t="s">
        <v>2987</v>
      </c>
      <c r="J374" s="97" t="n">
        <v>0</v>
      </c>
      <c r="K374" s="98" t="s">
        <v>3234</v>
      </c>
      <c r="L374" s="97" t="s">
        <v>1902</v>
      </c>
      <c r="M374" s="97" t="s">
        <v>880</v>
      </c>
      <c r="N374" s="97" t="s">
        <v>1903</v>
      </c>
      <c r="O374" s="97" t="s">
        <v>1904</v>
      </c>
    </row>
    <row r="375" spans="1:15">
      <c r="A375" s="101" t="n">
        <v>374</v>
      </c>
      <c r="B375" s="97" t="n">
        <v>377</v>
      </c>
      <c r="C375" s="98" t="s">
        <v>3235</v>
      </c>
      <c r="D375" s="97" t="s">
        <v>3236</v>
      </c>
      <c r="E375" s="99" t="n">
        <v>32972</v>
      </c>
      <c r="F375" s="97" t="s">
        <v>1898</v>
      </c>
      <c r="G375" s="98" t="s">
        <v>1012</v>
      </c>
      <c r="H375" s="97" t="n">
        <v>0</v>
      </c>
      <c r="I375" s="97" t="s">
        <v>2987</v>
      </c>
      <c r="J375" s="97" t="n">
        <v>0</v>
      </c>
      <c r="K375" s="98" t="s">
        <v>3237</v>
      </c>
      <c r="L375" s="97" t="s">
        <v>1902</v>
      </c>
      <c r="M375" s="97" t="s">
        <v>880</v>
      </c>
      <c r="N375" s="97" t="s">
        <v>1903</v>
      </c>
      <c r="O375" s="97" t="s">
        <v>1904</v>
      </c>
    </row>
    <row r="376" spans="1:15">
      <c r="A376" s="101" t="n">
        <v>375</v>
      </c>
      <c r="B376" s="97" t="n">
        <v>371</v>
      </c>
      <c r="C376" s="98" t="s">
        <v>3238</v>
      </c>
      <c r="D376" s="97" t="s">
        <v>3239</v>
      </c>
      <c r="E376" s="99" t="n">
        <v>32825</v>
      </c>
      <c r="F376" s="97" t="s">
        <v>1898</v>
      </c>
      <c r="G376" s="98" t="s">
        <v>1014</v>
      </c>
      <c r="H376" s="97" t="n">
        <v>0</v>
      </c>
      <c r="I376" s="97" t="s">
        <v>2987</v>
      </c>
      <c r="J376" s="97" t="n">
        <v>0</v>
      </c>
      <c r="K376" s="98" t="s">
        <v>3240</v>
      </c>
      <c r="L376" s="97" t="s">
        <v>1902</v>
      </c>
      <c r="M376" s="97" t="s">
        <v>880</v>
      </c>
      <c r="N376" s="97" t="s">
        <v>1903</v>
      </c>
      <c r="O376" s="97" t="s">
        <v>1904</v>
      </c>
    </row>
    <row r="377" spans="1:15">
      <c r="A377" s="101" t="n">
        <v>376</v>
      </c>
      <c r="B377" s="97" t="n">
        <v>384</v>
      </c>
      <c r="C377" s="98" t="s">
        <v>3241</v>
      </c>
      <c r="D377" s="97" t="s">
        <v>3242</v>
      </c>
      <c r="E377" s="99" t="n">
        <v>33156</v>
      </c>
      <c r="F377" s="97" t="s">
        <v>1898</v>
      </c>
      <c r="G377" s="98" t="s">
        <v>3243</v>
      </c>
      <c r="H377" s="97" t="n">
        <v>0</v>
      </c>
      <c r="I377" s="97" t="s">
        <v>2987</v>
      </c>
      <c r="J377" s="97" t="n">
        <v>0</v>
      </c>
      <c r="K377" s="98" t="s">
        <v>3244</v>
      </c>
      <c r="L377" s="97" t="s">
        <v>1902</v>
      </c>
      <c r="M377" s="97" t="s">
        <v>880</v>
      </c>
      <c r="N377" s="97" t="s">
        <v>1903</v>
      </c>
      <c r="O377" s="97" t="s">
        <v>1904</v>
      </c>
    </row>
    <row r="378" spans="1:15">
      <c r="A378" s="101" t="n">
        <v>377</v>
      </c>
      <c r="B378" s="97" t="n">
        <v>370</v>
      </c>
      <c r="C378" s="98" t="s">
        <v>3245</v>
      </c>
      <c r="D378" s="97" t="s">
        <v>3246</v>
      </c>
      <c r="E378" s="99" t="n">
        <v>32620</v>
      </c>
      <c r="F378" s="97" t="s">
        <v>1898</v>
      </c>
      <c r="G378" s="98" t="s">
        <v>1016</v>
      </c>
      <c r="H378" s="97" t="n">
        <v>0</v>
      </c>
      <c r="I378" s="97" t="s">
        <v>2987</v>
      </c>
      <c r="J378" s="97" t="n">
        <v>0</v>
      </c>
      <c r="K378" s="98" t="s">
        <v>3247</v>
      </c>
      <c r="L378" s="97" t="s">
        <v>1902</v>
      </c>
      <c r="M378" s="97" t="s">
        <v>880</v>
      </c>
      <c r="N378" s="97" t="s">
        <v>1903</v>
      </c>
      <c r="O378" s="97" t="s">
        <v>1904</v>
      </c>
    </row>
    <row r="379" spans="1:15">
      <c r="A379" s="101" t="n">
        <v>378</v>
      </c>
      <c r="B379" s="97" t="n">
        <v>410</v>
      </c>
      <c r="C379" s="98" t="s">
        <v>3248</v>
      </c>
      <c r="D379" s="97" t="s">
        <v>3249</v>
      </c>
      <c r="E379" s="99" t="n">
        <v>34048</v>
      </c>
      <c r="F379" s="97" t="s">
        <v>1898</v>
      </c>
      <c r="G379" s="98" t="s">
        <v>3250</v>
      </c>
      <c r="H379" s="97" t="n">
        <v>0</v>
      </c>
      <c r="I379" s="97" t="s">
        <v>2987</v>
      </c>
      <c r="J379" s="97" t="n">
        <v>0</v>
      </c>
      <c r="K379" s="98" t="s">
        <v>3251</v>
      </c>
      <c r="L379" s="97" t="s">
        <v>1902</v>
      </c>
      <c r="M379" s="97" t="s">
        <v>880</v>
      </c>
      <c r="N379" s="97" t="s">
        <v>1903</v>
      </c>
      <c r="O379" s="97" t="s">
        <v>1904</v>
      </c>
    </row>
    <row r="380" spans="1:15">
      <c r="A380" s="101" t="n">
        <v>379</v>
      </c>
      <c r="B380" s="97" t="n">
        <v>311</v>
      </c>
      <c r="C380" s="98" t="s">
        <v>3252</v>
      </c>
      <c r="D380" s="97" t="s">
        <v>3253</v>
      </c>
      <c r="E380" s="99" t="n">
        <v>31912</v>
      </c>
      <c r="F380" s="97" t="s">
        <v>1898</v>
      </c>
      <c r="G380" s="98" t="s">
        <v>892</v>
      </c>
      <c r="H380" s="97" t="n">
        <v>0</v>
      </c>
      <c r="I380" s="97" t="s">
        <v>2998</v>
      </c>
      <c r="J380" s="97" t="n">
        <v>0</v>
      </c>
      <c r="K380" s="98" t="s">
        <v>3254</v>
      </c>
      <c r="L380" s="97" t="s">
        <v>1902</v>
      </c>
      <c r="M380" s="97" t="s">
        <v>880</v>
      </c>
      <c r="N380" s="97" t="s">
        <v>1903</v>
      </c>
      <c r="O380" s="97" t="s">
        <v>1904</v>
      </c>
    </row>
    <row r="381" spans="1:15">
      <c r="A381" s="101" t="n">
        <v>380</v>
      </c>
      <c r="B381" s="97" t="n">
        <v>415</v>
      </c>
      <c r="C381" s="98" t="s">
        <v>3255</v>
      </c>
      <c r="D381" s="97" t="s">
        <v>3256</v>
      </c>
      <c r="E381" s="99" t="n">
        <v>34378</v>
      </c>
      <c r="F381" s="97" t="s">
        <v>1898</v>
      </c>
      <c r="G381" s="98" t="s">
        <v>1018</v>
      </c>
      <c r="H381" s="97" t="n">
        <v>0</v>
      </c>
      <c r="I381" s="97" t="s">
        <v>2987</v>
      </c>
      <c r="J381" s="97" t="n">
        <v>0</v>
      </c>
      <c r="K381" s="98" t="s">
        <v>3257</v>
      </c>
      <c r="L381" s="97" t="s">
        <v>1902</v>
      </c>
      <c r="M381" s="97" t="s">
        <v>880</v>
      </c>
      <c r="N381" s="97" t="s">
        <v>1903</v>
      </c>
      <c r="O381" s="97" t="s">
        <v>1904</v>
      </c>
    </row>
    <row r="382" spans="1:15">
      <c r="A382" s="101" t="n">
        <v>381</v>
      </c>
      <c r="B382" s="97" t="n">
        <v>365</v>
      </c>
      <c r="C382" s="98" t="s">
        <v>3258</v>
      </c>
      <c r="D382" s="97" t="s">
        <v>3259</v>
      </c>
      <c r="E382" s="99" t="n">
        <v>31902</v>
      </c>
      <c r="F382" s="97" t="s">
        <v>1898</v>
      </c>
      <c r="G382" s="98" t="s">
        <v>1020</v>
      </c>
      <c r="H382" s="97" t="n">
        <v>0</v>
      </c>
      <c r="I382" s="97" t="s">
        <v>2987</v>
      </c>
      <c r="J382" s="97" t="n">
        <v>0</v>
      </c>
      <c r="K382" s="98" t="s">
        <v>3260</v>
      </c>
      <c r="L382" s="97" t="s">
        <v>1902</v>
      </c>
      <c r="M382" s="97" t="s">
        <v>880</v>
      </c>
      <c r="N382" s="97" t="s">
        <v>1903</v>
      </c>
      <c r="O382" s="97" t="s">
        <v>1904</v>
      </c>
    </row>
    <row r="383" spans="1:15">
      <c r="A383" s="101" t="n">
        <v>382</v>
      </c>
      <c r="B383" s="97" t="n">
        <v>386</v>
      </c>
      <c r="C383" s="98" t="s">
        <v>3261</v>
      </c>
      <c r="D383" s="97" t="s">
        <v>3262</v>
      </c>
      <c r="E383" s="99" t="n">
        <v>33224</v>
      </c>
      <c r="F383" s="97" t="s">
        <v>1898</v>
      </c>
      <c r="G383" s="98" t="s">
        <v>3263</v>
      </c>
      <c r="H383" s="97" t="n">
        <v>0</v>
      </c>
      <c r="I383" s="97" t="s">
        <v>2987</v>
      </c>
      <c r="J383" s="97" t="n">
        <v>0</v>
      </c>
      <c r="K383" s="98" t="s">
        <v>3264</v>
      </c>
      <c r="L383" s="97" t="s">
        <v>1902</v>
      </c>
      <c r="M383" s="97" t="s">
        <v>880</v>
      </c>
      <c r="N383" s="97" t="s">
        <v>1903</v>
      </c>
      <c r="O383" s="97" t="s">
        <v>1904</v>
      </c>
    </row>
    <row r="384" spans="1:15">
      <c r="A384" s="101" t="n">
        <v>383</v>
      </c>
      <c r="B384" s="97" t="n">
        <v>437</v>
      </c>
      <c r="C384" s="98" t="s">
        <v>3265</v>
      </c>
      <c r="D384" s="97" t="s">
        <v>3266</v>
      </c>
      <c r="E384" s="99" t="n">
        <v>35735</v>
      </c>
      <c r="F384" s="97" t="s">
        <v>1898</v>
      </c>
      <c r="G384" s="98" t="s">
        <v>1022</v>
      </c>
      <c r="H384" s="97" t="n">
        <v>0</v>
      </c>
      <c r="I384" s="97" t="s">
        <v>2987</v>
      </c>
      <c r="J384" s="97" t="n">
        <v>0</v>
      </c>
      <c r="K384" s="98" t="s">
        <v>3267</v>
      </c>
      <c r="L384" s="97" t="s">
        <v>1902</v>
      </c>
      <c r="M384" s="97" t="s">
        <v>880</v>
      </c>
      <c r="N384" s="97" t="s">
        <v>1903</v>
      </c>
      <c r="O384" s="97" t="s">
        <v>1904</v>
      </c>
    </row>
    <row r="385" spans="1:15">
      <c r="A385" s="101" t="n">
        <v>384</v>
      </c>
      <c r="B385" s="97" t="n">
        <v>382</v>
      </c>
      <c r="C385" s="98" t="s">
        <v>3268</v>
      </c>
      <c r="D385" s="97" t="s">
        <v>3269</v>
      </c>
      <c r="E385" s="99" t="n">
        <v>33100</v>
      </c>
      <c r="F385" s="97" t="s">
        <v>1898</v>
      </c>
      <c r="G385" s="98" t="s">
        <v>3270</v>
      </c>
      <c r="H385" s="97" t="n">
        <v>0</v>
      </c>
      <c r="I385" s="97" t="s">
        <v>2987</v>
      </c>
      <c r="J385" s="97" t="n">
        <v>0</v>
      </c>
      <c r="K385" s="98" t="s">
        <v>3271</v>
      </c>
      <c r="L385" s="97" t="s">
        <v>1902</v>
      </c>
      <c r="M385" s="97" t="s">
        <v>880</v>
      </c>
      <c r="N385" s="97" t="s">
        <v>1903</v>
      </c>
      <c r="O385" s="97" t="s">
        <v>1904</v>
      </c>
    </row>
    <row r="386" spans="1:15">
      <c r="A386" s="101" t="n">
        <v>385</v>
      </c>
      <c r="B386" s="97" t="n">
        <v>393</v>
      </c>
      <c r="C386" s="98" t="s">
        <v>3272</v>
      </c>
      <c r="D386" s="97" t="s">
        <v>3273</v>
      </c>
      <c r="E386" s="99" t="n">
        <v>33425</v>
      </c>
      <c r="F386" s="97" t="s">
        <v>1898</v>
      </c>
      <c r="G386" s="98" t="s">
        <v>3274</v>
      </c>
      <c r="H386" s="97" t="n">
        <v>0</v>
      </c>
      <c r="I386" s="97" t="s">
        <v>2987</v>
      </c>
      <c r="J386" s="97" t="n">
        <v>0</v>
      </c>
      <c r="K386" s="98" t="s">
        <v>3275</v>
      </c>
      <c r="L386" s="97" t="s">
        <v>1902</v>
      </c>
      <c r="M386" s="97" t="s">
        <v>880</v>
      </c>
      <c r="N386" s="97" t="s">
        <v>1903</v>
      </c>
      <c r="O386" s="97" t="s">
        <v>1904</v>
      </c>
    </row>
    <row r="387" spans="1:15">
      <c r="A387" s="101" t="n">
        <v>386</v>
      </c>
      <c r="B387" s="97" t="n">
        <v>399</v>
      </c>
      <c r="C387" s="98" t="s">
        <v>3276</v>
      </c>
      <c r="D387" s="97" t="s">
        <v>3277</v>
      </c>
      <c r="E387" s="99" t="n">
        <v>33558</v>
      </c>
      <c r="F387" s="97" t="s">
        <v>1898</v>
      </c>
      <c r="G387" s="98" t="s">
        <v>1024</v>
      </c>
      <c r="H387" s="97" t="n">
        <v>0</v>
      </c>
      <c r="I387" s="97" t="s">
        <v>2987</v>
      </c>
      <c r="J387" s="97" t="n">
        <v>0</v>
      </c>
      <c r="K387" s="98" t="s">
        <v>3278</v>
      </c>
      <c r="L387" s="97" t="s">
        <v>1902</v>
      </c>
      <c r="M387" s="97" t="s">
        <v>880</v>
      </c>
      <c r="N387" s="97" t="s">
        <v>1903</v>
      </c>
      <c r="O387" s="97" t="s">
        <v>1904</v>
      </c>
    </row>
    <row r="388" spans="1:15">
      <c r="A388" s="101" t="n">
        <v>387</v>
      </c>
      <c r="B388" s="97" t="n">
        <v>335</v>
      </c>
      <c r="C388" s="98" t="s">
        <v>3279</v>
      </c>
      <c r="D388" s="97" t="s">
        <v>3280</v>
      </c>
      <c r="E388" s="99" t="n">
        <v>34704</v>
      </c>
      <c r="F388" s="97" t="s">
        <v>1898</v>
      </c>
      <c r="G388" s="98" t="s">
        <v>1026</v>
      </c>
      <c r="H388" s="97" t="n">
        <v>0</v>
      </c>
      <c r="I388" s="97" t="s">
        <v>2998</v>
      </c>
      <c r="J388" s="97" t="n">
        <v>0</v>
      </c>
      <c r="K388" s="98" t="s">
        <v>3281</v>
      </c>
      <c r="L388" s="97" t="s">
        <v>1902</v>
      </c>
      <c r="M388" s="97" t="s">
        <v>880</v>
      </c>
      <c r="N388" s="97" t="s">
        <v>1903</v>
      </c>
      <c r="O388" s="97" t="s">
        <v>1904</v>
      </c>
    </row>
    <row r="389" spans="1:15">
      <c r="A389" s="101" t="n">
        <v>388</v>
      </c>
      <c r="B389" s="97" t="n">
        <v>373</v>
      </c>
      <c r="C389" s="98" t="s">
        <v>3282</v>
      </c>
      <c r="D389" s="97" t="s">
        <v>3283</v>
      </c>
      <c r="E389" s="99" t="n">
        <v>32890</v>
      </c>
      <c r="F389" s="97" t="s">
        <v>1898</v>
      </c>
      <c r="G389" s="98" t="s">
        <v>3284</v>
      </c>
      <c r="H389" s="97" t="n">
        <v>0</v>
      </c>
      <c r="I389" s="97" t="s">
        <v>2987</v>
      </c>
      <c r="J389" s="97" t="n">
        <v>0</v>
      </c>
      <c r="K389" s="98" t="s">
        <v>3285</v>
      </c>
      <c r="L389" s="97" t="s">
        <v>1902</v>
      </c>
      <c r="M389" s="97" t="s">
        <v>880</v>
      </c>
      <c r="N389" s="97" t="s">
        <v>1903</v>
      </c>
      <c r="O389" s="97" t="s">
        <v>1904</v>
      </c>
    </row>
    <row r="390" spans="1:15">
      <c r="A390" s="101" t="n">
        <v>389</v>
      </c>
      <c r="B390" s="97" t="n">
        <v>378</v>
      </c>
      <c r="C390" s="98" t="s">
        <v>3286</v>
      </c>
      <c r="D390" s="97" t="s">
        <v>3287</v>
      </c>
      <c r="E390" s="99" t="n">
        <v>33010</v>
      </c>
      <c r="F390" s="97" t="s">
        <v>1898</v>
      </c>
      <c r="G390" s="98" t="s">
        <v>3288</v>
      </c>
      <c r="H390" s="97" t="n">
        <v>0</v>
      </c>
      <c r="I390" s="97" t="s">
        <v>2987</v>
      </c>
      <c r="J390" s="97" t="n">
        <v>0</v>
      </c>
      <c r="K390" s="98" t="s">
        <v>3289</v>
      </c>
      <c r="L390" s="97" t="s">
        <v>1902</v>
      </c>
      <c r="M390" s="97" t="s">
        <v>880</v>
      </c>
      <c r="N390" s="97" t="s">
        <v>1903</v>
      </c>
      <c r="O390" s="97" t="s">
        <v>1904</v>
      </c>
    </row>
    <row r="391" spans="1:15">
      <c r="A391" s="101" t="n">
        <v>390</v>
      </c>
      <c r="B391" s="97" t="n">
        <v>391</v>
      </c>
      <c r="C391" s="98" t="s">
        <v>3290</v>
      </c>
      <c r="D391" s="97" t="s">
        <v>3291</v>
      </c>
      <c r="E391" s="99" t="n">
        <v>33324</v>
      </c>
      <c r="F391" s="97" t="s">
        <v>1898</v>
      </c>
      <c r="G391" s="98" t="s">
        <v>1029</v>
      </c>
      <c r="H391" s="97" t="n">
        <v>0</v>
      </c>
      <c r="I391" s="97" t="s">
        <v>2987</v>
      </c>
      <c r="J391" s="97" t="n">
        <v>0</v>
      </c>
      <c r="K391" s="98" t="s">
        <v>3292</v>
      </c>
      <c r="L391" s="97" t="s">
        <v>1902</v>
      </c>
      <c r="M391" s="97" t="s">
        <v>880</v>
      </c>
      <c r="N391" s="97" t="s">
        <v>1903</v>
      </c>
      <c r="O391" s="97" t="s">
        <v>1904</v>
      </c>
    </row>
    <row r="392" spans="1:15">
      <c r="A392" s="101" t="n">
        <v>391</v>
      </c>
      <c r="B392" s="97" t="n">
        <v>430</v>
      </c>
      <c r="C392" s="98" t="s">
        <v>3293</v>
      </c>
      <c r="D392" s="97" t="s">
        <v>3294</v>
      </c>
      <c r="E392" s="99" t="n">
        <v>35043</v>
      </c>
      <c r="F392" s="97" t="s">
        <v>1898</v>
      </c>
      <c r="G392" s="98" t="s">
        <v>3295</v>
      </c>
      <c r="H392" s="97" t="n">
        <v>0</v>
      </c>
      <c r="I392" s="97" t="s">
        <v>2987</v>
      </c>
      <c r="J392" s="97" t="n">
        <v>0</v>
      </c>
      <c r="K392" s="98" t="s">
        <v>3296</v>
      </c>
      <c r="L392" s="97" t="s">
        <v>1902</v>
      </c>
      <c r="M392" s="97" t="s">
        <v>880</v>
      </c>
      <c r="N392" s="97" t="s">
        <v>1903</v>
      </c>
      <c r="O392" s="97" t="s">
        <v>1904</v>
      </c>
    </row>
    <row r="393" spans="1:15">
      <c r="A393" s="101" t="n">
        <v>392</v>
      </c>
      <c r="B393" s="97" t="n">
        <v>429</v>
      </c>
      <c r="C393" s="98" t="s">
        <v>3297</v>
      </c>
      <c r="D393" s="97" t="s">
        <v>3298</v>
      </c>
      <c r="E393" s="99" t="n">
        <v>34971</v>
      </c>
      <c r="F393" s="97" t="s">
        <v>1898</v>
      </c>
      <c r="G393" s="98" t="s">
        <v>3299</v>
      </c>
      <c r="H393" s="97" t="n">
        <v>0</v>
      </c>
      <c r="I393" s="97" t="s">
        <v>2987</v>
      </c>
      <c r="J393" s="97" t="n">
        <v>0</v>
      </c>
      <c r="K393" s="98" t="s">
        <v>3300</v>
      </c>
      <c r="L393" s="97" t="s">
        <v>1902</v>
      </c>
      <c r="M393" s="97" t="s">
        <v>880</v>
      </c>
      <c r="N393" s="97" t="s">
        <v>1903</v>
      </c>
      <c r="O393" s="97" t="s">
        <v>1904</v>
      </c>
    </row>
    <row r="394" spans="1:15">
      <c r="A394" s="101" t="n">
        <v>393</v>
      </c>
      <c r="B394" s="97" t="n">
        <v>413</v>
      </c>
      <c r="C394" s="98" t="s">
        <v>3301</v>
      </c>
      <c r="D394" s="97" t="s">
        <v>3302</v>
      </c>
      <c r="E394" s="99" t="n">
        <v>34132</v>
      </c>
      <c r="F394" s="97" t="s">
        <v>1898</v>
      </c>
      <c r="G394" s="98" t="s">
        <v>1095</v>
      </c>
      <c r="H394" s="97" t="n">
        <v>0</v>
      </c>
      <c r="I394" s="97" t="s">
        <v>2987</v>
      </c>
      <c r="J394" s="97" t="n">
        <v>0</v>
      </c>
      <c r="K394" s="98" t="s">
        <v>3303</v>
      </c>
      <c r="L394" s="97" t="s">
        <v>1902</v>
      </c>
      <c r="M394" s="97" t="s">
        <v>880</v>
      </c>
      <c r="N394" s="97" t="s">
        <v>1903</v>
      </c>
      <c r="O394" s="97" t="s">
        <v>1904</v>
      </c>
    </row>
    <row r="395" spans="1:15">
      <c r="A395" s="101" t="n">
        <v>394</v>
      </c>
      <c r="B395" s="97" t="n">
        <v>394</v>
      </c>
      <c r="C395" s="98" t="s">
        <v>3304</v>
      </c>
      <c r="D395" s="97" t="s">
        <v>3305</v>
      </c>
      <c r="E395" s="99" t="n">
        <v>33492</v>
      </c>
      <c r="F395" s="97" t="s">
        <v>1898</v>
      </c>
      <c r="G395" s="98" t="s">
        <v>1031</v>
      </c>
      <c r="H395" s="97" t="n">
        <v>0</v>
      </c>
      <c r="I395" s="97" t="s">
        <v>2987</v>
      </c>
      <c r="J395" s="97" t="n">
        <v>0</v>
      </c>
      <c r="K395" s="98" t="s">
        <v>3306</v>
      </c>
      <c r="L395" s="97" t="s">
        <v>1902</v>
      </c>
      <c r="M395" s="97" t="s">
        <v>880</v>
      </c>
      <c r="N395" s="97" t="s">
        <v>1903</v>
      </c>
      <c r="O395" s="97" t="s">
        <v>1904</v>
      </c>
    </row>
    <row r="396" spans="1:15">
      <c r="A396" s="101" t="n">
        <v>395</v>
      </c>
      <c r="B396" s="97" t="n">
        <v>381</v>
      </c>
      <c r="C396" s="98" t="s">
        <v>3307</v>
      </c>
      <c r="D396" s="97" t="s">
        <v>1169</v>
      </c>
      <c r="E396" s="99" t="n">
        <v>33093</v>
      </c>
      <c r="F396" s="97" t="s">
        <v>1898</v>
      </c>
      <c r="G396" s="98" t="s">
        <v>3308</v>
      </c>
      <c r="H396" s="97" t="n">
        <v>0</v>
      </c>
      <c r="I396" s="97" t="s">
        <v>2987</v>
      </c>
      <c r="J396" s="97" t="n">
        <v>0</v>
      </c>
      <c r="K396" s="98" t="s">
        <v>3309</v>
      </c>
      <c r="L396" s="97" t="s">
        <v>1902</v>
      </c>
      <c r="M396" s="97" t="s">
        <v>880</v>
      </c>
      <c r="N396" s="97" t="s">
        <v>1903</v>
      </c>
      <c r="O396" s="97" t="s">
        <v>1904</v>
      </c>
    </row>
    <row r="397" spans="1:15">
      <c r="A397" s="101" t="n">
        <v>396</v>
      </c>
      <c r="B397" s="97" t="n">
        <v>407</v>
      </c>
      <c r="C397" s="98" t="s">
        <v>3310</v>
      </c>
      <c r="D397" s="97" t="s">
        <v>3311</v>
      </c>
      <c r="E397" s="99" t="n">
        <v>33959</v>
      </c>
      <c r="F397" s="97" t="s">
        <v>1898</v>
      </c>
      <c r="G397" s="98" t="s">
        <v>3312</v>
      </c>
      <c r="H397" s="97" t="n">
        <v>0</v>
      </c>
      <c r="I397" s="97" t="s">
        <v>2987</v>
      </c>
      <c r="J397" s="97" t="n">
        <v>0</v>
      </c>
      <c r="K397" s="98" t="s">
        <v>3313</v>
      </c>
      <c r="L397" s="97" t="s">
        <v>1902</v>
      </c>
      <c r="M397" s="97" t="s">
        <v>880</v>
      </c>
      <c r="N397" s="97" t="s">
        <v>1903</v>
      </c>
      <c r="O397" s="97" t="s">
        <v>1904</v>
      </c>
    </row>
    <row r="398" spans="1:15">
      <c r="A398" s="101" t="n">
        <v>397</v>
      </c>
      <c r="B398" s="97" t="n">
        <v>417</v>
      </c>
      <c r="C398" s="98" t="s">
        <v>3314</v>
      </c>
      <c r="D398" s="97" t="s">
        <v>3315</v>
      </c>
      <c r="E398" s="99" t="n">
        <v>34472</v>
      </c>
      <c r="F398" s="97" t="s">
        <v>1898</v>
      </c>
      <c r="G398" s="98" t="s">
        <v>1033</v>
      </c>
      <c r="H398" s="97" t="n">
        <v>0</v>
      </c>
      <c r="I398" s="97" t="s">
        <v>2987</v>
      </c>
      <c r="J398" s="97" t="n">
        <v>0</v>
      </c>
      <c r="K398" s="98" t="s">
        <v>3316</v>
      </c>
      <c r="L398" s="97" t="s">
        <v>1902</v>
      </c>
      <c r="M398" s="97" t="s">
        <v>880</v>
      </c>
      <c r="N398" s="97" t="s">
        <v>1903</v>
      </c>
      <c r="O398" s="97" t="s">
        <v>1904</v>
      </c>
    </row>
    <row r="399" spans="1:15">
      <c r="A399" s="101" t="n">
        <v>398</v>
      </c>
      <c r="B399" s="97" t="n">
        <v>387</v>
      </c>
      <c r="C399" s="98" t="s">
        <v>3317</v>
      </c>
      <c r="D399" s="97" t="s">
        <v>3318</v>
      </c>
      <c r="E399" s="99" t="n">
        <v>33249</v>
      </c>
      <c r="F399" s="97" t="s">
        <v>1898</v>
      </c>
      <c r="G399" s="98" t="s">
        <v>1035</v>
      </c>
      <c r="H399" s="97" t="n">
        <v>0</v>
      </c>
      <c r="I399" s="97" t="s">
        <v>2987</v>
      </c>
      <c r="J399" s="97" t="n">
        <v>0</v>
      </c>
      <c r="K399" s="98" t="s">
        <v>3319</v>
      </c>
      <c r="L399" s="97" t="s">
        <v>1902</v>
      </c>
      <c r="M399" s="97" t="s">
        <v>880</v>
      </c>
      <c r="N399" s="97" t="s">
        <v>1903</v>
      </c>
      <c r="O399" s="97" t="s">
        <v>1904</v>
      </c>
    </row>
    <row r="400" spans="1:15">
      <c r="A400" s="101" t="n">
        <v>399</v>
      </c>
      <c r="B400" s="97" t="n">
        <v>352</v>
      </c>
      <c r="C400" s="98" t="s">
        <v>3320</v>
      </c>
      <c r="D400" s="97" t="s">
        <v>3321</v>
      </c>
      <c r="E400" s="99" t="n">
        <v>30859</v>
      </c>
      <c r="F400" s="97" t="s">
        <v>1898</v>
      </c>
      <c r="G400" s="98" t="s">
        <v>1037</v>
      </c>
      <c r="H400" s="97" t="n">
        <v>0</v>
      </c>
      <c r="I400" s="97" t="s">
        <v>2987</v>
      </c>
      <c r="J400" s="97" t="n">
        <v>0</v>
      </c>
      <c r="K400" s="98" t="s">
        <v>3322</v>
      </c>
      <c r="L400" s="97" t="s">
        <v>1902</v>
      </c>
      <c r="M400" s="97" t="s">
        <v>880</v>
      </c>
      <c r="N400" s="97" t="s">
        <v>1903</v>
      </c>
      <c r="O400" s="97" t="s">
        <v>1904</v>
      </c>
    </row>
    <row r="401" spans="1:15">
      <c r="A401" s="101" t="n">
        <v>400</v>
      </c>
      <c r="B401" s="97" t="n">
        <v>380</v>
      </c>
      <c r="C401" s="98" t="s">
        <v>3323</v>
      </c>
      <c r="D401" s="97" t="s">
        <v>3324</v>
      </c>
      <c r="E401" s="99" t="n">
        <v>33037</v>
      </c>
      <c r="F401" s="97" t="s">
        <v>1898</v>
      </c>
      <c r="G401" s="98" t="s">
        <v>1039</v>
      </c>
      <c r="H401" s="97" t="n">
        <v>0</v>
      </c>
      <c r="I401" s="97" t="s">
        <v>2987</v>
      </c>
      <c r="J401" s="97" t="n">
        <v>0</v>
      </c>
      <c r="K401" s="98" t="s">
        <v>3325</v>
      </c>
      <c r="L401" s="97" t="s">
        <v>1902</v>
      </c>
      <c r="M401" s="97" t="s">
        <v>880</v>
      </c>
      <c r="N401" s="97" t="s">
        <v>1903</v>
      </c>
      <c r="O401" s="97" t="s">
        <v>1904</v>
      </c>
    </row>
    <row r="402" spans="1:15">
      <c r="A402" s="101" t="n">
        <v>401</v>
      </c>
      <c r="B402" s="97" t="n">
        <v>308</v>
      </c>
      <c r="C402" s="98" t="s">
        <v>3326</v>
      </c>
      <c r="D402" s="97" t="s">
        <v>3327</v>
      </c>
      <c r="E402" s="99" t="n">
        <v>30856</v>
      </c>
      <c r="F402" s="97" t="s">
        <v>1898</v>
      </c>
      <c r="G402" s="98" t="s">
        <v>1041</v>
      </c>
      <c r="H402" s="97" t="n">
        <v>0</v>
      </c>
      <c r="I402" s="97" t="s">
        <v>2998</v>
      </c>
      <c r="J402" s="97" t="n">
        <v>0</v>
      </c>
      <c r="K402" s="98" t="s">
        <v>3328</v>
      </c>
      <c r="L402" s="97" t="s">
        <v>1902</v>
      </c>
      <c r="M402" s="97" t="s">
        <v>880</v>
      </c>
      <c r="N402" s="97" t="s">
        <v>1903</v>
      </c>
      <c r="O402" s="97" t="s">
        <v>1904</v>
      </c>
    </row>
    <row r="403" spans="1:15">
      <c r="A403" s="101" t="n">
        <v>402</v>
      </c>
      <c r="B403" s="97" t="n">
        <v>343</v>
      </c>
      <c r="C403" s="98" t="s">
        <v>3329</v>
      </c>
      <c r="D403" s="97" t="s">
        <v>3330</v>
      </c>
      <c r="E403" s="99" t="n">
        <v>30262</v>
      </c>
      <c r="F403" s="97" t="s">
        <v>1898</v>
      </c>
      <c r="G403" s="98" t="s">
        <v>1043</v>
      </c>
      <c r="H403" s="97" t="n">
        <v>0</v>
      </c>
      <c r="I403" s="97" t="s">
        <v>2987</v>
      </c>
      <c r="J403" s="97" t="n">
        <v>0</v>
      </c>
      <c r="K403" s="98" t="s">
        <v>3331</v>
      </c>
      <c r="L403" s="97" t="s">
        <v>1902</v>
      </c>
      <c r="M403" s="97" t="s">
        <v>880</v>
      </c>
      <c r="N403" s="97" t="s">
        <v>1903</v>
      </c>
      <c r="O403" s="97" t="s">
        <v>1904</v>
      </c>
    </row>
    <row r="404" spans="1:15">
      <c r="A404" s="101" t="n">
        <v>403</v>
      </c>
      <c r="B404" s="97" t="n">
        <v>403</v>
      </c>
      <c r="C404" s="98" t="s">
        <v>3332</v>
      </c>
      <c r="D404" s="97" t="s">
        <v>3333</v>
      </c>
      <c r="E404" s="99" t="n">
        <v>33777</v>
      </c>
      <c r="F404" s="97" t="s">
        <v>1898</v>
      </c>
      <c r="G404" s="98" t="s">
        <v>3334</v>
      </c>
      <c r="H404" s="97" t="n">
        <v>0</v>
      </c>
      <c r="I404" s="97" t="s">
        <v>2987</v>
      </c>
      <c r="J404" s="97" t="n">
        <v>0</v>
      </c>
      <c r="K404" s="98" t="s">
        <v>3335</v>
      </c>
      <c r="L404" s="97" t="s">
        <v>1902</v>
      </c>
      <c r="M404" s="97" t="s">
        <v>880</v>
      </c>
      <c r="N404" s="97" t="s">
        <v>1903</v>
      </c>
      <c r="O404" s="97" t="s">
        <v>1904</v>
      </c>
    </row>
    <row r="405" spans="1:15">
      <c r="A405" s="101" t="n">
        <v>404</v>
      </c>
      <c r="B405" s="97" t="n">
        <v>405</v>
      </c>
      <c r="C405" s="98" t="s">
        <v>3336</v>
      </c>
      <c r="D405" s="97" t="s">
        <v>3337</v>
      </c>
      <c r="E405" s="99" t="n">
        <v>33790</v>
      </c>
      <c r="F405" s="97" t="s">
        <v>1898</v>
      </c>
      <c r="G405" s="98" t="s">
        <v>1045</v>
      </c>
      <c r="H405" s="97" t="n">
        <v>0</v>
      </c>
      <c r="I405" s="97" t="s">
        <v>2987</v>
      </c>
      <c r="J405" s="97" t="n">
        <v>0</v>
      </c>
      <c r="K405" s="98" t="s">
        <v>3338</v>
      </c>
      <c r="L405" s="97" t="s">
        <v>1902</v>
      </c>
      <c r="M405" s="97" t="s">
        <v>880</v>
      </c>
      <c r="N405" s="97" t="s">
        <v>1903</v>
      </c>
      <c r="O405" s="97" t="s">
        <v>1904</v>
      </c>
    </row>
    <row r="406" spans="1:15">
      <c r="A406" s="101" t="n">
        <v>405</v>
      </c>
      <c r="B406" s="97" t="n">
        <v>341</v>
      </c>
      <c r="C406" s="98" t="s">
        <v>3339</v>
      </c>
      <c r="D406" s="97" t="s">
        <v>3340</v>
      </c>
      <c r="E406" s="99" t="n">
        <v>29338</v>
      </c>
      <c r="F406" s="97" t="s">
        <v>1898</v>
      </c>
      <c r="G406" s="98" t="s">
        <v>896</v>
      </c>
      <c r="H406" s="97" t="n">
        <v>0</v>
      </c>
      <c r="I406" s="97" t="s">
        <v>2987</v>
      </c>
      <c r="J406" s="97" t="n">
        <v>0</v>
      </c>
      <c r="K406" s="98" t="s">
        <v>3341</v>
      </c>
      <c r="L406" s="97" t="s">
        <v>1902</v>
      </c>
      <c r="M406" s="97" t="s">
        <v>880</v>
      </c>
      <c r="N406" s="97" t="s">
        <v>1903</v>
      </c>
      <c r="O406" s="97" t="s">
        <v>1904</v>
      </c>
    </row>
    <row r="407" spans="1:15">
      <c r="A407" s="101" t="n">
        <v>406</v>
      </c>
      <c r="B407" s="97" t="n">
        <v>317</v>
      </c>
      <c r="C407" s="98" t="s">
        <v>3342</v>
      </c>
      <c r="D407" s="97" t="s">
        <v>3343</v>
      </c>
      <c r="E407" s="99" t="n">
        <v>33130</v>
      </c>
      <c r="F407" s="97" t="s">
        <v>1898</v>
      </c>
      <c r="G407" s="98" t="s">
        <v>3344</v>
      </c>
      <c r="H407" s="97" t="n">
        <v>0</v>
      </c>
      <c r="I407" s="97" t="s">
        <v>2998</v>
      </c>
      <c r="J407" s="97" t="n">
        <v>0</v>
      </c>
      <c r="K407" s="98" t="s">
        <v>3345</v>
      </c>
      <c r="L407" s="97" t="s">
        <v>1902</v>
      </c>
      <c r="M407" s="97" t="s">
        <v>880</v>
      </c>
      <c r="N407" s="97" t="s">
        <v>1903</v>
      </c>
      <c r="O407" s="97" t="s">
        <v>1904</v>
      </c>
    </row>
    <row r="408" spans="1:15">
      <c r="A408" s="101" t="n">
        <v>407</v>
      </c>
      <c r="B408" s="97" t="n">
        <v>395</v>
      </c>
      <c r="C408" s="98" t="s">
        <v>3346</v>
      </c>
      <c r="D408" s="97" t="s">
        <v>3347</v>
      </c>
      <c r="E408" s="99" t="n">
        <v>33493</v>
      </c>
      <c r="F408" s="97" t="s">
        <v>1898</v>
      </c>
      <c r="G408" s="98" t="s">
        <v>3348</v>
      </c>
      <c r="H408" s="97" t="n">
        <v>0</v>
      </c>
      <c r="I408" s="97" t="s">
        <v>2987</v>
      </c>
      <c r="J408" s="97" t="n">
        <v>0</v>
      </c>
      <c r="K408" s="98" t="s">
        <v>3349</v>
      </c>
      <c r="L408" s="97" t="s">
        <v>1902</v>
      </c>
      <c r="M408" s="97" t="s">
        <v>880</v>
      </c>
      <c r="N408" s="97" t="s">
        <v>1903</v>
      </c>
      <c r="O408" s="97" t="s">
        <v>1904</v>
      </c>
    </row>
    <row r="409" spans="1:15">
      <c r="A409" s="101" t="n">
        <v>408</v>
      </c>
      <c r="B409" s="97" t="n">
        <v>396</v>
      </c>
      <c r="C409" s="98" t="s">
        <v>3350</v>
      </c>
      <c r="D409" s="97" t="s">
        <v>3351</v>
      </c>
      <c r="E409" s="99" t="n">
        <v>33499</v>
      </c>
      <c r="F409" s="97" t="s">
        <v>1898</v>
      </c>
      <c r="G409" s="98" t="s">
        <v>1047</v>
      </c>
      <c r="H409" s="97" t="n">
        <v>0</v>
      </c>
      <c r="I409" s="97" t="s">
        <v>2987</v>
      </c>
      <c r="J409" s="97" t="n">
        <v>0</v>
      </c>
      <c r="K409" s="98" t="s">
        <v>3352</v>
      </c>
      <c r="L409" s="97" t="s">
        <v>1902</v>
      </c>
      <c r="M409" s="97" t="s">
        <v>880</v>
      </c>
      <c r="N409" s="97" t="s">
        <v>1903</v>
      </c>
      <c r="O409" s="97" t="s">
        <v>1904</v>
      </c>
    </row>
    <row r="410" spans="1:15">
      <c r="A410" s="101" t="n">
        <v>409</v>
      </c>
      <c r="B410" s="97" t="n">
        <v>428</v>
      </c>
      <c r="C410" s="98" t="s">
        <v>3353</v>
      </c>
      <c r="D410" s="97" t="s">
        <v>3354</v>
      </c>
      <c r="E410" s="99" t="n">
        <v>34936</v>
      </c>
      <c r="F410" s="97" t="s">
        <v>1898</v>
      </c>
      <c r="G410" s="98" t="s">
        <v>3355</v>
      </c>
      <c r="H410" s="97" t="n">
        <v>0</v>
      </c>
      <c r="I410" s="97" t="s">
        <v>2987</v>
      </c>
      <c r="J410" s="97" t="n">
        <v>0</v>
      </c>
      <c r="K410" s="98" t="s">
        <v>3356</v>
      </c>
      <c r="L410" s="97" t="s">
        <v>1902</v>
      </c>
      <c r="M410" s="97" t="s">
        <v>880</v>
      </c>
      <c r="N410" s="97" t="s">
        <v>1903</v>
      </c>
      <c r="O410" s="97" t="s">
        <v>1904</v>
      </c>
    </row>
    <row r="411" spans="1:15">
      <c r="A411" s="101" t="n">
        <v>410</v>
      </c>
      <c r="B411" s="97" t="n">
        <v>418</v>
      </c>
      <c r="C411" s="98" t="s">
        <v>3357</v>
      </c>
      <c r="D411" s="97" t="s">
        <v>3358</v>
      </c>
      <c r="E411" s="99" t="n">
        <v>34551</v>
      </c>
      <c r="F411" s="97" t="s">
        <v>1898</v>
      </c>
      <c r="G411" s="98" t="s">
        <v>1172</v>
      </c>
      <c r="H411" s="97" t="n">
        <v>0</v>
      </c>
      <c r="I411" s="97" t="s">
        <v>2987</v>
      </c>
      <c r="J411" s="97" t="n">
        <v>0</v>
      </c>
      <c r="K411" s="98" t="s">
        <v>3359</v>
      </c>
      <c r="L411" s="97" t="s">
        <v>1902</v>
      </c>
      <c r="M411" s="97" t="s">
        <v>880</v>
      </c>
      <c r="N411" s="97" t="s">
        <v>1903</v>
      </c>
      <c r="O411" s="97" t="s">
        <v>1904</v>
      </c>
    </row>
    <row r="412" spans="1:15">
      <c r="A412" s="101" t="n">
        <v>411</v>
      </c>
      <c r="B412" s="97" t="n">
        <v>390</v>
      </c>
      <c r="C412" s="98" t="s">
        <v>3360</v>
      </c>
      <c r="D412" s="97" t="s">
        <v>3361</v>
      </c>
      <c r="E412" s="99" t="n">
        <v>33294</v>
      </c>
      <c r="F412" s="97" t="s">
        <v>1898</v>
      </c>
      <c r="G412" s="98" t="s">
        <v>1049</v>
      </c>
      <c r="H412" s="97" t="n">
        <v>0</v>
      </c>
      <c r="I412" s="97" t="s">
        <v>2987</v>
      </c>
      <c r="J412" s="97" t="n">
        <v>0</v>
      </c>
      <c r="K412" s="98" t="s">
        <v>2335</v>
      </c>
      <c r="L412" s="97" t="s">
        <v>1902</v>
      </c>
      <c r="M412" s="97" t="s">
        <v>880</v>
      </c>
      <c r="N412" s="97" t="s">
        <v>1903</v>
      </c>
      <c r="O412" s="97" t="s">
        <v>1904</v>
      </c>
    </row>
    <row r="413" spans="1:15">
      <c r="A413" s="101" t="n">
        <v>412</v>
      </c>
      <c r="B413" s="97" t="n">
        <v>389</v>
      </c>
      <c r="C413" s="98" t="s">
        <v>3362</v>
      </c>
      <c r="D413" s="97" t="s">
        <v>3363</v>
      </c>
      <c r="E413" s="99" t="n">
        <v>33258</v>
      </c>
      <c r="F413" s="97" t="s">
        <v>1898</v>
      </c>
      <c r="G413" s="98" t="s">
        <v>3364</v>
      </c>
      <c r="H413" s="97" t="n">
        <v>0</v>
      </c>
      <c r="I413" s="97" t="s">
        <v>2987</v>
      </c>
      <c r="J413" s="97" t="n">
        <v>0</v>
      </c>
      <c r="K413" s="98" t="s">
        <v>3365</v>
      </c>
      <c r="L413" s="97" t="s">
        <v>1902</v>
      </c>
      <c r="M413" s="97" t="s">
        <v>880</v>
      </c>
      <c r="N413" s="97" t="s">
        <v>1903</v>
      </c>
      <c r="O413" s="97" t="s">
        <v>1904</v>
      </c>
    </row>
    <row r="414" spans="1:15">
      <c r="A414" s="101" t="n">
        <v>413</v>
      </c>
      <c r="B414" s="97" t="n">
        <v>359</v>
      </c>
      <c r="C414" s="98" t="s">
        <v>3366</v>
      </c>
      <c r="D414" s="97" t="s">
        <v>3367</v>
      </c>
      <c r="E414" s="99" t="n">
        <v>31488</v>
      </c>
      <c r="F414" s="97" t="s">
        <v>1898</v>
      </c>
      <c r="G414" s="98" t="s">
        <v>1051</v>
      </c>
      <c r="H414" s="97" t="n">
        <v>0</v>
      </c>
      <c r="I414" s="97" t="s">
        <v>2987</v>
      </c>
      <c r="J414" s="97" t="n">
        <v>0</v>
      </c>
      <c r="K414" s="98" t="s">
        <v>3368</v>
      </c>
      <c r="L414" s="97" t="s">
        <v>1902</v>
      </c>
      <c r="M414" s="97" t="s">
        <v>880</v>
      </c>
      <c r="N414" s="97" t="s">
        <v>1903</v>
      </c>
      <c r="O414" s="97" t="s">
        <v>1904</v>
      </c>
    </row>
    <row r="415" spans="1:15">
      <c r="A415" s="101" t="n">
        <v>414</v>
      </c>
      <c r="B415" s="97" t="n">
        <v>354</v>
      </c>
      <c r="C415" s="98" t="s">
        <v>3369</v>
      </c>
      <c r="D415" s="97" t="s">
        <v>3370</v>
      </c>
      <c r="E415" s="99" t="n">
        <v>31064</v>
      </c>
      <c r="F415" s="97" t="s">
        <v>1898</v>
      </c>
      <c r="G415" s="98" t="s">
        <v>890</v>
      </c>
      <c r="H415" s="97" t="n">
        <v>0</v>
      </c>
      <c r="I415" s="97" t="s">
        <v>2987</v>
      </c>
      <c r="J415" s="97" t="n">
        <v>0</v>
      </c>
      <c r="K415" s="98" t="s">
        <v>3371</v>
      </c>
      <c r="L415" s="97" t="s">
        <v>1902</v>
      </c>
      <c r="M415" s="97" t="s">
        <v>880</v>
      </c>
      <c r="N415" s="97" t="s">
        <v>1903</v>
      </c>
      <c r="O415" s="97" t="s">
        <v>1904</v>
      </c>
    </row>
    <row r="416" spans="1:15">
      <c r="A416" s="101" t="n">
        <v>415</v>
      </c>
      <c r="B416" s="97" t="n">
        <v>383</v>
      </c>
      <c r="C416" s="98" t="s">
        <v>3372</v>
      </c>
      <c r="D416" s="97" t="s">
        <v>3373</v>
      </c>
      <c r="E416" s="99" t="n">
        <v>33121</v>
      </c>
      <c r="F416" s="97" t="s">
        <v>1898</v>
      </c>
      <c r="G416" s="98" t="s">
        <v>1053</v>
      </c>
      <c r="H416" s="97" t="n">
        <v>0</v>
      </c>
      <c r="I416" s="97" t="s">
        <v>2987</v>
      </c>
      <c r="J416" s="97" t="n">
        <v>0</v>
      </c>
      <c r="K416" s="98" t="s">
        <v>3374</v>
      </c>
      <c r="L416" s="97" t="s">
        <v>1902</v>
      </c>
      <c r="M416" s="97" t="s">
        <v>880</v>
      </c>
      <c r="N416" s="97" t="s">
        <v>1903</v>
      </c>
      <c r="O416" s="97" t="s">
        <v>1904</v>
      </c>
    </row>
    <row r="417" spans="1:15">
      <c r="A417" s="101" t="n">
        <v>416</v>
      </c>
      <c r="B417" s="97" t="n">
        <v>330</v>
      </c>
      <c r="C417" s="98" t="s">
        <v>3375</v>
      </c>
      <c r="D417" s="97" t="s">
        <v>3376</v>
      </c>
      <c r="E417" s="99" t="n">
        <v>33097</v>
      </c>
      <c r="F417" s="97" t="s">
        <v>1898</v>
      </c>
      <c r="G417" s="98" t="s">
        <v>1055</v>
      </c>
      <c r="H417" s="97" t="n">
        <v>0</v>
      </c>
      <c r="I417" s="97" t="s">
        <v>2998</v>
      </c>
      <c r="J417" s="97" t="n">
        <v>0</v>
      </c>
      <c r="K417" s="98" t="s">
        <v>3377</v>
      </c>
      <c r="L417" s="97" t="s">
        <v>1902</v>
      </c>
      <c r="M417" s="97" t="s">
        <v>880</v>
      </c>
      <c r="N417" s="97" t="s">
        <v>1903</v>
      </c>
      <c r="O417" s="97" t="s">
        <v>1904</v>
      </c>
    </row>
    <row r="418" spans="1:15">
      <c r="A418" s="101" t="n">
        <v>417</v>
      </c>
      <c r="B418" s="97" t="n">
        <v>345</v>
      </c>
      <c r="C418" s="98" t="s">
        <v>3378</v>
      </c>
      <c r="D418" s="97" t="s">
        <v>3379</v>
      </c>
      <c r="E418" s="99" t="n">
        <v>30389</v>
      </c>
      <c r="F418" s="97" t="s">
        <v>1898</v>
      </c>
      <c r="G418" s="98" t="s">
        <v>1057</v>
      </c>
      <c r="H418" s="97" t="n">
        <v>0</v>
      </c>
      <c r="I418" s="97" t="s">
        <v>2987</v>
      </c>
      <c r="J418" s="97" t="n">
        <v>0</v>
      </c>
      <c r="K418" s="98" t="s">
        <v>3380</v>
      </c>
      <c r="L418" s="97" t="s">
        <v>1902</v>
      </c>
      <c r="M418" s="97" t="s">
        <v>880</v>
      </c>
      <c r="N418" s="97" t="s">
        <v>1903</v>
      </c>
      <c r="O418" s="97" t="s">
        <v>1904</v>
      </c>
    </row>
    <row r="419" spans="1:15">
      <c r="A419" s="101" t="n">
        <v>418</v>
      </c>
      <c r="B419" s="97" t="n">
        <v>346</v>
      </c>
      <c r="C419" s="98" t="s">
        <v>3381</v>
      </c>
      <c r="D419" s="97" t="s">
        <v>3382</v>
      </c>
      <c r="E419" s="99" t="n">
        <v>30472</v>
      </c>
      <c r="F419" s="97" t="s">
        <v>1898</v>
      </c>
      <c r="G419" s="98" t="s">
        <v>883</v>
      </c>
      <c r="H419" s="97" t="n">
        <v>0</v>
      </c>
      <c r="I419" s="97" t="s">
        <v>2987</v>
      </c>
      <c r="J419" s="97" t="n">
        <v>0</v>
      </c>
      <c r="K419" s="98" t="s">
        <v>3383</v>
      </c>
      <c r="L419" s="97" t="s">
        <v>1902</v>
      </c>
      <c r="M419" s="97" t="s">
        <v>880</v>
      </c>
      <c r="N419" s="97" t="s">
        <v>1903</v>
      </c>
      <c r="O419" s="97" t="s">
        <v>1904</v>
      </c>
    </row>
    <row r="420" spans="1:15">
      <c r="A420" s="101" t="n">
        <v>419</v>
      </c>
      <c r="B420" s="97" t="n">
        <v>431</v>
      </c>
      <c r="C420" s="98" t="s">
        <v>3384</v>
      </c>
      <c r="D420" s="97" t="s">
        <v>3385</v>
      </c>
      <c r="E420" s="99" t="n">
        <v>35054</v>
      </c>
      <c r="F420" s="97" t="s">
        <v>1898</v>
      </c>
      <c r="G420" s="98" t="s">
        <v>3386</v>
      </c>
      <c r="H420" s="97" t="n">
        <v>0</v>
      </c>
      <c r="I420" s="97" t="s">
        <v>2987</v>
      </c>
      <c r="J420" s="97" t="n">
        <v>0</v>
      </c>
      <c r="K420" s="98" t="s">
        <v>3387</v>
      </c>
      <c r="L420" s="97" t="s">
        <v>1902</v>
      </c>
      <c r="M420" s="97" t="s">
        <v>880</v>
      </c>
      <c r="N420" s="97" t="s">
        <v>1903</v>
      </c>
      <c r="O420" s="97" t="s">
        <v>1904</v>
      </c>
    </row>
    <row r="421" spans="1:15">
      <c r="A421" s="101" t="n">
        <v>420</v>
      </c>
      <c r="B421" s="97" t="n">
        <v>315</v>
      </c>
      <c r="C421" s="98" t="s">
        <v>3388</v>
      </c>
      <c r="D421" s="97" t="s">
        <v>3389</v>
      </c>
      <c r="E421" s="99" t="n">
        <v>32761</v>
      </c>
      <c r="F421" s="97" t="s">
        <v>1898</v>
      </c>
      <c r="G421" s="98" t="s">
        <v>1059</v>
      </c>
      <c r="H421" s="97" t="n">
        <v>0</v>
      </c>
      <c r="I421" s="97" t="s">
        <v>2998</v>
      </c>
      <c r="J421" s="97" t="n">
        <v>0</v>
      </c>
      <c r="K421" s="98" t="s">
        <v>3390</v>
      </c>
      <c r="L421" s="97" t="s">
        <v>1902</v>
      </c>
      <c r="M421" s="97" t="s">
        <v>880</v>
      </c>
      <c r="N421" s="97" t="s">
        <v>1903</v>
      </c>
      <c r="O421" s="97" t="s">
        <v>1904</v>
      </c>
    </row>
    <row r="422" spans="1:15">
      <c r="A422" s="101" t="n">
        <v>421</v>
      </c>
      <c r="B422" s="97" t="n">
        <v>421</v>
      </c>
      <c r="C422" s="98" t="s">
        <v>3391</v>
      </c>
      <c r="D422" s="97" t="s">
        <v>1158</v>
      </c>
      <c r="E422" s="99" t="n">
        <v>34708</v>
      </c>
      <c r="F422" s="97" t="s">
        <v>1898</v>
      </c>
      <c r="G422" s="98" t="s">
        <v>3392</v>
      </c>
      <c r="H422" s="97" t="n">
        <v>0</v>
      </c>
      <c r="I422" s="97" t="s">
        <v>2987</v>
      </c>
      <c r="J422" s="97" t="n">
        <v>0</v>
      </c>
      <c r="K422" s="98" t="s">
        <v>3393</v>
      </c>
      <c r="L422" s="97" t="s">
        <v>1902</v>
      </c>
      <c r="M422" s="97" t="s">
        <v>880</v>
      </c>
      <c r="N422" s="97" t="s">
        <v>1903</v>
      </c>
      <c r="O422" s="97" t="s">
        <v>1904</v>
      </c>
    </row>
    <row r="423" spans="1:15">
      <c r="A423" s="101" t="n">
        <v>422</v>
      </c>
      <c r="B423" s="97" t="n">
        <v>309</v>
      </c>
      <c r="C423" s="98" t="s">
        <v>3394</v>
      </c>
      <c r="D423" s="97" t="s">
        <v>3395</v>
      </c>
      <c r="E423" s="99" t="n">
        <v>31549</v>
      </c>
      <c r="F423" s="97" t="s">
        <v>1898</v>
      </c>
      <c r="G423" s="98" t="s">
        <v>1061</v>
      </c>
      <c r="H423" s="97" t="n">
        <v>0</v>
      </c>
      <c r="I423" s="97" t="s">
        <v>2998</v>
      </c>
      <c r="J423" s="97" t="n">
        <v>0</v>
      </c>
      <c r="K423" s="98" t="s">
        <v>3396</v>
      </c>
      <c r="L423" s="97" t="s">
        <v>1902</v>
      </c>
      <c r="M423" s="97" t="s">
        <v>880</v>
      </c>
      <c r="N423" s="97" t="s">
        <v>1903</v>
      </c>
      <c r="O423" s="97" t="s">
        <v>1904</v>
      </c>
    </row>
    <row r="424" spans="1:15">
      <c r="A424" s="101" t="n">
        <v>423</v>
      </c>
      <c r="B424" s="97" t="n">
        <v>432</v>
      </c>
      <c r="C424" s="98" t="s">
        <v>3397</v>
      </c>
      <c r="D424" s="97" t="s">
        <v>3398</v>
      </c>
      <c r="E424" s="99" t="n">
        <v>35295</v>
      </c>
      <c r="F424" s="97" t="s">
        <v>1898</v>
      </c>
      <c r="G424" s="98" t="s">
        <v>1063</v>
      </c>
      <c r="H424" s="97" t="n">
        <v>0</v>
      </c>
      <c r="I424" s="97" t="s">
        <v>2987</v>
      </c>
      <c r="J424" s="97" t="n">
        <v>0</v>
      </c>
      <c r="K424" s="98" t="s">
        <v>3399</v>
      </c>
      <c r="L424" s="97" t="s">
        <v>1902</v>
      </c>
      <c r="M424" s="97" t="s">
        <v>880</v>
      </c>
      <c r="N424" s="97" t="s">
        <v>1903</v>
      </c>
      <c r="O424" s="97" t="s">
        <v>1904</v>
      </c>
    </row>
    <row r="425" spans="1:15">
      <c r="A425" s="101" t="n">
        <v>424</v>
      </c>
      <c r="B425" s="97" t="n">
        <v>434</v>
      </c>
      <c r="C425" s="98" t="s">
        <v>3400</v>
      </c>
      <c r="D425" s="97" t="s">
        <v>3401</v>
      </c>
      <c r="E425" s="99" t="n">
        <v>35586</v>
      </c>
      <c r="F425" s="97" t="s">
        <v>1898</v>
      </c>
      <c r="G425" s="98" t="s">
        <v>3402</v>
      </c>
      <c r="H425" s="97" t="n">
        <v>0</v>
      </c>
      <c r="I425" s="97" t="s">
        <v>2987</v>
      </c>
      <c r="J425" s="97" t="n">
        <v>0</v>
      </c>
      <c r="K425" s="98" t="s">
        <v>3403</v>
      </c>
      <c r="L425" s="97" t="s">
        <v>1902</v>
      </c>
      <c r="M425" s="97" t="s">
        <v>880</v>
      </c>
      <c r="N425" s="97" t="s">
        <v>1903</v>
      </c>
      <c r="O425" s="97" t="s">
        <v>1904</v>
      </c>
    </row>
    <row r="426" spans="1:15">
      <c r="A426" s="101" t="n">
        <v>425</v>
      </c>
      <c r="B426" s="97" t="n">
        <v>322</v>
      </c>
      <c r="C426" s="98" t="s">
        <v>3404</v>
      </c>
      <c r="D426" s="97" t="s">
        <v>3405</v>
      </c>
      <c r="E426" s="99" t="n">
        <v>33827</v>
      </c>
      <c r="F426" s="97" t="s">
        <v>1898</v>
      </c>
      <c r="G426" s="98" t="s">
        <v>1065</v>
      </c>
      <c r="H426" s="97" t="n">
        <v>0</v>
      </c>
      <c r="I426" s="97" t="s">
        <v>2998</v>
      </c>
      <c r="J426" s="97" t="n">
        <v>0</v>
      </c>
      <c r="K426" s="98" t="s">
        <v>3406</v>
      </c>
      <c r="L426" s="97" t="s">
        <v>1902</v>
      </c>
      <c r="M426" s="97" t="s">
        <v>880</v>
      </c>
      <c r="N426" s="97" t="s">
        <v>1903</v>
      </c>
      <c r="O426" s="97" t="s">
        <v>1904</v>
      </c>
    </row>
    <row r="427" spans="1:15">
      <c r="A427" s="101" t="n">
        <v>426</v>
      </c>
      <c r="B427" s="97" t="n">
        <v>318</v>
      </c>
      <c r="C427" s="98" t="s">
        <v>3407</v>
      </c>
      <c r="D427" s="97" t="s">
        <v>3408</v>
      </c>
      <c r="E427" s="99" t="n">
        <v>33176</v>
      </c>
      <c r="F427" s="97" t="s">
        <v>1898</v>
      </c>
      <c r="G427" s="98" t="s">
        <v>1067</v>
      </c>
      <c r="H427" s="97" t="n">
        <v>0</v>
      </c>
      <c r="I427" s="97" t="s">
        <v>2998</v>
      </c>
      <c r="J427" s="97" t="n">
        <v>0</v>
      </c>
      <c r="K427" s="98" t="s">
        <v>3409</v>
      </c>
      <c r="L427" s="97" t="s">
        <v>1902</v>
      </c>
      <c r="M427" s="97" t="s">
        <v>880</v>
      </c>
      <c r="N427" s="97" t="s">
        <v>1903</v>
      </c>
      <c r="O427" s="97" t="s">
        <v>1904</v>
      </c>
    </row>
    <row r="428" spans="1:15">
      <c r="A428" s="101" t="n">
        <v>427</v>
      </c>
      <c r="B428" s="97" t="n">
        <v>426</v>
      </c>
      <c r="C428" s="98" t="s">
        <v>3410</v>
      </c>
      <c r="D428" s="97" t="s">
        <v>3411</v>
      </c>
      <c r="E428" s="99" t="n">
        <v>34791</v>
      </c>
      <c r="F428" s="97" t="s">
        <v>1898</v>
      </c>
      <c r="G428" s="98" t="s">
        <v>3412</v>
      </c>
      <c r="H428" s="97" t="n">
        <v>0</v>
      </c>
      <c r="I428" s="97" t="s">
        <v>2987</v>
      </c>
      <c r="J428" s="97" t="n">
        <v>0</v>
      </c>
      <c r="K428" s="98" t="s">
        <v>3413</v>
      </c>
      <c r="L428" s="97" t="s">
        <v>1902</v>
      </c>
      <c r="M428" s="97" t="s">
        <v>880</v>
      </c>
      <c r="N428" s="97" t="s">
        <v>1903</v>
      </c>
      <c r="O428" s="97" t="s">
        <v>1904</v>
      </c>
    </row>
    <row r="429" spans="1:15">
      <c r="A429" s="101" t="n">
        <v>428</v>
      </c>
      <c r="B429" s="97" t="n">
        <v>406</v>
      </c>
      <c r="C429" s="98" t="s">
        <v>3414</v>
      </c>
      <c r="D429" s="97" t="s">
        <v>3415</v>
      </c>
      <c r="E429" s="99" t="n">
        <v>33847</v>
      </c>
      <c r="F429" s="97" t="s">
        <v>1898</v>
      </c>
      <c r="G429" s="98" t="s">
        <v>1069</v>
      </c>
      <c r="H429" s="97" t="n">
        <v>0</v>
      </c>
      <c r="I429" s="97" t="s">
        <v>2987</v>
      </c>
      <c r="J429" s="97" t="n">
        <v>0</v>
      </c>
      <c r="K429" s="98" t="s">
        <v>3416</v>
      </c>
      <c r="L429" s="97" t="s">
        <v>1902</v>
      </c>
      <c r="M429" s="97" t="s">
        <v>880</v>
      </c>
      <c r="N429" s="97" t="s">
        <v>1903</v>
      </c>
      <c r="O429" s="97" t="s">
        <v>1904</v>
      </c>
    </row>
    <row r="430" spans="1:15">
      <c r="A430" s="101" t="n">
        <v>429</v>
      </c>
      <c r="B430" s="97" t="n">
        <v>337</v>
      </c>
      <c r="C430" s="98" t="s">
        <v>3417</v>
      </c>
      <c r="D430" s="97" t="s">
        <v>3418</v>
      </c>
      <c r="E430" s="99" t="n">
        <v>35527</v>
      </c>
      <c r="F430" s="97" t="s">
        <v>1898</v>
      </c>
      <c r="G430" s="98" t="s">
        <v>3419</v>
      </c>
      <c r="H430" s="97" t="n">
        <v>0</v>
      </c>
      <c r="I430" s="97" t="s">
        <v>2998</v>
      </c>
      <c r="J430" s="97" t="n">
        <v>0</v>
      </c>
      <c r="K430" s="98" t="s">
        <v>3420</v>
      </c>
      <c r="L430" s="97" t="s">
        <v>1902</v>
      </c>
      <c r="M430" s="97" t="s">
        <v>880</v>
      </c>
      <c r="N430" s="97" t="s">
        <v>1903</v>
      </c>
      <c r="O430" s="97" t="s">
        <v>1904</v>
      </c>
    </row>
    <row r="431" spans="1:15">
      <c r="A431" s="101" t="n">
        <v>430</v>
      </c>
      <c r="B431" s="97" t="n">
        <v>321</v>
      </c>
      <c r="C431" s="98" t="s">
        <v>3421</v>
      </c>
      <c r="D431" s="97" t="s">
        <v>3422</v>
      </c>
      <c r="E431" s="99" t="n">
        <v>33692</v>
      </c>
      <c r="F431" s="97" t="s">
        <v>1898</v>
      </c>
      <c r="G431" s="98" t="s">
        <v>3423</v>
      </c>
      <c r="H431" s="97" t="n">
        <v>0</v>
      </c>
      <c r="I431" s="97" t="s">
        <v>2998</v>
      </c>
      <c r="J431" s="97" t="n">
        <v>0</v>
      </c>
      <c r="K431" s="98" t="s">
        <v>3424</v>
      </c>
      <c r="L431" s="97" t="s">
        <v>1902</v>
      </c>
      <c r="M431" s="97" t="s">
        <v>880</v>
      </c>
      <c r="N431" s="97" t="s">
        <v>1903</v>
      </c>
      <c r="O431" s="97" t="s">
        <v>1904</v>
      </c>
    </row>
    <row r="432" spans="1:15">
      <c r="A432" s="101" t="n">
        <v>431</v>
      </c>
      <c r="B432" s="97" t="n">
        <v>362</v>
      </c>
      <c r="C432" s="98" t="s">
        <v>3425</v>
      </c>
      <c r="D432" s="97" t="s">
        <v>3426</v>
      </c>
      <c r="E432" s="99" t="n">
        <v>31768</v>
      </c>
      <c r="F432" s="97" t="s">
        <v>1898</v>
      </c>
      <c r="G432" s="98" t="s">
        <v>1071</v>
      </c>
      <c r="H432" s="97" t="n">
        <v>0</v>
      </c>
      <c r="I432" s="97" t="s">
        <v>2987</v>
      </c>
      <c r="J432" s="97" t="n">
        <v>0</v>
      </c>
      <c r="K432" s="98" t="s">
        <v>3427</v>
      </c>
      <c r="L432" s="97" t="s">
        <v>1902</v>
      </c>
      <c r="M432" s="97" t="s">
        <v>880</v>
      </c>
      <c r="N432" s="97" t="s">
        <v>1903</v>
      </c>
      <c r="O432" s="97" t="s">
        <v>1904</v>
      </c>
    </row>
    <row r="433" spans="1:15">
      <c r="A433" s="101" t="n">
        <v>432</v>
      </c>
      <c r="B433" s="97" t="n">
        <v>310</v>
      </c>
      <c r="C433" s="98" t="s">
        <v>3428</v>
      </c>
      <c r="D433" s="97" t="s">
        <v>1163</v>
      </c>
      <c r="E433" s="99" t="n">
        <v>31681</v>
      </c>
      <c r="F433" s="97" t="s">
        <v>1898</v>
      </c>
      <c r="G433" s="98" t="s">
        <v>3429</v>
      </c>
      <c r="H433" s="97" t="n">
        <v>0</v>
      </c>
      <c r="I433" s="97" t="s">
        <v>2998</v>
      </c>
      <c r="J433" s="97" t="n">
        <v>0</v>
      </c>
      <c r="K433" s="98" t="s">
        <v>3430</v>
      </c>
      <c r="L433" s="97" t="s">
        <v>1902</v>
      </c>
      <c r="M433" s="97" t="s">
        <v>880</v>
      </c>
      <c r="N433" s="97" t="s">
        <v>1903</v>
      </c>
      <c r="O433" s="97" t="s">
        <v>1904</v>
      </c>
    </row>
    <row r="434" spans="1:15">
      <c r="A434" s="101" t="n">
        <v>433</v>
      </c>
      <c r="B434" s="97" t="n">
        <v>307</v>
      </c>
      <c r="C434" s="98" t="s">
        <v>3431</v>
      </c>
      <c r="D434" s="97" t="s">
        <v>3432</v>
      </c>
      <c r="E434" s="99" t="n">
        <v>30419</v>
      </c>
      <c r="F434" s="97" t="s">
        <v>1898</v>
      </c>
      <c r="G434" s="98" t="s">
        <v>1073</v>
      </c>
      <c r="H434" s="97" t="n">
        <v>0</v>
      </c>
      <c r="I434" s="97" t="s">
        <v>2998</v>
      </c>
      <c r="J434" s="97" t="n">
        <v>0</v>
      </c>
      <c r="K434" s="98" t="s">
        <v>3433</v>
      </c>
      <c r="L434" s="97" t="s">
        <v>1902</v>
      </c>
      <c r="M434" s="97" t="s">
        <v>880</v>
      </c>
      <c r="N434" s="97" t="s">
        <v>1903</v>
      </c>
      <c r="O434" s="97" t="s">
        <v>1904</v>
      </c>
    </row>
    <row r="435" spans="1:15">
      <c r="A435" s="101" t="n">
        <v>434</v>
      </c>
      <c r="B435" s="97" t="n">
        <v>367</v>
      </c>
      <c r="C435" s="98" t="s">
        <v>3434</v>
      </c>
      <c r="D435" s="97" t="s">
        <v>3435</v>
      </c>
      <c r="E435" s="99" t="n">
        <v>32116</v>
      </c>
      <c r="F435" s="97" t="s">
        <v>1898</v>
      </c>
      <c r="G435" s="98" t="s">
        <v>1075</v>
      </c>
      <c r="H435" s="97" t="n">
        <v>0</v>
      </c>
      <c r="I435" s="97" t="s">
        <v>2987</v>
      </c>
      <c r="J435" s="97" t="n">
        <v>0</v>
      </c>
      <c r="K435" s="98" t="s">
        <v>3436</v>
      </c>
      <c r="L435" s="97" t="s">
        <v>1902</v>
      </c>
      <c r="M435" s="97" t="s">
        <v>880</v>
      </c>
      <c r="N435" s="97" t="s">
        <v>1903</v>
      </c>
      <c r="O435" s="97" t="s">
        <v>1904</v>
      </c>
    </row>
    <row r="436" spans="1:15">
      <c r="A436" s="101" t="n">
        <v>435</v>
      </c>
      <c r="B436" s="97" t="n">
        <v>316</v>
      </c>
      <c r="C436" s="98" t="s">
        <v>3437</v>
      </c>
      <c r="D436" s="97" t="s">
        <v>3438</v>
      </c>
      <c r="E436" s="99" t="n">
        <v>33067</v>
      </c>
      <c r="F436" s="97" t="s">
        <v>1898</v>
      </c>
      <c r="G436" s="98" t="s">
        <v>3439</v>
      </c>
      <c r="H436" s="97" t="n">
        <v>0</v>
      </c>
      <c r="I436" s="97" t="s">
        <v>2998</v>
      </c>
      <c r="J436" s="97" t="n">
        <v>0</v>
      </c>
      <c r="K436" s="98" t="s">
        <v>3440</v>
      </c>
      <c r="L436" s="97" t="s">
        <v>1902</v>
      </c>
      <c r="M436" s="97" t="s">
        <v>880</v>
      </c>
      <c r="N436" s="97" t="s">
        <v>1903</v>
      </c>
      <c r="O436" s="97" t="s">
        <v>1904</v>
      </c>
    </row>
    <row r="437" spans="1:15">
      <c r="A437" s="101" t="n">
        <v>436</v>
      </c>
      <c r="B437" s="97" t="n">
        <v>456</v>
      </c>
      <c r="C437" s="98" t="s">
        <v>3441</v>
      </c>
      <c r="D437" s="97" t="s">
        <v>3442</v>
      </c>
      <c r="E437" s="97" t="s">
        <v>3443</v>
      </c>
      <c r="F437" s="97" t="s">
        <v>1898</v>
      </c>
      <c r="G437" s="98" t="s">
        <v>3441</v>
      </c>
      <c r="H437" s="97" t="n">
        <v>0</v>
      </c>
      <c r="I437" s="97" t="s">
        <v>3444</v>
      </c>
      <c r="J437" s="97" t="n">
        <v>0</v>
      </c>
      <c r="K437" s="98" t="s">
        <v>3445</v>
      </c>
      <c r="L437" s="97" t="s">
        <v>1902</v>
      </c>
      <c r="M437" s="97" t="s">
        <v>3446</v>
      </c>
      <c r="N437" s="97" t="s">
        <v>1903</v>
      </c>
      <c r="O437" s="97" t="s">
        <v>1904</v>
      </c>
    </row>
    <row r="438" spans="1:15">
      <c r="A438" s="101" t="n">
        <v>437</v>
      </c>
      <c r="B438" s="97" t="n">
        <v>521</v>
      </c>
      <c r="C438" s="98" t="s">
        <v>3447</v>
      </c>
      <c r="D438" s="97" t="s">
        <v>3448</v>
      </c>
      <c r="E438" s="97" t="s">
        <v>3443</v>
      </c>
      <c r="F438" s="97" t="s">
        <v>1898</v>
      </c>
      <c r="G438" s="98" t="s">
        <v>3447</v>
      </c>
      <c r="H438" s="97" t="n">
        <v>0</v>
      </c>
      <c r="I438" s="97" t="s">
        <v>3444</v>
      </c>
      <c r="J438" s="97" t="n">
        <v>0</v>
      </c>
      <c r="K438" s="98" t="s">
        <v>3449</v>
      </c>
      <c r="L438" s="97" t="s">
        <v>3450</v>
      </c>
      <c r="M438" s="97" t="s">
        <v>3446</v>
      </c>
      <c r="N438" s="97" t="s">
        <v>3451</v>
      </c>
      <c r="O438" s="97" t="s">
        <v>1904</v>
      </c>
    </row>
    <row r="439" spans="1:15">
      <c r="A439" s="101" t="n">
        <v>438</v>
      </c>
      <c r="B439" s="97" t="n">
        <v>449</v>
      </c>
      <c r="C439" s="98" t="s">
        <v>3452</v>
      </c>
      <c r="D439" s="97" t="s">
        <v>3453</v>
      </c>
      <c r="E439" s="97" t="s">
        <v>3443</v>
      </c>
      <c r="F439" s="97" t="s">
        <v>1898</v>
      </c>
      <c r="G439" s="98" t="s">
        <v>3452</v>
      </c>
      <c r="H439" s="97" t="n">
        <v>0</v>
      </c>
      <c r="I439" s="97" t="s">
        <v>3444</v>
      </c>
      <c r="J439" s="97" t="n">
        <v>0</v>
      </c>
      <c r="K439" s="98" t="s">
        <v>3445</v>
      </c>
      <c r="L439" s="97" t="s">
        <v>157</v>
      </c>
      <c r="M439" s="97" t="s">
        <v>3446</v>
      </c>
      <c r="N439" s="97" t="s">
        <v>3451</v>
      </c>
      <c r="O439" s="97" t="s">
        <v>1904</v>
      </c>
    </row>
    <row r="440" spans="1:15">
      <c r="A440" s="101" t="n">
        <v>439</v>
      </c>
      <c r="B440" s="97" t="n">
        <v>475</v>
      </c>
      <c r="C440" s="98" t="s">
        <v>3454</v>
      </c>
      <c r="D440" s="97" t="s">
        <v>3455</v>
      </c>
      <c r="E440" s="97" t="s">
        <v>3443</v>
      </c>
      <c r="F440" s="97" t="s">
        <v>1898</v>
      </c>
      <c r="G440" s="98" t="s">
        <v>3454</v>
      </c>
      <c r="H440" s="97" t="n">
        <v>0</v>
      </c>
      <c r="I440" s="97" t="s">
        <v>3444</v>
      </c>
      <c r="J440" s="97" t="n">
        <v>0</v>
      </c>
      <c r="K440" s="98" t="s">
        <v>3445</v>
      </c>
      <c r="L440" s="97" t="s">
        <v>3456</v>
      </c>
      <c r="M440" s="97" t="s">
        <v>3446</v>
      </c>
      <c r="N440" s="97" t="s">
        <v>1903</v>
      </c>
      <c r="O440" s="97" t="s">
        <v>1904</v>
      </c>
    </row>
    <row r="441" spans="1:15">
      <c r="A441" s="101" t="n">
        <v>440</v>
      </c>
      <c r="B441" s="97" t="n">
        <v>460</v>
      </c>
      <c r="C441" s="98" t="s">
        <v>3457</v>
      </c>
      <c r="D441" s="97" t="s">
        <v>3458</v>
      </c>
      <c r="E441" s="97" t="s">
        <v>3443</v>
      </c>
      <c r="F441" s="97" t="s">
        <v>1898</v>
      </c>
      <c r="G441" s="98" t="s">
        <v>3457</v>
      </c>
      <c r="H441" s="97" t="n">
        <v>0</v>
      </c>
      <c r="I441" s="97" t="s">
        <v>3444</v>
      </c>
      <c r="J441" s="97" t="n">
        <v>0</v>
      </c>
      <c r="K441" s="98" t="s">
        <v>3445</v>
      </c>
      <c r="L441" s="97" t="s">
        <v>1902</v>
      </c>
      <c r="M441" s="97" t="s">
        <v>3446</v>
      </c>
      <c r="N441" s="97" t="s">
        <v>1903</v>
      </c>
      <c r="O441" s="97" t="s">
        <v>1904</v>
      </c>
    </row>
    <row r="442" spans="1:15">
      <c r="A442" s="101" t="n">
        <v>441</v>
      </c>
      <c r="B442" s="97" t="n">
        <v>509</v>
      </c>
      <c r="C442" s="98" t="s">
        <v>3459</v>
      </c>
      <c r="D442" s="97" t="s">
        <v>3460</v>
      </c>
      <c r="E442" s="97" t="s">
        <v>3443</v>
      </c>
      <c r="F442" s="97" t="s">
        <v>1898</v>
      </c>
      <c r="G442" s="98" t="s">
        <v>3459</v>
      </c>
      <c r="H442" s="97" t="n">
        <v>0</v>
      </c>
      <c r="I442" s="97" t="s">
        <v>3444</v>
      </c>
      <c r="J442" s="97" t="n">
        <v>0</v>
      </c>
      <c r="K442" s="98" t="s">
        <v>3445</v>
      </c>
      <c r="L442" s="97" t="s">
        <v>823</v>
      </c>
      <c r="M442" s="97" t="s">
        <v>3446</v>
      </c>
      <c r="N442" s="97" t="s">
        <v>3451</v>
      </c>
      <c r="O442" s="97" t="s">
        <v>1904</v>
      </c>
    </row>
    <row r="443" spans="1:15">
      <c r="A443" s="101" t="n">
        <v>442</v>
      </c>
      <c r="B443" s="97" t="n">
        <v>462</v>
      </c>
      <c r="C443" s="98" t="s">
        <v>3461</v>
      </c>
      <c r="D443" s="97" t="s">
        <v>3462</v>
      </c>
      <c r="E443" s="97" t="s">
        <v>3443</v>
      </c>
      <c r="F443" s="97" t="s">
        <v>1898</v>
      </c>
      <c r="G443" s="98" t="s">
        <v>3461</v>
      </c>
      <c r="H443" s="97" t="n">
        <v>0</v>
      </c>
      <c r="I443" s="97" t="s">
        <v>3444</v>
      </c>
      <c r="J443" s="97" t="n">
        <v>0</v>
      </c>
      <c r="K443" s="98" t="s">
        <v>3445</v>
      </c>
      <c r="L443" s="97" t="s">
        <v>157</v>
      </c>
      <c r="M443" s="97" t="s">
        <v>3446</v>
      </c>
      <c r="N443" s="97" t="s">
        <v>3451</v>
      </c>
      <c r="O443" s="97" t="s">
        <v>1904</v>
      </c>
    </row>
    <row r="444" spans="1:15">
      <c r="A444" s="101" t="n">
        <v>443</v>
      </c>
      <c r="B444" s="97" t="n">
        <v>494</v>
      </c>
      <c r="C444" s="98" t="s">
        <v>3463</v>
      </c>
      <c r="D444" s="97" t="s">
        <v>3464</v>
      </c>
      <c r="E444" s="97" t="s">
        <v>3443</v>
      </c>
      <c r="F444" s="97" t="s">
        <v>1898</v>
      </c>
      <c r="G444" s="98" t="s">
        <v>3463</v>
      </c>
      <c r="H444" s="97" t="n">
        <v>0</v>
      </c>
      <c r="I444" s="97" t="s">
        <v>3444</v>
      </c>
      <c r="J444" s="97" t="n">
        <v>0</v>
      </c>
      <c r="K444" s="98" t="s">
        <v>3445</v>
      </c>
      <c r="L444" s="97" t="s">
        <v>3465</v>
      </c>
      <c r="M444" s="97" t="s">
        <v>3446</v>
      </c>
      <c r="N444" s="97" t="s">
        <v>1903</v>
      </c>
      <c r="O444" s="97" t="s">
        <v>1904</v>
      </c>
    </row>
    <row r="445" spans="1:15">
      <c r="A445" s="101" t="n">
        <v>444</v>
      </c>
      <c r="B445" s="97" t="n">
        <v>515</v>
      </c>
      <c r="C445" s="98" t="s">
        <v>3466</v>
      </c>
      <c r="D445" s="97" t="s">
        <v>3467</v>
      </c>
      <c r="E445" s="97" t="s">
        <v>3443</v>
      </c>
      <c r="F445" s="97" t="s">
        <v>1898</v>
      </c>
      <c r="G445" s="98" t="s">
        <v>3466</v>
      </c>
      <c r="H445" s="97" t="n">
        <v>0</v>
      </c>
      <c r="I445" s="97" t="s">
        <v>3444</v>
      </c>
      <c r="J445" s="97" t="n">
        <v>0</v>
      </c>
      <c r="K445" s="98" t="s">
        <v>3445</v>
      </c>
      <c r="L445" s="97" t="s">
        <v>157</v>
      </c>
      <c r="M445" s="97" t="s">
        <v>3446</v>
      </c>
      <c r="N445" s="97" t="s">
        <v>3451</v>
      </c>
      <c r="O445" s="97" t="s">
        <v>1904</v>
      </c>
    </row>
    <row r="446" spans="1:15">
      <c r="A446" s="101" t="n">
        <v>445</v>
      </c>
      <c r="B446" s="97" t="n">
        <v>516</v>
      </c>
      <c r="C446" s="98" t="s">
        <v>3468</v>
      </c>
      <c r="D446" s="97" t="s">
        <v>3469</v>
      </c>
      <c r="E446" s="97" t="s">
        <v>3443</v>
      </c>
      <c r="F446" s="97" t="s">
        <v>1898</v>
      </c>
      <c r="G446" s="98" t="s">
        <v>3468</v>
      </c>
      <c r="H446" s="97" t="n">
        <v>0</v>
      </c>
      <c r="I446" s="97" t="s">
        <v>3444</v>
      </c>
      <c r="J446" s="97" t="n">
        <v>0</v>
      </c>
      <c r="K446" s="98" t="s">
        <v>3445</v>
      </c>
      <c r="L446" s="97" t="s">
        <v>157</v>
      </c>
      <c r="M446" s="97" t="s">
        <v>3446</v>
      </c>
      <c r="N446" s="97" t="s">
        <v>3451</v>
      </c>
      <c r="O446" s="97" t="s">
        <v>1904</v>
      </c>
    </row>
    <row r="447" spans="1:15">
      <c r="A447" s="101" t="n">
        <v>446</v>
      </c>
      <c r="B447" s="97" t="n">
        <v>519</v>
      </c>
      <c r="C447" s="98" t="s">
        <v>3470</v>
      </c>
      <c r="D447" s="97" t="s">
        <v>3471</v>
      </c>
      <c r="E447" s="97" t="s">
        <v>3443</v>
      </c>
      <c r="F447" s="97" t="s">
        <v>1898</v>
      </c>
      <c r="G447" s="98" t="s">
        <v>3470</v>
      </c>
      <c r="H447" s="97" t="n">
        <v>0</v>
      </c>
      <c r="I447" s="97" t="s">
        <v>3444</v>
      </c>
      <c r="J447" s="97" t="n">
        <v>0</v>
      </c>
      <c r="K447" s="98" t="s">
        <v>3472</v>
      </c>
      <c r="L447" s="97" t="s">
        <v>157</v>
      </c>
      <c r="M447" s="97" t="s">
        <v>3446</v>
      </c>
      <c r="N447" s="97" t="s">
        <v>3451</v>
      </c>
      <c r="O447" s="97" t="s">
        <v>1904</v>
      </c>
    </row>
    <row r="448" spans="1:15">
      <c r="A448" s="101" t="n">
        <v>447</v>
      </c>
      <c r="B448" s="97" t="n">
        <v>483</v>
      </c>
      <c r="C448" s="98" t="s">
        <v>3473</v>
      </c>
      <c r="D448" s="97" t="s">
        <v>3474</v>
      </c>
      <c r="E448" s="97" t="s">
        <v>3443</v>
      </c>
      <c r="F448" s="97" t="s">
        <v>1898</v>
      </c>
      <c r="G448" s="98" t="s">
        <v>3473</v>
      </c>
      <c r="H448" s="97" t="n">
        <v>0</v>
      </c>
      <c r="I448" s="97" t="s">
        <v>3444</v>
      </c>
      <c r="J448" s="97" t="n">
        <v>0</v>
      </c>
      <c r="K448" s="98" t="s">
        <v>3475</v>
      </c>
      <c r="L448" s="97" t="s">
        <v>157</v>
      </c>
      <c r="M448" s="97" t="s">
        <v>3446</v>
      </c>
      <c r="N448" s="97" t="s">
        <v>3451</v>
      </c>
      <c r="O448" s="97" t="s">
        <v>1904</v>
      </c>
    </row>
    <row r="449" spans="1:15">
      <c r="A449" s="101" t="n">
        <v>448</v>
      </c>
      <c r="B449" s="97" t="n">
        <v>512</v>
      </c>
      <c r="C449" s="98" t="s">
        <v>3476</v>
      </c>
      <c r="D449" s="97" t="s">
        <v>3477</v>
      </c>
      <c r="E449" s="97" t="s">
        <v>3443</v>
      </c>
      <c r="F449" s="97" t="s">
        <v>1898</v>
      </c>
      <c r="G449" s="98" t="s">
        <v>3476</v>
      </c>
      <c r="H449" s="97" t="n">
        <v>0</v>
      </c>
      <c r="I449" s="97" t="s">
        <v>3444</v>
      </c>
      <c r="J449" s="97" t="n">
        <v>0</v>
      </c>
      <c r="K449" s="98" t="s">
        <v>3445</v>
      </c>
      <c r="L449" s="97" t="s">
        <v>157</v>
      </c>
      <c r="M449" s="97" t="s">
        <v>3446</v>
      </c>
      <c r="N449" s="97" t="s">
        <v>3451</v>
      </c>
      <c r="O449" s="97" t="s">
        <v>1904</v>
      </c>
    </row>
    <row r="450" spans="1:15">
      <c r="A450" s="101" t="n">
        <v>449</v>
      </c>
      <c r="B450" s="97" t="n">
        <v>472</v>
      </c>
      <c r="C450" s="98" t="s">
        <v>3478</v>
      </c>
      <c r="D450" s="97" t="s">
        <v>3479</v>
      </c>
      <c r="E450" s="97" t="s">
        <v>3443</v>
      </c>
      <c r="F450" s="97" t="s">
        <v>1898</v>
      </c>
      <c r="G450" s="98" t="s">
        <v>3478</v>
      </c>
      <c r="H450" s="97" t="n">
        <v>0</v>
      </c>
      <c r="I450" s="97" t="s">
        <v>3444</v>
      </c>
      <c r="J450" s="97" t="n">
        <v>0</v>
      </c>
      <c r="K450" s="98" t="s">
        <v>3445</v>
      </c>
      <c r="L450" s="97" t="s">
        <v>3465</v>
      </c>
      <c r="M450" s="97" t="s">
        <v>3446</v>
      </c>
      <c r="N450" s="97" t="s">
        <v>1903</v>
      </c>
      <c r="O450" s="97" t="s">
        <v>1904</v>
      </c>
    </row>
    <row r="451" spans="1:15">
      <c r="A451" s="101" t="n">
        <v>450</v>
      </c>
      <c r="B451" s="97" t="n">
        <v>500</v>
      </c>
      <c r="C451" s="98" t="s">
        <v>3480</v>
      </c>
      <c r="D451" s="97" t="s">
        <v>3481</v>
      </c>
      <c r="E451" s="97" t="s">
        <v>3443</v>
      </c>
      <c r="F451" s="97" t="s">
        <v>1898</v>
      </c>
      <c r="G451" s="98" t="s">
        <v>3480</v>
      </c>
      <c r="H451" s="97" t="n">
        <v>0</v>
      </c>
      <c r="I451" s="97" t="s">
        <v>3444</v>
      </c>
      <c r="J451" s="97" t="n">
        <v>0</v>
      </c>
      <c r="K451" s="98" t="s">
        <v>3445</v>
      </c>
      <c r="L451" s="97" t="s">
        <v>157</v>
      </c>
      <c r="M451" s="97" t="s">
        <v>3446</v>
      </c>
      <c r="N451" s="97" t="s">
        <v>3451</v>
      </c>
      <c r="O451" s="97" t="s">
        <v>1904</v>
      </c>
    </row>
    <row r="452" spans="1:15">
      <c r="A452" s="101" t="n">
        <v>451</v>
      </c>
      <c r="B452" s="97" t="n">
        <v>520</v>
      </c>
      <c r="C452" s="98" t="s">
        <v>3482</v>
      </c>
      <c r="D452" s="97" t="s">
        <v>3483</v>
      </c>
      <c r="E452" s="97" t="s">
        <v>3443</v>
      </c>
      <c r="F452" s="97" t="s">
        <v>1898</v>
      </c>
      <c r="G452" s="98" t="s">
        <v>3482</v>
      </c>
      <c r="H452" s="97" t="n">
        <v>0</v>
      </c>
      <c r="I452" s="97" t="s">
        <v>3444</v>
      </c>
      <c r="J452" s="97" t="n">
        <v>0</v>
      </c>
      <c r="K452" s="98" t="s">
        <v>3484</v>
      </c>
      <c r="L452" s="97" t="s">
        <v>3450</v>
      </c>
      <c r="M452" s="97" t="s">
        <v>3446</v>
      </c>
      <c r="N452" s="97" t="s">
        <v>3451</v>
      </c>
      <c r="O452" s="97" t="s">
        <v>1904</v>
      </c>
    </row>
    <row r="453" spans="1:15">
      <c r="A453" s="101" t="n">
        <v>452</v>
      </c>
      <c r="B453" s="97" t="n">
        <v>510</v>
      </c>
      <c r="C453" s="98" t="s">
        <v>3485</v>
      </c>
      <c r="D453" s="97" t="s">
        <v>3486</v>
      </c>
      <c r="E453" s="97" t="s">
        <v>3443</v>
      </c>
      <c r="F453" s="97" t="s">
        <v>1898</v>
      </c>
      <c r="G453" s="98" t="s">
        <v>3485</v>
      </c>
      <c r="H453" s="97" t="n">
        <v>0</v>
      </c>
      <c r="I453" s="97" t="s">
        <v>3444</v>
      </c>
      <c r="J453" s="97" t="n">
        <v>0</v>
      </c>
      <c r="K453" s="98" t="s">
        <v>3445</v>
      </c>
      <c r="L453" s="97" t="s">
        <v>1902</v>
      </c>
      <c r="M453" s="97" t="s">
        <v>3446</v>
      </c>
      <c r="N453" s="97" t="s">
        <v>1903</v>
      </c>
      <c r="O453" s="97" t="s">
        <v>1904</v>
      </c>
    </row>
    <row r="454" spans="1:15">
      <c r="A454" s="101" t="n">
        <v>453</v>
      </c>
      <c r="B454" s="97" t="n">
        <v>541</v>
      </c>
      <c r="C454" s="98" t="s">
        <v>3487</v>
      </c>
      <c r="D454" s="97" t="s">
        <v>3488</v>
      </c>
      <c r="E454" s="97" t="s">
        <v>3443</v>
      </c>
      <c r="F454" s="97" t="s">
        <v>1898</v>
      </c>
      <c r="G454" s="98" t="s">
        <v>3487</v>
      </c>
      <c r="H454" s="97" t="n">
        <v>0</v>
      </c>
      <c r="I454" s="97" t="s">
        <v>3444</v>
      </c>
      <c r="J454" s="97" t="n">
        <v>0</v>
      </c>
      <c r="K454" s="98" t="s">
        <v>3445</v>
      </c>
      <c r="L454" s="97" t="s">
        <v>157</v>
      </c>
      <c r="M454" s="97" t="s">
        <v>3446</v>
      </c>
      <c r="N454" s="97" t="s">
        <v>3451</v>
      </c>
      <c r="O454" s="97" t="s">
        <v>1904</v>
      </c>
    </row>
    <row r="455" spans="1:15">
      <c r="A455" s="101" t="n">
        <v>454</v>
      </c>
      <c r="B455" s="97" t="n">
        <v>545</v>
      </c>
      <c r="C455" s="98" t="s">
        <v>3489</v>
      </c>
      <c r="D455" s="97" t="s">
        <v>3490</v>
      </c>
      <c r="E455" s="97" t="s">
        <v>3443</v>
      </c>
      <c r="F455" s="97" t="s">
        <v>1898</v>
      </c>
      <c r="G455" s="98" t="s">
        <v>3489</v>
      </c>
      <c r="H455" s="97" t="n">
        <v>0</v>
      </c>
      <c r="I455" s="97" t="s">
        <v>3444</v>
      </c>
      <c r="J455" s="97" t="n">
        <v>0</v>
      </c>
      <c r="K455" s="98" t="s">
        <v>3445</v>
      </c>
      <c r="L455" s="97" t="s">
        <v>157</v>
      </c>
      <c r="M455" s="97" t="s">
        <v>3446</v>
      </c>
      <c r="N455" s="97" t="s">
        <v>3451</v>
      </c>
      <c r="O455" s="97" t="s">
        <v>1904</v>
      </c>
    </row>
    <row r="456" spans="1:15">
      <c r="A456" s="101" t="n">
        <v>455</v>
      </c>
      <c r="B456" s="97" t="n">
        <v>543</v>
      </c>
      <c r="C456" s="98" t="s">
        <v>3491</v>
      </c>
      <c r="D456" s="97" t="s">
        <v>3492</v>
      </c>
      <c r="E456" s="97" t="s">
        <v>3443</v>
      </c>
      <c r="F456" s="97" t="s">
        <v>1898</v>
      </c>
      <c r="G456" s="98" t="s">
        <v>3491</v>
      </c>
      <c r="H456" s="97" t="n">
        <v>0</v>
      </c>
      <c r="I456" s="97" t="s">
        <v>3444</v>
      </c>
      <c r="J456" s="97" t="n">
        <v>0</v>
      </c>
      <c r="K456" s="98" t="s">
        <v>3445</v>
      </c>
      <c r="L456" s="97" t="s">
        <v>157</v>
      </c>
      <c r="M456" s="97" t="s">
        <v>3446</v>
      </c>
      <c r="N456" s="97" t="s">
        <v>3451</v>
      </c>
      <c r="O456" s="97" t="s">
        <v>1904</v>
      </c>
    </row>
    <row r="457" spans="1:15">
      <c r="A457" s="101" t="n">
        <v>456</v>
      </c>
      <c r="B457" s="97" t="n">
        <v>486</v>
      </c>
      <c r="C457" s="98" t="s">
        <v>3493</v>
      </c>
      <c r="D457" s="97" t="s">
        <v>3494</v>
      </c>
      <c r="E457" s="97" t="s">
        <v>3443</v>
      </c>
      <c r="F457" s="97" t="s">
        <v>1898</v>
      </c>
      <c r="G457" s="98" t="s">
        <v>3493</v>
      </c>
      <c r="H457" s="97" t="n">
        <v>0</v>
      </c>
      <c r="I457" s="97" t="s">
        <v>3444</v>
      </c>
      <c r="J457" s="97" t="n">
        <v>0</v>
      </c>
      <c r="K457" s="98" t="s">
        <v>3445</v>
      </c>
      <c r="L457" s="97" t="s">
        <v>3465</v>
      </c>
      <c r="M457" s="97" t="s">
        <v>3446</v>
      </c>
      <c r="N457" s="97" t="s">
        <v>1903</v>
      </c>
      <c r="O457" s="97" t="s">
        <v>1904</v>
      </c>
    </row>
    <row r="458" spans="1:15">
      <c r="A458" s="101" t="n">
        <v>457</v>
      </c>
      <c r="B458" s="97" t="n">
        <v>468</v>
      </c>
      <c r="C458" s="98" t="s">
        <v>3495</v>
      </c>
      <c r="D458" s="97" t="s">
        <v>3496</v>
      </c>
      <c r="E458" s="97" t="s">
        <v>3443</v>
      </c>
      <c r="F458" s="97" t="s">
        <v>1898</v>
      </c>
      <c r="G458" s="98" t="s">
        <v>3495</v>
      </c>
      <c r="H458" s="97" t="n">
        <v>0</v>
      </c>
      <c r="I458" s="97" t="s">
        <v>3444</v>
      </c>
      <c r="J458" s="97" t="n">
        <v>0</v>
      </c>
      <c r="K458" s="98" t="s">
        <v>3497</v>
      </c>
      <c r="L458" s="97" t="s">
        <v>157</v>
      </c>
      <c r="M458" s="97" t="s">
        <v>3446</v>
      </c>
      <c r="N458" s="97" t="s">
        <v>3451</v>
      </c>
      <c r="O458" s="97" t="s">
        <v>1904</v>
      </c>
    </row>
    <row r="459" spans="1:15">
      <c r="A459" s="101" t="n">
        <v>458</v>
      </c>
      <c r="B459" s="97" t="n">
        <v>485</v>
      </c>
      <c r="C459" s="98" t="s">
        <v>3498</v>
      </c>
      <c r="D459" s="97" t="s">
        <v>3499</v>
      </c>
      <c r="E459" s="97" t="s">
        <v>3443</v>
      </c>
      <c r="F459" s="97" t="s">
        <v>1898</v>
      </c>
      <c r="G459" s="98" t="s">
        <v>3498</v>
      </c>
      <c r="H459" s="97" t="n">
        <v>0</v>
      </c>
      <c r="I459" s="97" t="s">
        <v>3444</v>
      </c>
      <c r="J459" s="97" t="n">
        <v>0</v>
      </c>
      <c r="K459" s="98" t="s">
        <v>3445</v>
      </c>
      <c r="L459" s="97" t="s">
        <v>1902</v>
      </c>
      <c r="M459" s="97" t="s">
        <v>3446</v>
      </c>
      <c r="N459" s="97" t="s">
        <v>1903</v>
      </c>
      <c r="O459" s="97" t="s">
        <v>1904</v>
      </c>
    </row>
    <row r="460" spans="1:15">
      <c r="A460" s="101" t="n">
        <v>459</v>
      </c>
      <c r="B460" s="97" t="n">
        <v>491</v>
      </c>
      <c r="C460" s="98" t="s">
        <v>3500</v>
      </c>
      <c r="D460" s="97" t="s">
        <v>3501</v>
      </c>
      <c r="E460" s="97" t="s">
        <v>3443</v>
      </c>
      <c r="F460" s="97" t="s">
        <v>1898</v>
      </c>
      <c r="G460" s="98" t="s">
        <v>3500</v>
      </c>
      <c r="H460" s="97" t="n">
        <v>0</v>
      </c>
      <c r="I460" s="97" t="s">
        <v>3444</v>
      </c>
      <c r="J460" s="97" t="n">
        <v>0</v>
      </c>
      <c r="K460" s="98" t="s">
        <v>3445</v>
      </c>
      <c r="L460" s="97" t="s">
        <v>157</v>
      </c>
      <c r="M460" s="97" t="s">
        <v>3446</v>
      </c>
      <c r="N460" s="97" t="s">
        <v>3451</v>
      </c>
      <c r="O460" s="97" t="s">
        <v>1904</v>
      </c>
    </row>
    <row r="461" spans="1:15">
      <c r="A461" s="101" t="n">
        <v>460</v>
      </c>
      <c r="B461" s="97" t="n">
        <v>499</v>
      </c>
      <c r="C461" s="98" t="s">
        <v>3502</v>
      </c>
      <c r="D461" s="97" t="s">
        <v>3503</v>
      </c>
      <c r="E461" s="97" t="s">
        <v>3443</v>
      </c>
      <c r="F461" s="97" t="s">
        <v>1898</v>
      </c>
      <c r="G461" s="98" t="s">
        <v>3502</v>
      </c>
      <c r="H461" s="97" t="n">
        <v>0</v>
      </c>
      <c r="I461" s="97" t="s">
        <v>3444</v>
      </c>
      <c r="J461" s="97" t="n">
        <v>0</v>
      </c>
      <c r="K461" s="98" t="s">
        <v>3504</v>
      </c>
      <c r="L461" s="97" t="s">
        <v>157</v>
      </c>
      <c r="M461" s="97" t="s">
        <v>3446</v>
      </c>
      <c r="N461" s="97" t="s">
        <v>3451</v>
      </c>
      <c r="O461" s="97" t="s">
        <v>1904</v>
      </c>
    </row>
    <row r="462" spans="1:15">
      <c r="A462" s="101" t="n">
        <v>461</v>
      </c>
      <c r="B462" s="97" t="n">
        <v>455</v>
      </c>
      <c r="C462" s="98" t="s">
        <v>3505</v>
      </c>
      <c r="D462" s="97" t="s">
        <v>3506</v>
      </c>
      <c r="E462" s="97" t="s">
        <v>3443</v>
      </c>
      <c r="F462" s="97" t="s">
        <v>1898</v>
      </c>
      <c r="G462" s="98" t="s">
        <v>3505</v>
      </c>
      <c r="H462" s="97" t="n">
        <v>0</v>
      </c>
      <c r="I462" s="97" t="s">
        <v>3444</v>
      </c>
      <c r="J462" s="97" t="n">
        <v>0</v>
      </c>
      <c r="K462" s="98" t="s">
        <v>3445</v>
      </c>
      <c r="L462" s="97" t="s">
        <v>3465</v>
      </c>
      <c r="M462" s="97" t="s">
        <v>3446</v>
      </c>
      <c r="N462" s="97" t="s">
        <v>1903</v>
      </c>
      <c r="O462" s="97" t="s">
        <v>1904</v>
      </c>
    </row>
    <row r="463" spans="1:15">
      <c r="A463" s="101" t="n">
        <v>462</v>
      </c>
      <c r="B463" s="97" t="n">
        <v>452</v>
      </c>
      <c r="C463" s="98" t="s">
        <v>1560</v>
      </c>
      <c r="D463" s="97" t="s">
        <v>3507</v>
      </c>
      <c r="E463" s="97" t="s">
        <v>3443</v>
      </c>
      <c r="F463" s="97" t="s">
        <v>1898</v>
      </c>
      <c r="G463" s="98" t="s">
        <v>1560</v>
      </c>
      <c r="H463" s="97" t="n">
        <v>0</v>
      </c>
      <c r="I463" s="97" t="s">
        <v>3444</v>
      </c>
      <c r="J463" s="97" t="n">
        <v>0</v>
      </c>
      <c r="K463" s="98" t="s">
        <v>3445</v>
      </c>
      <c r="L463" s="97" t="s">
        <v>1902</v>
      </c>
      <c r="M463" s="97" t="s">
        <v>3446</v>
      </c>
      <c r="N463" s="97" t="s">
        <v>3508</v>
      </c>
      <c r="O463" s="97" t="s">
        <v>1904</v>
      </c>
    </row>
    <row r="464" spans="1:15">
      <c r="A464" s="101" t="n">
        <v>463</v>
      </c>
      <c r="B464" s="97" t="n">
        <v>445</v>
      </c>
      <c r="C464" s="98" t="s">
        <v>3509</v>
      </c>
      <c r="D464" s="97" t="s">
        <v>3510</v>
      </c>
      <c r="E464" s="97" t="s">
        <v>3443</v>
      </c>
      <c r="F464" s="97" t="s">
        <v>1898</v>
      </c>
      <c r="G464" s="98" t="s">
        <v>3509</v>
      </c>
      <c r="H464" s="97" t="n">
        <v>0</v>
      </c>
      <c r="I464" s="97" t="s">
        <v>3444</v>
      </c>
      <c r="J464" s="97" t="n">
        <v>0</v>
      </c>
      <c r="K464" s="98" t="s">
        <v>3445</v>
      </c>
      <c r="L464" s="97" t="s">
        <v>1902</v>
      </c>
      <c r="M464" s="97" t="s">
        <v>3446</v>
      </c>
      <c r="N464" s="97" t="s">
        <v>3508</v>
      </c>
      <c r="O464" s="97" t="s">
        <v>1904</v>
      </c>
    </row>
    <row r="465" spans="1:15">
      <c r="A465" s="101" t="n">
        <v>464</v>
      </c>
      <c r="B465" s="97" t="n">
        <v>463</v>
      </c>
      <c r="C465" s="98" t="s">
        <v>3511</v>
      </c>
      <c r="D465" s="97" t="s">
        <v>3512</v>
      </c>
      <c r="E465" s="97" t="s">
        <v>3443</v>
      </c>
      <c r="F465" s="97" t="s">
        <v>1898</v>
      </c>
      <c r="G465" s="98" t="s">
        <v>3511</v>
      </c>
      <c r="H465" s="97" t="n">
        <v>0</v>
      </c>
      <c r="I465" s="97" t="s">
        <v>3444</v>
      </c>
      <c r="J465" s="97" t="n">
        <v>0</v>
      </c>
      <c r="K465" s="98" t="s">
        <v>3445</v>
      </c>
      <c r="L465" s="97" t="s">
        <v>1902</v>
      </c>
      <c r="M465" s="97" t="s">
        <v>3446</v>
      </c>
      <c r="N465" s="97" t="s">
        <v>3508</v>
      </c>
      <c r="O465" s="97" t="s">
        <v>1904</v>
      </c>
    </row>
    <row r="466" spans="1:15">
      <c r="A466" s="101" t="n">
        <v>465</v>
      </c>
      <c r="B466" s="97" t="n">
        <v>443</v>
      </c>
      <c r="C466" s="98" t="s">
        <v>1565</v>
      </c>
      <c r="D466" s="97" t="s">
        <v>3513</v>
      </c>
      <c r="E466" s="97" t="s">
        <v>3443</v>
      </c>
      <c r="F466" s="97" t="s">
        <v>1898</v>
      </c>
      <c r="G466" s="98" t="s">
        <v>1565</v>
      </c>
      <c r="H466" s="97" t="n">
        <v>0</v>
      </c>
      <c r="I466" s="97" t="s">
        <v>3444</v>
      </c>
      <c r="J466" s="97" t="n">
        <v>0</v>
      </c>
      <c r="K466" s="98" t="s">
        <v>3445</v>
      </c>
      <c r="L466" s="97" t="s">
        <v>1902</v>
      </c>
      <c r="M466" s="97" t="s">
        <v>3446</v>
      </c>
      <c r="N466" s="97" t="s">
        <v>3508</v>
      </c>
      <c r="O466" s="97" t="s">
        <v>1904</v>
      </c>
    </row>
    <row r="467" spans="1:15">
      <c r="A467" s="101" t="n">
        <v>466</v>
      </c>
      <c r="B467" s="97" t="n">
        <v>442</v>
      </c>
      <c r="C467" s="98" t="s">
        <v>3514</v>
      </c>
      <c r="D467" s="97" t="s">
        <v>3515</v>
      </c>
      <c r="E467" s="97" t="s">
        <v>3443</v>
      </c>
      <c r="F467" s="97" t="s">
        <v>1898</v>
      </c>
      <c r="G467" s="98" t="s">
        <v>3514</v>
      </c>
      <c r="H467" s="97" t="n">
        <v>0</v>
      </c>
      <c r="I467" s="97" t="s">
        <v>3444</v>
      </c>
      <c r="J467" s="97" t="n">
        <v>0</v>
      </c>
      <c r="K467" s="98" t="s">
        <v>3445</v>
      </c>
      <c r="L467" s="97" t="s">
        <v>1902</v>
      </c>
      <c r="M467" s="97" t="s">
        <v>3446</v>
      </c>
      <c r="N467" s="97" t="s">
        <v>1903</v>
      </c>
      <c r="O467" s="97" t="s">
        <v>1904</v>
      </c>
    </row>
    <row r="468" spans="1:15">
      <c r="A468" s="101" t="n">
        <v>467</v>
      </c>
      <c r="B468" s="97" t="n">
        <v>496</v>
      </c>
      <c r="C468" s="98" t="s">
        <v>3516</v>
      </c>
      <c r="D468" s="97" t="s">
        <v>3517</v>
      </c>
      <c r="E468" s="97" t="s">
        <v>3443</v>
      </c>
      <c r="F468" s="97" t="s">
        <v>1898</v>
      </c>
      <c r="G468" s="98" t="s">
        <v>3516</v>
      </c>
      <c r="H468" s="97" t="n">
        <v>0</v>
      </c>
      <c r="I468" s="97" t="s">
        <v>3444</v>
      </c>
      <c r="J468" s="97" t="n">
        <v>0</v>
      </c>
      <c r="K468" s="98" t="s">
        <v>3445</v>
      </c>
      <c r="L468" s="97" t="s">
        <v>3518</v>
      </c>
      <c r="M468" s="97" t="s">
        <v>3446</v>
      </c>
      <c r="N468" s="97" t="s">
        <v>1903</v>
      </c>
      <c r="O468" s="97" t="s">
        <v>1904</v>
      </c>
    </row>
    <row r="469" spans="1:15">
      <c r="A469" s="101" t="n">
        <v>468</v>
      </c>
      <c r="B469" s="97" t="n">
        <v>529</v>
      </c>
      <c r="C469" s="98" t="s">
        <v>3519</v>
      </c>
      <c r="D469" s="97" t="s">
        <v>3520</v>
      </c>
      <c r="E469" s="97" t="s">
        <v>3443</v>
      </c>
      <c r="F469" s="97" t="s">
        <v>1898</v>
      </c>
      <c r="G469" s="98" t="s">
        <v>3519</v>
      </c>
      <c r="H469" s="97" t="n">
        <v>0</v>
      </c>
      <c r="I469" s="97" t="s">
        <v>3444</v>
      </c>
      <c r="J469" s="97" t="n">
        <v>0</v>
      </c>
      <c r="K469" s="98" t="s">
        <v>3445</v>
      </c>
      <c r="L469" s="97" t="s">
        <v>3465</v>
      </c>
      <c r="M469" s="97" t="s">
        <v>3446</v>
      </c>
      <c r="N469" s="97" t="s">
        <v>1903</v>
      </c>
      <c r="O469" s="97" t="s">
        <v>1904</v>
      </c>
    </row>
    <row r="470" spans="1:15">
      <c r="A470" s="101" t="n">
        <v>469</v>
      </c>
      <c r="B470" s="97" t="n">
        <v>487</v>
      </c>
      <c r="C470" s="98" t="s">
        <v>3521</v>
      </c>
      <c r="D470" s="97" t="s">
        <v>3522</v>
      </c>
      <c r="E470" s="97" t="s">
        <v>3443</v>
      </c>
      <c r="F470" s="97" t="s">
        <v>1898</v>
      </c>
      <c r="G470" s="98" t="s">
        <v>3521</v>
      </c>
      <c r="H470" s="97" t="n">
        <v>0</v>
      </c>
      <c r="I470" s="97" t="s">
        <v>3444</v>
      </c>
      <c r="J470" s="97" t="n">
        <v>0</v>
      </c>
      <c r="K470" s="98" t="s">
        <v>3445</v>
      </c>
      <c r="L470" s="97" t="s">
        <v>157</v>
      </c>
      <c r="M470" s="97" t="s">
        <v>3446</v>
      </c>
      <c r="N470" s="97" t="s">
        <v>3451</v>
      </c>
      <c r="O470" s="97" t="s">
        <v>1904</v>
      </c>
    </row>
    <row r="471" spans="1:15">
      <c r="A471" s="101" t="n">
        <v>470</v>
      </c>
      <c r="B471" s="97" t="n">
        <v>465</v>
      </c>
      <c r="C471" s="98" t="s">
        <v>3523</v>
      </c>
      <c r="D471" s="97" t="s">
        <v>3524</v>
      </c>
      <c r="E471" s="97" t="s">
        <v>3443</v>
      </c>
      <c r="F471" s="97" t="s">
        <v>1898</v>
      </c>
      <c r="G471" s="98" t="s">
        <v>3523</v>
      </c>
      <c r="H471" s="97" t="n">
        <v>0</v>
      </c>
      <c r="I471" s="97" t="s">
        <v>3444</v>
      </c>
      <c r="J471" s="97" t="n">
        <v>0</v>
      </c>
      <c r="K471" s="98" t="s">
        <v>3445</v>
      </c>
      <c r="L471" s="97" t="s">
        <v>157</v>
      </c>
      <c r="M471" s="97" t="s">
        <v>3446</v>
      </c>
      <c r="N471" s="97" t="s">
        <v>3451</v>
      </c>
      <c r="O471" s="97" t="s">
        <v>1904</v>
      </c>
    </row>
    <row r="472" spans="1:15">
      <c r="A472" s="101" t="n">
        <v>471</v>
      </c>
      <c r="B472" s="97" t="n">
        <v>547</v>
      </c>
      <c r="C472" s="98" t="s">
        <v>3525</v>
      </c>
      <c r="D472" s="97" t="s">
        <v>3526</v>
      </c>
      <c r="E472" s="97" t="s">
        <v>3443</v>
      </c>
      <c r="F472" s="97" t="s">
        <v>1898</v>
      </c>
      <c r="G472" s="98" t="s">
        <v>3525</v>
      </c>
      <c r="H472" s="97" t="n">
        <v>0</v>
      </c>
      <c r="I472" s="97" t="s">
        <v>3444</v>
      </c>
      <c r="J472" s="97" t="n">
        <v>0</v>
      </c>
      <c r="K472" s="98" t="s">
        <v>3086</v>
      </c>
      <c r="L472" s="97" t="s">
        <v>3518</v>
      </c>
      <c r="M472" s="97" t="s">
        <v>3446</v>
      </c>
      <c r="N472" s="97" t="s">
        <v>1903</v>
      </c>
      <c r="O472" s="97" t="s">
        <v>1904</v>
      </c>
    </row>
    <row r="473" spans="1:15">
      <c r="A473" s="101" t="n">
        <v>472</v>
      </c>
      <c r="B473" s="97" t="n">
        <v>448</v>
      </c>
      <c r="C473" s="98" t="s">
        <v>3527</v>
      </c>
      <c r="D473" s="97" t="s">
        <v>3528</v>
      </c>
      <c r="E473" s="97" t="s">
        <v>3443</v>
      </c>
      <c r="F473" s="97" t="s">
        <v>1898</v>
      </c>
      <c r="G473" s="98" t="s">
        <v>3527</v>
      </c>
      <c r="H473" s="97" t="n">
        <v>0</v>
      </c>
      <c r="I473" s="97" t="s">
        <v>3444</v>
      </c>
      <c r="J473" s="97" t="n">
        <v>0</v>
      </c>
      <c r="K473" s="98" t="s">
        <v>3445</v>
      </c>
      <c r="L473" s="97" t="s">
        <v>1902</v>
      </c>
      <c r="M473" s="97" t="s">
        <v>3446</v>
      </c>
      <c r="N473" s="97" t="s">
        <v>1903</v>
      </c>
      <c r="O473" s="97" t="s">
        <v>1904</v>
      </c>
    </row>
    <row r="474" spans="1:15">
      <c r="A474" s="101" t="n">
        <v>473</v>
      </c>
      <c r="B474" s="97" t="n">
        <v>467</v>
      </c>
      <c r="C474" s="98" t="s">
        <v>3529</v>
      </c>
      <c r="D474" s="97" t="s">
        <v>3530</v>
      </c>
      <c r="E474" s="97" t="s">
        <v>3443</v>
      </c>
      <c r="F474" s="97" t="s">
        <v>1898</v>
      </c>
      <c r="G474" s="98" t="s">
        <v>3529</v>
      </c>
      <c r="H474" s="97" t="n">
        <v>0</v>
      </c>
      <c r="I474" s="97" t="s">
        <v>3444</v>
      </c>
      <c r="J474" s="97" t="n">
        <v>0</v>
      </c>
      <c r="K474" s="98" t="s">
        <v>3445</v>
      </c>
      <c r="L474" s="97" t="s">
        <v>3456</v>
      </c>
      <c r="M474" s="97" t="s">
        <v>3446</v>
      </c>
      <c r="N474" s="97" t="s">
        <v>1903</v>
      </c>
      <c r="O474" s="97" t="s">
        <v>1904</v>
      </c>
    </row>
    <row r="475" spans="1:15">
      <c r="A475" s="101" t="n">
        <v>474</v>
      </c>
      <c r="B475" s="97" t="n">
        <v>495</v>
      </c>
      <c r="C475" s="98" t="s">
        <v>3531</v>
      </c>
      <c r="D475" s="97" t="s">
        <v>3532</v>
      </c>
      <c r="E475" s="97" t="s">
        <v>3443</v>
      </c>
      <c r="F475" s="97" t="s">
        <v>1898</v>
      </c>
      <c r="G475" s="98" t="s">
        <v>3531</v>
      </c>
      <c r="H475" s="97" t="n">
        <v>0</v>
      </c>
      <c r="I475" s="97" t="s">
        <v>3444</v>
      </c>
      <c r="J475" s="97" t="n">
        <v>0</v>
      </c>
      <c r="K475" s="98" t="s">
        <v>3445</v>
      </c>
      <c r="L475" s="97" t="s">
        <v>3465</v>
      </c>
      <c r="M475" s="97" t="s">
        <v>3446</v>
      </c>
      <c r="N475" s="97" t="s">
        <v>1903</v>
      </c>
      <c r="O475" s="97" t="s">
        <v>1904</v>
      </c>
    </row>
    <row r="476" spans="1:15">
      <c r="A476" s="101" t="n">
        <v>475</v>
      </c>
      <c r="B476" s="97" t="n">
        <v>508</v>
      </c>
      <c r="C476" s="98" t="s">
        <v>3533</v>
      </c>
      <c r="D476" s="97" t="s">
        <v>3534</v>
      </c>
      <c r="E476" s="97" t="s">
        <v>3443</v>
      </c>
      <c r="F476" s="97" t="s">
        <v>1898</v>
      </c>
      <c r="G476" s="98" t="s">
        <v>3533</v>
      </c>
      <c r="H476" s="97" t="n">
        <v>0</v>
      </c>
      <c r="I476" s="97" t="s">
        <v>3444</v>
      </c>
      <c r="J476" s="97" t="n">
        <v>0</v>
      </c>
      <c r="K476" s="98" t="s">
        <v>3445</v>
      </c>
      <c r="L476" s="97" t="s">
        <v>828</v>
      </c>
      <c r="M476" s="97" t="s">
        <v>3446</v>
      </c>
      <c r="N476" s="97" t="s">
        <v>3451</v>
      </c>
      <c r="O476" s="97" t="s">
        <v>1904</v>
      </c>
    </row>
    <row r="477" spans="1:15">
      <c r="A477" s="101" t="n">
        <v>476</v>
      </c>
      <c r="B477" s="97" t="n">
        <v>451</v>
      </c>
      <c r="C477" s="98" t="s">
        <v>3535</v>
      </c>
      <c r="D477" s="97" t="s">
        <v>3536</v>
      </c>
      <c r="E477" s="97" t="s">
        <v>3443</v>
      </c>
      <c r="F477" s="97" t="s">
        <v>1898</v>
      </c>
      <c r="G477" s="98" t="s">
        <v>3535</v>
      </c>
      <c r="H477" s="97" t="n">
        <v>0</v>
      </c>
      <c r="I477" s="97" t="s">
        <v>3444</v>
      </c>
      <c r="J477" s="97" t="n">
        <v>0</v>
      </c>
      <c r="K477" s="98" t="s">
        <v>3445</v>
      </c>
      <c r="L477" s="97" t="s">
        <v>3450</v>
      </c>
      <c r="M477" s="97" t="s">
        <v>3446</v>
      </c>
      <c r="N477" s="97" t="s">
        <v>3451</v>
      </c>
      <c r="O477" s="97" t="s">
        <v>1904</v>
      </c>
    </row>
    <row r="478" spans="1:15">
      <c r="A478" s="101" t="n">
        <v>477</v>
      </c>
      <c r="B478" s="97" t="n">
        <v>544</v>
      </c>
      <c r="C478" s="98" t="s">
        <v>3537</v>
      </c>
      <c r="D478" s="97" t="s">
        <v>3538</v>
      </c>
      <c r="E478" s="97" t="s">
        <v>3443</v>
      </c>
      <c r="F478" s="97" t="s">
        <v>1898</v>
      </c>
      <c r="G478" s="98" t="s">
        <v>3537</v>
      </c>
      <c r="H478" s="97" t="n">
        <v>0</v>
      </c>
      <c r="I478" s="97" t="s">
        <v>3444</v>
      </c>
      <c r="J478" s="97" t="n">
        <v>0</v>
      </c>
      <c r="K478" s="98" t="s">
        <v>3445</v>
      </c>
      <c r="L478" s="97" t="s">
        <v>157</v>
      </c>
      <c r="M478" s="97" t="s">
        <v>3446</v>
      </c>
      <c r="N478" s="97" t="s">
        <v>3451</v>
      </c>
      <c r="O478" s="97" t="s">
        <v>1904</v>
      </c>
    </row>
    <row r="479" spans="1:15">
      <c r="A479" s="101" t="n">
        <v>478</v>
      </c>
      <c r="B479" s="97" t="n">
        <v>550</v>
      </c>
      <c r="C479" s="98" t="s">
        <v>3539</v>
      </c>
      <c r="D479" s="97" t="s">
        <v>3540</v>
      </c>
      <c r="E479" s="97" t="s">
        <v>3443</v>
      </c>
      <c r="F479" s="97" t="s">
        <v>1898</v>
      </c>
      <c r="G479" s="98" t="s">
        <v>3539</v>
      </c>
      <c r="H479" s="97" t="n">
        <v>0</v>
      </c>
      <c r="I479" s="97" t="s">
        <v>3444</v>
      </c>
      <c r="J479" s="97" t="n">
        <v>0</v>
      </c>
      <c r="K479" s="98" t="s">
        <v>3445</v>
      </c>
      <c r="L479" s="97" t="s">
        <v>3465</v>
      </c>
      <c r="M479" s="97" t="s">
        <v>3446</v>
      </c>
      <c r="N479" s="97" t="s">
        <v>1903</v>
      </c>
      <c r="O479" s="97" t="s">
        <v>1904</v>
      </c>
    </row>
    <row r="480" spans="1:15">
      <c r="A480" s="101" t="n">
        <v>479</v>
      </c>
      <c r="B480" s="97" t="n">
        <v>474</v>
      </c>
      <c r="C480" s="98" t="s">
        <v>3541</v>
      </c>
      <c r="D480" s="97" t="s">
        <v>3542</v>
      </c>
      <c r="E480" s="97" t="s">
        <v>3443</v>
      </c>
      <c r="F480" s="97" t="s">
        <v>1898</v>
      </c>
      <c r="G480" s="98" t="s">
        <v>3541</v>
      </c>
      <c r="H480" s="97" t="n">
        <v>0</v>
      </c>
      <c r="I480" s="97" t="s">
        <v>3444</v>
      </c>
      <c r="J480" s="97" t="n">
        <v>0</v>
      </c>
      <c r="K480" s="98" t="s">
        <v>3445</v>
      </c>
      <c r="L480" s="97" t="s">
        <v>3450</v>
      </c>
      <c r="M480" s="97" t="s">
        <v>3446</v>
      </c>
      <c r="N480" s="97" t="s">
        <v>3451</v>
      </c>
      <c r="O480" s="97" t="s">
        <v>1904</v>
      </c>
    </row>
    <row r="481" spans="1:15">
      <c r="A481" s="101" t="n">
        <v>480</v>
      </c>
      <c r="B481" s="97" t="n">
        <v>542</v>
      </c>
      <c r="C481" s="98" t="s">
        <v>3543</v>
      </c>
      <c r="D481" s="97" t="s">
        <v>3544</v>
      </c>
      <c r="E481" s="97" t="s">
        <v>3443</v>
      </c>
      <c r="F481" s="97" t="s">
        <v>1898</v>
      </c>
      <c r="G481" s="98" t="s">
        <v>3543</v>
      </c>
      <c r="H481" s="97" t="n">
        <v>0</v>
      </c>
      <c r="I481" s="97" t="s">
        <v>3444</v>
      </c>
      <c r="J481" s="97" t="n">
        <v>0</v>
      </c>
      <c r="K481" s="98" t="s">
        <v>3445</v>
      </c>
      <c r="L481" s="97" t="s">
        <v>823</v>
      </c>
      <c r="M481" s="97" t="s">
        <v>3446</v>
      </c>
      <c r="N481" s="97" t="s">
        <v>3451</v>
      </c>
      <c r="O481" s="97" t="s">
        <v>1904</v>
      </c>
    </row>
    <row r="482" spans="1:15">
      <c r="A482" s="101" t="n">
        <v>481</v>
      </c>
      <c r="B482" s="97" t="n">
        <v>505</v>
      </c>
      <c r="C482" s="98" t="s">
        <v>3545</v>
      </c>
      <c r="D482" s="97" t="s">
        <v>3546</v>
      </c>
      <c r="E482" s="97" t="s">
        <v>3443</v>
      </c>
      <c r="F482" s="97" t="s">
        <v>1898</v>
      </c>
      <c r="G482" s="98" t="s">
        <v>3545</v>
      </c>
      <c r="H482" s="97" t="n">
        <v>0</v>
      </c>
      <c r="I482" s="97" t="s">
        <v>3444</v>
      </c>
      <c r="J482" s="97" t="n">
        <v>0</v>
      </c>
      <c r="K482" s="98" t="s">
        <v>3445</v>
      </c>
      <c r="L482" s="97" t="s">
        <v>823</v>
      </c>
      <c r="M482" s="97" t="s">
        <v>3446</v>
      </c>
      <c r="N482" s="97" t="s">
        <v>3451</v>
      </c>
      <c r="O482" s="97" t="s">
        <v>1904</v>
      </c>
    </row>
    <row r="483" spans="1:15">
      <c r="A483" s="101" t="n">
        <v>482</v>
      </c>
      <c r="B483" s="97" t="n">
        <v>546</v>
      </c>
      <c r="C483" s="98" t="s">
        <v>3547</v>
      </c>
      <c r="D483" s="97" t="s">
        <v>3548</v>
      </c>
      <c r="E483" s="97" t="s">
        <v>3443</v>
      </c>
      <c r="F483" s="97" t="s">
        <v>1898</v>
      </c>
      <c r="G483" s="98" t="s">
        <v>3547</v>
      </c>
      <c r="H483" s="97" t="n">
        <v>0</v>
      </c>
      <c r="I483" s="97" t="s">
        <v>3444</v>
      </c>
      <c r="J483" s="97" t="n">
        <v>0</v>
      </c>
      <c r="K483" s="98" t="s">
        <v>3445</v>
      </c>
      <c r="L483" s="97" t="s">
        <v>3465</v>
      </c>
      <c r="M483" s="97" t="s">
        <v>3446</v>
      </c>
      <c r="N483" s="97" t="s">
        <v>1903</v>
      </c>
      <c r="O483" s="97" t="s">
        <v>1904</v>
      </c>
    </row>
    <row r="484" spans="1:15">
      <c r="A484" s="101" t="n">
        <v>483</v>
      </c>
      <c r="B484" s="97" t="n">
        <v>498</v>
      </c>
      <c r="C484" s="98" t="s">
        <v>3549</v>
      </c>
      <c r="D484" s="97" t="s">
        <v>3550</v>
      </c>
      <c r="E484" s="97" t="s">
        <v>3443</v>
      </c>
      <c r="F484" s="97" t="s">
        <v>1898</v>
      </c>
      <c r="G484" s="98" t="s">
        <v>3549</v>
      </c>
      <c r="H484" s="97" t="n">
        <v>0</v>
      </c>
      <c r="I484" s="97" t="s">
        <v>3444</v>
      </c>
      <c r="J484" s="97" t="n">
        <v>0</v>
      </c>
      <c r="K484" s="98" t="s">
        <v>3445</v>
      </c>
      <c r="L484" s="97" t="s">
        <v>1902</v>
      </c>
      <c r="M484" s="97" t="s">
        <v>3446</v>
      </c>
      <c r="N484" s="97" t="s">
        <v>1903</v>
      </c>
      <c r="O484" s="97" t="s">
        <v>1904</v>
      </c>
    </row>
    <row r="485" spans="1:15">
      <c r="A485" s="101" t="n">
        <v>484</v>
      </c>
      <c r="B485" s="97" t="n">
        <v>497</v>
      </c>
      <c r="C485" s="98" t="s">
        <v>3551</v>
      </c>
      <c r="D485" s="97" t="s">
        <v>3552</v>
      </c>
      <c r="E485" s="97" t="s">
        <v>3443</v>
      </c>
      <c r="F485" s="97" t="s">
        <v>1898</v>
      </c>
      <c r="G485" s="98" t="s">
        <v>3551</v>
      </c>
      <c r="H485" s="97" t="n">
        <v>0</v>
      </c>
      <c r="I485" s="97" t="s">
        <v>3444</v>
      </c>
      <c r="J485" s="97" t="n">
        <v>0</v>
      </c>
      <c r="K485" s="98" t="s">
        <v>3445</v>
      </c>
      <c r="L485" s="97" t="s">
        <v>3465</v>
      </c>
      <c r="M485" s="97" t="s">
        <v>3446</v>
      </c>
      <c r="N485" s="97" t="s">
        <v>1903</v>
      </c>
      <c r="O485" s="97" t="s">
        <v>1904</v>
      </c>
    </row>
    <row r="486" spans="1:15">
      <c r="A486" s="101" t="n">
        <v>485</v>
      </c>
      <c r="B486" s="97" t="n">
        <v>525</v>
      </c>
      <c r="C486" s="98" t="s">
        <v>3553</v>
      </c>
      <c r="D486" s="97" t="s">
        <v>3554</v>
      </c>
      <c r="E486" s="97" t="s">
        <v>3443</v>
      </c>
      <c r="F486" s="97" t="s">
        <v>1898</v>
      </c>
      <c r="G486" s="98" t="s">
        <v>3553</v>
      </c>
      <c r="H486" s="97" t="n">
        <v>0</v>
      </c>
      <c r="I486" s="97" t="s">
        <v>3444</v>
      </c>
      <c r="J486" s="97" t="n">
        <v>0</v>
      </c>
      <c r="K486" s="98" t="s">
        <v>3445</v>
      </c>
      <c r="L486" s="97" t="s">
        <v>157</v>
      </c>
      <c r="M486" s="97" t="s">
        <v>3446</v>
      </c>
      <c r="N486" s="97" t="s">
        <v>3451</v>
      </c>
      <c r="O486" s="97" t="s">
        <v>1904</v>
      </c>
    </row>
    <row r="487" spans="1:15">
      <c r="A487" s="101" t="n">
        <v>486</v>
      </c>
      <c r="B487" s="97" t="n">
        <v>530</v>
      </c>
      <c r="C487" s="98" t="s">
        <v>3555</v>
      </c>
      <c r="D487" s="97" t="s">
        <v>3556</v>
      </c>
      <c r="E487" s="97" t="s">
        <v>3443</v>
      </c>
      <c r="F487" s="97" t="s">
        <v>1898</v>
      </c>
      <c r="G487" s="98" t="s">
        <v>3555</v>
      </c>
      <c r="H487" s="97" t="n">
        <v>0</v>
      </c>
      <c r="I487" s="97" t="s">
        <v>3444</v>
      </c>
      <c r="J487" s="97" t="n">
        <v>0</v>
      </c>
      <c r="K487" s="98" t="s">
        <v>3557</v>
      </c>
      <c r="L487" s="97" t="s">
        <v>157</v>
      </c>
      <c r="M487" s="97" t="s">
        <v>3446</v>
      </c>
      <c r="N487" s="97" t="s">
        <v>3451</v>
      </c>
      <c r="O487" s="97" t="s">
        <v>1904</v>
      </c>
    </row>
    <row r="488" spans="1:15">
      <c r="A488" s="101" t="n">
        <v>487</v>
      </c>
      <c r="B488" s="97" t="n">
        <v>471</v>
      </c>
      <c r="C488" s="98" t="s">
        <v>3558</v>
      </c>
      <c r="D488" s="97" t="s">
        <v>3559</v>
      </c>
      <c r="E488" s="97" t="s">
        <v>3443</v>
      </c>
      <c r="F488" s="97" t="s">
        <v>1898</v>
      </c>
      <c r="G488" s="98" t="s">
        <v>3558</v>
      </c>
      <c r="H488" s="97" t="n">
        <v>0</v>
      </c>
      <c r="I488" s="97" t="s">
        <v>3444</v>
      </c>
      <c r="J488" s="97" t="n">
        <v>0</v>
      </c>
      <c r="K488" s="98" t="s">
        <v>3445</v>
      </c>
      <c r="L488" s="97" t="s">
        <v>157</v>
      </c>
      <c r="M488" s="97" t="s">
        <v>3446</v>
      </c>
      <c r="N488" s="97" t="s">
        <v>3451</v>
      </c>
      <c r="O488" s="97" t="s">
        <v>1904</v>
      </c>
    </row>
    <row r="489" spans="1:15">
      <c r="A489" s="101" t="n">
        <v>488</v>
      </c>
      <c r="B489" s="97" t="n">
        <v>454</v>
      </c>
      <c r="C489" s="98" t="s">
        <v>3560</v>
      </c>
      <c r="D489" s="97" t="s">
        <v>3561</v>
      </c>
      <c r="E489" s="97" t="s">
        <v>3443</v>
      </c>
      <c r="F489" s="97" t="s">
        <v>1898</v>
      </c>
      <c r="G489" s="98" t="s">
        <v>3560</v>
      </c>
      <c r="H489" s="97" t="n">
        <v>0</v>
      </c>
      <c r="I489" s="97" t="s">
        <v>3444</v>
      </c>
      <c r="J489" s="97" t="n">
        <v>0</v>
      </c>
      <c r="K489" s="98" t="s">
        <v>3445</v>
      </c>
      <c r="L489" s="97" t="s">
        <v>3465</v>
      </c>
      <c r="M489" s="97" t="s">
        <v>3446</v>
      </c>
      <c r="N489" s="97" t="s">
        <v>1903</v>
      </c>
      <c r="O489" s="97" t="s">
        <v>1904</v>
      </c>
    </row>
    <row r="490" spans="1:15">
      <c r="A490" s="101" t="n">
        <v>489</v>
      </c>
      <c r="B490" s="97" t="n">
        <v>492</v>
      </c>
      <c r="C490" s="98" t="s">
        <v>3562</v>
      </c>
      <c r="D490" s="97" t="s">
        <v>3563</v>
      </c>
      <c r="E490" s="97" t="s">
        <v>3443</v>
      </c>
      <c r="F490" s="97" t="s">
        <v>1898</v>
      </c>
      <c r="G490" s="98" t="s">
        <v>3562</v>
      </c>
      <c r="H490" s="97" t="n">
        <v>0</v>
      </c>
      <c r="I490" s="97" t="s">
        <v>3444</v>
      </c>
      <c r="J490" s="97" t="n">
        <v>0</v>
      </c>
      <c r="K490" s="98" t="s">
        <v>3564</v>
      </c>
      <c r="L490" s="97" t="s">
        <v>3450</v>
      </c>
      <c r="M490" s="97" t="s">
        <v>3446</v>
      </c>
      <c r="N490" s="97" t="s">
        <v>3451</v>
      </c>
      <c r="O490" s="97" t="s">
        <v>1904</v>
      </c>
    </row>
    <row r="491" spans="1:15">
      <c r="A491" s="101" t="n">
        <v>490</v>
      </c>
      <c r="B491" s="97" t="n">
        <v>536</v>
      </c>
      <c r="C491" s="98" t="s">
        <v>3565</v>
      </c>
      <c r="D491" s="97" t="s">
        <v>3566</v>
      </c>
      <c r="E491" s="97" t="s">
        <v>3443</v>
      </c>
      <c r="F491" s="97" t="s">
        <v>1898</v>
      </c>
      <c r="G491" s="98" t="s">
        <v>3565</v>
      </c>
      <c r="H491" s="97" t="n">
        <v>0</v>
      </c>
      <c r="I491" s="97" t="s">
        <v>3444</v>
      </c>
      <c r="J491" s="97" t="n">
        <v>0</v>
      </c>
      <c r="K491" s="98" t="s">
        <v>3445</v>
      </c>
      <c r="L491" s="97" t="s">
        <v>3465</v>
      </c>
      <c r="M491" s="97" t="s">
        <v>3446</v>
      </c>
      <c r="N491" s="97" t="s">
        <v>1903</v>
      </c>
      <c r="O491" s="97" t="s">
        <v>1904</v>
      </c>
    </row>
    <row r="492" spans="1:15">
      <c r="A492" s="101" t="n">
        <v>491</v>
      </c>
      <c r="B492" s="97" t="n">
        <v>531</v>
      </c>
      <c r="C492" s="98" t="s">
        <v>3567</v>
      </c>
      <c r="D492" s="97" t="s">
        <v>3568</v>
      </c>
      <c r="E492" s="97" t="s">
        <v>3443</v>
      </c>
      <c r="F492" s="97" t="s">
        <v>1898</v>
      </c>
      <c r="G492" s="98" t="s">
        <v>3567</v>
      </c>
      <c r="H492" s="97" t="n">
        <v>0</v>
      </c>
      <c r="I492" s="97" t="s">
        <v>3444</v>
      </c>
      <c r="J492" s="97" t="n">
        <v>0</v>
      </c>
      <c r="K492" s="98" t="s">
        <v>3445</v>
      </c>
      <c r="L492" s="97" t="s">
        <v>3465</v>
      </c>
      <c r="M492" s="97" t="s">
        <v>3446</v>
      </c>
      <c r="N492" s="97" t="s">
        <v>1903</v>
      </c>
      <c r="O492" s="97" t="s">
        <v>1904</v>
      </c>
    </row>
    <row r="493" spans="1:15">
      <c r="A493" s="101" t="n">
        <v>492</v>
      </c>
      <c r="B493" s="97" t="n">
        <v>477</v>
      </c>
      <c r="C493" s="98" t="s">
        <v>3569</v>
      </c>
      <c r="D493" s="97" t="s">
        <v>3570</v>
      </c>
      <c r="E493" s="97" t="s">
        <v>3443</v>
      </c>
      <c r="F493" s="97" t="s">
        <v>1898</v>
      </c>
      <c r="G493" s="98" t="s">
        <v>3569</v>
      </c>
      <c r="H493" s="97" t="n">
        <v>0</v>
      </c>
      <c r="I493" s="97" t="s">
        <v>3444</v>
      </c>
      <c r="J493" s="97" t="n">
        <v>0</v>
      </c>
      <c r="K493" s="98" t="s">
        <v>3445</v>
      </c>
      <c r="L493" s="97" t="s">
        <v>157</v>
      </c>
      <c r="M493" s="97" t="s">
        <v>3446</v>
      </c>
      <c r="N493" s="97" t="s">
        <v>3451</v>
      </c>
      <c r="O493" s="97" t="s">
        <v>1904</v>
      </c>
    </row>
    <row r="494" spans="1:15">
      <c r="A494" s="101" t="n">
        <v>493</v>
      </c>
      <c r="B494" s="97" t="n">
        <v>548</v>
      </c>
      <c r="C494" s="98" t="s">
        <v>3571</v>
      </c>
      <c r="D494" s="97" t="s">
        <v>3572</v>
      </c>
      <c r="E494" s="97" t="s">
        <v>3443</v>
      </c>
      <c r="F494" s="97" t="s">
        <v>1898</v>
      </c>
      <c r="G494" s="98" t="s">
        <v>3571</v>
      </c>
      <c r="H494" s="97" t="n">
        <v>0</v>
      </c>
      <c r="I494" s="97" t="s">
        <v>3444</v>
      </c>
      <c r="J494" s="97" t="n">
        <v>0</v>
      </c>
      <c r="K494" s="98" t="s">
        <v>3445</v>
      </c>
      <c r="L494" s="97" t="s">
        <v>157</v>
      </c>
      <c r="M494" s="97" t="s">
        <v>3446</v>
      </c>
      <c r="N494" s="97" t="s">
        <v>3451</v>
      </c>
      <c r="O494" s="97" t="s">
        <v>1904</v>
      </c>
    </row>
    <row r="495" spans="1:15">
      <c r="A495" s="101" t="n">
        <v>494</v>
      </c>
      <c r="B495" s="97" t="n">
        <v>522</v>
      </c>
      <c r="C495" s="98" t="s">
        <v>3573</v>
      </c>
      <c r="D495" s="97" t="s">
        <v>3574</v>
      </c>
      <c r="E495" s="97" t="s">
        <v>3443</v>
      </c>
      <c r="F495" s="97" t="s">
        <v>1898</v>
      </c>
      <c r="G495" s="98" t="s">
        <v>3573</v>
      </c>
      <c r="H495" s="97" t="n">
        <v>0</v>
      </c>
      <c r="I495" s="97" t="s">
        <v>3444</v>
      </c>
      <c r="J495" s="97" t="n">
        <v>0</v>
      </c>
      <c r="K495" s="98" t="s">
        <v>3575</v>
      </c>
      <c r="L495" s="97" t="s">
        <v>157</v>
      </c>
      <c r="M495" s="97" t="s">
        <v>3446</v>
      </c>
      <c r="N495" s="97" t="s">
        <v>3451</v>
      </c>
      <c r="O495" s="97" t="s">
        <v>1904</v>
      </c>
    </row>
    <row r="496" spans="1:15">
      <c r="A496" s="101" t="n">
        <v>495</v>
      </c>
      <c r="B496" s="97" t="n">
        <v>517</v>
      </c>
      <c r="C496" s="98" t="s">
        <v>3576</v>
      </c>
      <c r="D496" s="97" t="s">
        <v>3577</v>
      </c>
      <c r="E496" s="97" t="s">
        <v>3443</v>
      </c>
      <c r="F496" s="97" t="s">
        <v>1898</v>
      </c>
      <c r="G496" s="98" t="s">
        <v>3576</v>
      </c>
      <c r="H496" s="97" t="n">
        <v>0</v>
      </c>
      <c r="I496" s="97" t="s">
        <v>3444</v>
      </c>
      <c r="J496" s="97" t="n">
        <v>0</v>
      </c>
      <c r="K496" s="98" t="s">
        <v>3445</v>
      </c>
      <c r="L496" s="97" t="s">
        <v>3465</v>
      </c>
      <c r="M496" s="97" t="s">
        <v>3446</v>
      </c>
      <c r="N496" s="97" t="s">
        <v>1903</v>
      </c>
      <c r="O496" s="97" t="s">
        <v>1904</v>
      </c>
    </row>
    <row r="497" spans="1:15">
      <c r="A497" s="101" t="n">
        <v>496</v>
      </c>
      <c r="B497" s="97" t="n">
        <v>488</v>
      </c>
      <c r="C497" s="98" t="s">
        <v>3578</v>
      </c>
      <c r="D497" s="97" t="s">
        <v>3579</v>
      </c>
      <c r="E497" s="97" t="s">
        <v>3443</v>
      </c>
      <c r="F497" s="97" t="s">
        <v>1898</v>
      </c>
      <c r="G497" s="98" t="s">
        <v>3578</v>
      </c>
      <c r="H497" s="97" t="n">
        <v>0</v>
      </c>
      <c r="I497" s="97" t="s">
        <v>3444</v>
      </c>
      <c r="J497" s="97" t="n">
        <v>0</v>
      </c>
      <c r="K497" s="98" t="s">
        <v>3445</v>
      </c>
      <c r="L497" s="97" t="s">
        <v>3450</v>
      </c>
      <c r="M497" s="97" t="s">
        <v>3446</v>
      </c>
      <c r="N497" s="97" t="s">
        <v>3451</v>
      </c>
      <c r="O497" s="97" t="s">
        <v>1904</v>
      </c>
    </row>
    <row r="498" spans="1:15">
      <c r="A498" s="101" t="n">
        <v>497</v>
      </c>
      <c r="B498" s="97" t="n">
        <v>502</v>
      </c>
      <c r="C498" s="98" t="s">
        <v>3580</v>
      </c>
      <c r="D498" s="97" t="s">
        <v>3581</v>
      </c>
      <c r="E498" s="97" t="s">
        <v>3443</v>
      </c>
      <c r="F498" s="97" t="s">
        <v>1898</v>
      </c>
      <c r="G498" s="98" t="s">
        <v>3580</v>
      </c>
      <c r="H498" s="97" t="n">
        <v>0</v>
      </c>
      <c r="I498" s="97" t="s">
        <v>3444</v>
      </c>
      <c r="J498" s="97" t="n">
        <v>0</v>
      </c>
      <c r="K498" s="98" t="s">
        <v>3445</v>
      </c>
      <c r="L498" s="97" t="s">
        <v>823</v>
      </c>
      <c r="M498" s="97" t="s">
        <v>3446</v>
      </c>
      <c r="N498" s="97" t="s">
        <v>3451</v>
      </c>
      <c r="O498" s="97" t="s">
        <v>1904</v>
      </c>
    </row>
    <row r="499" spans="1:15">
      <c r="A499" s="101" t="n">
        <v>498</v>
      </c>
      <c r="B499" s="97" t="n">
        <v>444</v>
      </c>
      <c r="C499" s="98" t="s">
        <v>3582</v>
      </c>
      <c r="D499" s="97" t="s">
        <v>3583</v>
      </c>
      <c r="E499" s="97" t="s">
        <v>3443</v>
      </c>
      <c r="F499" s="97" t="s">
        <v>1898</v>
      </c>
      <c r="G499" s="98" t="s">
        <v>3582</v>
      </c>
      <c r="H499" s="97" t="n">
        <v>0</v>
      </c>
      <c r="I499" s="97" t="s">
        <v>3444</v>
      </c>
      <c r="J499" s="97" t="n">
        <v>0</v>
      </c>
      <c r="K499" s="98" t="s">
        <v>3445</v>
      </c>
      <c r="L499" s="97" t="s">
        <v>3465</v>
      </c>
      <c r="M499" s="97" t="s">
        <v>3446</v>
      </c>
      <c r="N499" s="97" t="s">
        <v>1903</v>
      </c>
      <c r="O499" s="97" t="s">
        <v>1904</v>
      </c>
    </row>
    <row r="500" spans="1:15">
      <c r="A500" s="101" t="n">
        <v>499</v>
      </c>
      <c r="B500" s="97" t="n">
        <v>478</v>
      </c>
      <c r="C500" s="98" t="s">
        <v>3584</v>
      </c>
      <c r="D500" s="97" t="s">
        <v>3585</v>
      </c>
      <c r="E500" s="97" t="s">
        <v>3443</v>
      </c>
      <c r="F500" s="97" t="s">
        <v>1898</v>
      </c>
      <c r="G500" s="98" t="s">
        <v>3584</v>
      </c>
      <c r="H500" s="97" t="n">
        <v>0</v>
      </c>
      <c r="I500" s="97" t="s">
        <v>3444</v>
      </c>
      <c r="J500" s="97" t="n">
        <v>0</v>
      </c>
      <c r="K500" s="98" t="s">
        <v>3445</v>
      </c>
      <c r="L500" s="97" t="s">
        <v>823</v>
      </c>
      <c r="M500" s="97" t="s">
        <v>3446</v>
      </c>
      <c r="N500" s="97" t="s">
        <v>3451</v>
      </c>
      <c r="O500" s="97" t="s">
        <v>1904</v>
      </c>
    </row>
    <row r="501" spans="1:15">
      <c r="A501" s="101" t="n">
        <v>500</v>
      </c>
      <c r="B501" s="97" t="n">
        <v>469</v>
      </c>
      <c r="C501" s="98" t="s">
        <v>3586</v>
      </c>
      <c r="D501" s="97" t="s">
        <v>3587</v>
      </c>
      <c r="E501" s="97" t="s">
        <v>3443</v>
      </c>
      <c r="F501" s="97" t="s">
        <v>1898</v>
      </c>
      <c r="G501" s="98" t="s">
        <v>3586</v>
      </c>
      <c r="H501" s="97" t="n">
        <v>0</v>
      </c>
      <c r="I501" s="97" t="s">
        <v>3444</v>
      </c>
      <c r="J501" s="97" t="n">
        <v>0</v>
      </c>
      <c r="K501" s="98" t="s">
        <v>3445</v>
      </c>
      <c r="L501" s="97" t="s">
        <v>3450</v>
      </c>
      <c r="M501" s="97" t="s">
        <v>3446</v>
      </c>
      <c r="N501" s="97" t="s">
        <v>3451</v>
      </c>
      <c r="O501" s="97" t="s">
        <v>1904</v>
      </c>
    </row>
    <row r="502" spans="1:15">
      <c r="A502" s="101" t="n">
        <v>501</v>
      </c>
      <c r="B502" s="97" t="n">
        <v>481</v>
      </c>
      <c r="C502" s="98" t="s">
        <v>3588</v>
      </c>
      <c r="D502" s="97" t="s">
        <v>3589</v>
      </c>
      <c r="E502" s="97" t="s">
        <v>3443</v>
      </c>
      <c r="F502" s="97" t="s">
        <v>1898</v>
      </c>
      <c r="G502" s="98" t="s">
        <v>3588</v>
      </c>
      <c r="H502" s="97" t="n">
        <v>0</v>
      </c>
      <c r="I502" s="97" t="s">
        <v>3444</v>
      </c>
      <c r="J502" s="97" t="n">
        <v>0</v>
      </c>
      <c r="K502" s="98" t="s">
        <v>3445</v>
      </c>
      <c r="L502" s="97" t="s">
        <v>157</v>
      </c>
      <c r="M502" s="97" t="s">
        <v>3446</v>
      </c>
      <c r="N502" s="97" t="s">
        <v>3451</v>
      </c>
      <c r="O502" s="97" t="s">
        <v>1904</v>
      </c>
    </row>
    <row r="503" spans="1:15">
      <c r="A503" s="101" t="n">
        <v>502</v>
      </c>
      <c r="B503" s="97" t="n">
        <v>526</v>
      </c>
      <c r="C503" s="98" t="s">
        <v>3590</v>
      </c>
      <c r="D503" s="97" t="s">
        <v>3591</v>
      </c>
      <c r="E503" s="97" t="s">
        <v>3443</v>
      </c>
      <c r="F503" s="97" t="s">
        <v>1898</v>
      </c>
      <c r="G503" s="98" t="s">
        <v>3590</v>
      </c>
      <c r="H503" s="97" t="n">
        <v>0</v>
      </c>
      <c r="I503" s="97" t="s">
        <v>3444</v>
      </c>
      <c r="J503" s="97" t="n">
        <v>0</v>
      </c>
      <c r="K503" s="98" t="s">
        <v>3445</v>
      </c>
      <c r="L503" s="97" t="s">
        <v>823</v>
      </c>
      <c r="M503" s="97" t="s">
        <v>3446</v>
      </c>
      <c r="N503" s="97" t="s">
        <v>3451</v>
      </c>
      <c r="O503" s="97" t="s">
        <v>1904</v>
      </c>
    </row>
    <row r="504" spans="1:15">
      <c r="A504" s="101" t="n">
        <v>503</v>
      </c>
      <c r="B504" s="97" t="n">
        <v>540</v>
      </c>
      <c r="C504" s="98" t="s">
        <v>3592</v>
      </c>
      <c r="D504" s="97" t="s">
        <v>3593</v>
      </c>
      <c r="E504" s="97" t="s">
        <v>3443</v>
      </c>
      <c r="F504" s="97" t="s">
        <v>1898</v>
      </c>
      <c r="G504" s="98" t="s">
        <v>3592</v>
      </c>
      <c r="H504" s="97" t="n">
        <v>0</v>
      </c>
      <c r="I504" s="97" t="s">
        <v>3444</v>
      </c>
      <c r="J504" s="97" t="n">
        <v>0</v>
      </c>
      <c r="K504" s="98" t="s">
        <v>3445</v>
      </c>
      <c r="L504" s="97" t="s">
        <v>823</v>
      </c>
      <c r="M504" s="97" t="s">
        <v>3446</v>
      </c>
      <c r="N504" s="97" t="s">
        <v>3451</v>
      </c>
      <c r="O504" s="97" t="s">
        <v>1904</v>
      </c>
    </row>
    <row r="505" spans="1:15">
      <c r="A505" s="101" t="n">
        <v>504</v>
      </c>
      <c r="B505" s="97" t="n">
        <v>507</v>
      </c>
      <c r="C505" s="98" t="s">
        <v>3594</v>
      </c>
      <c r="D505" s="97" t="s">
        <v>3595</v>
      </c>
      <c r="E505" s="97" t="s">
        <v>3443</v>
      </c>
      <c r="F505" s="97" t="s">
        <v>1898</v>
      </c>
      <c r="G505" s="98" t="s">
        <v>3594</v>
      </c>
      <c r="H505" s="97" t="n">
        <v>0</v>
      </c>
      <c r="I505" s="97" t="s">
        <v>3444</v>
      </c>
      <c r="J505" s="97" t="n">
        <v>0</v>
      </c>
      <c r="K505" s="98" t="s">
        <v>3445</v>
      </c>
      <c r="L505" s="97" t="s">
        <v>3450</v>
      </c>
      <c r="M505" s="97" t="s">
        <v>3446</v>
      </c>
      <c r="N505" s="97" t="s">
        <v>3451</v>
      </c>
      <c r="O505" s="97" t="s">
        <v>1904</v>
      </c>
    </row>
    <row r="506" spans="1:15">
      <c r="A506" s="101" t="n">
        <v>505</v>
      </c>
      <c r="B506" s="97" t="n">
        <v>511</v>
      </c>
      <c r="C506" s="98" t="s">
        <v>3596</v>
      </c>
      <c r="D506" s="97" t="s">
        <v>3597</v>
      </c>
      <c r="E506" s="97" t="s">
        <v>3443</v>
      </c>
      <c r="F506" s="97" t="s">
        <v>1898</v>
      </c>
      <c r="G506" s="98" t="s">
        <v>3596</v>
      </c>
      <c r="H506" s="97" t="n">
        <v>0</v>
      </c>
      <c r="I506" s="97" t="s">
        <v>3444</v>
      </c>
      <c r="J506" s="97" t="n">
        <v>0</v>
      </c>
      <c r="K506" s="98" t="s">
        <v>3445</v>
      </c>
      <c r="L506" s="97" t="s">
        <v>823</v>
      </c>
      <c r="M506" s="97" t="s">
        <v>3446</v>
      </c>
      <c r="N506" s="97" t="s">
        <v>3451</v>
      </c>
      <c r="O506" s="97" t="s">
        <v>1904</v>
      </c>
    </row>
    <row r="507" spans="1:15">
      <c r="A507" s="101" t="n">
        <v>506</v>
      </c>
      <c r="B507" s="97" t="n">
        <v>506</v>
      </c>
      <c r="C507" s="98" t="s">
        <v>3598</v>
      </c>
      <c r="D507" s="97" t="s">
        <v>3599</v>
      </c>
      <c r="E507" s="97" t="s">
        <v>3443</v>
      </c>
      <c r="F507" s="97" t="s">
        <v>1898</v>
      </c>
      <c r="G507" s="98" t="s">
        <v>3598</v>
      </c>
      <c r="H507" s="97" t="n">
        <v>0</v>
      </c>
      <c r="I507" s="97" t="s">
        <v>3444</v>
      </c>
      <c r="J507" s="97" t="n">
        <v>0</v>
      </c>
      <c r="K507" s="98" t="s">
        <v>3445</v>
      </c>
      <c r="L507" s="97" t="s">
        <v>157</v>
      </c>
      <c r="M507" s="97" t="s">
        <v>3446</v>
      </c>
      <c r="N507" s="97" t="s">
        <v>3451</v>
      </c>
      <c r="O507" s="97" t="s">
        <v>1904</v>
      </c>
    </row>
    <row r="508" spans="1:15">
      <c r="A508" s="101" t="n">
        <v>507</v>
      </c>
      <c r="B508" s="97" t="n">
        <v>523</v>
      </c>
      <c r="C508" s="98" t="s">
        <v>3600</v>
      </c>
      <c r="D508" s="97" t="s">
        <v>3601</v>
      </c>
      <c r="E508" s="97" t="s">
        <v>3443</v>
      </c>
      <c r="F508" s="97" t="s">
        <v>1898</v>
      </c>
      <c r="G508" s="98" t="s">
        <v>3600</v>
      </c>
      <c r="H508" s="97" t="n">
        <v>0</v>
      </c>
      <c r="I508" s="97" t="s">
        <v>3444</v>
      </c>
      <c r="J508" s="97" t="n">
        <v>0</v>
      </c>
      <c r="K508" s="98" t="s">
        <v>3445</v>
      </c>
      <c r="L508" s="97" t="s">
        <v>3450</v>
      </c>
      <c r="M508" s="97" t="s">
        <v>3446</v>
      </c>
      <c r="N508" s="97" t="s">
        <v>3451</v>
      </c>
      <c r="O508" s="97" t="s">
        <v>1904</v>
      </c>
    </row>
    <row r="509" spans="1:15">
      <c r="A509" s="101" t="n">
        <v>508</v>
      </c>
      <c r="B509" s="97" t="n">
        <v>458</v>
      </c>
      <c r="C509" s="98" t="s">
        <v>3602</v>
      </c>
      <c r="D509" s="97" t="s">
        <v>3603</v>
      </c>
      <c r="E509" s="97" t="s">
        <v>3443</v>
      </c>
      <c r="F509" s="97" t="s">
        <v>1898</v>
      </c>
      <c r="G509" s="98" t="s">
        <v>3602</v>
      </c>
      <c r="H509" s="97" t="n">
        <v>0</v>
      </c>
      <c r="I509" s="97" t="s">
        <v>3444</v>
      </c>
      <c r="J509" s="97" t="n">
        <v>0</v>
      </c>
      <c r="K509" s="98" t="s">
        <v>3227</v>
      </c>
      <c r="L509" s="97" t="s">
        <v>3518</v>
      </c>
      <c r="M509" s="97" t="s">
        <v>3446</v>
      </c>
      <c r="N509" s="97" t="s">
        <v>1903</v>
      </c>
      <c r="O509" s="97" t="s">
        <v>1904</v>
      </c>
    </row>
    <row r="510" spans="1:15">
      <c r="A510" s="101" t="n">
        <v>509</v>
      </c>
      <c r="B510" s="97" t="n">
        <v>518</v>
      </c>
      <c r="C510" s="98" t="s">
        <v>3604</v>
      </c>
      <c r="D510" s="97" t="s">
        <v>3605</v>
      </c>
      <c r="E510" s="97" t="s">
        <v>3443</v>
      </c>
      <c r="F510" s="97" t="s">
        <v>1898</v>
      </c>
      <c r="G510" s="98" t="s">
        <v>3604</v>
      </c>
      <c r="H510" s="97" t="n">
        <v>0</v>
      </c>
      <c r="I510" s="97" t="s">
        <v>3444</v>
      </c>
      <c r="J510" s="97" t="n">
        <v>0</v>
      </c>
      <c r="K510" s="98" t="s">
        <v>3445</v>
      </c>
      <c r="L510" s="97" t="s">
        <v>3465</v>
      </c>
      <c r="M510" s="97" t="s">
        <v>3446</v>
      </c>
      <c r="N510" s="97" t="s">
        <v>1903</v>
      </c>
      <c r="O510" s="97" t="s">
        <v>1904</v>
      </c>
    </row>
    <row r="511" spans="1:15">
      <c r="A511" s="101" t="n">
        <v>510</v>
      </c>
      <c r="B511" s="97" t="n">
        <v>453</v>
      </c>
      <c r="C511" s="98" t="s">
        <v>3606</v>
      </c>
      <c r="D511" s="97" t="s">
        <v>3607</v>
      </c>
      <c r="E511" s="97" t="s">
        <v>3443</v>
      </c>
      <c r="F511" s="97" t="s">
        <v>1898</v>
      </c>
      <c r="G511" s="98" t="s">
        <v>3606</v>
      </c>
      <c r="H511" s="97" t="n">
        <v>0</v>
      </c>
      <c r="I511" s="97" t="s">
        <v>3444</v>
      </c>
      <c r="J511" s="97" t="n">
        <v>0</v>
      </c>
      <c r="K511" s="98" t="s">
        <v>3608</v>
      </c>
      <c r="L511" s="97" t="s">
        <v>157</v>
      </c>
      <c r="M511" s="97" t="s">
        <v>3446</v>
      </c>
      <c r="N511" s="97" t="s">
        <v>3451</v>
      </c>
      <c r="O511" s="97" t="s">
        <v>1904</v>
      </c>
    </row>
    <row r="512" spans="1:15">
      <c r="A512" s="101" t="n">
        <v>511</v>
      </c>
      <c r="B512" s="97" t="n">
        <v>479</v>
      </c>
      <c r="C512" s="98" t="s">
        <v>3609</v>
      </c>
      <c r="D512" s="97" t="s">
        <v>3610</v>
      </c>
      <c r="E512" s="97" t="s">
        <v>3443</v>
      </c>
      <c r="F512" s="97" t="s">
        <v>1898</v>
      </c>
      <c r="G512" s="98" t="s">
        <v>3609</v>
      </c>
      <c r="H512" s="97" t="n">
        <v>0</v>
      </c>
      <c r="I512" s="97" t="s">
        <v>3444</v>
      </c>
      <c r="J512" s="97" t="n">
        <v>0</v>
      </c>
      <c r="K512" s="98" t="s">
        <v>3445</v>
      </c>
      <c r="L512" s="97" t="s">
        <v>157</v>
      </c>
      <c r="M512" s="97" t="s">
        <v>3446</v>
      </c>
      <c r="N512" s="97" t="s">
        <v>3451</v>
      </c>
      <c r="O512" s="97" t="s">
        <v>1904</v>
      </c>
    </row>
    <row r="513" spans="1:15">
      <c r="A513" s="101" t="n">
        <v>512</v>
      </c>
      <c r="B513" s="97" t="n">
        <v>538</v>
      </c>
      <c r="C513" s="98" t="s">
        <v>3611</v>
      </c>
      <c r="D513" s="97" t="s">
        <v>3612</v>
      </c>
      <c r="E513" s="97" t="s">
        <v>3443</v>
      </c>
      <c r="F513" s="97" t="s">
        <v>1898</v>
      </c>
      <c r="G513" s="98" t="s">
        <v>3611</v>
      </c>
      <c r="H513" s="97" t="n">
        <v>0</v>
      </c>
      <c r="I513" s="97" t="s">
        <v>3444</v>
      </c>
      <c r="J513" s="97" t="n">
        <v>0</v>
      </c>
      <c r="K513" s="98" t="s">
        <v>3445</v>
      </c>
      <c r="L513" s="97" t="s">
        <v>157</v>
      </c>
      <c r="M513" s="97" t="s">
        <v>3446</v>
      </c>
      <c r="N513" s="97" t="s">
        <v>3451</v>
      </c>
      <c r="O513" s="97" t="s">
        <v>1904</v>
      </c>
    </row>
    <row r="514" spans="1:15">
      <c r="A514" s="101" t="n">
        <v>513</v>
      </c>
      <c r="B514" s="97" t="n">
        <v>539</v>
      </c>
      <c r="C514" s="98" t="s">
        <v>3613</v>
      </c>
      <c r="D514" s="97" t="s">
        <v>3614</v>
      </c>
      <c r="E514" s="97" t="s">
        <v>3443</v>
      </c>
      <c r="F514" s="97" t="s">
        <v>1898</v>
      </c>
      <c r="G514" s="98" t="s">
        <v>3613</v>
      </c>
      <c r="H514" s="97" t="n">
        <v>0</v>
      </c>
      <c r="I514" s="97" t="s">
        <v>3444</v>
      </c>
      <c r="J514" s="97" t="n">
        <v>0</v>
      </c>
      <c r="K514" s="98" t="s">
        <v>3445</v>
      </c>
      <c r="L514" s="97" t="s">
        <v>157</v>
      </c>
      <c r="M514" s="97" t="s">
        <v>3446</v>
      </c>
      <c r="N514" s="97" t="s">
        <v>3451</v>
      </c>
      <c r="O514" s="97" t="s">
        <v>1904</v>
      </c>
    </row>
    <row r="515" spans="1:15">
      <c r="A515" s="101" t="n">
        <v>514</v>
      </c>
      <c r="B515" s="97" t="n">
        <v>461</v>
      </c>
      <c r="C515" s="98" t="s">
        <v>3615</v>
      </c>
      <c r="D515" s="97" t="s">
        <v>3616</v>
      </c>
      <c r="E515" s="97" t="s">
        <v>3443</v>
      </c>
      <c r="F515" s="97" t="s">
        <v>1898</v>
      </c>
      <c r="G515" s="98" t="s">
        <v>3615</v>
      </c>
      <c r="H515" s="97" t="n">
        <v>0</v>
      </c>
      <c r="I515" s="97" t="s">
        <v>3444</v>
      </c>
      <c r="J515" s="97" t="n">
        <v>0</v>
      </c>
      <c r="K515" s="98" t="s">
        <v>3617</v>
      </c>
      <c r="L515" s="97" t="s">
        <v>157</v>
      </c>
      <c r="M515" s="97" t="s">
        <v>3446</v>
      </c>
      <c r="N515" s="97" t="s">
        <v>3451</v>
      </c>
      <c r="O515" s="97" t="s">
        <v>1904</v>
      </c>
    </row>
    <row r="516" spans="1:15">
      <c r="A516" s="101" t="n">
        <v>515</v>
      </c>
      <c r="B516" s="97" t="n">
        <v>464</v>
      </c>
      <c r="C516" s="98" t="s">
        <v>3618</v>
      </c>
      <c r="D516" s="97" t="s">
        <v>3619</v>
      </c>
      <c r="E516" s="97" t="s">
        <v>3443</v>
      </c>
      <c r="F516" s="97" t="s">
        <v>1898</v>
      </c>
      <c r="G516" s="98" t="s">
        <v>3618</v>
      </c>
      <c r="H516" s="97" t="n">
        <v>0</v>
      </c>
      <c r="I516" s="97" t="s">
        <v>3444</v>
      </c>
      <c r="J516" s="97" t="n">
        <v>0</v>
      </c>
      <c r="K516" s="98" t="s">
        <v>3445</v>
      </c>
      <c r="L516" s="97" t="s">
        <v>3450</v>
      </c>
      <c r="M516" s="97" t="s">
        <v>3446</v>
      </c>
      <c r="N516" s="97" t="s">
        <v>3451</v>
      </c>
      <c r="O516" s="97" t="s">
        <v>1904</v>
      </c>
    </row>
    <row r="517" spans="1:15">
      <c r="A517" s="101" t="n">
        <v>516</v>
      </c>
      <c r="B517" s="97" t="n">
        <v>513</v>
      </c>
      <c r="C517" s="98" t="s">
        <v>3620</v>
      </c>
      <c r="D517" s="97" t="s">
        <v>3621</v>
      </c>
      <c r="E517" s="97" t="s">
        <v>3443</v>
      </c>
      <c r="F517" s="97" t="s">
        <v>1898</v>
      </c>
      <c r="G517" s="98" t="s">
        <v>3620</v>
      </c>
      <c r="H517" s="97" t="n">
        <v>0</v>
      </c>
      <c r="I517" s="97" t="s">
        <v>3444</v>
      </c>
      <c r="J517" s="97" t="n">
        <v>0</v>
      </c>
      <c r="K517" s="98" t="s">
        <v>3445</v>
      </c>
      <c r="L517" s="97" t="s">
        <v>157</v>
      </c>
      <c r="M517" s="97" t="s">
        <v>3446</v>
      </c>
      <c r="N517" s="97" t="s">
        <v>3451</v>
      </c>
      <c r="O517" s="97" t="s">
        <v>1904</v>
      </c>
    </row>
    <row r="518" spans="1:15">
      <c r="A518" s="101" t="n">
        <v>517</v>
      </c>
      <c r="B518" s="97" t="n">
        <v>514</v>
      </c>
      <c r="C518" s="98" t="s">
        <v>3622</v>
      </c>
      <c r="D518" s="97" t="s">
        <v>3623</v>
      </c>
      <c r="E518" s="97" t="s">
        <v>3443</v>
      </c>
      <c r="F518" s="97" t="s">
        <v>1898</v>
      </c>
      <c r="G518" s="98" t="s">
        <v>3622</v>
      </c>
      <c r="H518" s="97" t="n">
        <v>0</v>
      </c>
      <c r="I518" s="97" t="s">
        <v>3444</v>
      </c>
      <c r="J518" s="97" t="n">
        <v>0</v>
      </c>
      <c r="K518" s="98" t="s">
        <v>3445</v>
      </c>
      <c r="L518" s="97" t="s">
        <v>157</v>
      </c>
      <c r="M518" s="97" t="s">
        <v>3446</v>
      </c>
      <c r="N518" s="97" t="s">
        <v>3451</v>
      </c>
      <c r="O518" s="97" t="s">
        <v>1904</v>
      </c>
    </row>
    <row r="519" spans="1:15">
      <c r="A519" s="101" t="n">
        <v>518</v>
      </c>
      <c r="B519" s="97" t="n">
        <v>450</v>
      </c>
      <c r="C519" s="98" t="s">
        <v>3624</v>
      </c>
      <c r="D519" s="97" t="s">
        <v>3625</v>
      </c>
      <c r="E519" s="97" t="s">
        <v>3443</v>
      </c>
      <c r="F519" s="97" t="s">
        <v>1898</v>
      </c>
      <c r="G519" s="98" t="s">
        <v>3624</v>
      </c>
      <c r="H519" s="97" t="n">
        <v>0</v>
      </c>
      <c r="I519" s="97" t="s">
        <v>3444</v>
      </c>
      <c r="J519" s="97" t="n">
        <v>0</v>
      </c>
      <c r="K519" s="98" t="s">
        <v>3445</v>
      </c>
      <c r="L519" s="97" t="s">
        <v>3465</v>
      </c>
      <c r="M519" s="97" t="s">
        <v>3446</v>
      </c>
      <c r="N519" s="97" t="s">
        <v>1903</v>
      </c>
      <c r="O519" s="97" t="s">
        <v>1904</v>
      </c>
    </row>
    <row r="520" spans="1:15">
      <c r="A520" s="101" t="n">
        <v>519</v>
      </c>
      <c r="B520" s="97" t="n">
        <v>532</v>
      </c>
      <c r="C520" s="98" t="s">
        <v>3626</v>
      </c>
      <c r="D520" s="97" t="s">
        <v>3627</v>
      </c>
      <c r="E520" s="97" t="s">
        <v>3443</v>
      </c>
      <c r="F520" s="97" t="s">
        <v>1898</v>
      </c>
      <c r="G520" s="98" t="s">
        <v>3626</v>
      </c>
      <c r="H520" s="97" t="n">
        <v>0</v>
      </c>
      <c r="I520" s="97" t="s">
        <v>3444</v>
      </c>
      <c r="J520" s="97" t="n">
        <v>0</v>
      </c>
      <c r="K520" s="98" t="s">
        <v>3445</v>
      </c>
      <c r="L520" s="97" t="s">
        <v>3465</v>
      </c>
      <c r="M520" s="97" t="s">
        <v>3446</v>
      </c>
      <c r="N520" s="97" t="s">
        <v>1903</v>
      </c>
      <c r="O520" s="97" t="s">
        <v>1904</v>
      </c>
    </row>
    <row r="521" spans="1:15">
      <c r="A521" s="101" t="n">
        <v>520</v>
      </c>
      <c r="B521" s="97" t="n">
        <v>480</v>
      </c>
      <c r="C521" s="98" t="s">
        <v>3628</v>
      </c>
      <c r="D521" s="97" t="s">
        <v>3629</v>
      </c>
      <c r="E521" s="97" t="s">
        <v>3443</v>
      </c>
      <c r="F521" s="97" t="s">
        <v>1898</v>
      </c>
      <c r="G521" s="98" t="s">
        <v>3628</v>
      </c>
      <c r="H521" s="97" t="n">
        <v>0</v>
      </c>
      <c r="I521" s="97" t="s">
        <v>3444</v>
      </c>
      <c r="J521" s="97" t="n">
        <v>0</v>
      </c>
      <c r="K521" s="98" t="s">
        <v>3445</v>
      </c>
      <c r="L521" s="97" t="s">
        <v>3465</v>
      </c>
      <c r="M521" s="97" t="s">
        <v>3446</v>
      </c>
      <c r="N521" s="97" t="s">
        <v>1903</v>
      </c>
      <c r="O521" s="97" t="s">
        <v>1904</v>
      </c>
    </row>
    <row r="522" spans="1:15">
      <c r="A522" s="101" t="n">
        <v>521</v>
      </c>
      <c r="B522" s="97" t="n">
        <v>533</v>
      </c>
      <c r="C522" s="98" t="s">
        <v>3630</v>
      </c>
      <c r="D522" s="97" t="s">
        <v>3631</v>
      </c>
      <c r="E522" s="97" t="s">
        <v>3443</v>
      </c>
      <c r="F522" s="97" t="s">
        <v>1898</v>
      </c>
      <c r="G522" s="98" t="s">
        <v>3630</v>
      </c>
      <c r="H522" s="97" t="n">
        <v>0</v>
      </c>
      <c r="I522" s="97" t="s">
        <v>3444</v>
      </c>
      <c r="J522" s="97" t="n">
        <v>0</v>
      </c>
      <c r="K522" s="98" t="s">
        <v>3445</v>
      </c>
      <c r="L522" s="97" t="s">
        <v>3465</v>
      </c>
      <c r="M522" s="97" t="s">
        <v>3446</v>
      </c>
      <c r="N522" s="97" t="s">
        <v>1903</v>
      </c>
      <c r="O522" s="97" t="s">
        <v>1904</v>
      </c>
    </row>
    <row r="523" spans="1:15">
      <c r="A523" s="101" t="n">
        <v>522</v>
      </c>
      <c r="B523" s="97" t="n">
        <v>534</v>
      </c>
      <c r="C523" s="98" t="s">
        <v>3632</v>
      </c>
      <c r="D523" s="97" t="s">
        <v>3633</v>
      </c>
      <c r="E523" s="97" t="s">
        <v>3443</v>
      </c>
      <c r="F523" s="97" t="s">
        <v>1898</v>
      </c>
      <c r="G523" s="98" t="s">
        <v>3632</v>
      </c>
      <c r="H523" s="97" t="n">
        <v>0</v>
      </c>
      <c r="I523" s="97" t="s">
        <v>3444</v>
      </c>
      <c r="J523" s="97" t="n">
        <v>0</v>
      </c>
      <c r="K523" s="98" t="s">
        <v>3445</v>
      </c>
      <c r="L523" s="97" t="s">
        <v>3465</v>
      </c>
      <c r="M523" s="97" t="s">
        <v>3446</v>
      </c>
      <c r="N523" s="97" t="s">
        <v>1903</v>
      </c>
      <c r="O523" s="97" t="s">
        <v>1904</v>
      </c>
    </row>
    <row r="524" spans="1:15">
      <c r="A524" s="101" t="n">
        <v>523</v>
      </c>
      <c r="B524" s="97" t="n">
        <v>535</v>
      </c>
      <c r="C524" s="98" t="s">
        <v>3634</v>
      </c>
      <c r="D524" s="97" t="s">
        <v>3635</v>
      </c>
      <c r="E524" s="97" t="s">
        <v>3443</v>
      </c>
      <c r="F524" s="97" t="s">
        <v>1898</v>
      </c>
      <c r="G524" s="98" t="s">
        <v>3634</v>
      </c>
      <c r="H524" s="97" t="n">
        <v>0</v>
      </c>
      <c r="I524" s="97" t="s">
        <v>3444</v>
      </c>
      <c r="J524" s="97" t="n">
        <v>0</v>
      </c>
      <c r="K524" s="98" t="s">
        <v>3445</v>
      </c>
      <c r="L524" s="97" t="s">
        <v>157</v>
      </c>
      <c r="M524" s="97" t="s">
        <v>3446</v>
      </c>
      <c r="N524" s="97" t="s">
        <v>3451</v>
      </c>
      <c r="O524" s="97" t="s">
        <v>1904</v>
      </c>
    </row>
    <row r="525" spans="1:15">
      <c r="A525" s="101" t="n">
        <v>524</v>
      </c>
      <c r="B525" s="97" t="n">
        <v>524</v>
      </c>
      <c r="C525" s="98" t="s">
        <v>3636</v>
      </c>
      <c r="D525" s="97" t="s">
        <v>3637</v>
      </c>
      <c r="E525" s="97" t="s">
        <v>3443</v>
      </c>
      <c r="F525" s="97" t="s">
        <v>1898</v>
      </c>
      <c r="G525" s="98" t="s">
        <v>3636</v>
      </c>
      <c r="H525" s="97" t="n">
        <v>0</v>
      </c>
      <c r="I525" s="97" t="s">
        <v>3444</v>
      </c>
      <c r="J525" s="97" t="n">
        <v>0</v>
      </c>
      <c r="K525" s="98" t="s">
        <v>3445</v>
      </c>
      <c r="L525" s="97" t="s">
        <v>3465</v>
      </c>
      <c r="M525" s="97" t="s">
        <v>3446</v>
      </c>
      <c r="N525" s="97" t="s">
        <v>1903</v>
      </c>
      <c r="O525" s="97" t="s">
        <v>1904</v>
      </c>
    </row>
    <row r="526" spans="1:15">
      <c r="A526" s="101" t="n">
        <v>525</v>
      </c>
      <c r="B526" s="97" t="n">
        <v>501</v>
      </c>
      <c r="C526" s="98" t="s">
        <v>3638</v>
      </c>
      <c r="D526" s="97" t="s">
        <v>3639</v>
      </c>
      <c r="E526" s="97" t="s">
        <v>3443</v>
      </c>
      <c r="F526" s="97" t="s">
        <v>1898</v>
      </c>
      <c r="G526" s="98" t="s">
        <v>3638</v>
      </c>
      <c r="H526" s="97" t="n">
        <v>0</v>
      </c>
      <c r="I526" s="97" t="s">
        <v>3444</v>
      </c>
      <c r="J526" s="97" t="n">
        <v>0</v>
      </c>
      <c r="K526" s="98" t="s">
        <v>3445</v>
      </c>
      <c r="L526" s="97" t="s">
        <v>157</v>
      </c>
      <c r="M526" s="97" t="s">
        <v>3446</v>
      </c>
      <c r="N526" s="97" t="s">
        <v>3451</v>
      </c>
      <c r="O526" s="97" t="s">
        <v>1904</v>
      </c>
    </row>
    <row r="527" spans="1:15">
      <c r="A527" s="101" t="n">
        <v>526</v>
      </c>
      <c r="B527" s="97" t="n">
        <v>537</v>
      </c>
      <c r="C527" s="98" t="s">
        <v>3640</v>
      </c>
      <c r="D527" s="97" t="s">
        <v>3641</v>
      </c>
      <c r="E527" s="97" t="s">
        <v>3443</v>
      </c>
      <c r="F527" s="97" t="s">
        <v>1898</v>
      </c>
      <c r="G527" s="98" t="s">
        <v>3640</v>
      </c>
      <c r="H527" s="97" t="n">
        <v>0</v>
      </c>
      <c r="I527" s="97" t="s">
        <v>3444</v>
      </c>
      <c r="J527" s="97" t="n">
        <v>0</v>
      </c>
      <c r="K527" s="98" t="s">
        <v>3445</v>
      </c>
      <c r="L527" s="97" t="s">
        <v>3465</v>
      </c>
      <c r="M527" s="97" t="s">
        <v>3446</v>
      </c>
      <c r="N527" s="97" t="s">
        <v>1903</v>
      </c>
      <c r="O527" s="97" t="s">
        <v>1904</v>
      </c>
    </row>
    <row r="528" spans="1:15">
      <c r="A528" s="101" t="n">
        <v>527</v>
      </c>
      <c r="B528" s="97" t="n">
        <v>503</v>
      </c>
      <c r="C528" s="98" t="s">
        <v>3642</v>
      </c>
      <c r="D528" s="97" t="s">
        <v>3643</v>
      </c>
      <c r="E528" s="97" t="s">
        <v>3443</v>
      </c>
      <c r="F528" s="97" t="s">
        <v>1898</v>
      </c>
      <c r="G528" s="98" t="s">
        <v>3642</v>
      </c>
      <c r="H528" s="97" t="n">
        <v>0</v>
      </c>
      <c r="I528" s="97" t="s">
        <v>3444</v>
      </c>
      <c r="J528" s="97" t="n">
        <v>0</v>
      </c>
      <c r="K528" s="98" t="s">
        <v>3445</v>
      </c>
      <c r="L528" s="97" t="s">
        <v>157</v>
      </c>
      <c r="M528" s="97" t="s">
        <v>3446</v>
      </c>
      <c r="N528" s="97" t="s">
        <v>3451</v>
      </c>
      <c r="O528" s="97" t="s">
        <v>1904</v>
      </c>
    </row>
    <row r="529" spans="1:15">
      <c r="A529" s="101" t="n">
        <v>528</v>
      </c>
      <c r="B529" s="97" t="n">
        <v>528</v>
      </c>
      <c r="C529" s="98" t="s">
        <v>3644</v>
      </c>
      <c r="D529" s="97" t="s">
        <v>3645</v>
      </c>
      <c r="E529" s="97" t="s">
        <v>3443</v>
      </c>
      <c r="F529" s="97" t="s">
        <v>1898</v>
      </c>
      <c r="G529" s="98" t="s">
        <v>3644</v>
      </c>
      <c r="H529" s="97" t="n">
        <v>0</v>
      </c>
      <c r="I529" s="97" t="s">
        <v>3444</v>
      </c>
      <c r="J529" s="97" t="n">
        <v>0</v>
      </c>
      <c r="K529" s="98" t="s">
        <v>3445</v>
      </c>
      <c r="L529" s="97" t="s">
        <v>3465</v>
      </c>
      <c r="M529" s="97" t="s">
        <v>3446</v>
      </c>
      <c r="N529" s="97" t="s">
        <v>1903</v>
      </c>
      <c r="O529" s="97" t="s">
        <v>1904</v>
      </c>
    </row>
    <row r="530" spans="1:15">
      <c r="A530" s="101" t="n">
        <v>529</v>
      </c>
      <c r="B530" s="97" t="n">
        <v>447</v>
      </c>
      <c r="C530" s="98" t="s">
        <v>3646</v>
      </c>
      <c r="D530" s="97" t="s">
        <v>3647</v>
      </c>
      <c r="E530" s="97" t="s">
        <v>3443</v>
      </c>
      <c r="F530" s="97" t="s">
        <v>1898</v>
      </c>
      <c r="G530" s="98" t="s">
        <v>3646</v>
      </c>
      <c r="H530" s="97" t="n">
        <v>0</v>
      </c>
      <c r="I530" s="97" t="s">
        <v>3444</v>
      </c>
      <c r="J530" s="97" t="n">
        <v>0</v>
      </c>
      <c r="K530" s="98" t="s">
        <v>3445</v>
      </c>
      <c r="L530" s="97" t="s">
        <v>3465</v>
      </c>
      <c r="M530" s="97" t="s">
        <v>3446</v>
      </c>
      <c r="N530" s="97" t="s">
        <v>1903</v>
      </c>
      <c r="O530" s="97" t="s">
        <v>1904</v>
      </c>
    </row>
    <row r="531" spans="1:15">
      <c r="A531" s="101" t="n">
        <v>530</v>
      </c>
      <c r="B531" s="97" t="n">
        <v>549</v>
      </c>
      <c r="C531" s="98" t="s">
        <v>3648</v>
      </c>
      <c r="D531" s="97" t="s">
        <v>3649</v>
      </c>
      <c r="E531" s="97" t="s">
        <v>3443</v>
      </c>
      <c r="F531" s="97" t="s">
        <v>1898</v>
      </c>
      <c r="G531" s="98" t="s">
        <v>3648</v>
      </c>
      <c r="H531" s="97" t="n">
        <v>0</v>
      </c>
      <c r="I531" s="97" t="s">
        <v>3444</v>
      </c>
      <c r="J531" s="97" t="n">
        <v>0</v>
      </c>
      <c r="K531" s="98" t="s">
        <v>3445</v>
      </c>
      <c r="L531" s="97" t="s">
        <v>828</v>
      </c>
      <c r="M531" s="97" t="s">
        <v>3446</v>
      </c>
      <c r="N531" s="97" t="s">
        <v>3451</v>
      </c>
      <c r="O531" s="97" t="s">
        <v>1904</v>
      </c>
    </row>
    <row r="532" spans="1:15">
      <c r="A532" s="101" t="n">
        <v>531</v>
      </c>
      <c r="B532" s="97" t="n">
        <v>527</v>
      </c>
      <c r="C532" s="98" t="s">
        <v>3650</v>
      </c>
      <c r="D532" s="97" t="s">
        <v>3651</v>
      </c>
      <c r="E532" s="97" t="s">
        <v>3443</v>
      </c>
      <c r="F532" s="97" t="s">
        <v>1898</v>
      </c>
      <c r="G532" s="98" t="s">
        <v>3650</v>
      </c>
      <c r="H532" s="97" t="n">
        <v>0</v>
      </c>
      <c r="I532" s="97" t="s">
        <v>3444</v>
      </c>
      <c r="J532" s="97" t="n">
        <v>0</v>
      </c>
      <c r="K532" s="98" t="s">
        <v>3445</v>
      </c>
      <c r="L532" s="97" t="s">
        <v>3465</v>
      </c>
      <c r="M532" s="97" t="s">
        <v>3446</v>
      </c>
      <c r="N532" s="97" t="s">
        <v>1903</v>
      </c>
      <c r="O532" s="97" t="s">
        <v>1904</v>
      </c>
    </row>
    <row r="533" spans="1:15">
      <c r="A533" s="101" t="n">
        <v>532</v>
      </c>
      <c r="B533" s="97" t="n">
        <v>459</v>
      </c>
      <c r="C533" s="98" t="s">
        <v>3652</v>
      </c>
      <c r="D533" s="97" t="s">
        <v>3653</v>
      </c>
      <c r="E533" s="97" t="s">
        <v>3443</v>
      </c>
      <c r="F533" s="97" t="s">
        <v>1898</v>
      </c>
      <c r="G533" s="98" t="s">
        <v>3652</v>
      </c>
      <c r="H533" s="97" t="n">
        <v>0</v>
      </c>
      <c r="I533" s="97" t="s">
        <v>3444</v>
      </c>
      <c r="J533" s="97" t="n">
        <v>0</v>
      </c>
      <c r="K533" s="98" t="s">
        <v>3445</v>
      </c>
      <c r="L533" s="97" t="s">
        <v>3450</v>
      </c>
      <c r="M533" s="97" t="s">
        <v>3446</v>
      </c>
      <c r="N533" s="97" t="s">
        <v>3451</v>
      </c>
      <c r="O533" s="97" t="s">
        <v>1904</v>
      </c>
    </row>
    <row r="534" spans="1:15">
      <c r="A534" s="101" t="n">
        <v>533</v>
      </c>
      <c r="B534" s="97" t="n">
        <v>457</v>
      </c>
      <c r="C534" s="98" t="s">
        <v>3654</v>
      </c>
      <c r="D534" s="97" t="s">
        <v>3655</v>
      </c>
      <c r="E534" s="97" t="s">
        <v>3443</v>
      </c>
      <c r="F534" s="97" t="s">
        <v>1898</v>
      </c>
      <c r="G534" s="98" t="s">
        <v>3654</v>
      </c>
      <c r="H534" s="97" t="n">
        <v>0</v>
      </c>
      <c r="I534" s="97" t="s">
        <v>3444</v>
      </c>
      <c r="J534" s="97" t="n">
        <v>0</v>
      </c>
      <c r="K534" s="98" t="s">
        <v>3445</v>
      </c>
      <c r="L534" s="97" t="s">
        <v>3450</v>
      </c>
      <c r="M534" s="97" t="s">
        <v>3446</v>
      </c>
      <c r="N534" s="97" t="s">
        <v>3451</v>
      </c>
      <c r="O534" s="97" t="s">
        <v>1904</v>
      </c>
    </row>
    <row r="535" spans="1:15">
      <c r="A535" s="101" t="n">
        <v>534</v>
      </c>
      <c r="B535" s="97" t="n">
        <v>470</v>
      </c>
      <c r="C535" s="98" t="s">
        <v>3656</v>
      </c>
      <c r="D535" s="97" t="s">
        <v>3657</v>
      </c>
      <c r="E535" s="97" t="s">
        <v>3443</v>
      </c>
      <c r="F535" s="97" t="s">
        <v>1898</v>
      </c>
      <c r="G535" s="98" t="s">
        <v>3656</v>
      </c>
      <c r="H535" s="97" t="n">
        <v>0</v>
      </c>
      <c r="I535" s="97" t="s">
        <v>3444</v>
      </c>
      <c r="J535" s="97" t="n">
        <v>0</v>
      </c>
      <c r="K535" s="98" t="s">
        <v>3445</v>
      </c>
      <c r="L535" s="97" t="s">
        <v>823</v>
      </c>
      <c r="M535" s="97" t="s">
        <v>3446</v>
      </c>
      <c r="N535" s="97" t="s">
        <v>3451</v>
      </c>
      <c r="O535" s="97" t="s">
        <v>1904</v>
      </c>
    </row>
    <row r="536" spans="1:15">
      <c r="A536" s="101" t="n">
        <v>535</v>
      </c>
      <c r="B536" s="97" t="n">
        <v>489</v>
      </c>
      <c r="C536" s="98" t="s">
        <v>3658</v>
      </c>
      <c r="D536" s="97" t="s">
        <v>3659</v>
      </c>
      <c r="E536" s="97" t="s">
        <v>3443</v>
      </c>
      <c r="F536" s="97" t="s">
        <v>1898</v>
      </c>
      <c r="G536" s="98" t="s">
        <v>3658</v>
      </c>
      <c r="H536" s="97" t="n">
        <v>0</v>
      </c>
      <c r="I536" s="97" t="s">
        <v>3444</v>
      </c>
      <c r="J536" s="97" t="n">
        <v>0</v>
      </c>
      <c r="K536" s="98" t="s">
        <v>3445</v>
      </c>
      <c r="L536" s="97" t="s">
        <v>1902</v>
      </c>
      <c r="M536" s="97" t="s">
        <v>3446</v>
      </c>
      <c r="N536" s="97" t="s">
        <v>1903</v>
      </c>
      <c r="O536" s="97" t="s">
        <v>1904</v>
      </c>
    </row>
    <row r="537" spans="1:15">
      <c r="A537" s="101" t="n">
        <v>536</v>
      </c>
      <c r="B537" s="97" t="n">
        <v>484</v>
      </c>
      <c r="C537" s="98" t="s">
        <v>3660</v>
      </c>
      <c r="D537" s="97" t="s">
        <v>3661</v>
      </c>
      <c r="E537" s="97" t="s">
        <v>3443</v>
      </c>
      <c r="F537" s="97" t="s">
        <v>1898</v>
      </c>
      <c r="G537" s="98" t="s">
        <v>3660</v>
      </c>
      <c r="H537" s="97" t="n">
        <v>0</v>
      </c>
      <c r="I537" s="97" t="s">
        <v>3444</v>
      </c>
      <c r="J537" s="97" t="n">
        <v>0</v>
      </c>
      <c r="K537" s="98" t="s">
        <v>3445</v>
      </c>
      <c r="L537" s="97" t="s">
        <v>3450</v>
      </c>
      <c r="M537" s="97" t="s">
        <v>3446</v>
      </c>
      <c r="N537" s="97" t="s">
        <v>3451</v>
      </c>
      <c r="O537" s="97" t="s">
        <v>1904</v>
      </c>
    </row>
    <row r="538" spans="1:15">
      <c r="A538" s="101" t="n">
        <v>537</v>
      </c>
      <c r="B538" s="97" t="n">
        <v>504</v>
      </c>
      <c r="C538" s="98" t="s">
        <v>3662</v>
      </c>
      <c r="D538" s="97" t="s">
        <v>3663</v>
      </c>
      <c r="E538" s="97" t="s">
        <v>3443</v>
      </c>
      <c r="F538" s="97" t="s">
        <v>1898</v>
      </c>
      <c r="G538" s="98" t="s">
        <v>3662</v>
      </c>
      <c r="H538" s="97" t="n">
        <v>0</v>
      </c>
      <c r="I538" s="97" t="s">
        <v>3444</v>
      </c>
      <c r="J538" s="97" t="n">
        <v>0</v>
      </c>
      <c r="K538" s="98" t="s">
        <v>3445</v>
      </c>
      <c r="L538" s="97" t="s">
        <v>823</v>
      </c>
      <c r="M538" s="97" t="s">
        <v>3446</v>
      </c>
      <c r="N538" s="97" t="s">
        <v>3451</v>
      </c>
      <c r="O538" s="97" t="s">
        <v>1904</v>
      </c>
    </row>
    <row r="539" spans="1:15">
      <c r="A539" s="101" t="n">
        <v>538</v>
      </c>
      <c r="B539" s="97" t="n">
        <v>490</v>
      </c>
      <c r="C539" s="98" t="s">
        <v>3664</v>
      </c>
      <c r="D539" s="97" t="s">
        <v>3665</v>
      </c>
      <c r="E539" s="97" t="s">
        <v>3443</v>
      </c>
      <c r="F539" s="97" t="s">
        <v>1898</v>
      </c>
      <c r="G539" s="98" t="s">
        <v>3664</v>
      </c>
      <c r="H539" s="97" t="n">
        <v>0</v>
      </c>
      <c r="I539" s="97" t="s">
        <v>3444</v>
      </c>
      <c r="J539" s="97" t="n">
        <v>0</v>
      </c>
      <c r="K539" s="98" t="s">
        <v>3445</v>
      </c>
      <c r="L539" s="97" t="s">
        <v>157</v>
      </c>
      <c r="M539" s="97" t="s">
        <v>3446</v>
      </c>
      <c r="N539" s="97" t="s">
        <v>3451</v>
      </c>
      <c r="O539" s="97" t="s">
        <v>1904</v>
      </c>
    </row>
    <row r="540" spans="1:15">
      <c r="A540" s="101" t="n">
        <v>539</v>
      </c>
      <c r="B540" s="97" t="n">
        <v>482</v>
      </c>
      <c r="C540" s="98" t="s">
        <v>3666</v>
      </c>
      <c r="D540" s="97" t="s">
        <v>3667</v>
      </c>
      <c r="E540" s="97" t="s">
        <v>3443</v>
      </c>
      <c r="F540" s="97" t="s">
        <v>1898</v>
      </c>
      <c r="G540" s="98" t="s">
        <v>3666</v>
      </c>
      <c r="H540" s="97" t="n">
        <v>0</v>
      </c>
      <c r="I540" s="97" t="s">
        <v>3444</v>
      </c>
      <c r="J540" s="97" t="n">
        <v>0</v>
      </c>
      <c r="K540" s="98" t="s">
        <v>3445</v>
      </c>
      <c r="L540" s="97" t="s">
        <v>3465</v>
      </c>
      <c r="M540" s="97" t="s">
        <v>3446</v>
      </c>
      <c r="N540" s="97" t="s">
        <v>1903</v>
      </c>
      <c r="O540" s="97" t="s">
        <v>1904</v>
      </c>
    </row>
    <row r="541" spans="1:15">
      <c r="A541" s="101" t="n">
        <v>540</v>
      </c>
      <c r="B541" s="97" t="n">
        <v>493</v>
      </c>
      <c r="C541" s="98" t="s">
        <v>3668</v>
      </c>
      <c r="D541" s="97" t="s">
        <v>3669</v>
      </c>
      <c r="E541" s="97" t="s">
        <v>3443</v>
      </c>
      <c r="F541" s="97" t="s">
        <v>1898</v>
      </c>
      <c r="G541" s="98" t="s">
        <v>3668</v>
      </c>
      <c r="H541" s="97" t="n">
        <v>0</v>
      </c>
      <c r="I541" s="97" t="s">
        <v>3444</v>
      </c>
      <c r="J541" s="97" t="n">
        <v>0</v>
      </c>
      <c r="K541" s="98" t="s">
        <v>3445</v>
      </c>
      <c r="L541" s="97" t="s">
        <v>3518</v>
      </c>
      <c r="M541" s="97" t="s">
        <v>3446</v>
      </c>
      <c r="N541" s="97" t="s">
        <v>1903</v>
      </c>
      <c r="O541" s="97" t="s">
        <v>1904</v>
      </c>
    </row>
    <row r="542" spans="1:15">
      <c r="A542" s="101" t="n">
        <v>541</v>
      </c>
      <c r="B542" s="97" t="n">
        <v>466</v>
      </c>
      <c r="C542" s="98" t="s">
        <v>3670</v>
      </c>
      <c r="D542" s="97" t="s">
        <v>3671</v>
      </c>
      <c r="E542" s="97" t="s">
        <v>3443</v>
      </c>
      <c r="F542" s="97" t="s">
        <v>1898</v>
      </c>
      <c r="G542" s="98" t="s">
        <v>3670</v>
      </c>
      <c r="H542" s="97" t="n">
        <v>0</v>
      </c>
      <c r="I542" s="97" t="s">
        <v>3444</v>
      </c>
      <c r="J542" s="97" t="n">
        <v>0</v>
      </c>
      <c r="K542" s="98" t="s">
        <v>3445</v>
      </c>
      <c r="L542" s="97" t="s">
        <v>1902</v>
      </c>
      <c r="M542" s="97" t="s">
        <v>3446</v>
      </c>
      <c r="N542" s="97" t="s">
        <v>1903</v>
      </c>
      <c r="O542" s="97" t="s">
        <v>1904</v>
      </c>
    </row>
    <row r="543" spans="1:15">
      <c r="A543" s="101" t="n">
        <v>542</v>
      </c>
      <c r="B543" s="97" t="n">
        <v>446</v>
      </c>
      <c r="C543" s="98" t="s">
        <v>3672</v>
      </c>
      <c r="D543" s="97" t="s">
        <v>3673</v>
      </c>
      <c r="E543" s="97" t="s">
        <v>3443</v>
      </c>
      <c r="F543" s="97" t="s">
        <v>1898</v>
      </c>
      <c r="G543" s="98" t="s">
        <v>3672</v>
      </c>
      <c r="H543" s="97" t="n">
        <v>0</v>
      </c>
      <c r="I543" s="97" t="s">
        <v>3444</v>
      </c>
      <c r="J543" s="97" t="n">
        <v>0</v>
      </c>
      <c r="K543" s="98" t="s">
        <v>3445</v>
      </c>
      <c r="L543" s="97" t="s">
        <v>3465</v>
      </c>
      <c r="M543" s="97" t="s">
        <v>3446</v>
      </c>
      <c r="N543" s="97" t="s">
        <v>1903</v>
      </c>
      <c r="O543" s="97" t="s">
        <v>1904</v>
      </c>
    </row>
    <row r="544" spans="1:15">
      <c r="A544" s="101" t="n">
        <v>543</v>
      </c>
      <c r="B544" s="97" t="n">
        <v>476</v>
      </c>
      <c r="C544" s="98" t="s">
        <v>3674</v>
      </c>
      <c r="D544" s="97" t="s">
        <v>3675</v>
      </c>
      <c r="E544" s="97" t="s">
        <v>3443</v>
      </c>
      <c r="F544" s="97" t="s">
        <v>1898</v>
      </c>
      <c r="G544" s="98" t="s">
        <v>3674</v>
      </c>
      <c r="H544" s="97" t="n">
        <v>0</v>
      </c>
      <c r="I544" s="97" t="s">
        <v>3444</v>
      </c>
      <c r="J544" s="97" t="n">
        <v>0</v>
      </c>
      <c r="K544" s="98" t="s">
        <v>3445</v>
      </c>
      <c r="L544" s="97" t="s">
        <v>157</v>
      </c>
      <c r="M544" s="97" t="s">
        <v>3446</v>
      </c>
      <c r="N544" s="97" t="s">
        <v>3451</v>
      </c>
      <c r="O544" s="97" t="s">
        <v>1904</v>
      </c>
    </row>
    <row r="545" spans="1:15">
      <c r="A545" s="101" t="n">
        <v>544</v>
      </c>
      <c r="B545" s="97" t="n">
        <v>473</v>
      </c>
      <c r="C545" s="98" t="s">
        <v>3676</v>
      </c>
      <c r="D545" s="97" t="s">
        <v>3677</v>
      </c>
      <c r="E545" s="97" t="s">
        <v>3443</v>
      </c>
      <c r="F545" s="97" t="s">
        <v>1898</v>
      </c>
      <c r="G545" s="98" t="s">
        <v>3676</v>
      </c>
      <c r="H545" s="97" t="n">
        <v>0</v>
      </c>
      <c r="I545" s="97" t="s">
        <v>3444</v>
      </c>
      <c r="J545" s="97" t="n">
        <v>0</v>
      </c>
      <c r="K545" s="98" t="s">
        <v>3445</v>
      </c>
      <c r="L545" s="97" t="s">
        <v>3450</v>
      </c>
      <c r="M545" s="97" t="s">
        <v>3446</v>
      </c>
      <c r="N545" s="97" t="s">
        <v>3451</v>
      </c>
      <c r="O545" s="97" t="s">
        <v>1904</v>
      </c>
    </row>
    <row r="546" spans="1:15">
      <c r="A546" s="101" t="n">
        <v>545</v>
      </c>
      <c r="B546" s="97" t="n">
        <v>606</v>
      </c>
      <c r="C546" s="98" t="s">
        <v>3678</v>
      </c>
      <c r="D546" s="97" t="s">
        <v>3679</v>
      </c>
      <c r="E546" s="97" t="s">
        <v>3443</v>
      </c>
      <c r="F546" s="97" t="s">
        <v>1898</v>
      </c>
      <c r="G546" s="98" t="s">
        <v>3678</v>
      </c>
      <c r="H546" s="97" t="n">
        <v>0</v>
      </c>
      <c r="I546" s="97" t="s">
        <v>1394</v>
      </c>
      <c r="J546" s="97" t="n">
        <v>0</v>
      </c>
      <c r="K546" s="98" t="s">
        <v>3445</v>
      </c>
      <c r="L546" s="97" t="s">
        <v>3450</v>
      </c>
      <c r="M546" s="97" t="s">
        <v>1394</v>
      </c>
      <c r="N546" s="97" t="s">
        <v>3451</v>
      </c>
      <c r="O546" s="97" t="s">
        <v>1904</v>
      </c>
    </row>
    <row r="547" spans="1:15">
      <c r="A547" s="101" t="n">
        <v>546</v>
      </c>
      <c r="B547" s="97" t="n">
        <v>655</v>
      </c>
      <c r="C547" s="98" t="s">
        <v>3680</v>
      </c>
      <c r="D547" s="97" t="s">
        <v>3681</v>
      </c>
      <c r="E547" s="97" t="s">
        <v>3443</v>
      </c>
      <c r="F547" s="97" t="s">
        <v>1898</v>
      </c>
      <c r="G547" s="98" t="s">
        <v>3680</v>
      </c>
      <c r="H547" s="97" t="n">
        <v>0</v>
      </c>
      <c r="I547" s="97" t="s">
        <v>1394</v>
      </c>
      <c r="J547" s="97" t="n">
        <v>0</v>
      </c>
      <c r="K547" s="98" t="s">
        <v>3445</v>
      </c>
      <c r="L547" s="97" t="s">
        <v>157</v>
      </c>
      <c r="M547" s="97" t="s">
        <v>1394</v>
      </c>
      <c r="N547" s="97" t="s">
        <v>3451</v>
      </c>
      <c r="O547" s="97" t="s">
        <v>1904</v>
      </c>
    </row>
    <row r="548" spans="1:15">
      <c r="A548" s="101" t="n">
        <v>547</v>
      </c>
      <c r="B548" s="97" t="n">
        <v>577</v>
      </c>
      <c r="C548" s="98" t="s">
        <v>3682</v>
      </c>
      <c r="D548" s="97" t="s">
        <v>3683</v>
      </c>
      <c r="E548" s="97" t="s">
        <v>3443</v>
      </c>
      <c r="F548" s="97" t="s">
        <v>1898</v>
      </c>
      <c r="G548" s="98" t="s">
        <v>3682</v>
      </c>
      <c r="H548" s="97" t="n">
        <v>0</v>
      </c>
      <c r="I548" s="97" t="s">
        <v>1394</v>
      </c>
      <c r="J548" s="97" t="n">
        <v>0</v>
      </c>
      <c r="K548" s="98" t="s">
        <v>3445</v>
      </c>
      <c r="L548" s="97" t="s">
        <v>157</v>
      </c>
      <c r="M548" s="97" t="s">
        <v>1394</v>
      </c>
      <c r="N548" s="97" t="s">
        <v>3451</v>
      </c>
      <c r="O548" s="97" t="s">
        <v>1904</v>
      </c>
    </row>
    <row r="549" spans="1:15">
      <c r="A549" s="101" t="n">
        <v>548</v>
      </c>
      <c r="B549" s="97" t="n">
        <v>650</v>
      </c>
      <c r="C549" s="98" t="s">
        <v>3684</v>
      </c>
      <c r="D549" s="97" t="s">
        <v>3685</v>
      </c>
      <c r="E549" s="97" t="s">
        <v>3443</v>
      </c>
      <c r="F549" s="97" t="s">
        <v>1898</v>
      </c>
      <c r="G549" s="98" t="s">
        <v>3684</v>
      </c>
      <c r="H549" s="97" t="n">
        <v>0</v>
      </c>
      <c r="I549" s="97" t="s">
        <v>1394</v>
      </c>
      <c r="J549" s="97" t="n">
        <v>0</v>
      </c>
      <c r="K549" s="98" t="s">
        <v>3445</v>
      </c>
      <c r="L549" s="97" t="s">
        <v>157</v>
      </c>
      <c r="M549" s="97" t="s">
        <v>1394</v>
      </c>
      <c r="N549" s="97" t="s">
        <v>3451</v>
      </c>
      <c r="O549" s="97" t="s">
        <v>1904</v>
      </c>
    </row>
    <row r="550" spans="1:15">
      <c r="A550" s="101" t="n">
        <v>549</v>
      </c>
      <c r="B550" s="97" t="n">
        <v>736</v>
      </c>
      <c r="C550" s="98" t="s">
        <v>3686</v>
      </c>
      <c r="D550" s="97" t="s">
        <v>3687</v>
      </c>
      <c r="E550" s="97" t="s">
        <v>3443</v>
      </c>
      <c r="F550" s="97" t="s">
        <v>1898</v>
      </c>
      <c r="G550" s="98" t="s">
        <v>3686</v>
      </c>
      <c r="H550" s="97" t="n">
        <v>0</v>
      </c>
      <c r="I550" s="97" t="s">
        <v>1394</v>
      </c>
      <c r="J550" s="97" t="n">
        <v>0</v>
      </c>
      <c r="K550" s="98" t="s">
        <v>3445</v>
      </c>
      <c r="L550" s="97" t="s">
        <v>3465</v>
      </c>
      <c r="M550" s="97" t="s">
        <v>1394</v>
      </c>
      <c r="N550" s="97" t="s">
        <v>1903</v>
      </c>
      <c r="O550" s="97" t="s">
        <v>1904</v>
      </c>
    </row>
    <row r="551" spans="1:15">
      <c r="A551" s="101" t="n">
        <v>550</v>
      </c>
      <c r="B551" s="97" t="n">
        <v>612</v>
      </c>
      <c r="C551" s="98" t="s">
        <v>3688</v>
      </c>
      <c r="D551" s="97" t="s">
        <v>3689</v>
      </c>
      <c r="E551" s="97" t="s">
        <v>3443</v>
      </c>
      <c r="F551" s="97" t="s">
        <v>1898</v>
      </c>
      <c r="G551" s="98" t="s">
        <v>3688</v>
      </c>
      <c r="H551" s="97" t="n">
        <v>0</v>
      </c>
      <c r="I551" s="97" t="s">
        <v>1394</v>
      </c>
      <c r="J551" s="97" t="n">
        <v>0</v>
      </c>
      <c r="K551" s="98" t="s">
        <v>3445</v>
      </c>
      <c r="L551" s="97" t="s">
        <v>157</v>
      </c>
      <c r="M551" s="97" t="s">
        <v>1394</v>
      </c>
      <c r="N551" s="97" t="s">
        <v>3451</v>
      </c>
      <c r="O551" s="97" t="s">
        <v>1904</v>
      </c>
    </row>
    <row r="552" spans="1:15">
      <c r="A552" s="101" t="n">
        <v>551</v>
      </c>
      <c r="B552" s="97" t="n">
        <v>635</v>
      </c>
      <c r="C552" s="98" t="s">
        <v>3690</v>
      </c>
      <c r="D552" s="97" t="s">
        <v>3691</v>
      </c>
      <c r="E552" s="97" t="s">
        <v>3443</v>
      </c>
      <c r="F552" s="97" t="s">
        <v>1898</v>
      </c>
      <c r="G552" s="98" t="s">
        <v>3690</v>
      </c>
      <c r="H552" s="97" t="n">
        <v>0</v>
      </c>
      <c r="I552" s="97" t="s">
        <v>1394</v>
      </c>
      <c r="J552" s="97" t="n">
        <v>0</v>
      </c>
      <c r="K552" s="98" t="s">
        <v>3445</v>
      </c>
      <c r="L552" s="97" t="s">
        <v>3465</v>
      </c>
      <c r="M552" s="97" t="s">
        <v>1394</v>
      </c>
      <c r="N552" s="97" t="s">
        <v>1903</v>
      </c>
      <c r="O552" s="97" t="s">
        <v>1904</v>
      </c>
    </row>
    <row r="553" spans="1:15">
      <c r="A553" s="101" t="n">
        <v>552</v>
      </c>
      <c r="B553" s="97" t="n">
        <v>670</v>
      </c>
      <c r="C553" s="98" t="s">
        <v>3692</v>
      </c>
      <c r="D553" s="97" t="s">
        <v>3693</v>
      </c>
      <c r="E553" s="97" t="s">
        <v>3443</v>
      </c>
      <c r="F553" s="97" t="s">
        <v>1898</v>
      </c>
      <c r="G553" s="98" t="s">
        <v>3692</v>
      </c>
      <c r="H553" s="97" t="n">
        <v>0</v>
      </c>
      <c r="I553" s="97" t="s">
        <v>1394</v>
      </c>
      <c r="J553" s="97" t="n">
        <v>0</v>
      </c>
      <c r="K553" s="98" t="s">
        <v>3445</v>
      </c>
      <c r="L553" s="97" t="s">
        <v>3465</v>
      </c>
      <c r="M553" s="97" t="s">
        <v>1394</v>
      </c>
      <c r="N553" s="97" t="s">
        <v>1903</v>
      </c>
      <c r="O553" s="97" t="s">
        <v>1904</v>
      </c>
    </row>
    <row r="554" spans="1:15">
      <c r="A554" s="101" t="n">
        <v>553</v>
      </c>
      <c r="B554" s="97" t="n">
        <v>667</v>
      </c>
      <c r="C554" s="98" t="s">
        <v>3694</v>
      </c>
      <c r="D554" s="97" t="s">
        <v>3695</v>
      </c>
      <c r="E554" s="97" t="s">
        <v>3443</v>
      </c>
      <c r="F554" s="97" t="s">
        <v>1898</v>
      </c>
      <c r="G554" s="98" t="s">
        <v>3694</v>
      </c>
      <c r="H554" s="97" t="n">
        <v>0</v>
      </c>
      <c r="I554" s="97" t="s">
        <v>1394</v>
      </c>
      <c r="J554" s="97" t="n">
        <v>0</v>
      </c>
      <c r="K554" s="98" t="s">
        <v>3445</v>
      </c>
      <c r="L554" s="97" t="s">
        <v>3450</v>
      </c>
      <c r="M554" s="97" t="s">
        <v>1394</v>
      </c>
      <c r="N554" s="97" t="s">
        <v>3451</v>
      </c>
      <c r="O554" s="97" t="s">
        <v>1904</v>
      </c>
    </row>
    <row r="555" spans="1:15">
      <c r="A555" s="101" t="n">
        <v>554</v>
      </c>
      <c r="B555" s="97" t="n">
        <v>636</v>
      </c>
      <c r="C555" s="98" t="s">
        <v>3696</v>
      </c>
      <c r="D555" s="97" t="s">
        <v>3697</v>
      </c>
      <c r="E555" s="97" t="s">
        <v>3443</v>
      </c>
      <c r="F555" s="97" t="s">
        <v>1898</v>
      </c>
      <c r="G555" s="98" t="s">
        <v>3696</v>
      </c>
      <c r="H555" s="97" t="n">
        <v>0</v>
      </c>
      <c r="I555" s="97" t="s">
        <v>1394</v>
      </c>
      <c r="J555" s="97" t="n">
        <v>0</v>
      </c>
      <c r="K555" s="98" t="s">
        <v>3445</v>
      </c>
      <c r="L555" s="97" t="s">
        <v>157</v>
      </c>
      <c r="M555" s="97" t="s">
        <v>1394</v>
      </c>
      <c r="N555" s="97" t="s">
        <v>3451</v>
      </c>
      <c r="O555" s="97" t="s">
        <v>1904</v>
      </c>
    </row>
    <row r="556" spans="1:15">
      <c r="A556" s="101" t="n">
        <v>555</v>
      </c>
      <c r="B556" s="97" t="n">
        <v>711</v>
      </c>
      <c r="C556" s="98" t="s">
        <v>3698</v>
      </c>
      <c r="D556" s="97" t="s">
        <v>3699</v>
      </c>
      <c r="E556" s="97" t="s">
        <v>3443</v>
      </c>
      <c r="F556" s="97" t="s">
        <v>1898</v>
      </c>
      <c r="G556" s="98" t="s">
        <v>3698</v>
      </c>
      <c r="H556" s="97" t="n">
        <v>0</v>
      </c>
      <c r="I556" s="97" t="s">
        <v>1394</v>
      </c>
      <c r="J556" s="97" t="n">
        <v>0</v>
      </c>
      <c r="K556" s="98" t="s">
        <v>3445</v>
      </c>
      <c r="L556" s="97" t="s">
        <v>3465</v>
      </c>
      <c r="M556" s="97" t="s">
        <v>1394</v>
      </c>
      <c r="N556" s="97" t="s">
        <v>1903</v>
      </c>
      <c r="O556" s="97" t="s">
        <v>1904</v>
      </c>
    </row>
    <row r="557" spans="1:15">
      <c r="A557" s="101" t="n">
        <v>556</v>
      </c>
      <c r="B557" s="97" t="n">
        <v>675</v>
      </c>
      <c r="C557" s="98" t="s">
        <v>3700</v>
      </c>
      <c r="D557" s="97" t="s">
        <v>3701</v>
      </c>
      <c r="E557" s="97" t="s">
        <v>3443</v>
      </c>
      <c r="F557" s="97" t="s">
        <v>1898</v>
      </c>
      <c r="G557" s="98" t="s">
        <v>3700</v>
      </c>
      <c r="H557" s="97" t="n">
        <v>0</v>
      </c>
      <c r="I557" s="97" t="s">
        <v>1394</v>
      </c>
      <c r="J557" s="97" t="n">
        <v>0</v>
      </c>
      <c r="K557" s="98" t="s">
        <v>3445</v>
      </c>
      <c r="L557" s="97" t="s">
        <v>3465</v>
      </c>
      <c r="M557" s="97" t="s">
        <v>1394</v>
      </c>
      <c r="N557" s="97" t="s">
        <v>1903</v>
      </c>
      <c r="O557" s="97" t="s">
        <v>1904</v>
      </c>
    </row>
    <row r="558" spans="1:15">
      <c r="A558" s="101" t="n">
        <v>557</v>
      </c>
      <c r="B558" s="97" t="n">
        <v>558</v>
      </c>
      <c r="C558" s="98" t="s">
        <v>3702</v>
      </c>
      <c r="D558" s="97" t="s">
        <v>3703</v>
      </c>
      <c r="E558" s="97" t="s">
        <v>3443</v>
      </c>
      <c r="F558" s="97" t="s">
        <v>1898</v>
      </c>
      <c r="G558" s="98" t="s">
        <v>3702</v>
      </c>
      <c r="H558" s="97" t="n">
        <v>0</v>
      </c>
      <c r="I558" s="97" t="s">
        <v>1394</v>
      </c>
      <c r="J558" s="97" t="n">
        <v>0</v>
      </c>
      <c r="K558" s="98" t="s">
        <v>3445</v>
      </c>
      <c r="L558" s="97" t="s">
        <v>3465</v>
      </c>
      <c r="M558" s="97" t="s">
        <v>1394</v>
      </c>
      <c r="N558" s="97" t="s">
        <v>1903</v>
      </c>
      <c r="O558" s="97" t="s">
        <v>1904</v>
      </c>
    </row>
    <row r="559" spans="1:15">
      <c r="A559" s="101" t="n">
        <v>558</v>
      </c>
      <c r="B559" s="97" t="n">
        <v>632</v>
      </c>
      <c r="C559" s="98" t="s">
        <v>3704</v>
      </c>
      <c r="D559" s="97" t="s">
        <v>3705</v>
      </c>
      <c r="E559" s="97" t="s">
        <v>3443</v>
      </c>
      <c r="F559" s="97" t="s">
        <v>1898</v>
      </c>
      <c r="G559" s="98" t="s">
        <v>3704</v>
      </c>
      <c r="H559" s="97" t="n">
        <v>0</v>
      </c>
      <c r="I559" s="97" t="s">
        <v>1394</v>
      </c>
      <c r="J559" s="97" t="n">
        <v>0</v>
      </c>
      <c r="K559" s="98" t="s">
        <v>3445</v>
      </c>
      <c r="L559" s="97" t="s">
        <v>3465</v>
      </c>
      <c r="M559" s="97" t="s">
        <v>1394</v>
      </c>
      <c r="N559" s="97" t="s">
        <v>1903</v>
      </c>
      <c r="O559" s="97" t="s">
        <v>1904</v>
      </c>
    </row>
    <row r="560" spans="1:15">
      <c r="A560" s="101" t="n">
        <v>559</v>
      </c>
      <c r="B560" s="97" t="n">
        <v>605</v>
      </c>
      <c r="C560" s="98" t="s">
        <v>3706</v>
      </c>
      <c r="D560" s="97" t="s">
        <v>3707</v>
      </c>
      <c r="E560" s="97" t="s">
        <v>3443</v>
      </c>
      <c r="F560" s="97" t="s">
        <v>1898</v>
      </c>
      <c r="G560" s="98" t="s">
        <v>3706</v>
      </c>
      <c r="H560" s="97" t="n">
        <v>0</v>
      </c>
      <c r="I560" s="97" t="s">
        <v>1394</v>
      </c>
      <c r="J560" s="97" t="n">
        <v>0</v>
      </c>
      <c r="K560" s="98" t="s">
        <v>3445</v>
      </c>
      <c r="L560" s="97" t="s">
        <v>3456</v>
      </c>
      <c r="M560" s="97" t="s">
        <v>1394</v>
      </c>
      <c r="N560" s="97" t="s">
        <v>1903</v>
      </c>
      <c r="O560" s="97" t="s">
        <v>1904</v>
      </c>
    </row>
    <row r="561" spans="1:15">
      <c r="A561" s="101" t="n">
        <v>560</v>
      </c>
      <c r="B561" s="97" t="n">
        <v>594</v>
      </c>
      <c r="C561" s="98" t="s">
        <v>3708</v>
      </c>
      <c r="D561" s="97" t="s">
        <v>3709</v>
      </c>
      <c r="E561" s="97" t="s">
        <v>3443</v>
      </c>
      <c r="F561" s="97" t="s">
        <v>1898</v>
      </c>
      <c r="G561" s="98" t="s">
        <v>3708</v>
      </c>
      <c r="H561" s="97" t="n">
        <v>0</v>
      </c>
      <c r="I561" s="97" t="s">
        <v>1394</v>
      </c>
      <c r="J561" s="97" t="n">
        <v>0</v>
      </c>
      <c r="K561" s="98" t="s">
        <v>3445</v>
      </c>
      <c r="L561" s="97" t="s">
        <v>1902</v>
      </c>
      <c r="M561" s="97" t="s">
        <v>1394</v>
      </c>
      <c r="N561" s="97" t="s">
        <v>1903</v>
      </c>
      <c r="O561" s="97" t="s">
        <v>1904</v>
      </c>
    </row>
    <row r="562" spans="1:15">
      <c r="A562" s="101" t="n">
        <v>561</v>
      </c>
      <c r="B562" s="97" t="n">
        <v>645</v>
      </c>
      <c r="C562" s="98" t="s">
        <v>3710</v>
      </c>
      <c r="D562" s="97" t="s">
        <v>3711</v>
      </c>
      <c r="E562" s="97" t="s">
        <v>3443</v>
      </c>
      <c r="F562" s="97" t="s">
        <v>1898</v>
      </c>
      <c r="G562" s="98" t="s">
        <v>3710</v>
      </c>
      <c r="H562" s="97" t="n">
        <v>0</v>
      </c>
      <c r="I562" s="97" t="s">
        <v>1394</v>
      </c>
      <c r="J562" s="97" t="n">
        <v>0</v>
      </c>
      <c r="K562" s="98" t="s">
        <v>3445</v>
      </c>
      <c r="L562" s="97" t="s">
        <v>157</v>
      </c>
      <c r="M562" s="97" t="s">
        <v>1394</v>
      </c>
      <c r="N562" s="97" t="s">
        <v>3451</v>
      </c>
      <c r="O562" s="97" t="s">
        <v>1904</v>
      </c>
    </row>
    <row r="563" spans="1:15">
      <c r="A563" s="101" t="n">
        <v>562</v>
      </c>
      <c r="B563" s="97" t="n">
        <v>684</v>
      </c>
      <c r="C563" s="98" t="s">
        <v>3712</v>
      </c>
      <c r="D563" s="97" t="s">
        <v>3713</v>
      </c>
      <c r="E563" s="97" t="s">
        <v>3443</v>
      </c>
      <c r="F563" s="97" t="s">
        <v>1898</v>
      </c>
      <c r="G563" s="98" t="s">
        <v>3712</v>
      </c>
      <c r="H563" s="97" t="n">
        <v>0</v>
      </c>
      <c r="I563" s="97" t="s">
        <v>1394</v>
      </c>
      <c r="J563" s="97" t="n">
        <v>0</v>
      </c>
      <c r="K563" s="98" t="s">
        <v>3445</v>
      </c>
      <c r="L563" s="97" t="s">
        <v>3465</v>
      </c>
      <c r="M563" s="97" t="s">
        <v>1394</v>
      </c>
      <c r="N563" s="97" t="s">
        <v>1903</v>
      </c>
      <c r="O563" s="97" t="s">
        <v>1904</v>
      </c>
    </row>
    <row r="564" spans="1:15">
      <c r="A564" s="101" t="n">
        <v>563</v>
      </c>
      <c r="B564" s="97" t="n">
        <v>698</v>
      </c>
      <c r="C564" s="98" t="s">
        <v>3714</v>
      </c>
      <c r="D564" s="97" t="s">
        <v>3715</v>
      </c>
      <c r="E564" s="97" t="s">
        <v>3443</v>
      </c>
      <c r="F564" s="97" t="s">
        <v>1898</v>
      </c>
      <c r="G564" s="98" t="s">
        <v>3714</v>
      </c>
      <c r="H564" s="97" t="n">
        <v>0</v>
      </c>
      <c r="I564" s="97" t="s">
        <v>1394</v>
      </c>
      <c r="J564" s="97" t="n">
        <v>0</v>
      </c>
      <c r="K564" s="98" t="s">
        <v>3445</v>
      </c>
      <c r="L564" s="97" t="s">
        <v>1902</v>
      </c>
      <c r="M564" s="97" t="s">
        <v>1394</v>
      </c>
      <c r="N564" s="97" t="s">
        <v>1903</v>
      </c>
      <c r="O564" s="97" t="s">
        <v>1904</v>
      </c>
    </row>
    <row r="565" spans="1:15">
      <c r="A565" s="101" t="n">
        <v>564</v>
      </c>
      <c r="B565" s="97" t="n">
        <v>566</v>
      </c>
      <c r="C565" s="98" t="s">
        <v>3716</v>
      </c>
      <c r="D565" s="97" t="s">
        <v>3717</v>
      </c>
      <c r="E565" s="97" t="s">
        <v>3443</v>
      </c>
      <c r="F565" s="97" t="s">
        <v>1898</v>
      </c>
      <c r="G565" s="98" t="s">
        <v>3716</v>
      </c>
      <c r="H565" s="97" t="n">
        <v>0</v>
      </c>
      <c r="I565" s="97" t="s">
        <v>1394</v>
      </c>
      <c r="J565" s="97" t="n">
        <v>0</v>
      </c>
      <c r="K565" s="98" t="s">
        <v>3445</v>
      </c>
      <c r="L565" s="97" t="s">
        <v>157</v>
      </c>
      <c r="M565" s="97" t="s">
        <v>1394</v>
      </c>
      <c r="N565" s="97" t="s">
        <v>3451</v>
      </c>
      <c r="O565" s="97" t="s">
        <v>1904</v>
      </c>
    </row>
    <row r="566" spans="1:15">
      <c r="A566" s="101" t="n">
        <v>565</v>
      </c>
      <c r="B566" s="97" t="n">
        <v>658</v>
      </c>
      <c r="C566" s="98" t="s">
        <v>3718</v>
      </c>
      <c r="D566" s="97" t="s">
        <v>3719</v>
      </c>
      <c r="E566" s="97" t="s">
        <v>3443</v>
      </c>
      <c r="F566" s="97" t="s">
        <v>1898</v>
      </c>
      <c r="G566" s="98" t="s">
        <v>3718</v>
      </c>
      <c r="H566" s="97" t="n">
        <v>0</v>
      </c>
      <c r="I566" s="97" t="s">
        <v>1394</v>
      </c>
      <c r="J566" s="97" t="n">
        <v>0</v>
      </c>
      <c r="K566" s="98" t="s">
        <v>3445</v>
      </c>
      <c r="L566" s="97" t="s">
        <v>3518</v>
      </c>
      <c r="M566" s="97" t="s">
        <v>1394</v>
      </c>
      <c r="N566" s="97" t="s">
        <v>1903</v>
      </c>
      <c r="O566" s="97" t="s">
        <v>1904</v>
      </c>
    </row>
    <row r="567" spans="1:15">
      <c r="A567" s="101" t="n">
        <v>566</v>
      </c>
      <c r="B567" s="97" t="n">
        <v>588</v>
      </c>
      <c r="C567" s="98" t="s">
        <v>3720</v>
      </c>
      <c r="D567" s="97" t="s">
        <v>3721</v>
      </c>
      <c r="E567" s="97" t="s">
        <v>3443</v>
      </c>
      <c r="F567" s="97" t="s">
        <v>1898</v>
      </c>
      <c r="G567" s="98" t="s">
        <v>3720</v>
      </c>
      <c r="H567" s="97" t="n">
        <v>0</v>
      </c>
      <c r="I567" s="97" t="s">
        <v>1394</v>
      </c>
      <c r="J567" s="97" t="n">
        <v>0</v>
      </c>
      <c r="K567" s="98" t="s">
        <v>3445</v>
      </c>
      <c r="L567" s="97" t="s">
        <v>3465</v>
      </c>
      <c r="M567" s="97" t="s">
        <v>1394</v>
      </c>
      <c r="N567" s="97" t="s">
        <v>1903</v>
      </c>
      <c r="O567" s="97" t="s">
        <v>1904</v>
      </c>
    </row>
    <row r="568" spans="1:15">
      <c r="A568" s="101" t="n">
        <v>567</v>
      </c>
      <c r="B568" s="97" t="n">
        <v>686</v>
      </c>
      <c r="C568" s="98" t="s">
        <v>3722</v>
      </c>
      <c r="D568" s="97" t="s">
        <v>3723</v>
      </c>
      <c r="E568" s="97" t="s">
        <v>3443</v>
      </c>
      <c r="F568" s="97" t="s">
        <v>1898</v>
      </c>
      <c r="G568" s="98" t="s">
        <v>3722</v>
      </c>
      <c r="H568" s="97" t="n">
        <v>0</v>
      </c>
      <c r="I568" s="97" t="s">
        <v>1394</v>
      </c>
      <c r="J568" s="97" t="n">
        <v>0</v>
      </c>
      <c r="K568" s="98" t="s">
        <v>3445</v>
      </c>
      <c r="L568" s="97" t="s">
        <v>3465</v>
      </c>
      <c r="M568" s="97" t="s">
        <v>1394</v>
      </c>
      <c r="N568" s="97" t="s">
        <v>1903</v>
      </c>
      <c r="O568" s="97" t="s">
        <v>1904</v>
      </c>
    </row>
    <row r="569" spans="1:15">
      <c r="A569" s="101" t="n">
        <v>568</v>
      </c>
      <c r="B569" s="97" t="n">
        <v>744</v>
      </c>
      <c r="C569" s="98" t="s">
        <v>3724</v>
      </c>
      <c r="D569" s="97" t="s">
        <v>3725</v>
      </c>
      <c r="E569" s="97" t="s">
        <v>3443</v>
      </c>
      <c r="F569" s="97" t="s">
        <v>1898</v>
      </c>
      <c r="G569" s="98" t="s">
        <v>3724</v>
      </c>
      <c r="H569" s="97" t="n">
        <v>0</v>
      </c>
      <c r="I569" s="97" t="s">
        <v>1394</v>
      </c>
      <c r="J569" s="97" t="n">
        <v>0</v>
      </c>
      <c r="K569" s="98" t="s">
        <v>3445</v>
      </c>
      <c r="L569" s="97" t="s">
        <v>3450</v>
      </c>
      <c r="M569" s="97" t="s">
        <v>1394</v>
      </c>
      <c r="N569" s="97" t="s">
        <v>3451</v>
      </c>
      <c r="O569" s="97" t="s">
        <v>1904</v>
      </c>
    </row>
    <row r="570" spans="1:15">
      <c r="A570" s="101" t="n">
        <v>569</v>
      </c>
      <c r="B570" s="97" t="n">
        <v>727</v>
      </c>
      <c r="C570" s="98" t="s">
        <v>3726</v>
      </c>
      <c r="D570" s="97" t="s">
        <v>3727</v>
      </c>
      <c r="E570" s="97" t="s">
        <v>3443</v>
      </c>
      <c r="F570" s="97" t="s">
        <v>1898</v>
      </c>
      <c r="G570" s="98" t="s">
        <v>3726</v>
      </c>
      <c r="H570" s="97" t="n">
        <v>0</v>
      </c>
      <c r="I570" s="97" t="s">
        <v>1394</v>
      </c>
      <c r="J570" s="97" t="n">
        <v>0</v>
      </c>
      <c r="K570" s="98" t="s">
        <v>3445</v>
      </c>
      <c r="L570" s="97" t="s">
        <v>3465</v>
      </c>
      <c r="M570" s="97" t="s">
        <v>1394</v>
      </c>
      <c r="N570" s="97" t="s">
        <v>1903</v>
      </c>
      <c r="O570" s="97" t="s">
        <v>1904</v>
      </c>
    </row>
    <row r="571" spans="1:15">
      <c r="A571" s="101" t="n">
        <v>570</v>
      </c>
      <c r="B571" s="97" t="n">
        <v>723</v>
      </c>
      <c r="C571" s="98" t="s">
        <v>3728</v>
      </c>
      <c r="D571" s="97" t="s">
        <v>3729</v>
      </c>
      <c r="E571" s="97" t="s">
        <v>3443</v>
      </c>
      <c r="F571" s="97" t="s">
        <v>1898</v>
      </c>
      <c r="G571" s="98" t="s">
        <v>3728</v>
      </c>
      <c r="H571" s="97" t="n">
        <v>0</v>
      </c>
      <c r="I571" s="97" t="s">
        <v>1394</v>
      </c>
      <c r="J571" s="97" t="n">
        <v>0</v>
      </c>
      <c r="K571" s="98" t="s">
        <v>3445</v>
      </c>
      <c r="L571" s="97" t="s">
        <v>3465</v>
      </c>
      <c r="M571" s="97" t="s">
        <v>1394</v>
      </c>
      <c r="N571" s="97" t="s">
        <v>1903</v>
      </c>
      <c r="O571" s="97" t="s">
        <v>1904</v>
      </c>
    </row>
    <row r="572" spans="1:15">
      <c r="A572" s="101" t="n">
        <v>571</v>
      </c>
      <c r="B572" s="97" t="n">
        <v>715</v>
      </c>
      <c r="C572" s="98" t="s">
        <v>3730</v>
      </c>
      <c r="D572" s="97" t="s">
        <v>3731</v>
      </c>
      <c r="E572" s="97" t="s">
        <v>3443</v>
      </c>
      <c r="F572" s="97" t="s">
        <v>1898</v>
      </c>
      <c r="G572" s="98" t="s">
        <v>3730</v>
      </c>
      <c r="H572" s="97" t="n">
        <v>0</v>
      </c>
      <c r="I572" s="97" t="s">
        <v>1394</v>
      </c>
      <c r="J572" s="97" t="n">
        <v>0</v>
      </c>
      <c r="K572" s="98" t="s">
        <v>3445</v>
      </c>
      <c r="L572" s="97" t="s">
        <v>157</v>
      </c>
      <c r="M572" s="97" t="s">
        <v>1394</v>
      </c>
      <c r="N572" s="97" t="s">
        <v>3451</v>
      </c>
      <c r="O572" s="97" t="s">
        <v>1904</v>
      </c>
    </row>
    <row r="573" spans="1:15">
      <c r="A573" s="101" t="n">
        <v>572</v>
      </c>
      <c r="B573" s="97" t="n">
        <v>705</v>
      </c>
      <c r="C573" s="98" t="s">
        <v>3732</v>
      </c>
      <c r="D573" s="97" t="s">
        <v>3733</v>
      </c>
      <c r="E573" s="97" t="s">
        <v>3443</v>
      </c>
      <c r="F573" s="97" t="s">
        <v>1898</v>
      </c>
      <c r="G573" s="98" t="s">
        <v>3732</v>
      </c>
      <c r="H573" s="97" t="n">
        <v>0</v>
      </c>
      <c r="I573" s="97" t="s">
        <v>1394</v>
      </c>
      <c r="J573" s="97" t="n">
        <v>0</v>
      </c>
      <c r="K573" s="98" t="s">
        <v>3445</v>
      </c>
      <c r="L573" s="97" t="s">
        <v>1902</v>
      </c>
      <c r="M573" s="97" t="s">
        <v>1394</v>
      </c>
      <c r="N573" s="97" t="s">
        <v>1903</v>
      </c>
      <c r="O573" s="97" t="s">
        <v>1904</v>
      </c>
    </row>
    <row r="574" spans="1:15">
      <c r="A574" s="101" t="n">
        <v>573</v>
      </c>
      <c r="B574" s="97" t="n">
        <v>603</v>
      </c>
      <c r="C574" s="98" t="s">
        <v>3734</v>
      </c>
      <c r="D574" s="97" t="s">
        <v>3735</v>
      </c>
      <c r="E574" s="97" t="s">
        <v>3443</v>
      </c>
      <c r="F574" s="97" t="s">
        <v>1898</v>
      </c>
      <c r="G574" s="98" t="s">
        <v>3734</v>
      </c>
      <c r="H574" s="97" t="n">
        <v>0</v>
      </c>
      <c r="I574" s="97" t="s">
        <v>1394</v>
      </c>
      <c r="J574" s="97" t="n">
        <v>0</v>
      </c>
      <c r="K574" s="98" t="s">
        <v>3445</v>
      </c>
      <c r="L574" s="97" t="s">
        <v>3465</v>
      </c>
      <c r="M574" s="97" t="s">
        <v>1394</v>
      </c>
      <c r="N574" s="97" t="s">
        <v>1903</v>
      </c>
      <c r="O574" s="97" t="s">
        <v>1904</v>
      </c>
    </row>
    <row r="575" spans="1:15">
      <c r="A575" s="101" t="n">
        <v>574</v>
      </c>
      <c r="B575" s="97" t="n">
        <v>571</v>
      </c>
      <c r="C575" s="98" t="s">
        <v>3736</v>
      </c>
      <c r="D575" s="97" t="s">
        <v>3737</v>
      </c>
      <c r="E575" s="97" t="s">
        <v>3443</v>
      </c>
      <c r="F575" s="97" t="s">
        <v>1898</v>
      </c>
      <c r="G575" s="98" t="s">
        <v>3736</v>
      </c>
      <c r="H575" s="97" t="n">
        <v>0</v>
      </c>
      <c r="I575" s="97" t="s">
        <v>1394</v>
      </c>
      <c r="J575" s="97" t="n">
        <v>0</v>
      </c>
      <c r="K575" s="98" t="s">
        <v>3445</v>
      </c>
      <c r="L575" s="97" t="s">
        <v>3450</v>
      </c>
      <c r="M575" s="97" t="s">
        <v>1394</v>
      </c>
      <c r="N575" s="97" t="s">
        <v>3451</v>
      </c>
      <c r="O575" s="97" t="s">
        <v>1904</v>
      </c>
    </row>
    <row r="576" spans="1:15">
      <c r="A576" s="101" t="n">
        <v>575</v>
      </c>
      <c r="B576" s="97" t="n">
        <v>574</v>
      </c>
      <c r="C576" s="98" t="s">
        <v>3738</v>
      </c>
      <c r="D576" s="97" t="s">
        <v>3739</v>
      </c>
      <c r="E576" s="97" t="s">
        <v>3443</v>
      </c>
      <c r="F576" s="97" t="s">
        <v>1898</v>
      </c>
      <c r="G576" s="98" t="s">
        <v>3738</v>
      </c>
      <c r="H576" s="97" t="n">
        <v>0</v>
      </c>
      <c r="I576" s="97" t="s">
        <v>1394</v>
      </c>
      <c r="J576" s="97" t="n">
        <v>0</v>
      </c>
      <c r="K576" s="98" t="s">
        <v>3445</v>
      </c>
      <c r="L576" s="97" t="s">
        <v>3450</v>
      </c>
      <c r="M576" s="97" t="s">
        <v>1394</v>
      </c>
      <c r="N576" s="97" t="s">
        <v>3451</v>
      </c>
      <c r="O576" s="97" t="s">
        <v>1904</v>
      </c>
    </row>
    <row r="577" spans="1:15">
      <c r="A577" s="101" t="n">
        <v>576</v>
      </c>
      <c r="B577" s="97" t="n">
        <v>602</v>
      </c>
      <c r="C577" s="98" t="s">
        <v>3740</v>
      </c>
      <c r="D577" s="97" t="s">
        <v>3741</v>
      </c>
      <c r="E577" s="97" t="s">
        <v>3443</v>
      </c>
      <c r="F577" s="97" t="s">
        <v>1898</v>
      </c>
      <c r="G577" s="98" t="s">
        <v>3740</v>
      </c>
      <c r="H577" s="97" t="n">
        <v>0</v>
      </c>
      <c r="I577" s="97" t="s">
        <v>1394</v>
      </c>
      <c r="J577" s="97" t="n">
        <v>0</v>
      </c>
      <c r="K577" s="98" t="s">
        <v>3445</v>
      </c>
      <c r="L577" s="97" t="s">
        <v>3518</v>
      </c>
      <c r="M577" s="97" t="s">
        <v>1394</v>
      </c>
      <c r="N577" s="97" t="s">
        <v>1903</v>
      </c>
      <c r="O577" s="97" t="s">
        <v>1904</v>
      </c>
    </row>
    <row r="578" spans="1:15">
      <c r="A578" s="101" t="n">
        <v>577</v>
      </c>
      <c r="B578" s="97" t="n">
        <v>690</v>
      </c>
      <c r="C578" s="98" t="s">
        <v>3742</v>
      </c>
      <c r="D578" s="97" t="s">
        <v>3743</v>
      </c>
      <c r="E578" s="97" t="s">
        <v>3443</v>
      </c>
      <c r="F578" s="97" t="s">
        <v>1898</v>
      </c>
      <c r="G578" s="98" t="s">
        <v>3742</v>
      </c>
      <c r="H578" s="97" t="n">
        <v>0</v>
      </c>
      <c r="I578" s="97" t="s">
        <v>1394</v>
      </c>
      <c r="J578" s="97" t="n">
        <v>0</v>
      </c>
      <c r="K578" s="98" t="s">
        <v>3445</v>
      </c>
      <c r="L578" s="97" t="s">
        <v>3465</v>
      </c>
      <c r="M578" s="97" t="s">
        <v>1394</v>
      </c>
      <c r="N578" s="97" t="s">
        <v>1903</v>
      </c>
      <c r="O578" s="97" t="s">
        <v>1904</v>
      </c>
    </row>
    <row r="579" spans="1:15">
      <c r="A579" s="101" t="n">
        <v>578</v>
      </c>
      <c r="B579" s="97" t="n">
        <v>586</v>
      </c>
      <c r="C579" s="98" t="s">
        <v>3744</v>
      </c>
      <c r="D579" s="97" t="s">
        <v>3745</v>
      </c>
      <c r="E579" s="97" t="s">
        <v>3443</v>
      </c>
      <c r="F579" s="97" t="s">
        <v>1898</v>
      </c>
      <c r="G579" s="98" t="s">
        <v>3744</v>
      </c>
      <c r="H579" s="97" t="n">
        <v>0</v>
      </c>
      <c r="I579" s="97" t="s">
        <v>1394</v>
      </c>
      <c r="J579" s="97" t="n">
        <v>0</v>
      </c>
      <c r="K579" s="98" t="s">
        <v>3445</v>
      </c>
      <c r="L579" s="97" t="s">
        <v>3465</v>
      </c>
      <c r="M579" s="97" t="s">
        <v>1394</v>
      </c>
      <c r="N579" s="97" t="s">
        <v>1903</v>
      </c>
      <c r="O579" s="97" t="s">
        <v>1904</v>
      </c>
    </row>
    <row r="580" spans="1:15">
      <c r="A580" s="101" t="n">
        <v>579</v>
      </c>
      <c r="B580" s="97" t="n">
        <v>595</v>
      </c>
      <c r="C580" s="98" t="s">
        <v>3746</v>
      </c>
      <c r="D580" s="97" t="s">
        <v>3747</v>
      </c>
      <c r="E580" s="97" t="s">
        <v>3443</v>
      </c>
      <c r="F580" s="97" t="s">
        <v>1898</v>
      </c>
      <c r="G580" s="98" t="s">
        <v>3746</v>
      </c>
      <c r="H580" s="97" t="n">
        <v>0</v>
      </c>
      <c r="I580" s="97" t="s">
        <v>1394</v>
      </c>
      <c r="J580" s="97" t="n">
        <v>0</v>
      </c>
      <c r="K580" s="98" t="s">
        <v>3445</v>
      </c>
      <c r="L580" s="97" t="s">
        <v>3465</v>
      </c>
      <c r="M580" s="97" t="s">
        <v>1394</v>
      </c>
      <c r="N580" s="97" t="s">
        <v>1903</v>
      </c>
      <c r="O580" s="97" t="s">
        <v>1904</v>
      </c>
    </row>
    <row r="581" spans="1:15">
      <c r="A581" s="101" t="n">
        <v>580</v>
      </c>
      <c r="B581" s="97" t="n">
        <v>730</v>
      </c>
      <c r="C581" s="98" t="s">
        <v>3748</v>
      </c>
      <c r="D581" s="97" t="s">
        <v>3749</v>
      </c>
      <c r="E581" s="97" t="s">
        <v>3443</v>
      </c>
      <c r="F581" s="97" t="s">
        <v>1898</v>
      </c>
      <c r="G581" s="98" t="s">
        <v>3748</v>
      </c>
      <c r="H581" s="97" t="n">
        <v>0</v>
      </c>
      <c r="I581" s="97" t="s">
        <v>1394</v>
      </c>
      <c r="J581" s="97" t="n">
        <v>0</v>
      </c>
      <c r="K581" s="98" t="s">
        <v>3445</v>
      </c>
      <c r="L581" s="97" t="s">
        <v>157</v>
      </c>
      <c r="M581" s="97" t="s">
        <v>1394</v>
      </c>
      <c r="N581" s="97" t="s">
        <v>3451</v>
      </c>
      <c r="O581" s="97" t="s">
        <v>1904</v>
      </c>
    </row>
    <row r="582" spans="1:15">
      <c r="A582" s="101" t="n">
        <v>581</v>
      </c>
      <c r="B582" s="97" t="n">
        <v>624</v>
      </c>
      <c r="C582" s="98" t="s">
        <v>3750</v>
      </c>
      <c r="D582" s="97" t="s">
        <v>3751</v>
      </c>
      <c r="E582" s="97" t="s">
        <v>3443</v>
      </c>
      <c r="F582" s="97" t="s">
        <v>1898</v>
      </c>
      <c r="G582" s="98" t="s">
        <v>3750</v>
      </c>
      <c r="H582" s="97" t="n">
        <v>0</v>
      </c>
      <c r="I582" s="97" t="s">
        <v>1394</v>
      </c>
      <c r="J582" s="97" t="n">
        <v>0</v>
      </c>
      <c r="K582" s="98" t="s">
        <v>3445</v>
      </c>
      <c r="L582" s="97" t="s">
        <v>157</v>
      </c>
      <c r="M582" s="97" t="s">
        <v>1394</v>
      </c>
      <c r="N582" s="97" t="s">
        <v>3451</v>
      </c>
      <c r="O582" s="97" t="s">
        <v>1904</v>
      </c>
    </row>
    <row r="583" spans="1:15">
      <c r="A583" s="101" t="n">
        <v>582</v>
      </c>
      <c r="B583" s="97" t="n">
        <v>627</v>
      </c>
      <c r="C583" s="98" t="s">
        <v>3752</v>
      </c>
      <c r="D583" s="97" t="s">
        <v>3753</v>
      </c>
      <c r="E583" s="97" t="s">
        <v>3443</v>
      </c>
      <c r="F583" s="97" t="s">
        <v>1898</v>
      </c>
      <c r="G583" s="98" t="s">
        <v>3752</v>
      </c>
      <c r="H583" s="97" t="n">
        <v>0</v>
      </c>
      <c r="I583" s="97" t="s">
        <v>1394</v>
      </c>
      <c r="J583" s="97" t="n">
        <v>0</v>
      </c>
      <c r="K583" s="98" t="s">
        <v>3445</v>
      </c>
      <c r="L583" s="97" t="s">
        <v>3450</v>
      </c>
      <c r="M583" s="97" t="s">
        <v>1394</v>
      </c>
      <c r="N583" s="97" t="s">
        <v>3451</v>
      </c>
      <c r="O583" s="97" t="s">
        <v>1904</v>
      </c>
    </row>
    <row r="584" spans="1:15">
      <c r="A584" s="101" t="n">
        <v>583</v>
      </c>
      <c r="B584" s="97" t="n">
        <v>681</v>
      </c>
      <c r="C584" s="98" t="s">
        <v>3754</v>
      </c>
      <c r="D584" s="97" t="s">
        <v>3755</v>
      </c>
      <c r="E584" s="97" t="s">
        <v>3443</v>
      </c>
      <c r="F584" s="97" t="s">
        <v>1898</v>
      </c>
      <c r="G584" s="98" t="s">
        <v>3754</v>
      </c>
      <c r="H584" s="97" t="n">
        <v>0</v>
      </c>
      <c r="I584" s="97" t="s">
        <v>1394</v>
      </c>
      <c r="J584" s="97" t="n">
        <v>0</v>
      </c>
      <c r="K584" s="98" t="s">
        <v>3445</v>
      </c>
      <c r="L584" s="97" t="s">
        <v>3450</v>
      </c>
      <c r="M584" s="97" t="s">
        <v>1394</v>
      </c>
      <c r="N584" s="97" t="s">
        <v>3451</v>
      </c>
      <c r="O584" s="97" t="s">
        <v>1904</v>
      </c>
    </row>
    <row r="585" spans="1:15">
      <c r="A585" s="101" t="n">
        <v>584</v>
      </c>
      <c r="B585" s="97" t="n">
        <v>713</v>
      </c>
      <c r="C585" s="98" t="s">
        <v>3756</v>
      </c>
      <c r="D585" s="97" t="s">
        <v>3757</v>
      </c>
      <c r="E585" s="97" t="s">
        <v>3443</v>
      </c>
      <c r="F585" s="97" t="s">
        <v>1898</v>
      </c>
      <c r="G585" s="98" t="s">
        <v>3756</v>
      </c>
      <c r="H585" s="97" t="n">
        <v>0</v>
      </c>
      <c r="I585" s="97" t="s">
        <v>1394</v>
      </c>
      <c r="J585" s="97" t="n">
        <v>0</v>
      </c>
      <c r="K585" s="98" t="s">
        <v>3445</v>
      </c>
      <c r="L585" s="97" t="s">
        <v>1902</v>
      </c>
      <c r="M585" s="97" t="s">
        <v>1394</v>
      </c>
      <c r="N585" s="97" t="s">
        <v>1903</v>
      </c>
      <c r="O585" s="97" t="s">
        <v>1904</v>
      </c>
    </row>
    <row r="586" spans="1:15">
      <c r="A586" s="101" t="n">
        <v>585</v>
      </c>
      <c r="B586" s="97" t="n">
        <v>747</v>
      </c>
      <c r="C586" s="98" t="s">
        <v>3758</v>
      </c>
      <c r="D586" s="97" t="s">
        <v>3759</v>
      </c>
      <c r="E586" s="97" t="s">
        <v>3443</v>
      </c>
      <c r="F586" s="97" t="s">
        <v>1898</v>
      </c>
      <c r="G586" s="98" t="s">
        <v>3758</v>
      </c>
      <c r="H586" s="97" t="n">
        <v>0</v>
      </c>
      <c r="I586" s="97" t="s">
        <v>1394</v>
      </c>
      <c r="J586" s="97" t="n">
        <v>0</v>
      </c>
      <c r="K586" s="98" t="s">
        <v>3445</v>
      </c>
      <c r="L586" s="97" t="s">
        <v>1902</v>
      </c>
      <c r="M586" s="97" t="s">
        <v>1394</v>
      </c>
      <c r="N586" s="97" t="s">
        <v>1903</v>
      </c>
      <c r="O586" s="97" t="s">
        <v>1904</v>
      </c>
    </row>
    <row r="587" spans="1:15">
      <c r="A587" s="101" t="n">
        <v>586</v>
      </c>
      <c r="B587" s="97" t="n">
        <v>660</v>
      </c>
      <c r="C587" s="98" t="s">
        <v>3760</v>
      </c>
      <c r="D587" s="97" t="s">
        <v>3761</v>
      </c>
      <c r="E587" s="97" t="s">
        <v>3443</v>
      </c>
      <c r="F587" s="97" t="s">
        <v>1898</v>
      </c>
      <c r="G587" s="98" t="s">
        <v>3760</v>
      </c>
      <c r="H587" s="97" t="n">
        <v>0</v>
      </c>
      <c r="I587" s="97" t="s">
        <v>1394</v>
      </c>
      <c r="J587" s="97" t="n">
        <v>0</v>
      </c>
      <c r="K587" s="98" t="s">
        <v>3445</v>
      </c>
      <c r="L587" s="97" t="s">
        <v>3465</v>
      </c>
      <c r="M587" s="97" t="s">
        <v>1394</v>
      </c>
      <c r="N587" s="97" t="s">
        <v>1903</v>
      </c>
      <c r="O587" s="97" t="s">
        <v>1904</v>
      </c>
    </row>
    <row r="588" spans="1:15">
      <c r="A588" s="101" t="n">
        <v>587</v>
      </c>
      <c r="B588" s="97" t="n">
        <v>722</v>
      </c>
      <c r="C588" s="98" t="s">
        <v>3762</v>
      </c>
      <c r="D588" s="97" t="s">
        <v>3763</v>
      </c>
      <c r="E588" s="97" t="s">
        <v>3443</v>
      </c>
      <c r="F588" s="97" t="s">
        <v>1898</v>
      </c>
      <c r="G588" s="98" t="s">
        <v>3762</v>
      </c>
      <c r="H588" s="97" t="n">
        <v>0</v>
      </c>
      <c r="I588" s="97" t="s">
        <v>1394</v>
      </c>
      <c r="J588" s="97" t="n">
        <v>0</v>
      </c>
      <c r="K588" s="98" t="s">
        <v>3445</v>
      </c>
      <c r="L588" s="97" t="s">
        <v>1902</v>
      </c>
      <c r="M588" s="97" t="s">
        <v>1394</v>
      </c>
      <c r="N588" s="97" t="s">
        <v>3508</v>
      </c>
      <c r="O588" s="97" t="s">
        <v>1904</v>
      </c>
    </row>
    <row r="589" spans="1:15">
      <c r="A589" s="101" t="n">
        <v>588</v>
      </c>
      <c r="B589" s="97" t="n">
        <v>676</v>
      </c>
      <c r="C589" s="98" t="s">
        <v>3764</v>
      </c>
      <c r="D589" s="97" t="s">
        <v>3765</v>
      </c>
      <c r="E589" s="97" t="s">
        <v>3443</v>
      </c>
      <c r="F589" s="97" t="s">
        <v>1898</v>
      </c>
      <c r="G589" s="98" t="s">
        <v>3764</v>
      </c>
      <c r="H589" s="97" t="n">
        <v>0</v>
      </c>
      <c r="I589" s="97" t="s">
        <v>1394</v>
      </c>
      <c r="J589" s="97" t="n">
        <v>0</v>
      </c>
      <c r="K589" s="98" t="s">
        <v>3445</v>
      </c>
      <c r="L589" s="97" t="s">
        <v>1902</v>
      </c>
      <c r="M589" s="97" t="s">
        <v>1394</v>
      </c>
      <c r="N589" s="97" t="s">
        <v>3508</v>
      </c>
      <c r="O589" s="97" t="s">
        <v>1904</v>
      </c>
    </row>
    <row r="590" spans="1:15">
      <c r="A590" s="101" t="n">
        <v>589</v>
      </c>
      <c r="B590" s="97" t="n">
        <v>740</v>
      </c>
      <c r="C590" s="98" t="s">
        <v>3766</v>
      </c>
      <c r="D590" s="97" t="s">
        <v>3767</v>
      </c>
      <c r="E590" s="97" t="s">
        <v>3443</v>
      </c>
      <c r="F590" s="97" t="s">
        <v>1898</v>
      </c>
      <c r="G590" s="98" t="s">
        <v>3766</v>
      </c>
      <c r="H590" s="97" t="n">
        <v>0</v>
      </c>
      <c r="I590" s="97" t="s">
        <v>1394</v>
      </c>
      <c r="J590" s="97" t="n">
        <v>0</v>
      </c>
      <c r="K590" s="98" t="s">
        <v>3445</v>
      </c>
      <c r="L590" s="97" t="s">
        <v>1902</v>
      </c>
      <c r="M590" s="97" t="s">
        <v>1394</v>
      </c>
      <c r="N590" s="97" t="s">
        <v>3508</v>
      </c>
      <c r="O590" s="97" t="s">
        <v>1904</v>
      </c>
    </row>
    <row r="591" spans="1:15">
      <c r="A591" s="101" t="n">
        <v>590</v>
      </c>
      <c r="B591" s="97" t="n">
        <v>682</v>
      </c>
      <c r="C591" s="98" t="s">
        <v>1704</v>
      </c>
      <c r="D591" s="97" t="s">
        <v>3768</v>
      </c>
      <c r="E591" s="97" t="s">
        <v>3443</v>
      </c>
      <c r="F591" s="97" t="s">
        <v>1898</v>
      </c>
      <c r="G591" s="98" t="s">
        <v>1704</v>
      </c>
      <c r="H591" s="97" t="n">
        <v>0</v>
      </c>
      <c r="I591" s="97" t="s">
        <v>1394</v>
      </c>
      <c r="J591" s="97" t="n">
        <v>0</v>
      </c>
      <c r="K591" s="98" t="s">
        <v>3445</v>
      </c>
      <c r="L591" s="97" t="s">
        <v>1902</v>
      </c>
      <c r="M591" s="97" t="s">
        <v>1394</v>
      </c>
      <c r="N591" s="97" t="s">
        <v>3769</v>
      </c>
      <c r="O591" s="97" t="s">
        <v>1904</v>
      </c>
    </row>
    <row r="592" spans="1:15">
      <c r="A592" s="101" t="n">
        <v>591</v>
      </c>
      <c r="B592" s="97" t="n">
        <v>639</v>
      </c>
      <c r="C592" s="98" t="s">
        <v>3770</v>
      </c>
      <c r="D592" s="97" t="s">
        <v>3771</v>
      </c>
      <c r="E592" s="97" t="s">
        <v>3443</v>
      </c>
      <c r="F592" s="97" t="s">
        <v>1898</v>
      </c>
      <c r="G592" s="98" t="s">
        <v>3770</v>
      </c>
      <c r="H592" s="97" t="n">
        <v>0</v>
      </c>
      <c r="I592" s="97" t="s">
        <v>1394</v>
      </c>
      <c r="J592" s="97" t="n">
        <v>0</v>
      </c>
      <c r="K592" s="98" t="s">
        <v>3445</v>
      </c>
      <c r="L592" s="97" t="s">
        <v>1902</v>
      </c>
      <c r="M592" s="97" t="s">
        <v>1394</v>
      </c>
      <c r="N592" s="97" t="s">
        <v>3508</v>
      </c>
      <c r="O592" s="97" t="s">
        <v>1904</v>
      </c>
    </row>
    <row r="593" spans="1:15">
      <c r="A593" s="101" t="n">
        <v>592</v>
      </c>
      <c r="B593" s="97" t="n">
        <v>724</v>
      </c>
      <c r="C593" s="98" t="s">
        <v>3772</v>
      </c>
      <c r="D593" s="97" t="s">
        <v>2148</v>
      </c>
      <c r="E593" s="97" t="s">
        <v>3443</v>
      </c>
      <c r="F593" s="97" t="s">
        <v>1898</v>
      </c>
      <c r="G593" s="98" t="s">
        <v>3772</v>
      </c>
      <c r="H593" s="97" t="n">
        <v>0</v>
      </c>
      <c r="I593" s="97" t="s">
        <v>1394</v>
      </c>
      <c r="J593" s="97" t="n">
        <v>0</v>
      </c>
      <c r="K593" s="98" t="s">
        <v>3445</v>
      </c>
      <c r="L593" s="97" t="s">
        <v>1902</v>
      </c>
      <c r="M593" s="97" t="s">
        <v>1394</v>
      </c>
      <c r="N593" s="97" t="s">
        <v>3508</v>
      </c>
      <c r="O593" s="97" t="s">
        <v>1904</v>
      </c>
    </row>
    <row r="594" spans="1:15">
      <c r="A594" s="101" t="n">
        <v>593</v>
      </c>
      <c r="B594" s="97" t="n">
        <v>599</v>
      </c>
      <c r="C594" s="98" t="s">
        <v>1708</v>
      </c>
      <c r="D594" s="97" t="s">
        <v>3773</v>
      </c>
      <c r="E594" s="97" t="s">
        <v>3443</v>
      </c>
      <c r="F594" s="97" t="s">
        <v>1898</v>
      </c>
      <c r="G594" s="98" t="s">
        <v>1708</v>
      </c>
      <c r="H594" s="97" t="n">
        <v>0</v>
      </c>
      <c r="I594" s="97" t="s">
        <v>1394</v>
      </c>
      <c r="J594" s="97" t="n">
        <v>0</v>
      </c>
      <c r="K594" s="98" t="s">
        <v>3445</v>
      </c>
      <c r="L594" s="97" t="s">
        <v>1902</v>
      </c>
      <c r="M594" s="97" t="s">
        <v>1394</v>
      </c>
      <c r="N594" s="97" t="s">
        <v>3769</v>
      </c>
      <c r="O594" s="97" t="s">
        <v>1904</v>
      </c>
    </row>
    <row r="595" spans="1:15">
      <c r="A595" s="101" t="n">
        <v>594</v>
      </c>
      <c r="B595" s="97" t="n">
        <v>622</v>
      </c>
      <c r="C595" s="98" t="s">
        <v>1630</v>
      </c>
      <c r="D595" s="97" t="s">
        <v>3774</v>
      </c>
      <c r="E595" s="97" t="s">
        <v>3443</v>
      </c>
      <c r="F595" s="97" t="s">
        <v>1898</v>
      </c>
      <c r="G595" s="98" t="s">
        <v>1630</v>
      </c>
      <c r="H595" s="97" t="n">
        <v>0</v>
      </c>
      <c r="I595" s="97" t="s">
        <v>1394</v>
      </c>
      <c r="J595" s="97" t="n">
        <v>0</v>
      </c>
      <c r="K595" s="98" t="s">
        <v>3445</v>
      </c>
      <c r="L595" s="97" t="s">
        <v>1902</v>
      </c>
      <c r="M595" s="97" t="s">
        <v>1394</v>
      </c>
      <c r="N595" s="97" t="s">
        <v>3508</v>
      </c>
      <c r="O595" s="97" t="s">
        <v>1904</v>
      </c>
    </row>
    <row r="596" spans="1:15">
      <c r="A596" s="101" t="n">
        <v>595</v>
      </c>
      <c r="B596" s="97" t="n">
        <v>700</v>
      </c>
      <c r="C596" s="98" t="s">
        <v>3775</v>
      </c>
      <c r="D596" s="97" t="s">
        <v>3776</v>
      </c>
      <c r="E596" s="97" t="s">
        <v>3443</v>
      </c>
      <c r="F596" s="97" t="s">
        <v>1898</v>
      </c>
      <c r="G596" s="98" t="s">
        <v>3775</v>
      </c>
      <c r="H596" s="97" t="n">
        <v>0</v>
      </c>
      <c r="I596" s="97" t="s">
        <v>1394</v>
      </c>
      <c r="J596" s="97" t="n">
        <v>0</v>
      </c>
      <c r="K596" s="98" t="s">
        <v>3445</v>
      </c>
      <c r="L596" s="97" t="s">
        <v>1902</v>
      </c>
      <c r="M596" s="97" t="s">
        <v>1394</v>
      </c>
      <c r="N596" s="97" t="s">
        <v>3769</v>
      </c>
      <c r="O596" s="97" t="s">
        <v>1904</v>
      </c>
    </row>
    <row r="597" spans="1:15">
      <c r="A597" s="101" t="n">
        <v>596</v>
      </c>
      <c r="B597" s="97" t="n">
        <v>734</v>
      </c>
      <c r="C597" s="98" t="s">
        <v>1706</v>
      </c>
      <c r="D597" s="97" t="s">
        <v>3777</v>
      </c>
      <c r="E597" s="97" t="s">
        <v>3443</v>
      </c>
      <c r="F597" s="97" t="s">
        <v>1898</v>
      </c>
      <c r="G597" s="98" t="s">
        <v>1706</v>
      </c>
      <c r="H597" s="97" t="n">
        <v>0</v>
      </c>
      <c r="I597" s="97" t="s">
        <v>1394</v>
      </c>
      <c r="J597" s="97" t="n">
        <v>0</v>
      </c>
      <c r="K597" s="98" t="s">
        <v>3445</v>
      </c>
      <c r="L597" s="97" t="s">
        <v>1902</v>
      </c>
      <c r="M597" s="97" t="s">
        <v>1394</v>
      </c>
      <c r="N597" s="97" t="s">
        <v>3769</v>
      </c>
      <c r="O597" s="97" t="s">
        <v>1904</v>
      </c>
    </row>
    <row r="598" spans="1:15">
      <c r="A598" s="101" t="n">
        <v>597</v>
      </c>
      <c r="B598" s="97" t="n">
        <v>553</v>
      </c>
      <c r="C598" s="98" t="s">
        <v>3778</v>
      </c>
      <c r="D598" s="97" t="s">
        <v>3779</v>
      </c>
      <c r="E598" s="97" t="s">
        <v>3443</v>
      </c>
      <c r="F598" s="97" t="s">
        <v>1898</v>
      </c>
      <c r="G598" s="98" t="s">
        <v>3778</v>
      </c>
      <c r="H598" s="97" t="n">
        <v>0</v>
      </c>
      <c r="I598" s="97" t="s">
        <v>1394</v>
      </c>
      <c r="J598" s="97" t="n">
        <v>0</v>
      </c>
      <c r="K598" s="98" t="s">
        <v>3445</v>
      </c>
      <c r="L598" s="97" t="s">
        <v>1902</v>
      </c>
      <c r="M598" s="97" t="s">
        <v>1394</v>
      </c>
      <c r="N598" s="97" t="s">
        <v>3508</v>
      </c>
      <c r="O598" s="97" t="s">
        <v>1904</v>
      </c>
    </row>
    <row r="599" spans="1:15">
      <c r="A599" s="101" t="n">
        <v>598</v>
      </c>
      <c r="B599" s="97" t="n">
        <v>638</v>
      </c>
      <c r="C599" s="98" t="s">
        <v>1569</v>
      </c>
      <c r="D599" s="97" t="s">
        <v>3780</v>
      </c>
      <c r="E599" s="97" t="s">
        <v>3443</v>
      </c>
      <c r="F599" s="97" t="s">
        <v>1898</v>
      </c>
      <c r="G599" s="98" t="s">
        <v>1569</v>
      </c>
      <c r="H599" s="97" t="n">
        <v>0</v>
      </c>
      <c r="I599" s="97" t="s">
        <v>1394</v>
      </c>
      <c r="J599" s="97" t="n">
        <v>0</v>
      </c>
      <c r="K599" s="98" t="s">
        <v>3445</v>
      </c>
      <c r="L599" s="97" t="s">
        <v>1902</v>
      </c>
      <c r="M599" s="97" t="s">
        <v>1394</v>
      </c>
      <c r="N599" s="97" t="s">
        <v>3769</v>
      </c>
      <c r="O599" s="97" t="s">
        <v>1904</v>
      </c>
    </row>
    <row r="600" spans="1:15">
      <c r="A600" s="101" t="n">
        <v>599</v>
      </c>
      <c r="B600" s="97" t="n">
        <v>552</v>
      </c>
      <c r="C600" s="98" t="s">
        <v>3781</v>
      </c>
      <c r="D600" s="97" t="s">
        <v>3782</v>
      </c>
      <c r="E600" s="97" t="s">
        <v>3443</v>
      </c>
      <c r="F600" s="97" t="s">
        <v>1898</v>
      </c>
      <c r="G600" s="98" t="s">
        <v>3781</v>
      </c>
      <c r="H600" s="97" t="n">
        <v>0</v>
      </c>
      <c r="I600" s="97" t="s">
        <v>1394</v>
      </c>
      <c r="J600" s="97" t="n">
        <v>0</v>
      </c>
      <c r="K600" s="98" t="s">
        <v>3445</v>
      </c>
      <c r="L600" s="97" t="s">
        <v>1902</v>
      </c>
      <c r="M600" s="97" t="s">
        <v>1394</v>
      </c>
      <c r="N600" s="97" t="s">
        <v>3508</v>
      </c>
      <c r="O600" s="97" t="s">
        <v>1904</v>
      </c>
    </row>
    <row r="601" spans="1:15">
      <c r="A601" s="101" t="n">
        <v>600</v>
      </c>
      <c r="B601" s="97" t="n">
        <v>582</v>
      </c>
      <c r="C601" s="98" t="s">
        <v>1633</v>
      </c>
      <c r="D601" s="97" t="s">
        <v>3783</v>
      </c>
      <c r="E601" s="97" t="s">
        <v>3443</v>
      </c>
      <c r="F601" s="97" t="s">
        <v>1898</v>
      </c>
      <c r="G601" s="98" t="s">
        <v>1633</v>
      </c>
      <c r="H601" s="97" t="n">
        <v>0</v>
      </c>
      <c r="I601" s="97" t="s">
        <v>1394</v>
      </c>
      <c r="J601" s="97" t="n">
        <v>0</v>
      </c>
      <c r="K601" s="98" t="s">
        <v>3445</v>
      </c>
      <c r="L601" s="97" t="s">
        <v>1902</v>
      </c>
      <c r="M601" s="97" t="s">
        <v>1394</v>
      </c>
      <c r="N601" s="97" t="s">
        <v>3508</v>
      </c>
      <c r="O601" s="97" t="s">
        <v>1904</v>
      </c>
    </row>
    <row r="602" spans="1:15">
      <c r="A602" s="101" t="n">
        <v>601</v>
      </c>
      <c r="B602" s="97" t="n">
        <v>678</v>
      </c>
      <c r="C602" s="98" t="s">
        <v>3784</v>
      </c>
      <c r="D602" s="97" t="s">
        <v>3785</v>
      </c>
      <c r="E602" s="97" t="s">
        <v>3443</v>
      </c>
      <c r="F602" s="97" t="s">
        <v>1898</v>
      </c>
      <c r="G602" s="98" t="s">
        <v>3784</v>
      </c>
      <c r="H602" s="97" t="n">
        <v>0</v>
      </c>
      <c r="I602" s="97" t="s">
        <v>1394</v>
      </c>
      <c r="J602" s="97" t="n">
        <v>0</v>
      </c>
      <c r="K602" s="98" t="s">
        <v>3445</v>
      </c>
      <c r="L602" s="97" t="s">
        <v>3450</v>
      </c>
      <c r="M602" s="97" t="s">
        <v>1394</v>
      </c>
      <c r="N602" s="97" t="s">
        <v>3451</v>
      </c>
      <c r="O602" s="97" t="s">
        <v>1904</v>
      </c>
    </row>
    <row r="603" spans="1:15">
      <c r="A603" s="101" t="n">
        <v>602</v>
      </c>
      <c r="B603" s="97" t="n">
        <v>709</v>
      </c>
      <c r="C603" s="98" t="s">
        <v>3786</v>
      </c>
      <c r="D603" s="97" t="s">
        <v>3787</v>
      </c>
      <c r="E603" s="97" t="s">
        <v>3443</v>
      </c>
      <c r="F603" s="97" t="s">
        <v>1898</v>
      </c>
      <c r="G603" s="98" t="s">
        <v>3786</v>
      </c>
      <c r="H603" s="97" t="n">
        <v>0</v>
      </c>
      <c r="I603" s="97" t="s">
        <v>1394</v>
      </c>
      <c r="J603" s="97" t="n">
        <v>0</v>
      </c>
      <c r="K603" s="98" t="s">
        <v>3445</v>
      </c>
      <c r="L603" s="97" t="s">
        <v>3465</v>
      </c>
      <c r="M603" s="97" t="s">
        <v>1394</v>
      </c>
      <c r="N603" s="97" t="s">
        <v>1903</v>
      </c>
      <c r="O603" s="97" t="s">
        <v>1904</v>
      </c>
    </row>
    <row r="604" spans="1:15">
      <c r="A604" s="101" t="n">
        <v>603</v>
      </c>
      <c r="B604" s="97" t="n">
        <v>691</v>
      </c>
      <c r="C604" s="98" t="s">
        <v>3788</v>
      </c>
      <c r="D604" s="97" t="s">
        <v>3789</v>
      </c>
      <c r="E604" s="97" t="s">
        <v>3443</v>
      </c>
      <c r="F604" s="97" t="s">
        <v>1898</v>
      </c>
      <c r="G604" s="98" t="s">
        <v>3788</v>
      </c>
      <c r="H604" s="97" t="n">
        <v>0</v>
      </c>
      <c r="I604" s="97" t="s">
        <v>1394</v>
      </c>
      <c r="J604" s="97" t="n">
        <v>0</v>
      </c>
      <c r="K604" s="98" t="s">
        <v>3445</v>
      </c>
      <c r="L604" s="97" t="s">
        <v>3465</v>
      </c>
      <c r="M604" s="97" t="s">
        <v>1394</v>
      </c>
      <c r="N604" s="97" t="s">
        <v>1903</v>
      </c>
      <c r="O604" s="97" t="s">
        <v>1904</v>
      </c>
    </row>
    <row r="605" spans="1:15">
      <c r="A605" s="101" t="n">
        <v>604</v>
      </c>
      <c r="B605" s="97" t="n">
        <v>620</v>
      </c>
      <c r="C605" s="98" t="s">
        <v>3790</v>
      </c>
      <c r="D605" s="97" t="s">
        <v>3791</v>
      </c>
      <c r="E605" s="97" t="s">
        <v>3443</v>
      </c>
      <c r="F605" s="97" t="s">
        <v>1898</v>
      </c>
      <c r="G605" s="98" t="s">
        <v>3790</v>
      </c>
      <c r="H605" s="97" t="n">
        <v>0</v>
      </c>
      <c r="I605" s="97" t="s">
        <v>1394</v>
      </c>
      <c r="J605" s="97" t="n">
        <v>0</v>
      </c>
      <c r="K605" s="98" t="s">
        <v>3445</v>
      </c>
      <c r="L605" s="97" t="s">
        <v>157</v>
      </c>
      <c r="M605" s="97" t="s">
        <v>1394</v>
      </c>
      <c r="N605" s="97" t="s">
        <v>3451</v>
      </c>
      <c r="O605" s="97" t="s">
        <v>1904</v>
      </c>
    </row>
    <row r="606" spans="1:15">
      <c r="A606" s="101" t="n">
        <v>605</v>
      </c>
      <c r="B606" s="97" t="n">
        <v>677</v>
      </c>
      <c r="C606" s="98" t="s">
        <v>3792</v>
      </c>
      <c r="D606" s="97" t="s">
        <v>3793</v>
      </c>
      <c r="E606" s="97" t="s">
        <v>3443</v>
      </c>
      <c r="F606" s="97" t="s">
        <v>1898</v>
      </c>
      <c r="G606" s="98" t="s">
        <v>3792</v>
      </c>
      <c r="H606" s="97" t="n">
        <v>0</v>
      </c>
      <c r="I606" s="97" t="s">
        <v>1394</v>
      </c>
      <c r="J606" s="97" t="n">
        <v>0</v>
      </c>
      <c r="K606" s="98" t="s">
        <v>3445</v>
      </c>
      <c r="L606" s="97" t="s">
        <v>3465</v>
      </c>
      <c r="M606" s="97" t="s">
        <v>1394</v>
      </c>
      <c r="N606" s="97" t="s">
        <v>1903</v>
      </c>
      <c r="O606" s="97" t="s">
        <v>1904</v>
      </c>
    </row>
    <row r="607" spans="1:15">
      <c r="A607" s="101" t="n">
        <v>606</v>
      </c>
      <c r="B607" s="97" t="n">
        <v>716</v>
      </c>
      <c r="C607" s="98" t="s">
        <v>3794</v>
      </c>
      <c r="D607" s="97" t="s">
        <v>3795</v>
      </c>
      <c r="E607" s="97" t="s">
        <v>3443</v>
      </c>
      <c r="F607" s="97" t="s">
        <v>1898</v>
      </c>
      <c r="G607" s="98" t="s">
        <v>3794</v>
      </c>
      <c r="H607" s="97" t="n">
        <v>0</v>
      </c>
      <c r="I607" s="97" t="s">
        <v>1394</v>
      </c>
      <c r="J607" s="97" t="n">
        <v>0</v>
      </c>
      <c r="K607" s="98" t="s">
        <v>3445</v>
      </c>
      <c r="L607" s="97" t="s">
        <v>3465</v>
      </c>
      <c r="M607" s="97" t="s">
        <v>1394</v>
      </c>
      <c r="N607" s="97" t="s">
        <v>1903</v>
      </c>
      <c r="O607" s="97" t="s">
        <v>1904</v>
      </c>
    </row>
    <row r="608" spans="1:15">
      <c r="A608" s="101" t="n">
        <v>607</v>
      </c>
      <c r="B608" s="97" t="n">
        <v>668</v>
      </c>
      <c r="C608" s="98" t="s">
        <v>3796</v>
      </c>
      <c r="D608" s="97" t="s">
        <v>3797</v>
      </c>
      <c r="E608" s="97" t="s">
        <v>3443</v>
      </c>
      <c r="F608" s="97" t="s">
        <v>1898</v>
      </c>
      <c r="G608" s="98" t="s">
        <v>3796</v>
      </c>
      <c r="H608" s="97" t="n">
        <v>0</v>
      </c>
      <c r="I608" s="97" t="s">
        <v>1394</v>
      </c>
      <c r="J608" s="97" t="n">
        <v>0</v>
      </c>
      <c r="K608" s="98" t="s">
        <v>3445</v>
      </c>
      <c r="L608" s="97" t="s">
        <v>3450</v>
      </c>
      <c r="M608" s="97" t="s">
        <v>1394</v>
      </c>
      <c r="N608" s="97" t="s">
        <v>3451</v>
      </c>
      <c r="O608" s="97" t="s">
        <v>1904</v>
      </c>
    </row>
    <row r="609" spans="1:15">
      <c r="A609" s="101" t="n">
        <v>608</v>
      </c>
      <c r="B609" s="97" t="n">
        <v>563</v>
      </c>
      <c r="C609" s="98" t="s">
        <v>3798</v>
      </c>
      <c r="D609" s="97" t="s">
        <v>3799</v>
      </c>
      <c r="E609" s="97" t="s">
        <v>3443</v>
      </c>
      <c r="F609" s="97" t="s">
        <v>1898</v>
      </c>
      <c r="G609" s="98" t="s">
        <v>3798</v>
      </c>
      <c r="H609" s="97" t="n">
        <v>0</v>
      </c>
      <c r="I609" s="97" t="s">
        <v>1394</v>
      </c>
      <c r="J609" s="97" t="n">
        <v>0</v>
      </c>
      <c r="K609" s="98" t="s">
        <v>3445</v>
      </c>
      <c r="L609" s="97" t="s">
        <v>157</v>
      </c>
      <c r="M609" s="97" t="s">
        <v>1394</v>
      </c>
      <c r="N609" s="97" t="s">
        <v>3451</v>
      </c>
      <c r="O609" s="97" t="s">
        <v>1904</v>
      </c>
    </row>
    <row r="610" spans="1:15">
      <c r="A610" s="101" t="n">
        <v>609</v>
      </c>
      <c r="B610" s="97" t="n">
        <v>579</v>
      </c>
      <c r="C610" s="98" t="s">
        <v>3800</v>
      </c>
      <c r="D610" s="97" t="s">
        <v>3801</v>
      </c>
      <c r="E610" s="97" t="s">
        <v>3443</v>
      </c>
      <c r="F610" s="97" t="s">
        <v>1898</v>
      </c>
      <c r="G610" s="98" t="s">
        <v>3800</v>
      </c>
      <c r="H610" s="97" t="n">
        <v>0</v>
      </c>
      <c r="I610" s="97" t="s">
        <v>1394</v>
      </c>
      <c r="J610" s="97" t="n">
        <v>0</v>
      </c>
      <c r="K610" s="98" t="s">
        <v>3445</v>
      </c>
      <c r="L610" s="97" t="s">
        <v>157</v>
      </c>
      <c r="M610" s="97" t="s">
        <v>1394</v>
      </c>
      <c r="N610" s="97" t="s">
        <v>3451</v>
      </c>
      <c r="O610" s="97" t="s">
        <v>1904</v>
      </c>
    </row>
    <row r="611" spans="1:15">
      <c r="A611" s="101" t="n">
        <v>610</v>
      </c>
      <c r="B611" s="97" t="n">
        <v>637</v>
      </c>
      <c r="C611" s="98" t="s">
        <v>3802</v>
      </c>
      <c r="D611" s="97" t="s">
        <v>3803</v>
      </c>
      <c r="E611" s="97" t="s">
        <v>3443</v>
      </c>
      <c r="F611" s="97" t="s">
        <v>1898</v>
      </c>
      <c r="G611" s="98" t="s">
        <v>3802</v>
      </c>
      <c r="H611" s="97" t="n">
        <v>0</v>
      </c>
      <c r="I611" s="97" t="s">
        <v>1394</v>
      </c>
      <c r="J611" s="97" t="n">
        <v>0</v>
      </c>
      <c r="K611" s="98" t="s">
        <v>3445</v>
      </c>
      <c r="L611" s="97" t="s">
        <v>157</v>
      </c>
      <c r="M611" s="97" t="s">
        <v>1394</v>
      </c>
      <c r="N611" s="97" t="s">
        <v>3451</v>
      </c>
      <c r="O611" s="97" t="s">
        <v>1904</v>
      </c>
    </row>
    <row r="612" spans="1:15">
      <c r="A612" s="101" t="n">
        <v>611</v>
      </c>
      <c r="B612" s="97" t="n">
        <v>564</v>
      </c>
      <c r="C612" s="98" t="s">
        <v>3804</v>
      </c>
      <c r="D612" s="97" t="s">
        <v>3805</v>
      </c>
      <c r="E612" s="97" t="s">
        <v>3443</v>
      </c>
      <c r="F612" s="97" t="s">
        <v>1898</v>
      </c>
      <c r="G612" s="98" t="s">
        <v>3804</v>
      </c>
      <c r="H612" s="97" t="n">
        <v>0</v>
      </c>
      <c r="I612" s="97" t="s">
        <v>1394</v>
      </c>
      <c r="J612" s="97" t="n">
        <v>0</v>
      </c>
      <c r="K612" s="98" t="s">
        <v>3445</v>
      </c>
      <c r="L612" s="97" t="s">
        <v>1902</v>
      </c>
      <c r="M612" s="97" t="s">
        <v>1394</v>
      </c>
      <c r="N612" s="97" t="s">
        <v>1903</v>
      </c>
      <c r="O612" s="97" t="s">
        <v>1904</v>
      </c>
    </row>
    <row r="613" spans="1:15">
      <c r="A613" s="101" t="n">
        <v>612</v>
      </c>
      <c r="B613" s="97" t="n">
        <v>608</v>
      </c>
      <c r="C613" s="98" t="s">
        <v>3806</v>
      </c>
      <c r="D613" s="97" t="s">
        <v>3807</v>
      </c>
      <c r="E613" s="97" t="s">
        <v>3443</v>
      </c>
      <c r="F613" s="97" t="s">
        <v>1898</v>
      </c>
      <c r="G613" s="98" t="s">
        <v>3806</v>
      </c>
      <c r="H613" s="97" t="n">
        <v>0</v>
      </c>
      <c r="I613" s="97" t="s">
        <v>1394</v>
      </c>
      <c r="J613" s="97" t="n">
        <v>0</v>
      </c>
      <c r="K613" s="98" t="s">
        <v>3445</v>
      </c>
      <c r="L613" s="97" t="s">
        <v>3465</v>
      </c>
      <c r="M613" s="97" t="s">
        <v>1394</v>
      </c>
      <c r="N613" s="97" t="s">
        <v>1903</v>
      </c>
      <c r="O613" s="97" t="s">
        <v>1904</v>
      </c>
    </row>
    <row r="614" spans="1:15">
      <c r="A614" s="101" t="n">
        <v>613</v>
      </c>
      <c r="B614" s="97" t="n">
        <v>706</v>
      </c>
      <c r="C614" s="98" t="s">
        <v>3808</v>
      </c>
      <c r="D614" s="97" t="s">
        <v>3809</v>
      </c>
      <c r="E614" s="97" t="s">
        <v>3443</v>
      </c>
      <c r="F614" s="97" t="s">
        <v>1898</v>
      </c>
      <c r="G614" s="98" t="s">
        <v>3808</v>
      </c>
      <c r="H614" s="97" t="n">
        <v>0</v>
      </c>
      <c r="I614" s="97" t="s">
        <v>1394</v>
      </c>
      <c r="J614" s="97" t="n">
        <v>0</v>
      </c>
      <c r="K614" s="98" t="s">
        <v>3445</v>
      </c>
      <c r="L614" s="97" t="s">
        <v>3465</v>
      </c>
      <c r="M614" s="97" t="s">
        <v>1394</v>
      </c>
      <c r="N614" s="97" t="s">
        <v>1903</v>
      </c>
      <c r="O614" s="97" t="s">
        <v>1904</v>
      </c>
    </row>
    <row r="615" spans="1:15">
      <c r="A615" s="101" t="n">
        <v>614</v>
      </c>
      <c r="B615" s="97" t="n">
        <v>733</v>
      </c>
      <c r="C615" s="98" t="s">
        <v>3810</v>
      </c>
      <c r="D615" s="97" t="s">
        <v>3811</v>
      </c>
      <c r="E615" s="97" t="s">
        <v>3443</v>
      </c>
      <c r="F615" s="97" t="s">
        <v>1898</v>
      </c>
      <c r="G615" s="98" t="s">
        <v>3810</v>
      </c>
      <c r="H615" s="97" t="n">
        <v>0</v>
      </c>
      <c r="I615" s="97" t="s">
        <v>1394</v>
      </c>
      <c r="J615" s="97" t="n">
        <v>0</v>
      </c>
      <c r="K615" s="98" t="s">
        <v>3445</v>
      </c>
      <c r="L615" s="97" t="s">
        <v>3465</v>
      </c>
      <c r="M615" s="97" t="s">
        <v>1394</v>
      </c>
      <c r="N615" s="97" t="s">
        <v>1903</v>
      </c>
      <c r="O615" s="97" t="s">
        <v>1904</v>
      </c>
    </row>
    <row r="616" spans="1:15">
      <c r="A616" s="101" t="n">
        <v>615</v>
      </c>
      <c r="B616" s="97" t="n">
        <v>559</v>
      </c>
      <c r="C616" s="98" t="s">
        <v>3812</v>
      </c>
      <c r="D616" s="97" t="s">
        <v>3813</v>
      </c>
      <c r="E616" s="97" t="s">
        <v>3443</v>
      </c>
      <c r="F616" s="97" t="s">
        <v>1898</v>
      </c>
      <c r="G616" s="98" t="s">
        <v>3812</v>
      </c>
      <c r="H616" s="97" t="n">
        <v>0</v>
      </c>
      <c r="I616" s="97" t="s">
        <v>1394</v>
      </c>
      <c r="J616" s="97" t="n">
        <v>0</v>
      </c>
      <c r="K616" s="98" t="s">
        <v>3814</v>
      </c>
      <c r="L616" s="97" t="s">
        <v>157</v>
      </c>
      <c r="M616" s="97" t="s">
        <v>1394</v>
      </c>
      <c r="N616" s="97" t="s">
        <v>3451</v>
      </c>
      <c r="O616" s="97" t="s">
        <v>1904</v>
      </c>
    </row>
    <row r="617" spans="1:15">
      <c r="A617" s="101" t="n">
        <v>616</v>
      </c>
      <c r="B617" s="97" t="n">
        <v>694</v>
      </c>
      <c r="C617" s="98" t="s">
        <v>3815</v>
      </c>
      <c r="D617" s="97" t="s">
        <v>3816</v>
      </c>
      <c r="E617" s="97" t="s">
        <v>3443</v>
      </c>
      <c r="F617" s="97" t="s">
        <v>1898</v>
      </c>
      <c r="G617" s="98" t="s">
        <v>3815</v>
      </c>
      <c r="H617" s="97" t="n">
        <v>0</v>
      </c>
      <c r="I617" s="97" t="s">
        <v>1394</v>
      </c>
      <c r="J617" s="97" t="n">
        <v>0</v>
      </c>
      <c r="K617" s="98" t="s">
        <v>3445</v>
      </c>
      <c r="L617" s="97" t="s">
        <v>3465</v>
      </c>
      <c r="M617" s="97" t="s">
        <v>1394</v>
      </c>
      <c r="N617" s="97" t="s">
        <v>1903</v>
      </c>
      <c r="O617" s="97" t="s">
        <v>1904</v>
      </c>
    </row>
    <row r="618" spans="1:15">
      <c r="A618" s="101" t="n">
        <v>617</v>
      </c>
      <c r="B618" s="97" t="n">
        <v>669</v>
      </c>
      <c r="C618" s="98" t="s">
        <v>3817</v>
      </c>
      <c r="D618" s="97" t="s">
        <v>3818</v>
      </c>
      <c r="E618" s="97" t="s">
        <v>3443</v>
      </c>
      <c r="F618" s="97" t="s">
        <v>1898</v>
      </c>
      <c r="G618" s="98" t="s">
        <v>3817</v>
      </c>
      <c r="H618" s="97" t="n">
        <v>0</v>
      </c>
      <c r="I618" s="97" t="s">
        <v>1394</v>
      </c>
      <c r="J618" s="97" t="n">
        <v>0</v>
      </c>
      <c r="K618" s="98" t="s">
        <v>3445</v>
      </c>
      <c r="L618" s="97" t="s">
        <v>3465</v>
      </c>
      <c r="M618" s="97" t="s">
        <v>1394</v>
      </c>
      <c r="N618" s="97" t="s">
        <v>1903</v>
      </c>
      <c r="O618" s="97" t="s">
        <v>1904</v>
      </c>
    </row>
    <row r="619" spans="1:15">
      <c r="A619" s="101" t="n">
        <v>618</v>
      </c>
      <c r="B619" s="97" t="n">
        <v>576</v>
      </c>
      <c r="C619" s="98" t="s">
        <v>3819</v>
      </c>
      <c r="D619" s="97" t="s">
        <v>3820</v>
      </c>
      <c r="E619" s="97" t="s">
        <v>3443</v>
      </c>
      <c r="F619" s="97" t="s">
        <v>1898</v>
      </c>
      <c r="G619" s="98" t="s">
        <v>3819</v>
      </c>
      <c r="H619" s="97" t="n">
        <v>0</v>
      </c>
      <c r="I619" s="97" t="s">
        <v>1394</v>
      </c>
      <c r="J619" s="97" t="n">
        <v>0</v>
      </c>
      <c r="K619" s="98" t="s">
        <v>3445</v>
      </c>
      <c r="L619" s="97" t="s">
        <v>3450</v>
      </c>
      <c r="M619" s="97" t="s">
        <v>1394</v>
      </c>
      <c r="N619" s="97" t="s">
        <v>3451</v>
      </c>
      <c r="O619" s="97" t="s">
        <v>1904</v>
      </c>
    </row>
    <row r="620" spans="1:15">
      <c r="A620" s="101" t="n">
        <v>619</v>
      </c>
      <c r="B620" s="97" t="n">
        <v>729</v>
      </c>
      <c r="C620" s="98" t="s">
        <v>3821</v>
      </c>
      <c r="D620" s="97" t="s">
        <v>3822</v>
      </c>
      <c r="E620" s="97" t="s">
        <v>3443</v>
      </c>
      <c r="F620" s="97" t="s">
        <v>1898</v>
      </c>
      <c r="G620" s="98" t="s">
        <v>3821</v>
      </c>
      <c r="H620" s="97" t="n">
        <v>0</v>
      </c>
      <c r="I620" s="97" t="s">
        <v>1394</v>
      </c>
      <c r="J620" s="97" t="n">
        <v>0</v>
      </c>
      <c r="K620" s="98" t="s">
        <v>3445</v>
      </c>
      <c r="L620" s="97" t="s">
        <v>3465</v>
      </c>
      <c r="M620" s="97" t="s">
        <v>1394</v>
      </c>
      <c r="N620" s="97" t="s">
        <v>1903</v>
      </c>
      <c r="O620" s="97" t="s">
        <v>1904</v>
      </c>
    </row>
    <row r="621" spans="1:15">
      <c r="A621" s="101" t="n">
        <v>620</v>
      </c>
      <c r="B621" s="97" t="n">
        <v>739</v>
      </c>
      <c r="C621" s="98" t="s">
        <v>3823</v>
      </c>
      <c r="D621" s="97" t="s">
        <v>3824</v>
      </c>
      <c r="E621" s="97" t="s">
        <v>3443</v>
      </c>
      <c r="F621" s="97" t="s">
        <v>1898</v>
      </c>
      <c r="G621" s="98" t="s">
        <v>3823</v>
      </c>
      <c r="H621" s="97" t="n">
        <v>0</v>
      </c>
      <c r="I621" s="97" t="s">
        <v>1394</v>
      </c>
      <c r="J621" s="97" t="n">
        <v>0</v>
      </c>
      <c r="K621" s="98" t="s">
        <v>3445</v>
      </c>
      <c r="L621" s="97" t="s">
        <v>3465</v>
      </c>
      <c r="M621" s="97" t="s">
        <v>1394</v>
      </c>
      <c r="N621" s="97" t="s">
        <v>1903</v>
      </c>
      <c r="O621" s="97" t="s">
        <v>1904</v>
      </c>
    </row>
    <row r="622" spans="1:15">
      <c r="A622" s="101" t="n">
        <v>621</v>
      </c>
      <c r="B622" s="97" t="n">
        <v>728</v>
      </c>
      <c r="C622" s="98" t="s">
        <v>3825</v>
      </c>
      <c r="D622" s="97" t="s">
        <v>3826</v>
      </c>
      <c r="E622" s="97" t="s">
        <v>3443</v>
      </c>
      <c r="F622" s="97" t="s">
        <v>1898</v>
      </c>
      <c r="G622" s="98" t="s">
        <v>3825</v>
      </c>
      <c r="H622" s="97" t="n">
        <v>0</v>
      </c>
      <c r="I622" s="97" t="s">
        <v>1394</v>
      </c>
      <c r="J622" s="97" t="n">
        <v>0</v>
      </c>
      <c r="K622" s="98" t="s">
        <v>3445</v>
      </c>
      <c r="L622" s="97" t="s">
        <v>3465</v>
      </c>
      <c r="M622" s="97" t="s">
        <v>1394</v>
      </c>
      <c r="N622" s="97" t="s">
        <v>1903</v>
      </c>
      <c r="O622" s="97" t="s">
        <v>1904</v>
      </c>
    </row>
    <row r="623" spans="1:15">
      <c r="A623" s="101" t="n">
        <v>622</v>
      </c>
      <c r="B623" s="97" t="n">
        <v>587</v>
      </c>
      <c r="C623" s="98" t="s">
        <v>3827</v>
      </c>
      <c r="D623" s="97" t="s">
        <v>3828</v>
      </c>
      <c r="E623" s="97" t="s">
        <v>3443</v>
      </c>
      <c r="F623" s="97" t="s">
        <v>1898</v>
      </c>
      <c r="G623" s="98" t="s">
        <v>3827</v>
      </c>
      <c r="H623" s="97" t="n">
        <v>0</v>
      </c>
      <c r="I623" s="97" t="s">
        <v>1394</v>
      </c>
      <c r="J623" s="97" t="n">
        <v>0</v>
      </c>
      <c r="K623" s="98" t="s">
        <v>3445</v>
      </c>
      <c r="L623" s="97" t="s">
        <v>3465</v>
      </c>
      <c r="M623" s="97" t="s">
        <v>1394</v>
      </c>
      <c r="N623" s="97" t="s">
        <v>1903</v>
      </c>
      <c r="O623" s="97" t="s">
        <v>1904</v>
      </c>
    </row>
    <row r="624" spans="1:15">
      <c r="A624" s="101" t="n">
        <v>623</v>
      </c>
      <c r="B624" s="97" t="n">
        <v>646</v>
      </c>
      <c r="C624" s="98" t="s">
        <v>3829</v>
      </c>
      <c r="D624" s="97" t="s">
        <v>3830</v>
      </c>
      <c r="E624" s="97" t="s">
        <v>3443</v>
      </c>
      <c r="F624" s="97" t="s">
        <v>1898</v>
      </c>
      <c r="G624" s="98" t="s">
        <v>3829</v>
      </c>
      <c r="H624" s="97" t="n">
        <v>0</v>
      </c>
      <c r="I624" s="97" t="s">
        <v>1394</v>
      </c>
      <c r="J624" s="97" t="n">
        <v>0</v>
      </c>
      <c r="K624" s="98" t="s">
        <v>3445</v>
      </c>
      <c r="L624" s="97" t="s">
        <v>157</v>
      </c>
      <c r="M624" s="97" t="s">
        <v>1394</v>
      </c>
      <c r="N624" s="97" t="s">
        <v>3451</v>
      </c>
      <c r="O624" s="97" t="s">
        <v>1904</v>
      </c>
    </row>
    <row r="625" spans="1:15">
      <c r="A625" s="101" t="n">
        <v>624</v>
      </c>
      <c r="B625" s="97" t="n">
        <v>671</v>
      </c>
      <c r="C625" s="98" t="s">
        <v>3831</v>
      </c>
      <c r="D625" s="97" t="s">
        <v>3832</v>
      </c>
      <c r="E625" s="97" t="s">
        <v>3443</v>
      </c>
      <c r="F625" s="97" t="s">
        <v>1898</v>
      </c>
      <c r="G625" s="98" t="s">
        <v>3831</v>
      </c>
      <c r="H625" s="97" t="n">
        <v>0</v>
      </c>
      <c r="I625" s="97" t="s">
        <v>1394</v>
      </c>
      <c r="J625" s="97" t="n">
        <v>0</v>
      </c>
      <c r="K625" s="98" t="s">
        <v>3445</v>
      </c>
      <c r="L625" s="97" t="s">
        <v>3465</v>
      </c>
      <c r="M625" s="97" t="s">
        <v>1394</v>
      </c>
      <c r="N625" s="97" t="s">
        <v>1903</v>
      </c>
      <c r="O625" s="97" t="s">
        <v>1904</v>
      </c>
    </row>
    <row r="626" spans="1:15">
      <c r="A626" s="101" t="n">
        <v>625</v>
      </c>
      <c r="B626" s="97" t="n">
        <v>664</v>
      </c>
      <c r="C626" s="98" t="s">
        <v>3833</v>
      </c>
      <c r="D626" s="97" t="s">
        <v>3834</v>
      </c>
      <c r="E626" s="97" t="s">
        <v>3443</v>
      </c>
      <c r="F626" s="97" t="s">
        <v>1898</v>
      </c>
      <c r="G626" s="98" t="s">
        <v>3833</v>
      </c>
      <c r="H626" s="97" t="n">
        <v>0</v>
      </c>
      <c r="I626" s="97" t="s">
        <v>1394</v>
      </c>
      <c r="J626" s="97" t="n">
        <v>0</v>
      </c>
      <c r="K626" s="98" t="s">
        <v>3445</v>
      </c>
      <c r="L626" s="97" t="s">
        <v>3465</v>
      </c>
      <c r="M626" s="97" t="s">
        <v>1394</v>
      </c>
      <c r="N626" s="97" t="s">
        <v>1903</v>
      </c>
      <c r="O626" s="97" t="s">
        <v>1904</v>
      </c>
    </row>
    <row r="627" spans="1:15">
      <c r="A627" s="101" t="n">
        <v>626</v>
      </c>
      <c r="B627" s="97" t="n">
        <v>600</v>
      </c>
      <c r="C627" s="98" t="s">
        <v>3835</v>
      </c>
      <c r="D627" s="97" t="s">
        <v>3836</v>
      </c>
      <c r="E627" s="97" t="s">
        <v>3443</v>
      </c>
      <c r="F627" s="97" t="s">
        <v>1898</v>
      </c>
      <c r="G627" s="98" t="s">
        <v>3835</v>
      </c>
      <c r="H627" s="97" t="n">
        <v>0</v>
      </c>
      <c r="I627" s="97" t="s">
        <v>1394</v>
      </c>
      <c r="J627" s="97" t="n">
        <v>0</v>
      </c>
      <c r="K627" s="98" t="s">
        <v>3445</v>
      </c>
      <c r="L627" s="97" t="s">
        <v>157</v>
      </c>
      <c r="M627" s="97" t="s">
        <v>1394</v>
      </c>
      <c r="N627" s="97" t="s">
        <v>3451</v>
      </c>
      <c r="O627" s="97" t="s">
        <v>1904</v>
      </c>
    </row>
    <row r="628" spans="1:15">
      <c r="A628" s="101" t="n">
        <v>627</v>
      </c>
      <c r="B628" s="97" t="n">
        <v>665</v>
      </c>
      <c r="C628" s="98" t="s">
        <v>3837</v>
      </c>
      <c r="D628" s="97" t="s">
        <v>3838</v>
      </c>
      <c r="E628" s="97" t="s">
        <v>3443</v>
      </c>
      <c r="F628" s="97" t="s">
        <v>1898</v>
      </c>
      <c r="G628" s="98" t="s">
        <v>3837</v>
      </c>
      <c r="H628" s="97" t="n">
        <v>0</v>
      </c>
      <c r="I628" s="97" t="s">
        <v>1394</v>
      </c>
      <c r="J628" s="97" t="n">
        <v>0</v>
      </c>
      <c r="K628" s="98" t="s">
        <v>3445</v>
      </c>
      <c r="L628" s="97" t="s">
        <v>3518</v>
      </c>
      <c r="M628" s="97" t="s">
        <v>1394</v>
      </c>
      <c r="N628" s="97" t="s">
        <v>1903</v>
      </c>
      <c r="O628" s="97" t="s">
        <v>1904</v>
      </c>
    </row>
    <row r="629" spans="1:15">
      <c r="A629" s="101" t="n">
        <v>628</v>
      </c>
      <c r="B629" s="97" t="n">
        <v>701</v>
      </c>
      <c r="C629" s="98" t="s">
        <v>3839</v>
      </c>
      <c r="D629" s="97" t="s">
        <v>3840</v>
      </c>
      <c r="E629" s="97" t="s">
        <v>3443</v>
      </c>
      <c r="F629" s="97" t="s">
        <v>1898</v>
      </c>
      <c r="G629" s="98" t="s">
        <v>3839</v>
      </c>
      <c r="H629" s="97" t="n">
        <v>0</v>
      </c>
      <c r="I629" s="97" t="s">
        <v>1394</v>
      </c>
      <c r="J629" s="97" t="n">
        <v>0</v>
      </c>
      <c r="K629" s="98" t="s">
        <v>3445</v>
      </c>
      <c r="L629" s="97" t="s">
        <v>3465</v>
      </c>
      <c r="M629" s="97" t="s">
        <v>1394</v>
      </c>
      <c r="N629" s="97" t="s">
        <v>1903</v>
      </c>
      <c r="O629" s="97" t="s">
        <v>1904</v>
      </c>
    </row>
    <row r="630" spans="1:15">
      <c r="A630" s="101" t="n">
        <v>629</v>
      </c>
      <c r="B630" s="97" t="n">
        <v>685</v>
      </c>
      <c r="C630" s="98" t="s">
        <v>3841</v>
      </c>
      <c r="D630" s="97" t="s">
        <v>3842</v>
      </c>
      <c r="E630" s="97" t="s">
        <v>3443</v>
      </c>
      <c r="F630" s="97" t="s">
        <v>1898</v>
      </c>
      <c r="G630" s="98" t="s">
        <v>3841</v>
      </c>
      <c r="H630" s="97" t="n">
        <v>0</v>
      </c>
      <c r="I630" s="97" t="s">
        <v>1394</v>
      </c>
      <c r="J630" s="97" t="n">
        <v>0</v>
      </c>
      <c r="K630" s="98" t="s">
        <v>3445</v>
      </c>
      <c r="L630" s="97" t="s">
        <v>1902</v>
      </c>
      <c r="M630" s="97" t="s">
        <v>1394</v>
      </c>
      <c r="N630" s="97" t="s">
        <v>1903</v>
      </c>
      <c r="O630" s="97" t="s">
        <v>1904</v>
      </c>
    </row>
    <row r="631" spans="1:15">
      <c r="A631" s="101" t="n">
        <v>630</v>
      </c>
      <c r="B631" s="97" t="n">
        <v>741</v>
      </c>
      <c r="C631" s="98" t="s">
        <v>3843</v>
      </c>
      <c r="D631" s="97" t="s">
        <v>3844</v>
      </c>
      <c r="E631" s="97" t="s">
        <v>3443</v>
      </c>
      <c r="F631" s="97" t="s">
        <v>1898</v>
      </c>
      <c r="G631" s="98" t="s">
        <v>3843</v>
      </c>
      <c r="H631" s="97" t="n">
        <v>0</v>
      </c>
      <c r="I631" s="97" t="s">
        <v>1394</v>
      </c>
      <c r="J631" s="97" t="n">
        <v>0</v>
      </c>
      <c r="K631" s="98" t="s">
        <v>3445</v>
      </c>
      <c r="L631" s="97" t="s">
        <v>3465</v>
      </c>
      <c r="M631" s="97" t="s">
        <v>1394</v>
      </c>
      <c r="N631" s="97" t="s">
        <v>1903</v>
      </c>
      <c r="O631" s="97" t="s">
        <v>1904</v>
      </c>
    </row>
    <row r="632" spans="1:15">
      <c r="A632" s="101" t="n">
        <v>631</v>
      </c>
      <c r="B632" s="97" t="n">
        <v>656</v>
      </c>
      <c r="C632" s="98" t="s">
        <v>3845</v>
      </c>
      <c r="D632" s="97" t="s">
        <v>3846</v>
      </c>
      <c r="E632" s="97" t="s">
        <v>3443</v>
      </c>
      <c r="F632" s="97" t="s">
        <v>1898</v>
      </c>
      <c r="G632" s="98" t="s">
        <v>3845</v>
      </c>
      <c r="H632" s="97" t="n">
        <v>0</v>
      </c>
      <c r="I632" s="97" t="s">
        <v>1394</v>
      </c>
      <c r="J632" s="97" t="n">
        <v>0</v>
      </c>
      <c r="K632" s="98" t="s">
        <v>3445</v>
      </c>
      <c r="L632" s="97" t="s">
        <v>157</v>
      </c>
      <c r="M632" s="97" t="s">
        <v>1394</v>
      </c>
      <c r="N632" s="97" t="s">
        <v>3451</v>
      </c>
      <c r="O632" s="97" t="s">
        <v>1904</v>
      </c>
    </row>
    <row r="633" spans="1:15">
      <c r="A633" s="101" t="n">
        <v>632</v>
      </c>
      <c r="B633" s="97" t="n">
        <v>692</v>
      </c>
      <c r="C633" s="98" t="s">
        <v>3847</v>
      </c>
      <c r="D633" s="97" t="s">
        <v>3848</v>
      </c>
      <c r="E633" s="97" t="s">
        <v>3443</v>
      </c>
      <c r="F633" s="97" t="s">
        <v>1898</v>
      </c>
      <c r="G633" s="98" t="s">
        <v>3847</v>
      </c>
      <c r="H633" s="97" t="n">
        <v>0</v>
      </c>
      <c r="I633" s="97" t="s">
        <v>1394</v>
      </c>
      <c r="J633" s="97" t="n">
        <v>0</v>
      </c>
      <c r="K633" s="98" t="s">
        <v>3445</v>
      </c>
      <c r="L633" s="97" t="s">
        <v>1902</v>
      </c>
      <c r="M633" s="97" t="s">
        <v>1394</v>
      </c>
      <c r="N633" s="97" t="s">
        <v>1903</v>
      </c>
      <c r="O633" s="97" t="s">
        <v>1904</v>
      </c>
    </row>
    <row r="634" spans="1:15">
      <c r="A634" s="101" t="n">
        <v>633</v>
      </c>
      <c r="B634" s="97" t="n">
        <v>648</v>
      </c>
      <c r="C634" s="98" t="s">
        <v>3849</v>
      </c>
      <c r="D634" s="97" t="s">
        <v>3850</v>
      </c>
      <c r="E634" s="97" t="s">
        <v>3443</v>
      </c>
      <c r="F634" s="97" t="s">
        <v>1898</v>
      </c>
      <c r="G634" s="98" t="s">
        <v>3849</v>
      </c>
      <c r="H634" s="97" t="n">
        <v>0</v>
      </c>
      <c r="I634" s="97" t="s">
        <v>1394</v>
      </c>
      <c r="J634" s="97" t="n">
        <v>0</v>
      </c>
      <c r="K634" s="98" t="s">
        <v>3445</v>
      </c>
      <c r="L634" s="97" t="s">
        <v>157</v>
      </c>
      <c r="M634" s="97" t="s">
        <v>1394</v>
      </c>
      <c r="N634" s="97" t="s">
        <v>3451</v>
      </c>
      <c r="O634" s="97" t="s">
        <v>1904</v>
      </c>
    </row>
    <row r="635" spans="1:15">
      <c r="A635" s="101" t="n">
        <v>634</v>
      </c>
      <c r="B635" s="97" t="n">
        <v>689</v>
      </c>
      <c r="C635" s="98" t="s">
        <v>3851</v>
      </c>
      <c r="D635" s="97" t="s">
        <v>3852</v>
      </c>
      <c r="E635" s="97" t="s">
        <v>3443</v>
      </c>
      <c r="F635" s="97" t="s">
        <v>1898</v>
      </c>
      <c r="G635" s="98" t="s">
        <v>3851</v>
      </c>
      <c r="H635" s="97" t="n">
        <v>0</v>
      </c>
      <c r="I635" s="97" t="s">
        <v>1394</v>
      </c>
      <c r="J635" s="97" t="n">
        <v>0</v>
      </c>
      <c r="K635" s="98" t="s">
        <v>3445</v>
      </c>
      <c r="L635" s="97" t="s">
        <v>1902</v>
      </c>
      <c r="M635" s="97" t="s">
        <v>1394</v>
      </c>
      <c r="N635" s="97" t="s">
        <v>1903</v>
      </c>
      <c r="O635" s="97" t="s">
        <v>1904</v>
      </c>
    </row>
    <row r="636" spans="1:15">
      <c r="A636" s="101" t="n">
        <v>635</v>
      </c>
      <c r="B636" s="97" t="n">
        <v>578</v>
      </c>
      <c r="C636" s="98" t="s">
        <v>3853</v>
      </c>
      <c r="D636" s="97" t="s">
        <v>3854</v>
      </c>
      <c r="E636" s="97" t="s">
        <v>3443</v>
      </c>
      <c r="F636" s="97" t="s">
        <v>1898</v>
      </c>
      <c r="G636" s="98" t="s">
        <v>3853</v>
      </c>
      <c r="H636" s="97" t="n">
        <v>0</v>
      </c>
      <c r="I636" s="97" t="s">
        <v>1394</v>
      </c>
      <c r="J636" s="97" t="n">
        <v>0</v>
      </c>
      <c r="K636" s="98" t="s">
        <v>3445</v>
      </c>
      <c r="L636" s="97" t="s">
        <v>157</v>
      </c>
      <c r="M636" s="97" t="s">
        <v>1394</v>
      </c>
      <c r="N636" s="97" t="s">
        <v>3451</v>
      </c>
      <c r="O636" s="97" t="s">
        <v>1904</v>
      </c>
    </row>
    <row r="637" spans="1:15">
      <c r="A637" s="101" t="n">
        <v>636</v>
      </c>
      <c r="B637" s="97" t="n">
        <v>644</v>
      </c>
      <c r="C637" s="98" t="s">
        <v>3855</v>
      </c>
      <c r="D637" s="97" t="s">
        <v>3856</v>
      </c>
      <c r="E637" s="97" t="s">
        <v>3443</v>
      </c>
      <c r="F637" s="97" t="s">
        <v>1898</v>
      </c>
      <c r="G637" s="98" t="s">
        <v>3855</v>
      </c>
      <c r="H637" s="97" t="n">
        <v>0</v>
      </c>
      <c r="I637" s="97" t="s">
        <v>1394</v>
      </c>
      <c r="J637" s="97" t="n">
        <v>0</v>
      </c>
      <c r="K637" s="98" t="s">
        <v>3445</v>
      </c>
      <c r="L637" s="97" t="s">
        <v>157</v>
      </c>
      <c r="M637" s="97" t="s">
        <v>1394</v>
      </c>
      <c r="N637" s="97" t="s">
        <v>3451</v>
      </c>
      <c r="O637" s="97" t="s">
        <v>1904</v>
      </c>
    </row>
    <row r="638" spans="1:15">
      <c r="A638" s="101" t="n">
        <v>637</v>
      </c>
      <c r="B638" s="97" t="n">
        <v>642</v>
      </c>
      <c r="C638" s="98" t="s">
        <v>3857</v>
      </c>
      <c r="D638" s="97" t="s">
        <v>3858</v>
      </c>
      <c r="E638" s="97" t="s">
        <v>3443</v>
      </c>
      <c r="F638" s="97" t="s">
        <v>1898</v>
      </c>
      <c r="G638" s="98" t="s">
        <v>3857</v>
      </c>
      <c r="H638" s="97" t="n">
        <v>0</v>
      </c>
      <c r="I638" s="97" t="s">
        <v>1394</v>
      </c>
      <c r="J638" s="97" t="n">
        <v>0</v>
      </c>
      <c r="K638" s="98" t="s">
        <v>3445</v>
      </c>
      <c r="L638" s="97" t="s">
        <v>157</v>
      </c>
      <c r="M638" s="97" t="s">
        <v>1394</v>
      </c>
      <c r="N638" s="97" t="s">
        <v>3451</v>
      </c>
      <c r="O638" s="97" t="s">
        <v>1904</v>
      </c>
    </row>
    <row r="639" spans="1:15">
      <c r="A639" s="101" t="n">
        <v>638</v>
      </c>
      <c r="B639" s="97" t="n">
        <v>649</v>
      </c>
      <c r="C639" s="98" t="s">
        <v>3859</v>
      </c>
      <c r="D639" s="97" t="s">
        <v>3860</v>
      </c>
      <c r="E639" s="97" t="s">
        <v>3443</v>
      </c>
      <c r="F639" s="97" t="s">
        <v>1898</v>
      </c>
      <c r="G639" s="98" t="s">
        <v>3859</v>
      </c>
      <c r="H639" s="97" t="n">
        <v>0</v>
      </c>
      <c r="I639" s="97" t="s">
        <v>1394</v>
      </c>
      <c r="J639" s="97" t="n">
        <v>0</v>
      </c>
      <c r="K639" s="98" t="s">
        <v>3445</v>
      </c>
      <c r="L639" s="97" t="s">
        <v>157</v>
      </c>
      <c r="M639" s="97" t="s">
        <v>1394</v>
      </c>
      <c r="N639" s="97" t="s">
        <v>3451</v>
      </c>
      <c r="O639" s="97" t="s">
        <v>1904</v>
      </c>
    </row>
    <row r="640" spans="1:15">
      <c r="A640" s="101" t="n">
        <v>639</v>
      </c>
      <c r="B640" s="97" t="n">
        <v>555</v>
      </c>
      <c r="C640" s="98" t="s">
        <v>3861</v>
      </c>
      <c r="D640" s="97" t="s">
        <v>3862</v>
      </c>
      <c r="E640" s="97" t="s">
        <v>3443</v>
      </c>
      <c r="F640" s="97" t="s">
        <v>1898</v>
      </c>
      <c r="G640" s="98" t="s">
        <v>3861</v>
      </c>
      <c r="H640" s="97" t="n">
        <v>0</v>
      </c>
      <c r="I640" s="97" t="s">
        <v>1394</v>
      </c>
      <c r="J640" s="97" t="n">
        <v>0</v>
      </c>
      <c r="K640" s="98" t="s">
        <v>3445</v>
      </c>
      <c r="L640" s="97" t="s">
        <v>1902</v>
      </c>
      <c r="M640" s="97" t="s">
        <v>1394</v>
      </c>
      <c r="N640" s="97" t="s">
        <v>1903</v>
      </c>
      <c r="O640" s="97" t="s">
        <v>1904</v>
      </c>
    </row>
    <row r="641" spans="1:15">
      <c r="A641" s="101" t="n">
        <v>640</v>
      </c>
      <c r="B641" s="97" t="n">
        <v>634</v>
      </c>
      <c r="C641" s="98" t="s">
        <v>3863</v>
      </c>
      <c r="D641" s="97" t="s">
        <v>3864</v>
      </c>
      <c r="E641" s="97" t="s">
        <v>3443</v>
      </c>
      <c r="F641" s="97" t="s">
        <v>1898</v>
      </c>
      <c r="G641" s="98" t="s">
        <v>3863</v>
      </c>
      <c r="H641" s="97" t="n">
        <v>0</v>
      </c>
      <c r="I641" s="97" t="s">
        <v>1394</v>
      </c>
      <c r="J641" s="97" t="n">
        <v>0</v>
      </c>
      <c r="K641" s="98" t="s">
        <v>3445</v>
      </c>
      <c r="L641" s="97" t="s">
        <v>3465</v>
      </c>
      <c r="M641" s="97" t="s">
        <v>1394</v>
      </c>
      <c r="N641" s="97" t="s">
        <v>1903</v>
      </c>
      <c r="O641" s="97" t="s">
        <v>1904</v>
      </c>
    </row>
    <row r="642" spans="1:15">
      <c r="A642" s="101" t="n">
        <v>641</v>
      </c>
      <c r="B642" s="97" t="n">
        <v>601</v>
      </c>
      <c r="C642" s="98" t="s">
        <v>3865</v>
      </c>
      <c r="D642" s="97" t="s">
        <v>3866</v>
      </c>
      <c r="E642" s="97" t="s">
        <v>3443</v>
      </c>
      <c r="F642" s="97" t="s">
        <v>1898</v>
      </c>
      <c r="G642" s="98" t="s">
        <v>3865</v>
      </c>
      <c r="H642" s="97" t="n">
        <v>0</v>
      </c>
      <c r="I642" s="97" t="s">
        <v>1394</v>
      </c>
      <c r="J642" s="97" t="n">
        <v>0</v>
      </c>
      <c r="K642" s="98" t="s">
        <v>3445</v>
      </c>
      <c r="L642" s="97" t="s">
        <v>3465</v>
      </c>
      <c r="M642" s="97" t="s">
        <v>1394</v>
      </c>
      <c r="N642" s="97" t="s">
        <v>1903</v>
      </c>
      <c r="O642" s="97" t="s">
        <v>1904</v>
      </c>
    </row>
    <row r="643" spans="1:15">
      <c r="A643" s="101" t="n">
        <v>642</v>
      </c>
      <c r="B643" s="97" t="n">
        <v>654</v>
      </c>
      <c r="C643" s="98" t="s">
        <v>3867</v>
      </c>
      <c r="D643" s="97" t="s">
        <v>3868</v>
      </c>
      <c r="E643" s="97" t="s">
        <v>3443</v>
      </c>
      <c r="F643" s="97" t="s">
        <v>1898</v>
      </c>
      <c r="G643" s="98" t="s">
        <v>3867</v>
      </c>
      <c r="H643" s="97" t="n">
        <v>0</v>
      </c>
      <c r="I643" s="97" t="s">
        <v>1394</v>
      </c>
      <c r="J643" s="97" t="n">
        <v>0</v>
      </c>
      <c r="K643" s="98" t="s">
        <v>3869</v>
      </c>
      <c r="L643" s="97" t="s">
        <v>3450</v>
      </c>
      <c r="M643" s="97" t="s">
        <v>1394</v>
      </c>
      <c r="N643" s="97" t="s">
        <v>3451</v>
      </c>
      <c r="O643" s="97" t="s">
        <v>1904</v>
      </c>
    </row>
    <row r="644" spans="1:15">
      <c r="A644" s="101" t="n">
        <v>643</v>
      </c>
      <c r="B644" s="97" t="n">
        <v>629</v>
      </c>
      <c r="C644" s="98" t="s">
        <v>3870</v>
      </c>
      <c r="D644" s="97" t="s">
        <v>3871</v>
      </c>
      <c r="E644" s="97" t="s">
        <v>3443</v>
      </c>
      <c r="F644" s="97" t="s">
        <v>1898</v>
      </c>
      <c r="G644" s="98" t="s">
        <v>3870</v>
      </c>
      <c r="H644" s="97" t="n">
        <v>0</v>
      </c>
      <c r="I644" s="97" t="s">
        <v>1394</v>
      </c>
      <c r="J644" s="97" t="n">
        <v>0</v>
      </c>
      <c r="K644" s="98" t="s">
        <v>3445</v>
      </c>
      <c r="L644" s="97" t="s">
        <v>3518</v>
      </c>
      <c r="M644" s="97" t="s">
        <v>1394</v>
      </c>
      <c r="N644" s="97" t="s">
        <v>1903</v>
      </c>
      <c r="O644" s="97" t="s">
        <v>1904</v>
      </c>
    </row>
    <row r="645" spans="1:15">
      <c r="A645" s="101" t="n">
        <v>644</v>
      </c>
      <c r="B645" s="97" t="n">
        <v>580</v>
      </c>
      <c r="C645" s="98" t="s">
        <v>3872</v>
      </c>
      <c r="D645" s="97" t="s">
        <v>3873</v>
      </c>
      <c r="E645" s="97" t="s">
        <v>3443</v>
      </c>
      <c r="F645" s="97" t="s">
        <v>1898</v>
      </c>
      <c r="G645" s="98" t="s">
        <v>3872</v>
      </c>
      <c r="H645" s="97" t="n">
        <v>0</v>
      </c>
      <c r="I645" s="97" t="s">
        <v>1394</v>
      </c>
      <c r="J645" s="97" t="n">
        <v>0</v>
      </c>
      <c r="K645" s="98" t="s">
        <v>3445</v>
      </c>
      <c r="L645" s="97" t="s">
        <v>157</v>
      </c>
      <c r="M645" s="97" t="s">
        <v>1394</v>
      </c>
      <c r="N645" s="97" t="s">
        <v>3451</v>
      </c>
      <c r="O645" s="97" t="s">
        <v>1904</v>
      </c>
    </row>
    <row r="646" spans="1:15">
      <c r="A646" s="101" t="n">
        <v>645</v>
      </c>
      <c r="B646" s="97" t="n">
        <v>748</v>
      </c>
      <c r="C646" s="98" t="s">
        <v>3874</v>
      </c>
      <c r="D646" s="97" t="s">
        <v>3875</v>
      </c>
      <c r="E646" s="97" t="s">
        <v>3443</v>
      </c>
      <c r="F646" s="97" t="s">
        <v>1898</v>
      </c>
      <c r="G646" s="98" t="s">
        <v>3874</v>
      </c>
      <c r="H646" s="97" t="n">
        <v>0</v>
      </c>
      <c r="I646" s="97" t="s">
        <v>1394</v>
      </c>
      <c r="J646" s="97" t="n">
        <v>0</v>
      </c>
      <c r="K646" s="98" t="s">
        <v>3445</v>
      </c>
      <c r="L646" s="97" t="s">
        <v>3465</v>
      </c>
      <c r="M646" s="97" t="s">
        <v>1394</v>
      </c>
      <c r="N646" s="97" t="s">
        <v>1903</v>
      </c>
      <c r="O646" s="97" t="s">
        <v>1904</v>
      </c>
    </row>
    <row r="647" spans="1:15">
      <c r="A647" s="101" t="n">
        <v>646</v>
      </c>
      <c r="B647" s="97" t="n">
        <v>598</v>
      </c>
      <c r="C647" s="98" t="s">
        <v>3876</v>
      </c>
      <c r="D647" s="97" t="s">
        <v>3877</v>
      </c>
      <c r="E647" s="97" t="s">
        <v>3443</v>
      </c>
      <c r="F647" s="97" t="s">
        <v>1898</v>
      </c>
      <c r="G647" s="98" t="s">
        <v>3876</v>
      </c>
      <c r="H647" s="97" t="n">
        <v>0</v>
      </c>
      <c r="I647" s="97" t="s">
        <v>1394</v>
      </c>
      <c r="J647" s="97" t="n">
        <v>0</v>
      </c>
      <c r="K647" s="98" t="s">
        <v>3445</v>
      </c>
      <c r="L647" s="97" t="s">
        <v>3465</v>
      </c>
      <c r="M647" s="97" t="s">
        <v>1394</v>
      </c>
      <c r="N647" s="97" t="s">
        <v>1903</v>
      </c>
      <c r="O647" s="97" t="s">
        <v>1904</v>
      </c>
    </row>
    <row r="648" spans="1:15">
      <c r="A648" s="101" t="n">
        <v>647</v>
      </c>
      <c r="B648" s="97" t="n">
        <v>570</v>
      </c>
      <c r="C648" s="98" t="s">
        <v>3878</v>
      </c>
      <c r="D648" s="97" t="s">
        <v>3879</v>
      </c>
      <c r="E648" s="97" t="s">
        <v>3443</v>
      </c>
      <c r="F648" s="97" t="s">
        <v>1898</v>
      </c>
      <c r="G648" s="98" t="s">
        <v>3878</v>
      </c>
      <c r="H648" s="97" t="n">
        <v>0</v>
      </c>
      <c r="I648" s="97" t="s">
        <v>1394</v>
      </c>
      <c r="J648" s="97" t="n">
        <v>0</v>
      </c>
      <c r="K648" s="98" t="s">
        <v>3445</v>
      </c>
      <c r="L648" s="97" t="s">
        <v>157</v>
      </c>
      <c r="M648" s="97" t="s">
        <v>1394</v>
      </c>
      <c r="N648" s="97" t="s">
        <v>3451</v>
      </c>
      <c r="O648" s="97" t="s">
        <v>1904</v>
      </c>
    </row>
    <row r="649" spans="1:15">
      <c r="A649" s="101" t="n">
        <v>648</v>
      </c>
      <c r="B649" s="97" t="n">
        <v>643</v>
      </c>
      <c r="C649" s="98" t="s">
        <v>3880</v>
      </c>
      <c r="D649" s="97" t="s">
        <v>3881</v>
      </c>
      <c r="E649" s="97" t="s">
        <v>3443</v>
      </c>
      <c r="F649" s="97" t="s">
        <v>1898</v>
      </c>
      <c r="G649" s="98" t="s">
        <v>3880</v>
      </c>
      <c r="H649" s="97" t="n">
        <v>0</v>
      </c>
      <c r="I649" s="97" t="s">
        <v>1394</v>
      </c>
      <c r="J649" s="97" t="n">
        <v>0</v>
      </c>
      <c r="K649" s="98" t="s">
        <v>3445</v>
      </c>
      <c r="L649" s="97" t="s">
        <v>157</v>
      </c>
      <c r="M649" s="97" t="s">
        <v>1394</v>
      </c>
      <c r="N649" s="97" t="s">
        <v>3451</v>
      </c>
      <c r="O649" s="97" t="s">
        <v>1904</v>
      </c>
    </row>
    <row r="650" spans="1:15">
      <c r="A650" s="101" t="n">
        <v>649</v>
      </c>
      <c r="B650" s="97" t="n">
        <v>732</v>
      </c>
      <c r="C650" s="98" t="s">
        <v>3882</v>
      </c>
      <c r="D650" s="97" t="s">
        <v>3883</v>
      </c>
      <c r="E650" s="97" t="s">
        <v>3443</v>
      </c>
      <c r="F650" s="97" t="s">
        <v>1898</v>
      </c>
      <c r="G650" s="98" t="s">
        <v>3882</v>
      </c>
      <c r="H650" s="97" t="n">
        <v>0</v>
      </c>
      <c r="I650" s="97" t="s">
        <v>1394</v>
      </c>
      <c r="J650" s="97" t="n">
        <v>0</v>
      </c>
      <c r="K650" s="98" t="s">
        <v>3445</v>
      </c>
      <c r="L650" s="97" t="s">
        <v>1902</v>
      </c>
      <c r="M650" s="97" t="s">
        <v>1394</v>
      </c>
      <c r="N650" s="97" t="s">
        <v>1903</v>
      </c>
      <c r="O650" s="97" t="s">
        <v>1904</v>
      </c>
    </row>
    <row r="651" spans="1:15">
      <c r="A651" s="101" t="n">
        <v>650</v>
      </c>
      <c r="B651" s="97" t="n">
        <v>663</v>
      </c>
      <c r="C651" s="98" t="s">
        <v>3884</v>
      </c>
      <c r="D651" s="97" t="s">
        <v>3885</v>
      </c>
      <c r="E651" s="97" t="s">
        <v>3443</v>
      </c>
      <c r="F651" s="97" t="s">
        <v>1898</v>
      </c>
      <c r="G651" s="98" t="s">
        <v>3884</v>
      </c>
      <c r="H651" s="97" t="n">
        <v>0</v>
      </c>
      <c r="I651" s="97" t="s">
        <v>1394</v>
      </c>
      <c r="J651" s="97" t="n">
        <v>0</v>
      </c>
      <c r="K651" s="98" t="s">
        <v>3445</v>
      </c>
      <c r="L651" s="97" t="s">
        <v>1902</v>
      </c>
      <c r="M651" s="97" t="s">
        <v>1394</v>
      </c>
      <c r="N651" s="97" t="s">
        <v>1903</v>
      </c>
      <c r="O651" s="97" t="s">
        <v>1904</v>
      </c>
    </row>
    <row r="652" spans="1:15">
      <c r="A652" s="101" t="n">
        <v>651</v>
      </c>
      <c r="B652" s="97" t="n">
        <v>625</v>
      </c>
      <c r="C652" s="98" t="s">
        <v>3886</v>
      </c>
      <c r="D652" s="97" t="s">
        <v>3887</v>
      </c>
      <c r="E652" s="97" t="s">
        <v>3443</v>
      </c>
      <c r="F652" s="97" t="s">
        <v>1898</v>
      </c>
      <c r="G652" s="98" t="s">
        <v>3886</v>
      </c>
      <c r="H652" s="97" t="n">
        <v>0</v>
      </c>
      <c r="I652" s="97" t="s">
        <v>1394</v>
      </c>
      <c r="J652" s="97" t="n">
        <v>0</v>
      </c>
      <c r="K652" s="98" t="s">
        <v>3445</v>
      </c>
      <c r="L652" s="97" t="s">
        <v>157</v>
      </c>
      <c r="M652" s="97" t="s">
        <v>1394</v>
      </c>
      <c r="N652" s="97" t="s">
        <v>3451</v>
      </c>
      <c r="O652" s="97" t="s">
        <v>1904</v>
      </c>
    </row>
    <row r="653" spans="1:15">
      <c r="A653" s="101" t="n">
        <v>652</v>
      </c>
      <c r="B653" s="97" t="n">
        <v>679</v>
      </c>
      <c r="C653" s="98" t="s">
        <v>3888</v>
      </c>
      <c r="D653" s="97" t="s">
        <v>3889</v>
      </c>
      <c r="E653" s="97" t="s">
        <v>3443</v>
      </c>
      <c r="F653" s="97" t="s">
        <v>1898</v>
      </c>
      <c r="G653" s="98" t="s">
        <v>3888</v>
      </c>
      <c r="H653" s="97" t="n">
        <v>0</v>
      </c>
      <c r="I653" s="97" t="s">
        <v>1394</v>
      </c>
      <c r="J653" s="97" t="n">
        <v>0</v>
      </c>
      <c r="K653" s="98" t="s">
        <v>3445</v>
      </c>
      <c r="L653" s="97" t="s">
        <v>3465</v>
      </c>
      <c r="M653" s="97" t="s">
        <v>1394</v>
      </c>
      <c r="N653" s="97" t="s">
        <v>1903</v>
      </c>
      <c r="O653" s="97" t="s">
        <v>1904</v>
      </c>
    </row>
    <row r="654" spans="1:15">
      <c r="A654" s="101" t="n">
        <v>653</v>
      </c>
      <c r="B654" s="97" t="n">
        <v>613</v>
      </c>
      <c r="C654" s="98" t="s">
        <v>3890</v>
      </c>
      <c r="D654" s="97" t="s">
        <v>3891</v>
      </c>
      <c r="E654" s="97" t="s">
        <v>3443</v>
      </c>
      <c r="F654" s="97" t="s">
        <v>1898</v>
      </c>
      <c r="G654" s="98" t="s">
        <v>3890</v>
      </c>
      <c r="H654" s="97" t="n">
        <v>0</v>
      </c>
      <c r="I654" s="97" t="s">
        <v>1394</v>
      </c>
      <c r="J654" s="97" t="n">
        <v>0</v>
      </c>
      <c r="K654" s="98" t="s">
        <v>3445</v>
      </c>
      <c r="L654" s="97" t="s">
        <v>157</v>
      </c>
      <c r="M654" s="97" t="s">
        <v>1394</v>
      </c>
      <c r="N654" s="97" t="s">
        <v>3451</v>
      </c>
      <c r="O654" s="97" t="s">
        <v>1904</v>
      </c>
    </row>
    <row r="655" spans="1:15">
      <c r="A655" s="101" t="n">
        <v>654</v>
      </c>
      <c r="B655" s="97" t="n">
        <v>683</v>
      </c>
      <c r="C655" s="98" t="s">
        <v>3892</v>
      </c>
      <c r="D655" s="97" t="s">
        <v>3893</v>
      </c>
      <c r="E655" s="97" t="s">
        <v>3443</v>
      </c>
      <c r="F655" s="97" t="s">
        <v>1898</v>
      </c>
      <c r="G655" s="98" t="s">
        <v>3892</v>
      </c>
      <c r="H655" s="97" t="n">
        <v>0</v>
      </c>
      <c r="I655" s="97" t="s">
        <v>1394</v>
      </c>
      <c r="J655" s="97" t="n">
        <v>0</v>
      </c>
      <c r="K655" s="98" t="s">
        <v>3445</v>
      </c>
      <c r="L655" s="97" t="s">
        <v>3465</v>
      </c>
      <c r="M655" s="97" t="s">
        <v>1394</v>
      </c>
      <c r="N655" s="97" t="s">
        <v>1903</v>
      </c>
      <c r="O655" s="97" t="s">
        <v>1904</v>
      </c>
    </row>
    <row r="656" spans="1:15">
      <c r="A656" s="101" t="n">
        <v>655</v>
      </c>
      <c r="B656" s="97" t="n">
        <v>641</v>
      </c>
      <c r="C656" s="98" t="s">
        <v>3894</v>
      </c>
      <c r="D656" s="97" t="s">
        <v>3895</v>
      </c>
      <c r="E656" s="97" t="s">
        <v>3443</v>
      </c>
      <c r="F656" s="97" t="s">
        <v>1898</v>
      </c>
      <c r="G656" s="98" t="s">
        <v>3894</v>
      </c>
      <c r="H656" s="97" t="n">
        <v>0</v>
      </c>
      <c r="I656" s="97" t="s">
        <v>1394</v>
      </c>
      <c r="J656" s="97" t="n">
        <v>0</v>
      </c>
      <c r="K656" s="98" t="s">
        <v>3445</v>
      </c>
      <c r="L656" s="97" t="s">
        <v>157</v>
      </c>
      <c r="M656" s="97" t="s">
        <v>1394</v>
      </c>
      <c r="N656" s="97" t="s">
        <v>3451</v>
      </c>
      <c r="O656" s="97" t="s">
        <v>1904</v>
      </c>
    </row>
    <row r="657" spans="1:15">
      <c r="A657" s="101" t="n">
        <v>656</v>
      </c>
      <c r="B657" s="97" t="n">
        <v>672</v>
      </c>
      <c r="C657" s="98" t="s">
        <v>3896</v>
      </c>
      <c r="D657" s="97" t="s">
        <v>3897</v>
      </c>
      <c r="E657" s="97" t="s">
        <v>3443</v>
      </c>
      <c r="F657" s="97" t="s">
        <v>1898</v>
      </c>
      <c r="G657" s="98" t="s">
        <v>3896</v>
      </c>
      <c r="H657" s="97" t="n">
        <v>0</v>
      </c>
      <c r="I657" s="97" t="s">
        <v>1394</v>
      </c>
      <c r="J657" s="97" t="n">
        <v>0</v>
      </c>
      <c r="K657" s="98" t="s">
        <v>3445</v>
      </c>
      <c r="L657" s="97" t="s">
        <v>3465</v>
      </c>
      <c r="M657" s="97" t="s">
        <v>1394</v>
      </c>
      <c r="N657" s="97" t="s">
        <v>1903</v>
      </c>
      <c r="O657" s="97" t="s">
        <v>1904</v>
      </c>
    </row>
    <row r="658" spans="1:15">
      <c r="A658" s="101" t="n">
        <v>657</v>
      </c>
      <c r="B658" s="97" t="n">
        <v>699</v>
      </c>
      <c r="C658" s="98" t="s">
        <v>3898</v>
      </c>
      <c r="D658" s="97" t="s">
        <v>3899</v>
      </c>
      <c r="E658" s="97" t="s">
        <v>3443</v>
      </c>
      <c r="F658" s="97" t="s">
        <v>1898</v>
      </c>
      <c r="G658" s="98" t="s">
        <v>3898</v>
      </c>
      <c r="H658" s="97" t="n">
        <v>0</v>
      </c>
      <c r="I658" s="97" t="s">
        <v>1394</v>
      </c>
      <c r="J658" s="97" t="n">
        <v>0</v>
      </c>
      <c r="K658" s="98" t="s">
        <v>3445</v>
      </c>
      <c r="L658" s="97" t="s">
        <v>3465</v>
      </c>
      <c r="M658" s="97" t="s">
        <v>1394</v>
      </c>
      <c r="N658" s="97" t="s">
        <v>1903</v>
      </c>
      <c r="O658" s="97" t="s">
        <v>1904</v>
      </c>
    </row>
    <row r="659" spans="1:15">
      <c r="A659" s="101" t="n">
        <v>658</v>
      </c>
      <c r="B659" s="97" t="n">
        <v>583</v>
      </c>
      <c r="C659" s="98" t="s">
        <v>3900</v>
      </c>
      <c r="D659" s="97" t="s">
        <v>3901</v>
      </c>
      <c r="E659" s="97" t="s">
        <v>3443</v>
      </c>
      <c r="F659" s="97" t="s">
        <v>1898</v>
      </c>
      <c r="G659" s="98" t="s">
        <v>3900</v>
      </c>
      <c r="H659" s="97" t="n">
        <v>0</v>
      </c>
      <c r="I659" s="97" t="s">
        <v>1394</v>
      </c>
      <c r="J659" s="97" t="n">
        <v>0</v>
      </c>
      <c r="K659" s="98" t="s">
        <v>3445</v>
      </c>
      <c r="L659" s="97" t="s">
        <v>157</v>
      </c>
      <c r="M659" s="97" t="s">
        <v>1394</v>
      </c>
      <c r="N659" s="97" t="s">
        <v>3451</v>
      </c>
      <c r="O659" s="97" t="s">
        <v>1904</v>
      </c>
    </row>
    <row r="660" spans="1:15">
      <c r="A660" s="101" t="n">
        <v>659</v>
      </c>
      <c r="B660" s="97" t="n">
        <v>565</v>
      </c>
      <c r="C660" s="98" t="s">
        <v>3902</v>
      </c>
      <c r="D660" s="97" t="s">
        <v>3903</v>
      </c>
      <c r="E660" s="97" t="s">
        <v>3443</v>
      </c>
      <c r="F660" s="97" t="s">
        <v>1898</v>
      </c>
      <c r="G660" s="98" t="s">
        <v>3902</v>
      </c>
      <c r="H660" s="97" t="n">
        <v>0</v>
      </c>
      <c r="I660" s="97" t="s">
        <v>1394</v>
      </c>
      <c r="J660" s="97" t="n">
        <v>0</v>
      </c>
      <c r="K660" s="98" t="s">
        <v>3445</v>
      </c>
      <c r="L660" s="97" t="s">
        <v>157</v>
      </c>
      <c r="M660" s="97" t="s">
        <v>1394</v>
      </c>
      <c r="N660" s="97" t="s">
        <v>3451</v>
      </c>
      <c r="O660" s="97" t="s">
        <v>1904</v>
      </c>
    </row>
    <row r="661" spans="1:15">
      <c r="A661" s="101" t="n">
        <v>660</v>
      </c>
      <c r="B661" s="97" t="n">
        <v>718</v>
      </c>
      <c r="C661" s="98" t="s">
        <v>3904</v>
      </c>
      <c r="D661" s="97" t="s">
        <v>3905</v>
      </c>
      <c r="E661" s="97" t="s">
        <v>3443</v>
      </c>
      <c r="F661" s="97" t="s">
        <v>1898</v>
      </c>
      <c r="G661" s="98" t="s">
        <v>3904</v>
      </c>
      <c r="H661" s="97" t="n">
        <v>0</v>
      </c>
      <c r="I661" s="97" t="s">
        <v>1394</v>
      </c>
      <c r="J661" s="97" t="n">
        <v>0</v>
      </c>
      <c r="K661" s="98" t="s">
        <v>3445</v>
      </c>
      <c r="L661" s="97" t="s">
        <v>3465</v>
      </c>
      <c r="M661" s="97" t="s">
        <v>1394</v>
      </c>
      <c r="N661" s="97" t="s">
        <v>1903</v>
      </c>
      <c r="O661" s="97" t="s">
        <v>1904</v>
      </c>
    </row>
    <row r="662" spans="1:15">
      <c r="A662" s="101" t="n">
        <v>661</v>
      </c>
      <c r="B662" s="97" t="n">
        <v>674</v>
      </c>
      <c r="C662" s="98" t="s">
        <v>3906</v>
      </c>
      <c r="D662" s="97" t="s">
        <v>3907</v>
      </c>
      <c r="E662" s="97" t="s">
        <v>3443</v>
      </c>
      <c r="F662" s="97" t="s">
        <v>1898</v>
      </c>
      <c r="G662" s="98" t="s">
        <v>3906</v>
      </c>
      <c r="H662" s="97" t="n">
        <v>0</v>
      </c>
      <c r="I662" s="97" t="s">
        <v>1394</v>
      </c>
      <c r="J662" s="97" t="n">
        <v>0</v>
      </c>
      <c r="K662" s="98" t="s">
        <v>3445</v>
      </c>
      <c r="L662" s="97" t="s">
        <v>3465</v>
      </c>
      <c r="M662" s="97" t="s">
        <v>1394</v>
      </c>
      <c r="N662" s="97" t="s">
        <v>1903</v>
      </c>
      <c r="O662" s="97" t="s">
        <v>1904</v>
      </c>
    </row>
    <row r="663" spans="1:15">
      <c r="A663" s="101" t="n">
        <v>662</v>
      </c>
      <c r="B663" s="97" t="n">
        <v>630</v>
      </c>
      <c r="C663" s="98" t="s">
        <v>3908</v>
      </c>
      <c r="D663" s="97" t="s">
        <v>3909</v>
      </c>
      <c r="E663" s="97" t="s">
        <v>3443</v>
      </c>
      <c r="F663" s="97" t="s">
        <v>1898</v>
      </c>
      <c r="G663" s="98" t="s">
        <v>3908</v>
      </c>
      <c r="H663" s="97" t="n">
        <v>0</v>
      </c>
      <c r="I663" s="97" t="s">
        <v>1394</v>
      </c>
      <c r="J663" s="97" t="n">
        <v>0</v>
      </c>
      <c r="K663" s="98" t="s">
        <v>3445</v>
      </c>
      <c r="L663" s="97" t="s">
        <v>157</v>
      </c>
      <c r="M663" s="97" t="s">
        <v>1394</v>
      </c>
      <c r="N663" s="97" t="s">
        <v>3451</v>
      </c>
      <c r="O663" s="97" t="s">
        <v>1904</v>
      </c>
    </row>
    <row r="664" spans="1:15">
      <c r="A664" s="101" t="n">
        <v>663</v>
      </c>
      <c r="B664" s="97" t="n">
        <v>653</v>
      </c>
      <c r="C664" s="98" t="s">
        <v>3910</v>
      </c>
      <c r="D664" s="97" t="s">
        <v>3911</v>
      </c>
      <c r="E664" s="97" t="s">
        <v>3443</v>
      </c>
      <c r="F664" s="97" t="s">
        <v>1898</v>
      </c>
      <c r="G664" s="98" t="s">
        <v>3910</v>
      </c>
      <c r="H664" s="97" t="n">
        <v>0</v>
      </c>
      <c r="I664" s="97" t="s">
        <v>1394</v>
      </c>
      <c r="J664" s="97" t="n">
        <v>0</v>
      </c>
      <c r="K664" s="98" t="s">
        <v>3445</v>
      </c>
      <c r="L664" s="97" t="s">
        <v>157</v>
      </c>
      <c r="M664" s="97" t="s">
        <v>1394</v>
      </c>
      <c r="N664" s="97" t="s">
        <v>3451</v>
      </c>
      <c r="O664" s="97" t="s">
        <v>1904</v>
      </c>
    </row>
    <row r="665" spans="1:15">
      <c r="A665" s="101" t="n">
        <v>664</v>
      </c>
      <c r="B665" s="97" t="n">
        <v>623</v>
      </c>
      <c r="C665" s="98" t="s">
        <v>3912</v>
      </c>
      <c r="D665" s="97" t="s">
        <v>3913</v>
      </c>
      <c r="E665" s="97" t="s">
        <v>3443</v>
      </c>
      <c r="F665" s="97" t="s">
        <v>1898</v>
      </c>
      <c r="G665" s="98" t="s">
        <v>3912</v>
      </c>
      <c r="H665" s="97" t="n">
        <v>0</v>
      </c>
      <c r="I665" s="97" t="s">
        <v>1394</v>
      </c>
      <c r="J665" s="97" t="n">
        <v>0</v>
      </c>
      <c r="K665" s="98" t="s">
        <v>3445</v>
      </c>
      <c r="L665" s="97" t="s">
        <v>157</v>
      </c>
      <c r="M665" s="97" t="s">
        <v>1394</v>
      </c>
      <c r="N665" s="97" t="s">
        <v>3451</v>
      </c>
      <c r="O665" s="97" t="s">
        <v>1904</v>
      </c>
    </row>
    <row r="666" spans="1:15">
      <c r="A666" s="101" t="n">
        <v>665</v>
      </c>
      <c r="B666" s="97" t="n">
        <v>720</v>
      </c>
      <c r="C666" s="98" t="s">
        <v>3914</v>
      </c>
      <c r="D666" s="97" t="s">
        <v>3915</v>
      </c>
      <c r="E666" s="97" t="s">
        <v>3443</v>
      </c>
      <c r="F666" s="97" t="s">
        <v>1898</v>
      </c>
      <c r="G666" s="98" t="s">
        <v>3914</v>
      </c>
      <c r="H666" s="97" t="n">
        <v>0</v>
      </c>
      <c r="I666" s="97" t="s">
        <v>1394</v>
      </c>
      <c r="J666" s="97" t="n">
        <v>0</v>
      </c>
      <c r="K666" s="98" t="s">
        <v>3445</v>
      </c>
      <c r="L666" s="97" t="s">
        <v>3465</v>
      </c>
      <c r="M666" s="97" t="s">
        <v>1394</v>
      </c>
      <c r="N666" s="97" t="s">
        <v>1903</v>
      </c>
      <c r="O666" s="97" t="s">
        <v>1904</v>
      </c>
    </row>
    <row r="667" spans="1:15">
      <c r="A667" s="101" t="n">
        <v>666</v>
      </c>
      <c r="B667" s="97" t="n">
        <v>589</v>
      </c>
      <c r="C667" s="98" t="s">
        <v>3916</v>
      </c>
      <c r="D667" s="97" t="s">
        <v>3917</v>
      </c>
      <c r="E667" s="97" t="s">
        <v>3443</v>
      </c>
      <c r="F667" s="97" t="s">
        <v>1898</v>
      </c>
      <c r="G667" s="98" t="s">
        <v>3916</v>
      </c>
      <c r="H667" s="97" t="n">
        <v>0</v>
      </c>
      <c r="I667" s="97" t="s">
        <v>1394</v>
      </c>
      <c r="J667" s="97" t="n">
        <v>0</v>
      </c>
      <c r="K667" s="98" t="s">
        <v>3445</v>
      </c>
      <c r="L667" s="97" t="s">
        <v>1902</v>
      </c>
      <c r="M667" s="97" t="s">
        <v>1394</v>
      </c>
      <c r="N667" s="97" t="s">
        <v>1903</v>
      </c>
      <c r="O667" s="97" t="s">
        <v>1904</v>
      </c>
    </row>
    <row r="668" spans="1:15">
      <c r="A668" s="101" t="n">
        <v>667</v>
      </c>
      <c r="B668" s="97" t="n">
        <v>731</v>
      </c>
      <c r="C668" s="98" t="s">
        <v>3918</v>
      </c>
      <c r="D668" s="97" t="s">
        <v>3919</v>
      </c>
      <c r="E668" s="97" t="s">
        <v>3443</v>
      </c>
      <c r="F668" s="97" t="s">
        <v>1898</v>
      </c>
      <c r="G668" s="98" t="s">
        <v>3918</v>
      </c>
      <c r="H668" s="97" t="n">
        <v>0</v>
      </c>
      <c r="I668" s="97" t="s">
        <v>1394</v>
      </c>
      <c r="J668" s="97" t="n">
        <v>0</v>
      </c>
      <c r="K668" s="98" t="s">
        <v>3445</v>
      </c>
      <c r="L668" s="97" t="s">
        <v>3465</v>
      </c>
      <c r="M668" s="97" t="s">
        <v>1394</v>
      </c>
      <c r="N668" s="97" t="s">
        <v>1903</v>
      </c>
      <c r="O668" s="97" t="s">
        <v>1904</v>
      </c>
    </row>
    <row r="669" spans="1:15">
      <c r="A669" s="101" t="n">
        <v>668</v>
      </c>
      <c r="B669" s="97" t="n">
        <v>584</v>
      </c>
      <c r="C669" s="98" t="s">
        <v>3920</v>
      </c>
      <c r="D669" s="97" t="s">
        <v>3921</v>
      </c>
      <c r="E669" s="97" t="s">
        <v>3443</v>
      </c>
      <c r="F669" s="97" t="s">
        <v>1898</v>
      </c>
      <c r="G669" s="98" t="s">
        <v>3920</v>
      </c>
      <c r="H669" s="97" t="n">
        <v>0</v>
      </c>
      <c r="I669" s="97" t="s">
        <v>1394</v>
      </c>
      <c r="J669" s="97" t="n">
        <v>0</v>
      </c>
      <c r="K669" s="98" t="s">
        <v>3445</v>
      </c>
      <c r="L669" s="97" t="s">
        <v>157</v>
      </c>
      <c r="M669" s="97" t="s">
        <v>1394</v>
      </c>
      <c r="N669" s="97" t="s">
        <v>3451</v>
      </c>
      <c r="O669" s="97" t="s">
        <v>1904</v>
      </c>
    </row>
    <row r="670" spans="1:15">
      <c r="A670" s="101" t="n">
        <v>669</v>
      </c>
      <c r="B670" s="97" t="n">
        <v>687</v>
      </c>
      <c r="C670" s="98" t="s">
        <v>3922</v>
      </c>
      <c r="D670" s="97" t="s">
        <v>3923</v>
      </c>
      <c r="E670" s="97" t="s">
        <v>3443</v>
      </c>
      <c r="F670" s="97" t="s">
        <v>1898</v>
      </c>
      <c r="G670" s="98" t="s">
        <v>3922</v>
      </c>
      <c r="H670" s="97" t="n">
        <v>0</v>
      </c>
      <c r="I670" s="97" t="s">
        <v>1394</v>
      </c>
      <c r="J670" s="97" t="n">
        <v>0</v>
      </c>
      <c r="K670" s="98" t="s">
        <v>3445</v>
      </c>
      <c r="L670" s="97" t="s">
        <v>1902</v>
      </c>
      <c r="M670" s="97" t="s">
        <v>1394</v>
      </c>
      <c r="N670" s="97" t="s">
        <v>1903</v>
      </c>
      <c r="O670" s="97" t="s">
        <v>1904</v>
      </c>
    </row>
    <row r="671" spans="1:15">
      <c r="A671" s="101" t="n">
        <v>670</v>
      </c>
      <c r="B671" s="97" t="n">
        <v>556</v>
      </c>
      <c r="C671" s="98" t="s">
        <v>3924</v>
      </c>
      <c r="D671" s="97" t="s">
        <v>3925</v>
      </c>
      <c r="E671" s="97" t="s">
        <v>3443</v>
      </c>
      <c r="F671" s="97" t="s">
        <v>1898</v>
      </c>
      <c r="G671" s="98" t="s">
        <v>3924</v>
      </c>
      <c r="H671" s="97" t="n">
        <v>0</v>
      </c>
      <c r="I671" s="97" t="s">
        <v>1394</v>
      </c>
      <c r="J671" s="97" t="n">
        <v>0</v>
      </c>
      <c r="K671" s="98" t="s">
        <v>3445</v>
      </c>
      <c r="L671" s="97" t="s">
        <v>1902</v>
      </c>
      <c r="M671" s="97" t="s">
        <v>1394</v>
      </c>
      <c r="N671" s="97" t="s">
        <v>1903</v>
      </c>
      <c r="O671" s="97" t="s">
        <v>1904</v>
      </c>
    </row>
    <row r="672" spans="1:15">
      <c r="A672" s="101" t="n">
        <v>671</v>
      </c>
      <c r="B672" s="97" t="n">
        <v>743</v>
      </c>
      <c r="C672" s="98" t="s">
        <v>3926</v>
      </c>
      <c r="D672" s="97" t="s">
        <v>3927</v>
      </c>
      <c r="E672" s="97" t="s">
        <v>3443</v>
      </c>
      <c r="F672" s="97" t="s">
        <v>1898</v>
      </c>
      <c r="G672" s="98" t="s">
        <v>3926</v>
      </c>
      <c r="H672" s="97" t="n">
        <v>0</v>
      </c>
      <c r="I672" s="97" t="s">
        <v>1394</v>
      </c>
      <c r="J672" s="97" t="n">
        <v>0</v>
      </c>
      <c r="K672" s="98" t="s">
        <v>3445</v>
      </c>
      <c r="L672" s="97" t="s">
        <v>3465</v>
      </c>
      <c r="M672" s="97" t="s">
        <v>1394</v>
      </c>
      <c r="N672" s="97" t="s">
        <v>1903</v>
      </c>
      <c r="O672" s="97" t="s">
        <v>1904</v>
      </c>
    </row>
    <row r="673" spans="1:15">
      <c r="A673" s="101" t="n">
        <v>672</v>
      </c>
      <c r="B673" s="97" t="n">
        <v>628</v>
      </c>
      <c r="C673" s="98" t="s">
        <v>3928</v>
      </c>
      <c r="D673" s="97" t="s">
        <v>3929</v>
      </c>
      <c r="E673" s="97" t="s">
        <v>3443</v>
      </c>
      <c r="F673" s="97" t="s">
        <v>1898</v>
      </c>
      <c r="G673" s="98" t="s">
        <v>3928</v>
      </c>
      <c r="H673" s="97" t="n">
        <v>0</v>
      </c>
      <c r="I673" s="97" t="s">
        <v>1394</v>
      </c>
      <c r="J673" s="97" t="n">
        <v>0</v>
      </c>
      <c r="K673" s="98" t="s">
        <v>3445</v>
      </c>
      <c r="L673" s="97" t="s">
        <v>3518</v>
      </c>
      <c r="M673" s="97" t="s">
        <v>1394</v>
      </c>
      <c r="N673" s="97" t="s">
        <v>1903</v>
      </c>
      <c r="O673" s="97" t="s">
        <v>1904</v>
      </c>
    </row>
    <row r="674" spans="1:15">
      <c r="A674" s="101" t="n">
        <v>673</v>
      </c>
      <c r="B674" s="97" t="n">
        <v>618</v>
      </c>
      <c r="C674" s="98" t="s">
        <v>3930</v>
      </c>
      <c r="D674" s="97" t="s">
        <v>3931</v>
      </c>
      <c r="E674" s="97" t="s">
        <v>3443</v>
      </c>
      <c r="F674" s="97" t="s">
        <v>1898</v>
      </c>
      <c r="G674" s="98" t="s">
        <v>3930</v>
      </c>
      <c r="H674" s="97" t="n">
        <v>0</v>
      </c>
      <c r="I674" s="97" t="s">
        <v>1394</v>
      </c>
      <c r="J674" s="97" t="n">
        <v>0</v>
      </c>
      <c r="K674" s="98" t="s">
        <v>3445</v>
      </c>
      <c r="L674" s="97" t="s">
        <v>157</v>
      </c>
      <c r="M674" s="97" t="s">
        <v>1394</v>
      </c>
      <c r="N674" s="97" t="s">
        <v>3451</v>
      </c>
      <c r="O674" s="97" t="s">
        <v>1904</v>
      </c>
    </row>
    <row r="675" spans="1:15">
      <c r="A675" s="101" t="n">
        <v>674</v>
      </c>
      <c r="B675" s="97" t="n">
        <v>688</v>
      </c>
      <c r="C675" s="98" t="s">
        <v>3932</v>
      </c>
      <c r="D675" s="97" t="s">
        <v>3933</v>
      </c>
      <c r="E675" s="97" t="s">
        <v>3443</v>
      </c>
      <c r="F675" s="97" t="s">
        <v>1898</v>
      </c>
      <c r="G675" s="98" t="s">
        <v>3932</v>
      </c>
      <c r="H675" s="97" t="n">
        <v>0</v>
      </c>
      <c r="I675" s="97" t="s">
        <v>1394</v>
      </c>
      <c r="J675" s="97" t="n">
        <v>0</v>
      </c>
      <c r="K675" s="98" t="s">
        <v>3445</v>
      </c>
      <c r="L675" s="97" t="s">
        <v>1902</v>
      </c>
      <c r="M675" s="97" t="s">
        <v>1394</v>
      </c>
      <c r="N675" s="97" t="s">
        <v>1903</v>
      </c>
      <c r="O675" s="97" t="s">
        <v>1904</v>
      </c>
    </row>
    <row r="676" spans="1:15">
      <c r="A676" s="101" t="n">
        <v>675</v>
      </c>
      <c r="B676" s="97" t="n">
        <v>717</v>
      </c>
      <c r="C676" s="98" t="s">
        <v>3934</v>
      </c>
      <c r="D676" s="97" t="s">
        <v>3935</v>
      </c>
      <c r="E676" s="97" t="s">
        <v>3443</v>
      </c>
      <c r="F676" s="97" t="s">
        <v>1898</v>
      </c>
      <c r="G676" s="98" t="s">
        <v>3934</v>
      </c>
      <c r="H676" s="97" t="n">
        <v>0</v>
      </c>
      <c r="I676" s="97" t="s">
        <v>1394</v>
      </c>
      <c r="J676" s="97" t="n">
        <v>0</v>
      </c>
      <c r="K676" s="98" t="s">
        <v>3445</v>
      </c>
      <c r="L676" s="97" t="s">
        <v>157</v>
      </c>
      <c r="M676" s="97" t="s">
        <v>1394</v>
      </c>
      <c r="N676" s="97" t="s">
        <v>3451</v>
      </c>
      <c r="O676" s="97" t="s">
        <v>1904</v>
      </c>
    </row>
    <row r="677" spans="1:15">
      <c r="A677" s="101" t="n">
        <v>676</v>
      </c>
      <c r="B677" s="97" t="n">
        <v>735</v>
      </c>
      <c r="C677" s="98" t="s">
        <v>3936</v>
      </c>
      <c r="D677" s="97" t="s">
        <v>3937</v>
      </c>
      <c r="E677" s="97" t="s">
        <v>3443</v>
      </c>
      <c r="F677" s="97" t="s">
        <v>1898</v>
      </c>
      <c r="G677" s="98" t="s">
        <v>3936</v>
      </c>
      <c r="H677" s="97" t="n">
        <v>0</v>
      </c>
      <c r="I677" s="97" t="s">
        <v>1394</v>
      </c>
      <c r="J677" s="97" t="n">
        <v>0</v>
      </c>
      <c r="K677" s="98" t="s">
        <v>3445</v>
      </c>
      <c r="L677" s="97" t="s">
        <v>3465</v>
      </c>
      <c r="M677" s="97" t="s">
        <v>1394</v>
      </c>
      <c r="N677" s="97" t="s">
        <v>1903</v>
      </c>
      <c r="O677" s="97" t="s">
        <v>1904</v>
      </c>
    </row>
    <row r="678" spans="1:15">
      <c r="A678" s="101" t="n">
        <v>677</v>
      </c>
      <c r="B678" s="97" t="n">
        <v>662</v>
      </c>
      <c r="C678" s="98" t="s">
        <v>3938</v>
      </c>
      <c r="D678" s="97" t="s">
        <v>3939</v>
      </c>
      <c r="E678" s="97" t="s">
        <v>3443</v>
      </c>
      <c r="F678" s="97" t="s">
        <v>1898</v>
      </c>
      <c r="G678" s="98" t="s">
        <v>3938</v>
      </c>
      <c r="H678" s="97" t="n">
        <v>0</v>
      </c>
      <c r="I678" s="97" t="s">
        <v>1394</v>
      </c>
      <c r="J678" s="97" t="n">
        <v>0</v>
      </c>
      <c r="K678" s="98" t="s">
        <v>3445</v>
      </c>
      <c r="L678" s="97" t="s">
        <v>3465</v>
      </c>
      <c r="M678" s="97" t="s">
        <v>1394</v>
      </c>
      <c r="N678" s="97" t="s">
        <v>1903</v>
      </c>
      <c r="O678" s="97" t="s">
        <v>1904</v>
      </c>
    </row>
    <row r="679" spans="1:15">
      <c r="A679" s="101" t="n">
        <v>678</v>
      </c>
      <c r="B679" s="97" t="n">
        <v>696</v>
      </c>
      <c r="C679" s="98" t="s">
        <v>3940</v>
      </c>
      <c r="D679" s="97" t="s">
        <v>3941</v>
      </c>
      <c r="E679" s="97" t="s">
        <v>3443</v>
      </c>
      <c r="F679" s="97" t="s">
        <v>1898</v>
      </c>
      <c r="G679" s="98" t="s">
        <v>3940</v>
      </c>
      <c r="H679" s="97" t="n">
        <v>0</v>
      </c>
      <c r="I679" s="97" t="s">
        <v>1394</v>
      </c>
      <c r="J679" s="97" t="n">
        <v>0</v>
      </c>
      <c r="K679" s="98" t="s">
        <v>3445</v>
      </c>
      <c r="L679" s="97" t="s">
        <v>1902</v>
      </c>
      <c r="M679" s="97" t="s">
        <v>1394</v>
      </c>
      <c r="N679" s="97" t="s">
        <v>1903</v>
      </c>
      <c r="O679" s="97" t="s">
        <v>1904</v>
      </c>
    </row>
    <row r="680" spans="1:15">
      <c r="A680" s="101" t="n">
        <v>679</v>
      </c>
      <c r="B680" s="97" t="n">
        <v>557</v>
      </c>
      <c r="C680" s="98" t="s">
        <v>3942</v>
      </c>
      <c r="D680" s="97" t="s">
        <v>3943</v>
      </c>
      <c r="E680" s="97" t="s">
        <v>3443</v>
      </c>
      <c r="F680" s="97" t="s">
        <v>1898</v>
      </c>
      <c r="G680" s="98" t="s">
        <v>3942</v>
      </c>
      <c r="H680" s="97" t="n">
        <v>0</v>
      </c>
      <c r="I680" s="97" t="s">
        <v>1394</v>
      </c>
      <c r="J680" s="97" t="n">
        <v>0</v>
      </c>
      <c r="K680" s="98" t="s">
        <v>3445</v>
      </c>
      <c r="L680" s="97" t="s">
        <v>3518</v>
      </c>
      <c r="M680" s="97" t="s">
        <v>1394</v>
      </c>
      <c r="N680" s="97" t="s">
        <v>1903</v>
      </c>
      <c r="O680" s="97" t="s">
        <v>1904</v>
      </c>
    </row>
    <row r="681" spans="1:15">
      <c r="A681" s="101" t="n">
        <v>680</v>
      </c>
      <c r="B681" s="97" t="n">
        <v>631</v>
      </c>
      <c r="C681" s="98" t="s">
        <v>3944</v>
      </c>
      <c r="D681" s="97" t="s">
        <v>3945</v>
      </c>
      <c r="E681" s="97" t="s">
        <v>3443</v>
      </c>
      <c r="F681" s="97" t="s">
        <v>1898</v>
      </c>
      <c r="G681" s="98" t="s">
        <v>3944</v>
      </c>
      <c r="H681" s="97" t="n">
        <v>0</v>
      </c>
      <c r="I681" s="97" t="s">
        <v>1394</v>
      </c>
      <c r="J681" s="97" t="n">
        <v>0</v>
      </c>
      <c r="K681" s="98" t="s">
        <v>3445</v>
      </c>
      <c r="L681" s="97" t="s">
        <v>3465</v>
      </c>
      <c r="M681" s="97" t="s">
        <v>1394</v>
      </c>
      <c r="N681" s="97" t="s">
        <v>1903</v>
      </c>
      <c r="O681" s="97" t="s">
        <v>1904</v>
      </c>
    </row>
    <row r="682" spans="1:15">
      <c r="A682" s="101" t="n">
        <v>681</v>
      </c>
      <c r="B682" s="97" t="n">
        <v>590</v>
      </c>
      <c r="C682" s="98" t="s">
        <v>3946</v>
      </c>
      <c r="D682" s="97" t="s">
        <v>3947</v>
      </c>
      <c r="E682" s="97" t="s">
        <v>3443</v>
      </c>
      <c r="F682" s="97" t="s">
        <v>1898</v>
      </c>
      <c r="G682" s="98" t="s">
        <v>3946</v>
      </c>
      <c r="H682" s="97" t="n">
        <v>0</v>
      </c>
      <c r="I682" s="97" t="s">
        <v>1394</v>
      </c>
      <c r="J682" s="97" t="n">
        <v>0</v>
      </c>
      <c r="K682" s="98" t="s">
        <v>3445</v>
      </c>
      <c r="L682" s="97" t="s">
        <v>1902</v>
      </c>
      <c r="M682" s="97" t="s">
        <v>1394</v>
      </c>
      <c r="N682" s="97" t="s">
        <v>1903</v>
      </c>
      <c r="O682" s="97" t="s">
        <v>1904</v>
      </c>
    </row>
    <row r="683" spans="1:15">
      <c r="A683" s="101" t="n">
        <v>682</v>
      </c>
      <c r="B683" s="97" t="n">
        <v>575</v>
      </c>
      <c r="C683" s="98" t="s">
        <v>3948</v>
      </c>
      <c r="D683" s="97" t="s">
        <v>3949</v>
      </c>
      <c r="E683" s="97" t="s">
        <v>3443</v>
      </c>
      <c r="F683" s="97" t="s">
        <v>1898</v>
      </c>
      <c r="G683" s="98" t="s">
        <v>3948</v>
      </c>
      <c r="H683" s="97" t="n">
        <v>0</v>
      </c>
      <c r="I683" s="97" t="s">
        <v>1394</v>
      </c>
      <c r="J683" s="97" t="n">
        <v>0</v>
      </c>
      <c r="K683" s="98" t="s">
        <v>3445</v>
      </c>
      <c r="L683" s="97" t="s">
        <v>3450</v>
      </c>
      <c r="M683" s="97" t="s">
        <v>1394</v>
      </c>
      <c r="N683" s="97" t="s">
        <v>3451</v>
      </c>
      <c r="O683" s="97" t="s">
        <v>1904</v>
      </c>
    </row>
    <row r="684" spans="1:15">
      <c r="A684" s="101" t="n">
        <v>683</v>
      </c>
      <c r="B684" s="97" t="n">
        <v>725</v>
      </c>
      <c r="C684" s="98" t="s">
        <v>3950</v>
      </c>
      <c r="D684" s="97" t="s">
        <v>3951</v>
      </c>
      <c r="E684" s="97" t="s">
        <v>3443</v>
      </c>
      <c r="F684" s="97" t="s">
        <v>1898</v>
      </c>
      <c r="G684" s="98" t="s">
        <v>3950</v>
      </c>
      <c r="H684" s="97" t="n">
        <v>0</v>
      </c>
      <c r="I684" s="97" t="s">
        <v>1394</v>
      </c>
      <c r="J684" s="97" t="n">
        <v>0</v>
      </c>
      <c r="K684" s="98" t="s">
        <v>3445</v>
      </c>
      <c r="L684" s="97" t="s">
        <v>1902</v>
      </c>
      <c r="M684" s="97" t="s">
        <v>1394</v>
      </c>
      <c r="N684" s="97" t="s">
        <v>1903</v>
      </c>
      <c r="O684" s="97" t="s">
        <v>1904</v>
      </c>
    </row>
    <row r="685" spans="1:15">
      <c r="A685" s="101" t="n">
        <v>684</v>
      </c>
      <c r="B685" s="97" t="n">
        <v>661</v>
      </c>
      <c r="C685" s="98" t="s">
        <v>3952</v>
      </c>
      <c r="D685" s="97" t="s">
        <v>3953</v>
      </c>
      <c r="E685" s="97" t="s">
        <v>3443</v>
      </c>
      <c r="F685" s="97" t="s">
        <v>1898</v>
      </c>
      <c r="G685" s="98" t="s">
        <v>3952</v>
      </c>
      <c r="H685" s="97" t="n">
        <v>0</v>
      </c>
      <c r="I685" s="97" t="s">
        <v>1394</v>
      </c>
      <c r="J685" s="97" t="n">
        <v>0</v>
      </c>
      <c r="K685" s="98" t="s">
        <v>3445</v>
      </c>
      <c r="L685" s="97" t="s">
        <v>3465</v>
      </c>
      <c r="M685" s="97" t="s">
        <v>1394</v>
      </c>
      <c r="N685" s="97" t="s">
        <v>1903</v>
      </c>
      <c r="O685" s="97" t="s">
        <v>1904</v>
      </c>
    </row>
    <row r="686" spans="1:15">
      <c r="A686" s="101" t="n">
        <v>685</v>
      </c>
      <c r="B686" s="97" t="n">
        <v>573</v>
      </c>
      <c r="C686" s="98" t="s">
        <v>3954</v>
      </c>
      <c r="D686" s="97" t="s">
        <v>3955</v>
      </c>
      <c r="E686" s="97" t="s">
        <v>3443</v>
      </c>
      <c r="F686" s="97" t="s">
        <v>1898</v>
      </c>
      <c r="G686" s="98" t="s">
        <v>3954</v>
      </c>
      <c r="H686" s="97" t="n">
        <v>0</v>
      </c>
      <c r="I686" s="97" t="s">
        <v>1394</v>
      </c>
      <c r="J686" s="97" t="n">
        <v>0</v>
      </c>
      <c r="K686" s="98" t="s">
        <v>3445</v>
      </c>
      <c r="L686" s="97" t="s">
        <v>3465</v>
      </c>
      <c r="M686" s="97" t="s">
        <v>1394</v>
      </c>
      <c r="N686" s="97" t="s">
        <v>1903</v>
      </c>
      <c r="O686" s="97" t="s">
        <v>1904</v>
      </c>
    </row>
    <row r="687" spans="1:15">
      <c r="A687" s="101" t="n">
        <v>686</v>
      </c>
      <c r="B687" s="97" t="n">
        <v>693</v>
      </c>
      <c r="C687" s="98" t="s">
        <v>3956</v>
      </c>
      <c r="D687" s="97" t="s">
        <v>3957</v>
      </c>
      <c r="E687" s="97" t="s">
        <v>3443</v>
      </c>
      <c r="F687" s="97" t="s">
        <v>1898</v>
      </c>
      <c r="G687" s="98" t="s">
        <v>3956</v>
      </c>
      <c r="H687" s="97" t="n">
        <v>0</v>
      </c>
      <c r="I687" s="97" t="s">
        <v>1394</v>
      </c>
      <c r="J687" s="97" t="n">
        <v>0</v>
      </c>
      <c r="K687" s="98" t="s">
        <v>3445</v>
      </c>
      <c r="L687" s="97" t="s">
        <v>3465</v>
      </c>
      <c r="M687" s="97" t="s">
        <v>1394</v>
      </c>
      <c r="N687" s="97" t="s">
        <v>1903</v>
      </c>
      <c r="O687" s="97" t="s">
        <v>1904</v>
      </c>
    </row>
    <row r="688" spans="1:15">
      <c r="A688" s="101" t="n">
        <v>687</v>
      </c>
      <c r="B688" s="97" t="n">
        <v>610</v>
      </c>
      <c r="C688" s="98" t="s">
        <v>3958</v>
      </c>
      <c r="D688" s="97" t="s">
        <v>3959</v>
      </c>
      <c r="E688" s="97" t="s">
        <v>3443</v>
      </c>
      <c r="F688" s="97" t="s">
        <v>1898</v>
      </c>
      <c r="G688" s="98" t="s">
        <v>3958</v>
      </c>
      <c r="H688" s="97" t="n">
        <v>0</v>
      </c>
      <c r="I688" s="97" t="s">
        <v>1394</v>
      </c>
      <c r="J688" s="97" t="n">
        <v>0</v>
      </c>
      <c r="K688" s="98" t="s">
        <v>3445</v>
      </c>
      <c r="L688" s="97" t="s">
        <v>157</v>
      </c>
      <c r="M688" s="97" t="s">
        <v>1394</v>
      </c>
      <c r="N688" s="97" t="s">
        <v>3451</v>
      </c>
      <c r="O688" s="97" t="s">
        <v>1904</v>
      </c>
    </row>
    <row r="689" spans="1:15">
      <c r="A689" s="101" t="n">
        <v>688</v>
      </c>
      <c r="B689" s="97" t="n">
        <v>710</v>
      </c>
      <c r="C689" s="98" t="s">
        <v>3960</v>
      </c>
      <c r="D689" s="97" t="s">
        <v>3961</v>
      </c>
      <c r="E689" s="97" t="s">
        <v>3443</v>
      </c>
      <c r="F689" s="97" t="s">
        <v>1898</v>
      </c>
      <c r="G689" s="98" t="s">
        <v>3960</v>
      </c>
      <c r="H689" s="97" t="n">
        <v>0</v>
      </c>
      <c r="I689" s="97" t="s">
        <v>1394</v>
      </c>
      <c r="J689" s="97" t="n">
        <v>0</v>
      </c>
      <c r="K689" s="98" t="s">
        <v>3445</v>
      </c>
      <c r="L689" s="97" t="s">
        <v>3465</v>
      </c>
      <c r="M689" s="97" t="s">
        <v>1394</v>
      </c>
      <c r="N689" s="97" t="s">
        <v>1903</v>
      </c>
      <c r="O689" s="97" t="s">
        <v>1904</v>
      </c>
    </row>
    <row r="690" spans="1:15">
      <c r="A690" s="101" t="n">
        <v>689</v>
      </c>
      <c r="B690" s="97" t="n">
        <v>581</v>
      </c>
      <c r="C690" s="98" t="s">
        <v>3962</v>
      </c>
      <c r="D690" s="97" t="s">
        <v>3963</v>
      </c>
      <c r="E690" s="97" t="s">
        <v>3443</v>
      </c>
      <c r="F690" s="97" t="s">
        <v>1898</v>
      </c>
      <c r="G690" s="98" t="s">
        <v>3962</v>
      </c>
      <c r="H690" s="97" t="n">
        <v>0</v>
      </c>
      <c r="I690" s="97" t="s">
        <v>1394</v>
      </c>
      <c r="J690" s="97" t="n">
        <v>0</v>
      </c>
      <c r="K690" s="98" t="s">
        <v>3445</v>
      </c>
      <c r="L690" s="97" t="s">
        <v>1902</v>
      </c>
      <c r="M690" s="97" t="s">
        <v>1394</v>
      </c>
      <c r="N690" s="97" t="s">
        <v>1903</v>
      </c>
      <c r="O690" s="97" t="s">
        <v>1904</v>
      </c>
    </row>
    <row r="691" spans="1:15">
      <c r="A691" s="101" t="n">
        <v>690</v>
      </c>
      <c r="B691" s="97" t="n">
        <v>569</v>
      </c>
      <c r="C691" s="98" t="s">
        <v>3964</v>
      </c>
      <c r="D691" s="97" t="s">
        <v>3965</v>
      </c>
      <c r="E691" s="97" t="s">
        <v>3443</v>
      </c>
      <c r="F691" s="97" t="s">
        <v>1898</v>
      </c>
      <c r="G691" s="98" t="s">
        <v>3964</v>
      </c>
      <c r="H691" s="97" t="n">
        <v>0</v>
      </c>
      <c r="I691" s="97" t="s">
        <v>1394</v>
      </c>
      <c r="J691" s="97" t="n">
        <v>0</v>
      </c>
      <c r="K691" s="98" t="s">
        <v>3445</v>
      </c>
      <c r="L691" s="97" t="s">
        <v>1902</v>
      </c>
      <c r="M691" s="97" t="s">
        <v>1394</v>
      </c>
      <c r="N691" s="97" t="s">
        <v>1903</v>
      </c>
      <c r="O691" s="97" t="s">
        <v>1904</v>
      </c>
    </row>
    <row r="692" spans="1:15">
      <c r="A692" s="101" t="n">
        <v>691</v>
      </c>
      <c r="B692" s="97" t="n">
        <v>714</v>
      </c>
      <c r="C692" s="98" t="s">
        <v>3966</v>
      </c>
      <c r="D692" s="97" t="s">
        <v>3967</v>
      </c>
      <c r="E692" s="97" t="s">
        <v>3443</v>
      </c>
      <c r="F692" s="97" t="s">
        <v>1898</v>
      </c>
      <c r="G692" s="98" t="s">
        <v>3966</v>
      </c>
      <c r="H692" s="97" t="n">
        <v>0</v>
      </c>
      <c r="I692" s="97" t="s">
        <v>1394</v>
      </c>
      <c r="J692" s="97" t="n">
        <v>0</v>
      </c>
      <c r="K692" s="98" t="s">
        <v>3445</v>
      </c>
      <c r="L692" s="97" t="s">
        <v>157</v>
      </c>
      <c r="M692" s="97" t="s">
        <v>1394</v>
      </c>
      <c r="N692" s="97" t="s">
        <v>3451</v>
      </c>
      <c r="O692" s="97" t="s">
        <v>1904</v>
      </c>
    </row>
    <row r="693" spans="1:15">
      <c r="A693" s="101" t="n">
        <v>692</v>
      </c>
      <c r="B693" s="97" t="n">
        <v>697</v>
      </c>
      <c r="C693" s="98" t="s">
        <v>3968</v>
      </c>
      <c r="D693" s="97" t="s">
        <v>3969</v>
      </c>
      <c r="E693" s="97" t="s">
        <v>3443</v>
      </c>
      <c r="F693" s="97" t="s">
        <v>1898</v>
      </c>
      <c r="G693" s="98" t="s">
        <v>3968</v>
      </c>
      <c r="H693" s="97" t="n">
        <v>0</v>
      </c>
      <c r="I693" s="97" t="s">
        <v>1394</v>
      </c>
      <c r="J693" s="97" t="n">
        <v>0</v>
      </c>
      <c r="K693" s="98" t="s">
        <v>3445</v>
      </c>
      <c r="L693" s="97" t="s">
        <v>3518</v>
      </c>
      <c r="M693" s="97" t="s">
        <v>1394</v>
      </c>
      <c r="N693" s="97" t="s">
        <v>1903</v>
      </c>
      <c r="O693" s="97" t="s">
        <v>1904</v>
      </c>
    </row>
    <row r="694" spans="1:15">
      <c r="A694" s="101" t="n">
        <v>693</v>
      </c>
      <c r="B694" s="97" t="n">
        <v>702</v>
      </c>
      <c r="C694" s="98" t="s">
        <v>3970</v>
      </c>
      <c r="D694" s="97" t="s">
        <v>3971</v>
      </c>
      <c r="E694" s="97" t="s">
        <v>3443</v>
      </c>
      <c r="F694" s="97" t="s">
        <v>1898</v>
      </c>
      <c r="G694" s="98" t="s">
        <v>3970</v>
      </c>
      <c r="H694" s="97" t="n">
        <v>0</v>
      </c>
      <c r="I694" s="97" t="s">
        <v>1394</v>
      </c>
      <c r="J694" s="97" t="n">
        <v>0</v>
      </c>
      <c r="K694" s="98" t="s">
        <v>3445</v>
      </c>
      <c r="L694" s="97" t="s">
        <v>3450</v>
      </c>
      <c r="M694" s="97" t="s">
        <v>1394</v>
      </c>
      <c r="N694" s="97" t="s">
        <v>3451</v>
      </c>
      <c r="O694" s="97" t="s">
        <v>1904</v>
      </c>
    </row>
    <row r="695" spans="1:15">
      <c r="A695" s="101" t="n">
        <v>694</v>
      </c>
      <c r="B695" s="97" t="n">
        <v>617</v>
      </c>
      <c r="C695" s="98" t="s">
        <v>3972</v>
      </c>
      <c r="D695" s="97" t="s">
        <v>3973</v>
      </c>
      <c r="E695" s="97" t="s">
        <v>3443</v>
      </c>
      <c r="F695" s="97" t="s">
        <v>1898</v>
      </c>
      <c r="G695" s="98" t="s">
        <v>3972</v>
      </c>
      <c r="H695" s="97" t="n">
        <v>0</v>
      </c>
      <c r="I695" s="97" t="s">
        <v>1394</v>
      </c>
      <c r="J695" s="97" t="n">
        <v>0</v>
      </c>
      <c r="K695" s="98" t="s">
        <v>3974</v>
      </c>
      <c r="L695" s="97" t="s">
        <v>157</v>
      </c>
      <c r="M695" s="97" t="s">
        <v>1394</v>
      </c>
      <c r="N695" s="97" t="s">
        <v>3451</v>
      </c>
      <c r="O695" s="97" t="s">
        <v>1904</v>
      </c>
    </row>
    <row r="696" spans="1:15">
      <c r="A696" s="101" t="n">
        <v>695</v>
      </c>
      <c r="B696" s="97" t="n">
        <v>708</v>
      </c>
      <c r="C696" s="98" t="s">
        <v>3975</v>
      </c>
      <c r="D696" s="97" t="s">
        <v>3976</v>
      </c>
      <c r="E696" s="97" t="s">
        <v>3443</v>
      </c>
      <c r="F696" s="97" t="s">
        <v>1898</v>
      </c>
      <c r="G696" s="98" t="s">
        <v>3975</v>
      </c>
      <c r="H696" s="97" t="n">
        <v>0</v>
      </c>
      <c r="I696" s="97" t="s">
        <v>1394</v>
      </c>
      <c r="J696" s="97" t="n">
        <v>0</v>
      </c>
      <c r="K696" s="98" t="s">
        <v>3445</v>
      </c>
      <c r="L696" s="97" t="s">
        <v>3465</v>
      </c>
      <c r="M696" s="97" t="s">
        <v>1394</v>
      </c>
      <c r="N696" s="97" t="s">
        <v>1903</v>
      </c>
      <c r="O696" s="97" t="s">
        <v>1904</v>
      </c>
    </row>
    <row r="697" spans="1:15">
      <c r="A697" s="101" t="n">
        <v>696</v>
      </c>
      <c r="B697" s="97" t="n">
        <v>721</v>
      </c>
      <c r="C697" s="98" t="s">
        <v>3977</v>
      </c>
      <c r="D697" s="97" t="s">
        <v>3978</v>
      </c>
      <c r="E697" s="97" t="s">
        <v>3443</v>
      </c>
      <c r="F697" s="97" t="s">
        <v>1898</v>
      </c>
      <c r="G697" s="98" t="s">
        <v>3977</v>
      </c>
      <c r="H697" s="97" t="n">
        <v>0</v>
      </c>
      <c r="I697" s="97" t="s">
        <v>1394</v>
      </c>
      <c r="J697" s="97" t="n">
        <v>0</v>
      </c>
      <c r="K697" s="98" t="s">
        <v>3445</v>
      </c>
      <c r="L697" s="97" t="s">
        <v>3465</v>
      </c>
      <c r="M697" s="97" t="s">
        <v>1394</v>
      </c>
      <c r="N697" s="97" t="s">
        <v>1903</v>
      </c>
      <c r="O697" s="97" t="s">
        <v>1904</v>
      </c>
    </row>
    <row r="698" spans="1:15">
      <c r="A698" s="101" t="n">
        <v>697</v>
      </c>
      <c r="B698" s="97" t="n">
        <v>572</v>
      </c>
      <c r="C698" s="98" t="s">
        <v>3979</v>
      </c>
      <c r="D698" s="97" t="s">
        <v>3980</v>
      </c>
      <c r="E698" s="97" t="s">
        <v>3443</v>
      </c>
      <c r="F698" s="97" t="s">
        <v>1898</v>
      </c>
      <c r="G698" s="98" t="s">
        <v>3979</v>
      </c>
      <c r="H698" s="97" t="n">
        <v>0</v>
      </c>
      <c r="I698" s="97" t="s">
        <v>1394</v>
      </c>
      <c r="J698" s="97" t="n">
        <v>0</v>
      </c>
      <c r="K698" s="98" t="s">
        <v>3445</v>
      </c>
      <c r="L698" s="97" t="s">
        <v>3450</v>
      </c>
      <c r="M698" s="97" t="s">
        <v>1394</v>
      </c>
      <c r="N698" s="97" t="s">
        <v>3451</v>
      </c>
      <c r="O698" s="97" t="s">
        <v>1904</v>
      </c>
    </row>
    <row r="699" spans="1:15">
      <c r="A699" s="101" t="n">
        <v>698</v>
      </c>
      <c r="B699" s="97" t="n">
        <v>585</v>
      </c>
      <c r="C699" s="98" t="s">
        <v>3981</v>
      </c>
      <c r="D699" s="97" t="s">
        <v>3982</v>
      </c>
      <c r="E699" s="97" t="s">
        <v>3443</v>
      </c>
      <c r="F699" s="97" t="s">
        <v>1898</v>
      </c>
      <c r="G699" s="98" t="s">
        <v>3981</v>
      </c>
      <c r="H699" s="97" t="n">
        <v>0</v>
      </c>
      <c r="I699" s="97" t="s">
        <v>1394</v>
      </c>
      <c r="J699" s="97" t="n">
        <v>0</v>
      </c>
      <c r="K699" s="98" t="s">
        <v>3445</v>
      </c>
      <c r="L699" s="97" t="s">
        <v>3465</v>
      </c>
      <c r="M699" s="97" t="s">
        <v>1394</v>
      </c>
      <c r="N699" s="97" t="s">
        <v>1903</v>
      </c>
      <c r="O699" s="97" t="s">
        <v>1904</v>
      </c>
    </row>
    <row r="700" spans="1:15">
      <c r="A700" s="101" t="n">
        <v>699</v>
      </c>
      <c r="B700" s="97" t="n">
        <v>726</v>
      </c>
      <c r="C700" s="98" t="s">
        <v>3983</v>
      </c>
      <c r="D700" s="97" t="s">
        <v>3984</v>
      </c>
      <c r="E700" s="97" t="s">
        <v>3443</v>
      </c>
      <c r="F700" s="97" t="s">
        <v>1898</v>
      </c>
      <c r="G700" s="98" t="s">
        <v>3983</v>
      </c>
      <c r="H700" s="97" t="n">
        <v>0</v>
      </c>
      <c r="I700" s="97" t="s">
        <v>1394</v>
      </c>
      <c r="J700" s="97" t="n">
        <v>0</v>
      </c>
      <c r="K700" s="98" t="s">
        <v>3445</v>
      </c>
      <c r="L700" s="97" t="s">
        <v>1902</v>
      </c>
      <c r="M700" s="97" t="s">
        <v>1394</v>
      </c>
      <c r="N700" s="97" t="s">
        <v>1903</v>
      </c>
      <c r="O700" s="97" t="s">
        <v>1904</v>
      </c>
    </row>
    <row r="701" spans="1:15">
      <c r="A701" s="101" t="n">
        <v>700</v>
      </c>
      <c r="B701" s="97" t="n">
        <v>592</v>
      </c>
      <c r="C701" s="98" t="s">
        <v>3985</v>
      </c>
      <c r="D701" s="97" t="s">
        <v>3986</v>
      </c>
      <c r="E701" s="97" t="s">
        <v>3443</v>
      </c>
      <c r="F701" s="97" t="s">
        <v>1898</v>
      </c>
      <c r="G701" s="98" t="s">
        <v>3985</v>
      </c>
      <c r="H701" s="97" t="n">
        <v>0</v>
      </c>
      <c r="I701" s="97" t="s">
        <v>1394</v>
      </c>
      <c r="J701" s="97" t="n">
        <v>0</v>
      </c>
      <c r="K701" s="98" t="s">
        <v>3445</v>
      </c>
      <c r="L701" s="97" t="s">
        <v>3465</v>
      </c>
      <c r="M701" s="97" t="s">
        <v>1394</v>
      </c>
      <c r="N701" s="97" t="s">
        <v>1903</v>
      </c>
      <c r="O701" s="97" t="s">
        <v>1904</v>
      </c>
    </row>
    <row r="702" spans="1:15">
      <c r="A702" s="101" t="n">
        <v>701</v>
      </c>
      <c r="B702" s="97" t="n">
        <v>659</v>
      </c>
      <c r="C702" s="98" t="s">
        <v>3987</v>
      </c>
      <c r="D702" s="97" t="s">
        <v>3988</v>
      </c>
      <c r="E702" s="97" t="s">
        <v>3443</v>
      </c>
      <c r="F702" s="97" t="s">
        <v>1898</v>
      </c>
      <c r="G702" s="98" t="s">
        <v>3987</v>
      </c>
      <c r="H702" s="97" t="n">
        <v>0</v>
      </c>
      <c r="I702" s="97" t="s">
        <v>1394</v>
      </c>
      <c r="J702" s="97" t="n">
        <v>0</v>
      </c>
      <c r="K702" s="98" t="s">
        <v>3445</v>
      </c>
      <c r="L702" s="97" t="s">
        <v>3518</v>
      </c>
      <c r="M702" s="97" t="s">
        <v>1394</v>
      </c>
      <c r="N702" s="97" t="s">
        <v>1903</v>
      </c>
      <c r="O702" s="97" t="s">
        <v>1904</v>
      </c>
    </row>
    <row r="703" spans="1:15">
      <c r="A703" s="101" t="n">
        <v>702</v>
      </c>
      <c r="B703" s="97" t="n">
        <v>554</v>
      </c>
      <c r="C703" s="98" t="s">
        <v>3989</v>
      </c>
      <c r="D703" s="97" t="s">
        <v>3990</v>
      </c>
      <c r="E703" s="97" t="s">
        <v>3443</v>
      </c>
      <c r="F703" s="97" t="s">
        <v>1898</v>
      </c>
      <c r="G703" s="98" t="s">
        <v>3989</v>
      </c>
      <c r="H703" s="97" t="n">
        <v>0</v>
      </c>
      <c r="I703" s="97" t="s">
        <v>1394</v>
      </c>
      <c r="J703" s="97" t="n">
        <v>0</v>
      </c>
      <c r="K703" s="98" t="s">
        <v>3445</v>
      </c>
      <c r="L703" s="97" t="s">
        <v>1902</v>
      </c>
      <c r="M703" s="97" t="s">
        <v>1394</v>
      </c>
      <c r="N703" s="97" t="s">
        <v>1903</v>
      </c>
      <c r="O703" s="97" t="s">
        <v>1904</v>
      </c>
    </row>
    <row r="704" spans="1:19">
      <c r="A704" s="101" t="n">
        <v>703</v>
      </c>
      <c r="B704" s="97" t="n">
        <v>749</v>
      </c>
      <c r="C704" s="98" t="s">
        <v>3991</v>
      </c>
      <c r="D704" s="97" t="s">
        <v>3992</v>
      </c>
      <c r="E704" s="97" t="s">
        <v>3443</v>
      </c>
      <c r="F704" s="97" t="s">
        <v>1898</v>
      </c>
      <c r="G704" s="98" t="s">
        <v>3991</v>
      </c>
      <c r="H704" s="97" t="n">
        <v>0</v>
      </c>
      <c r="I704" s="97" t="s">
        <v>1394</v>
      </c>
      <c r="J704" s="97" t="n">
        <v>0</v>
      </c>
      <c r="K704" s="98" t="s">
        <v>3445</v>
      </c>
      <c r="L704" s="97" t="s">
        <v>1902</v>
      </c>
      <c r="M704" s="97" t="s">
        <v>1394</v>
      </c>
      <c r="N704" s="97" t="s">
        <v>1903</v>
      </c>
      <c r="O704" s="97" t="s">
        <v>1904</v>
      </c>
      <c r="R704" s="100" t="n">
        <v>45906.4618518518546</v>
      </c>
      <c r="S704" s="100" t="n">
        <v>45906.4625578703708</v>
      </c>
    </row>
    <row r="705" spans="1:15">
      <c r="A705" s="101" t="n">
        <v>704</v>
      </c>
      <c r="B705" s="97" t="n">
        <v>562</v>
      </c>
      <c r="C705" s="98" t="s">
        <v>3993</v>
      </c>
      <c r="D705" s="97" t="s">
        <v>3994</v>
      </c>
      <c r="E705" s="97" t="s">
        <v>3443</v>
      </c>
      <c r="F705" s="97" t="s">
        <v>1898</v>
      </c>
      <c r="G705" s="98" t="s">
        <v>3993</v>
      </c>
      <c r="H705" s="97" t="n">
        <v>0</v>
      </c>
      <c r="I705" s="97" t="s">
        <v>1394</v>
      </c>
      <c r="J705" s="97" t="n">
        <v>0</v>
      </c>
      <c r="K705" s="98" t="s">
        <v>3445</v>
      </c>
      <c r="L705" s="97" t="s">
        <v>157</v>
      </c>
      <c r="M705" s="97" t="s">
        <v>1394</v>
      </c>
      <c r="N705" s="97" t="s">
        <v>3451</v>
      </c>
      <c r="O705" s="97" t="s">
        <v>1904</v>
      </c>
    </row>
    <row r="706" spans="1:15">
      <c r="A706" s="101" t="n">
        <v>705</v>
      </c>
      <c r="B706" s="97" t="n">
        <v>707</v>
      </c>
      <c r="C706" s="98" t="s">
        <v>3995</v>
      </c>
      <c r="D706" s="97" t="s">
        <v>3996</v>
      </c>
      <c r="E706" s="97" t="s">
        <v>3443</v>
      </c>
      <c r="F706" s="97" t="s">
        <v>1898</v>
      </c>
      <c r="G706" s="98" t="s">
        <v>3995</v>
      </c>
      <c r="H706" s="97" t="n">
        <v>0</v>
      </c>
      <c r="I706" s="97" t="s">
        <v>1394</v>
      </c>
      <c r="J706" s="97" t="n">
        <v>0</v>
      </c>
      <c r="K706" s="98" t="s">
        <v>3445</v>
      </c>
      <c r="L706" s="97" t="s">
        <v>157</v>
      </c>
      <c r="M706" s="97" t="s">
        <v>1394</v>
      </c>
      <c r="N706" s="97" t="s">
        <v>3451</v>
      </c>
      <c r="O706" s="97" t="s">
        <v>1904</v>
      </c>
    </row>
    <row r="707" spans="1:15">
      <c r="A707" s="101" t="n">
        <v>706</v>
      </c>
      <c r="B707" s="97" t="n">
        <v>680</v>
      </c>
      <c r="C707" s="98" t="s">
        <v>3997</v>
      </c>
      <c r="D707" s="97" t="s">
        <v>3998</v>
      </c>
      <c r="E707" s="97" t="s">
        <v>3443</v>
      </c>
      <c r="F707" s="97" t="s">
        <v>1898</v>
      </c>
      <c r="G707" s="98" t="s">
        <v>3997</v>
      </c>
      <c r="H707" s="97" t="n">
        <v>0</v>
      </c>
      <c r="I707" s="97" t="s">
        <v>1394</v>
      </c>
      <c r="J707" s="97" t="n">
        <v>0</v>
      </c>
      <c r="K707" s="98" t="s">
        <v>3445</v>
      </c>
      <c r="L707" s="97" t="s">
        <v>1902</v>
      </c>
      <c r="M707" s="97" t="s">
        <v>1394</v>
      </c>
      <c r="N707" s="97" t="s">
        <v>1903</v>
      </c>
      <c r="O707" s="97" t="s">
        <v>1904</v>
      </c>
    </row>
    <row r="708" spans="1:15">
      <c r="A708" s="101" t="n">
        <v>707</v>
      </c>
      <c r="B708" s="97" t="n">
        <v>607</v>
      </c>
      <c r="C708" s="98" t="s">
        <v>3999</v>
      </c>
      <c r="D708" s="97" t="s">
        <v>4000</v>
      </c>
      <c r="E708" s="97" t="s">
        <v>3443</v>
      </c>
      <c r="F708" s="97" t="s">
        <v>1898</v>
      </c>
      <c r="G708" s="98" t="s">
        <v>3999</v>
      </c>
      <c r="H708" s="97" t="n">
        <v>0</v>
      </c>
      <c r="I708" s="97" t="s">
        <v>1394</v>
      </c>
      <c r="J708" s="97" t="n">
        <v>0</v>
      </c>
      <c r="K708" s="98" t="s">
        <v>4001</v>
      </c>
      <c r="L708" s="97" t="s">
        <v>3450</v>
      </c>
      <c r="M708" s="97" t="s">
        <v>1394</v>
      </c>
      <c r="N708" s="97" t="s">
        <v>3451</v>
      </c>
      <c r="O708" s="97" t="s">
        <v>1904</v>
      </c>
    </row>
    <row r="709" spans="1:15">
      <c r="A709" s="101" t="n">
        <v>708</v>
      </c>
      <c r="B709" s="97" t="n">
        <v>695</v>
      </c>
      <c r="C709" s="98" t="s">
        <v>4002</v>
      </c>
      <c r="D709" s="97" t="s">
        <v>4003</v>
      </c>
      <c r="E709" s="97" t="s">
        <v>3443</v>
      </c>
      <c r="F709" s="97" t="s">
        <v>1898</v>
      </c>
      <c r="G709" s="98" t="s">
        <v>4002</v>
      </c>
      <c r="H709" s="97" t="n">
        <v>0</v>
      </c>
      <c r="I709" s="97" t="s">
        <v>1394</v>
      </c>
      <c r="J709" s="97" t="n">
        <v>0</v>
      </c>
      <c r="K709" s="98" t="s">
        <v>3445</v>
      </c>
      <c r="L709" s="97" t="s">
        <v>3465</v>
      </c>
      <c r="M709" s="97" t="s">
        <v>1394</v>
      </c>
      <c r="N709" s="97" t="s">
        <v>1903</v>
      </c>
      <c r="O709" s="97" t="s">
        <v>1904</v>
      </c>
    </row>
    <row r="710" spans="1:15">
      <c r="A710" s="101" t="n">
        <v>709</v>
      </c>
      <c r="B710" s="97" t="n">
        <v>704</v>
      </c>
      <c r="C710" s="98" t="s">
        <v>4004</v>
      </c>
      <c r="D710" s="97" t="s">
        <v>4005</v>
      </c>
      <c r="E710" s="97" t="s">
        <v>3443</v>
      </c>
      <c r="F710" s="97" t="s">
        <v>1898</v>
      </c>
      <c r="G710" s="98" t="s">
        <v>4004</v>
      </c>
      <c r="H710" s="97" t="n">
        <v>0</v>
      </c>
      <c r="I710" s="97" t="s">
        <v>1394</v>
      </c>
      <c r="J710" s="97" t="n">
        <v>0</v>
      </c>
      <c r="K710" s="98" t="s">
        <v>3445</v>
      </c>
      <c r="L710" s="97" t="s">
        <v>1902</v>
      </c>
      <c r="M710" s="97" t="s">
        <v>1394</v>
      </c>
      <c r="N710" s="97" t="s">
        <v>1903</v>
      </c>
      <c r="O710" s="97" t="s">
        <v>1904</v>
      </c>
    </row>
    <row r="711" spans="1:15">
      <c r="A711" s="101" t="n">
        <v>710</v>
      </c>
      <c r="B711" s="97" t="n">
        <v>616</v>
      </c>
      <c r="C711" s="98" t="s">
        <v>4006</v>
      </c>
      <c r="D711" s="97" t="s">
        <v>4007</v>
      </c>
      <c r="E711" s="97" t="s">
        <v>3443</v>
      </c>
      <c r="F711" s="97" t="s">
        <v>1898</v>
      </c>
      <c r="G711" s="98" t="s">
        <v>4006</v>
      </c>
      <c r="H711" s="97" t="n">
        <v>0</v>
      </c>
      <c r="I711" s="97" t="s">
        <v>1394</v>
      </c>
      <c r="J711" s="97" t="n">
        <v>0</v>
      </c>
      <c r="K711" s="98" t="s">
        <v>3445</v>
      </c>
      <c r="L711" s="97" t="s">
        <v>3450</v>
      </c>
      <c r="M711" s="97" t="s">
        <v>1394</v>
      </c>
      <c r="N711" s="97" t="s">
        <v>3451</v>
      </c>
      <c r="O711" s="97" t="s">
        <v>1904</v>
      </c>
    </row>
    <row r="712" spans="1:15">
      <c r="A712" s="101" t="n">
        <v>711</v>
      </c>
      <c r="B712" s="97" t="n">
        <v>597</v>
      </c>
      <c r="C712" s="98" t="s">
        <v>4008</v>
      </c>
      <c r="D712" s="97" t="s">
        <v>4009</v>
      </c>
      <c r="E712" s="97" t="s">
        <v>3443</v>
      </c>
      <c r="F712" s="97" t="s">
        <v>1898</v>
      </c>
      <c r="G712" s="98" t="s">
        <v>4008</v>
      </c>
      <c r="H712" s="97" t="n">
        <v>0</v>
      </c>
      <c r="I712" s="97" t="s">
        <v>1394</v>
      </c>
      <c r="J712" s="97" t="n">
        <v>0</v>
      </c>
      <c r="K712" s="98" t="s">
        <v>3445</v>
      </c>
      <c r="L712" s="97" t="s">
        <v>3465</v>
      </c>
      <c r="M712" s="97" t="s">
        <v>1394</v>
      </c>
      <c r="N712" s="97" t="s">
        <v>1903</v>
      </c>
      <c r="O712" s="97" t="s">
        <v>1904</v>
      </c>
    </row>
    <row r="713" spans="1:15">
      <c r="A713" s="101" t="n">
        <v>712</v>
      </c>
      <c r="B713" s="97" t="n">
        <v>561</v>
      </c>
      <c r="C713" s="98" t="s">
        <v>4010</v>
      </c>
      <c r="D713" s="97" t="s">
        <v>4011</v>
      </c>
      <c r="E713" s="97" t="s">
        <v>3443</v>
      </c>
      <c r="F713" s="97" t="s">
        <v>1898</v>
      </c>
      <c r="G713" s="98" t="s">
        <v>4010</v>
      </c>
      <c r="H713" s="97" t="n">
        <v>0</v>
      </c>
      <c r="I713" s="97" t="s">
        <v>1394</v>
      </c>
      <c r="J713" s="97" t="n">
        <v>0</v>
      </c>
      <c r="K713" s="98" t="s">
        <v>3445</v>
      </c>
      <c r="L713" s="97" t="s">
        <v>3518</v>
      </c>
      <c r="M713" s="97" t="s">
        <v>1394</v>
      </c>
      <c r="N713" s="97" t="s">
        <v>1903</v>
      </c>
      <c r="O713" s="97" t="s">
        <v>1904</v>
      </c>
    </row>
    <row r="714" spans="1:15">
      <c r="A714" s="101" t="n">
        <v>713</v>
      </c>
      <c r="B714" s="97" t="n">
        <v>666</v>
      </c>
      <c r="C714" s="98" t="s">
        <v>4012</v>
      </c>
      <c r="D714" s="97" t="s">
        <v>4013</v>
      </c>
      <c r="E714" s="97" t="s">
        <v>3443</v>
      </c>
      <c r="F714" s="97" t="s">
        <v>1898</v>
      </c>
      <c r="G714" s="98" t="s">
        <v>4012</v>
      </c>
      <c r="H714" s="97" t="n">
        <v>0</v>
      </c>
      <c r="I714" s="97" t="s">
        <v>1394</v>
      </c>
      <c r="J714" s="97" t="n">
        <v>0</v>
      </c>
      <c r="K714" s="98" t="s">
        <v>3445</v>
      </c>
      <c r="L714" s="97" t="s">
        <v>3465</v>
      </c>
      <c r="M714" s="97" t="s">
        <v>1394</v>
      </c>
      <c r="N714" s="97" t="s">
        <v>1903</v>
      </c>
      <c r="O714" s="97" t="s">
        <v>1904</v>
      </c>
    </row>
    <row r="715" spans="1:15">
      <c r="A715" s="101" t="n">
        <v>714</v>
      </c>
      <c r="B715" s="97" t="n">
        <v>657</v>
      </c>
      <c r="C715" s="98" t="s">
        <v>4014</v>
      </c>
      <c r="D715" s="97" t="s">
        <v>4015</v>
      </c>
      <c r="E715" s="97" t="s">
        <v>3443</v>
      </c>
      <c r="F715" s="97" t="s">
        <v>1898</v>
      </c>
      <c r="G715" s="98" t="s">
        <v>4014</v>
      </c>
      <c r="H715" s="97" t="n">
        <v>0</v>
      </c>
      <c r="I715" s="97" t="s">
        <v>1394</v>
      </c>
      <c r="J715" s="97" t="n">
        <v>0</v>
      </c>
      <c r="K715" s="98" t="s">
        <v>3445</v>
      </c>
      <c r="L715" s="97" t="s">
        <v>3465</v>
      </c>
      <c r="M715" s="97" t="s">
        <v>1394</v>
      </c>
      <c r="N715" s="97" t="s">
        <v>1903</v>
      </c>
      <c r="O715" s="97" t="s">
        <v>1904</v>
      </c>
    </row>
    <row r="716" spans="1:15">
      <c r="A716" s="101" t="n">
        <v>715</v>
      </c>
      <c r="B716" s="97" t="n">
        <v>560</v>
      </c>
      <c r="C716" s="98" t="s">
        <v>4016</v>
      </c>
      <c r="D716" s="97" t="s">
        <v>4017</v>
      </c>
      <c r="E716" s="97" t="s">
        <v>3443</v>
      </c>
      <c r="F716" s="97" t="s">
        <v>1898</v>
      </c>
      <c r="G716" s="98" t="s">
        <v>4016</v>
      </c>
      <c r="H716" s="97" t="n">
        <v>0</v>
      </c>
      <c r="I716" s="97" t="s">
        <v>1394</v>
      </c>
      <c r="J716" s="97" t="n">
        <v>0</v>
      </c>
      <c r="K716" s="98" t="s">
        <v>3445</v>
      </c>
      <c r="L716" s="97" t="s">
        <v>1902</v>
      </c>
      <c r="M716" s="97" t="s">
        <v>1394</v>
      </c>
      <c r="N716" s="97" t="s">
        <v>1903</v>
      </c>
      <c r="O716" s="97" t="s">
        <v>1904</v>
      </c>
    </row>
    <row r="717" spans="1:15">
      <c r="A717" s="101" t="n">
        <v>716</v>
      </c>
      <c r="B717" s="97" t="n">
        <v>619</v>
      </c>
      <c r="C717" s="98" t="s">
        <v>4018</v>
      </c>
      <c r="D717" s="97" t="s">
        <v>4019</v>
      </c>
      <c r="E717" s="97" t="s">
        <v>3443</v>
      </c>
      <c r="F717" s="97" t="s">
        <v>1898</v>
      </c>
      <c r="G717" s="98" t="s">
        <v>4018</v>
      </c>
      <c r="H717" s="97" t="n">
        <v>0</v>
      </c>
      <c r="I717" s="97" t="s">
        <v>1394</v>
      </c>
      <c r="J717" s="97" t="n">
        <v>0</v>
      </c>
      <c r="K717" s="98" t="s">
        <v>3445</v>
      </c>
      <c r="L717" s="97" t="s">
        <v>157</v>
      </c>
      <c r="M717" s="97" t="s">
        <v>1394</v>
      </c>
      <c r="N717" s="97" t="s">
        <v>3451</v>
      </c>
      <c r="O717" s="97" t="s">
        <v>1904</v>
      </c>
    </row>
    <row r="718" spans="1:15">
      <c r="A718" s="101" t="n">
        <v>717</v>
      </c>
      <c r="B718" s="97" t="n">
        <v>651</v>
      </c>
      <c r="C718" s="98" t="s">
        <v>4020</v>
      </c>
      <c r="D718" s="97" t="s">
        <v>4021</v>
      </c>
      <c r="E718" s="97" t="s">
        <v>3443</v>
      </c>
      <c r="F718" s="97" t="s">
        <v>1898</v>
      </c>
      <c r="G718" s="98" t="s">
        <v>4020</v>
      </c>
      <c r="H718" s="97" t="n">
        <v>0</v>
      </c>
      <c r="I718" s="97" t="s">
        <v>1394</v>
      </c>
      <c r="J718" s="97" t="n">
        <v>0</v>
      </c>
      <c r="K718" s="98" t="s">
        <v>3445</v>
      </c>
      <c r="L718" s="97" t="s">
        <v>157</v>
      </c>
      <c r="M718" s="97" t="s">
        <v>1394</v>
      </c>
      <c r="N718" s="97" t="s">
        <v>3451</v>
      </c>
      <c r="O718" s="97" t="s">
        <v>1904</v>
      </c>
    </row>
    <row r="719" spans="1:15">
      <c r="A719" s="101" t="n">
        <v>718</v>
      </c>
      <c r="B719" s="97" t="n">
        <v>640</v>
      </c>
      <c r="C719" s="98" t="s">
        <v>4022</v>
      </c>
      <c r="D719" s="97" t="s">
        <v>4023</v>
      </c>
      <c r="E719" s="97" t="s">
        <v>3443</v>
      </c>
      <c r="F719" s="97" t="s">
        <v>1898</v>
      </c>
      <c r="G719" s="98" t="s">
        <v>4022</v>
      </c>
      <c r="H719" s="97" t="n">
        <v>0</v>
      </c>
      <c r="I719" s="97" t="s">
        <v>1394</v>
      </c>
      <c r="J719" s="97" t="n">
        <v>0</v>
      </c>
      <c r="K719" s="98" t="s">
        <v>3445</v>
      </c>
      <c r="L719" s="97" t="s">
        <v>157</v>
      </c>
      <c r="M719" s="97" t="s">
        <v>1394</v>
      </c>
      <c r="N719" s="97" t="s">
        <v>3451</v>
      </c>
      <c r="O719" s="97" t="s">
        <v>1904</v>
      </c>
    </row>
    <row r="720" spans="1:15">
      <c r="A720" s="101" t="n">
        <v>719</v>
      </c>
      <c r="B720" s="97" t="n">
        <v>604</v>
      </c>
      <c r="C720" s="98" t="s">
        <v>4024</v>
      </c>
      <c r="D720" s="97" t="s">
        <v>4025</v>
      </c>
      <c r="E720" s="97" t="s">
        <v>3443</v>
      </c>
      <c r="F720" s="97" t="s">
        <v>1898</v>
      </c>
      <c r="G720" s="98" t="s">
        <v>4024</v>
      </c>
      <c r="H720" s="97" t="n">
        <v>0</v>
      </c>
      <c r="I720" s="97" t="s">
        <v>1394</v>
      </c>
      <c r="J720" s="97" t="n">
        <v>0</v>
      </c>
      <c r="K720" s="98" t="s">
        <v>3445</v>
      </c>
      <c r="L720" s="97" t="s">
        <v>3465</v>
      </c>
      <c r="M720" s="97" t="s">
        <v>1394</v>
      </c>
      <c r="N720" s="97" t="s">
        <v>1903</v>
      </c>
      <c r="O720" s="97" t="s">
        <v>1904</v>
      </c>
    </row>
    <row r="721" spans="1:15">
      <c r="A721" s="101" t="n">
        <v>720</v>
      </c>
      <c r="B721" s="97" t="n">
        <v>742</v>
      </c>
      <c r="C721" s="98" t="s">
        <v>4026</v>
      </c>
      <c r="D721" s="97" t="s">
        <v>4027</v>
      </c>
      <c r="E721" s="97" t="s">
        <v>3443</v>
      </c>
      <c r="F721" s="97" t="s">
        <v>1898</v>
      </c>
      <c r="G721" s="98" t="s">
        <v>4026</v>
      </c>
      <c r="H721" s="97" t="n">
        <v>0</v>
      </c>
      <c r="I721" s="97" t="s">
        <v>1394</v>
      </c>
      <c r="J721" s="97" t="n">
        <v>0</v>
      </c>
      <c r="K721" s="98" t="s">
        <v>3445</v>
      </c>
      <c r="L721" s="97" t="s">
        <v>3465</v>
      </c>
      <c r="M721" s="97" t="s">
        <v>1394</v>
      </c>
      <c r="N721" s="97" t="s">
        <v>1903</v>
      </c>
      <c r="O721" s="97" t="s">
        <v>1904</v>
      </c>
    </row>
    <row r="722" spans="1:15">
      <c r="A722" s="101" t="n">
        <v>721</v>
      </c>
      <c r="B722" s="97" t="n">
        <v>611</v>
      </c>
      <c r="C722" s="98" t="s">
        <v>4028</v>
      </c>
      <c r="D722" s="97" t="s">
        <v>4029</v>
      </c>
      <c r="E722" s="97" t="s">
        <v>3443</v>
      </c>
      <c r="F722" s="97" t="s">
        <v>1898</v>
      </c>
      <c r="G722" s="98" t="s">
        <v>4028</v>
      </c>
      <c r="H722" s="97" t="n">
        <v>0</v>
      </c>
      <c r="I722" s="97" t="s">
        <v>1394</v>
      </c>
      <c r="J722" s="97" t="n">
        <v>0</v>
      </c>
      <c r="K722" s="98" t="s">
        <v>3445</v>
      </c>
      <c r="L722" s="97" t="s">
        <v>157</v>
      </c>
      <c r="M722" s="97" t="s">
        <v>1394</v>
      </c>
      <c r="N722" s="97" t="s">
        <v>3451</v>
      </c>
      <c r="O722" s="97" t="s">
        <v>1904</v>
      </c>
    </row>
    <row r="723" spans="1:15">
      <c r="A723" s="101" t="n">
        <v>722</v>
      </c>
      <c r="B723" s="97" t="n">
        <v>703</v>
      </c>
      <c r="C723" s="98" t="s">
        <v>4030</v>
      </c>
      <c r="D723" s="97" t="s">
        <v>4031</v>
      </c>
      <c r="E723" s="97" t="s">
        <v>3443</v>
      </c>
      <c r="F723" s="97" t="s">
        <v>1898</v>
      </c>
      <c r="G723" s="98" t="s">
        <v>4030</v>
      </c>
      <c r="H723" s="97" t="n">
        <v>0</v>
      </c>
      <c r="I723" s="97" t="s">
        <v>1394</v>
      </c>
      <c r="J723" s="97" t="n">
        <v>0</v>
      </c>
      <c r="K723" s="98" t="s">
        <v>3445</v>
      </c>
      <c r="L723" s="97" t="s">
        <v>1902</v>
      </c>
      <c r="M723" s="97" t="s">
        <v>1394</v>
      </c>
      <c r="N723" s="97" t="s">
        <v>1903</v>
      </c>
      <c r="O723" s="97" t="s">
        <v>1904</v>
      </c>
    </row>
    <row r="724" spans="1:15">
      <c r="A724" s="101" t="n">
        <v>723</v>
      </c>
      <c r="B724" s="97" t="n">
        <v>591</v>
      </c>
      <c r="C724" s="98" t="s">
        <v>4032</v>
      </c>
      <c r="D724" s="97" t="s">
        <v>4033</v>
      </c>
      <c r="E724" s="97" t="s">
        <v>3443</v>
      </c>
      <c r="F724" s="97" t="s">
        <v>1898</v>
      </c>
      <c r="G724" s="98" t="s">
        <v>4032</v>
      </c>
      <c r="H724" s="97" t="n">
        <v>0</v>
      </c>
      <c r="I724" s="97" t="s">
        <v>1394</v>
      </c>
      <c r="J724" s="97" t="n">
        <v>0</v>
      </c>
      <c r="K724" s="98" t="s">
        <v>3445</v>
      </c>
      <c r="L724" s="97" t="s">
        <v>1902</v>
      </c>
      <c r="M724" s="97" t="s">
        <v>1394</v>
      </c>
      <c r="N724" s="97" t="s">
        <v>1903</v>
      </c>
      <c r="O724" s="97" t="s">
        <v>1904</v>
      </c>
    </row>
    <row r="725" spans="1:15">
      <c r="A725" s="101" t="n">
        <v>724</v>
      </c>
      <c r="B725" s="97" t="n">
        <v>568</v>
      </c>
      <c r="C725" s="98" t="s">
        <v>4034</v>
      </c>
      <c r="D725" s="97" t="s">
        <v>4035</v>
      </c>
      <c r="E725" s="97" t="s">
        <v>3443</v>
      </c>
      <c r="F725" s="97" t="s">
        <v>1898</v>
      </c>
      <c r="G725" s="98" t="s">
        <v>4034</v>
      </c>
      <c r="H725" s="97" t="n">
        <v>0</v>
      </c>
      <c r="I725" s="97" t="s">
        <v>1394</v>
      </c>
      <c r="J725" s="97" t="n">
        <v>0</v>
      </c>
      <c r="K725" s="98" t="s">
        <v>3445</v>
      </c>
      <c r="L725" s="97" t="s">
        <v>157</v>
      </c>
      <c r="M725" s="97" t="s">
        <v>1394</v>
      </c>
      <c r="N725" s="97" t="s">
        <v>3451</v>
      </c>
      <c r="O725" s="97" t="s">
        <v>1904</v>
      </c>
    </row>
    <row r="726" spans="1:15">
      <c r="A726" s="101" t="n">
        <v>725</v>
      </c>
      <c r="B726" s="97" t="n">
        <v>647</v>
      </c>
      <c r="C726" s="98" t="s">
        <v>4036</v>
      </c>
      <c r="D726" s="97" t="s">
        <v>4037</v>
      </c>
      <c r="E726" s="97" t="s">
        <v>3443</v>
      </c>
      <c r="F726" s="97" t="s">
        <v>1898</v>
      </c>
      <c r="G726" s="98" t="s">
        <v>4036</v>
      </c>
      <c r="H726" s="97" t="n">
        <v>0</v>
      </c>
      <c r="I726" s="97" t="s">
        <v>1394</v>
      </c>
      <c r="J726" s="97" t="n">
        <v>0</v>
      </c>
      <c r="K726" s="98" t="s">
        <v>3445</v>
      </c>
      <c r="L726" s="97" t="s">
        <v>157</v>
      </c>
      <c r="M726" s="97" t="s">
        <v>1394</v>
      </c>
      <c r="N726" s="97" t="s">
        <v>3451</v>
      </c>
      <c r="O726" s="97" t="s">
        <v>1904</v>
      </c>
    </row>
    <row r="727" spans="1:15">
      <c r="A727" s="101" t="n">
        <v>726</v>
      </c>
      <c r="B727" s="97" t="n">
        <v>746</v>
      </c>
      <c r="C727" s="98" t="s">
        <v>4038</v>
      </c>
      <c r="D727" s="97" t="s">
        <v>4039</v>
      </c>
      <c r="E727" s="97" t="s">
        <v>3443</v>
      </c>
      <c r="F727" s="97" t="s">
        <v>1898</v>
      </c>
      <c r="G727" s="98" t="s">
        <v>4038</v>
      </c>
      <c r="H727" s="97" t="n">
        <v>0</v>
      </c>
      <c r="I727" s="97" t="s">
        <v>1394</v>
      </c>
      <c r="J727" s="97" t="n">
        <v>0</v>
      </c>
      <c r="K727" s="98" t="s">
        <v>3445</v>
      </c>
      <c r="L727" s="97" t="s">
        <v>3465</v>
      </c>
      <c r="M727" s="97" t="s">
        <v>1394</v>
      </c>
      <c r="N727" s="97" t="s">
        <v>1903</v>
      </c>
      <c r="O727" s="97" t="s">
        <v>1904</v>
      </c>
    </row>
    <row r="728" spans="1:15">
      <c r="A728" s="101" t="n">
        <v>727</v>
      </c>
      <c r="B728" s="97" t="n">
        <v>593</v>
      </c>
      <c r="C728" s="98" t="s">
        <v>4040</v>
      </c>
      <c r="D728" s="97" t="s">
        <v>4041</v>
      </c>
      <c r="E728" s="97" t="s">
        <v>3443</v>
      </c>
      <c r="F728" s="97" t="s">
        <v>1898</v>
      </c>
      <c r="G728" s="98" t="s">
        <v>4040</v>
      </c>
      <c r="H728" s="97" t="n">
        <v>0</v>
      </c>
      <c r="I728" s="97" t="s">
        <v>1394</v>
      </c>
      <c r="J728" s="97" t="n">
        <v>0</v>
      </c>
      <c r="K728" s="98" t="s">
        <v>3445</v>
      </c>
      <c r="L728" s="97" t="s">
        <v>3465</v>
      </c>
      <c r="M728" s="97" t="s">
        <v>1394</v>
      </c>
      <c r="N728" s="97" t="s">
        <v>1903</v>
      </c>
      <c r="O728" s="97" t="s">
        <v>1904</v>
      </c>
    </row>
    <row r="729" spans="1:15">
      <c r="A729" s="101" t="n">
        <v>728</v>
      </c>
      <c r="B729" s="97" t="n">
        <v>745</v>
      </c>
      <c r="C729" s="98" t="s">
        <v>4042</v>
      </c>
      <c r="D729" s="97" t="s">
        <v>4043</v>
      </c>
      <c r="E729" s="97" t="s">
        <v>3443</v>
      </c>
      <c r="F729" s="97" t="s">
        <v>1898</v>
      </c>
      <c r="G729" s="98" t="s">
        <v>4042</v>
      </c>
      <c r="H729" s="97" t="n">
        <v>0</v>
      </c>
      <c r="I729" s="97" t="s">
        <v>1394</v>
      </c>
      <c r="J729" s="97" t="n">
        <v>0</v>
      </c>
      <c r="K729" s="98" t="s">
        <v>3445</v>
      </c>
      <c r="L729" s="97" t="s">
        <v>3465</v>
      </c>
      <c r="M729" s="97" t="s">
        <v>1394</v>
      </c>
      <c r="N729" s="97" t="s">
        <v>1903</v>
      </c>
      <c r="O729" s="97" t="s">
        <v>1904</v>
      </c>
    </row>
    <row r="730" spans="1:15">
      <c r="A730" s="101" t="n">
        <v>729</v>
      </c>
      <c r="B730" s="97" t="n">
        <v>567</v>
      </c>
      <c r="C730" s="98" t="s">
        <v>4044</v>
      </c>
      <c r="D730" s="97" t="s">
        <v>4045</v>
      </c>
      <c r="E730" s="97" t="s">
        <v>3443</v>
      </c>
      <c r="F730" s="97" t="s">
        <v>1898</v>
      </c>
      <c r="G730" s="98" t="s">
        <v>4044</v>
      </c>
      <c r="H730" s="97" t="n">
        <v>0</v>
      </c>
      <c r="I730" s="97" t="s">
        <v>1394</v>
      </c>
      <c r="J730" s="97" t="n">
        <v>0</v>
      </c>
      <c r="K730" s="98" t="s">
        <v>3445</v>
      </c>
      <c r="L730" s="97" t="s">
        <v>157</v>
      </c>
      <c r="M730" s="97" t="s">
        <v>1394</v>
      </c>
      <c r="N730" s="97" t="s">
        <v>3451</v>
      </c>
      <c r="O730" s="97" t="s">
        <v>1904</v>
      </c>
    </row>
    <row r="731" spans="1:15">
      <c r="A731" s="101" t="n">
        <v>730</v>
      </c>
      <c r="B731" s="97" t="n">
        <v>673</v>
      </c>
      <c r="C731" s="98" t="s">
        <v>4046</v>
      </c>
      <c r="D731" s="97" t="s">
        <v>4047</v>
      </c>
      <c r="E731" s="97" t="s">
        <v>3443</v>
      </c>
      <c r="F731" s="97" t="s">
        <v>1898</v>
      </c>
      <c r="G731" s="98" t="s">
        <v>4046</v>
      </c>
      <c r="H731" s="97" t="n">
        <v>0</v>
      </c>
      <c r="I731" s="97" t="s">
        <v>1394</v>
      </c>
      <c r="J731" s="97" t="n">
        <v>0</v>
      </c>
      <c r="K731" s="98" t="s">
        <v>3445</v>
      </c>
      <c r="L731" s="97" t="s">
        <v>1902</v>
      </c>
      <c r="M731" s="97" t="s">
        <v>1394</v>
      </c>
      <c r="N731" s="97" t="s">
        <v>1903</v>
      </c>
      <c r="O731" s="97" t="s">
        <v>1904</v>
      </c>
    </row>
    <row r="732" spans="1:15">
      <c r="A732" s="101" t="n">
        <v>731</v>
      </c>
      <c r="B732" s="97" t="n">
        <v>633</v>
      </c>
      <c r="C732" s="98" t="s">
        <v>4048</v>
      </c>
      <c r="D732" s="97" t="s">
        <v>4049</v>
      </c>
      <c r="E732" s="97" t="s">
        <v>3443</v>
      </c>
      <c r="F732" s="97" t="s">
        <v>1898</v>
      </c>
      <c r="G732" s="98" t="s">
        <v>4048</v>
      </c>
      <c r="H732" s="97" t="n">
        <v>0</v>
      </c>
      <c r="I732" s="97" t="s">
        <v>1394</v>
      </c>
      <c r="J732" s="97" t="n">
        <v>0</v>
      </c>
      <c r="K732" s="98" t="s">
        <v>3445</v>
      </c>
      <c r="L732" s="97" t="s">
        <v>3465</v>
      </c>
      <c r="M732" s="97" t="s">
        <v>1394</v>
      </c>
      <c r="N732" s="97" t="s">
        <v>1903</v>
      </c>
      <c r="O732" s="97" t="s">
        <v>1904</v>
      </c>
    </row>
    <row r="733" spans="1:15">
      <c r="A733" s="101" t="n">
        <v>732</v>
      </c>
      <c r="B733" s="97" t="n">
        <v>712</v>
      </c>
      <c r="C733" s="98" t="s">
        <v>4050</v>
      </c>
      <c r="D733" s="97" t="s">
        <v>4051</v>
      </c>
      <c r="E733" s="97" t="s">
        <v>3443</v>
      </c>
      <c r="F733" s="97" t="s">
        <v>1898</v>
      </c>
      <c r="G733" s="98" t="s">
        <v>4050</v>
      </c>
      <c r="H733" s="97" t="n">
        <v>0</v>
      </c>
      <c r="I733" s="97" t="s">
        <v>1394</v>
      </c>
      <c r="J733" s="97" t="n">
        <v>0</v>
      </c>
      <c r="K733" s="98" t="s">
        <v>3445</v>
      </c>
      <c r="L733" s="97" t="s">
        <v>3465</v>
      </c>
      <c r="M733" s="97" t="s">
        <v>1394</v>
      </c>
      <c r="N733" s="97" t="s">
        <v>1903</v>
      </c>
      <c r="O733" s="97" t="s">
        <v>1904</v>
      </c>
    </row>
    <row r="734" spans="1:15">
      <c r="A734" s="101" t="n">
        <v>733</v>
      </c>
      <c r="B734" s="97" t="n">
        <v>738</v>
      </c>
      <c r="C734" s="98" t="s">
        <v>4052</v>
      </c>
      <c r="D734" s="97" t="s">
        <v>4053</v>
      </c>
      <c r="E734" s="97" t="s">
        <v>3443</v>
      </c>
      <c r="F734" s="97" t="s">
        <v>1898</v>
      </c>
      <c r="G734" s="98" t="s">
        <v>4052</v>
      </c>
      <c r="H734" s="97" t="n">
        <v>0</v>
      </c>
      <c r="I734" s="97" t="s">
        <v>1394</v>
      </c>
      <c r="J734" s="97" t="n">
        <v>0</v>
      </c>
      <c r="K734" s="98" t="s">
        <v>3445</v>
      </c>
      <c r="L734" s="97" t="s">
        <v>1902</v>
      </c>
      <c r="M734" s="97" t="s">
        <v>1394</v>
      </c>
      <c r="N734" s="97" t="s">
        <v>1903</v>
      </c>
      <c r="O734" s="97" t="s">
        <v>1904</v>
      </c>
    </row>
    <row r="735" spans="1:15">
      <c r="A735" s="101" t="n">
        <v>734</v>
      </c>
      <c r="B735" s="97" t="n">
        <v>609</v>
      </c>
      <c r="C735" s="98" t="s">
        <v>4054</v>
      </c>
      <c r="D735" s="97" t="s">
        <v>4055</v>
      </c>
      <c r="E735" s="97" t="s">
        <v>3443</v>
      </c>
      <c r="F735" s="97" t="s">
        <v>1898</v>
      </c>
      <c r="G735" s="98" t="s">
        <v>4054</v>
      </c>
      <c r="H735" s="97" t="n">
        <v>0</v>
      </c>
      <c r="I735" s="97" t="s">
        <v>1394</v>
      </c>
      <c r="J735" s="97" t="n">
        <v>0</v>
      </c>
      <c r="K735" s="98" t="s">
        <v>3445</v>
      </c>
      <c r="L735" s="97" t="s">
        <v>3456</v>
      </c>
      <c r="M735" s="97" t="s">
        <v>1394</v>
      </c>
      <c r="N735" s="97" t="s">
        <v>1903</v>
      </c>
      <c r="O735" s="97" t="s">
        <v>1904</v>
      </c>
    </row>
    <row r="736" spans="1:15">
      <c r="A736" s="101" t="n">
        <v>735</v>
      </c>
      <c r="B736" s="97" t="n">
        <v>621</v>
      </c>
      <c r="C736" s="98" t="s">
        <v>4056</v>
      </c>
      <c r="D736" s="97" t="s">
        <v>4057</v>
      </c>
      <c r="E736" s="97" t="s">
        <v>3443</v>
      </c>
      <c r="F736" s="97" t="s">
        <v>1898</v>
      </c>
      <c r="G736" s="98" t="s">
        <v>4056</v>
      </c>
      <c r="H736" s="97" t="n">
        <v>0</v>
      </c>
      <c r="I736" s="97" t="s">
        <v>1394</v>
      </c>
      <c r="J736" s="97" t="n">
        <v>0</v>
      </c>
      <c r="K736" s="98" t="s">
        <v>3445</v>
      </c>
      <c r="L736" s="97" t="s">
        <v>157</v>
      </c>
      <c r="M736" s="97" t="s">
        <v>1394</v>
      </c>
      <c r="N736" s="97" t="s">
        <v>3451</v>
      </c>
      <c r="O736" s="97" t="s">
        <v>1904</v>
      </c>
    </row>
    <row r="737" spans="1:15">
      <c r="A737" s="101" t="n">
        <v>736</v>
      </c>
      <c r="B737" s="97" t="n">
        <v>652</v>
      </c>
      <c r="C737" s="98" t="s">
        <v>4058</v>
      </c>
      <c r="D737" s="97" t="s">
        <v>4059</v>
      </c>
      <c r="E737" s="97" t="s">
        <v>3443</v>
      </c>
      <c r="F737" s="97" t="s">
        <v>1898</v>
      </c>
      <c r="G737" s="98" t="s">
        <v>4058</v>
      </c>
      <c r="H737" s="97" t="n">
        <v>0</v>
      </c>
      <c r="I737" s="97" t="s">
        <v>1394</v>
      </c>
      <c r="J737" s="97" t="n">
        <v>0</v>
      </c>
      <c r="K737" s="98" t="s">
        <v>3445</v>
      </c>
      <c r="L737" s="97" t="s">
        <v>157</v>
      </c>
      <c r="M737" s="97" t="s">
        <v>1394</v>
      </c>
      <c r="N737" s="97" t="s">
        <v>3451</v>
      </c>
      <c r="O737" s="97" t="s">
        <v>1904</v>
      </c>
    </row>
    <row r="738" spans="1:15">
      <c r="A738" s="101" t="n">
        <v>737</v>
      </c>
      <c r="B738" s="97" t="n">
        <v>737</v>
      </c>
      <c r="C738" s="98" t="s">
        <v>4060</v>
      </c>
      <c r="D738" s="97" t="s">
        <v>4061</v>
      </c>
      <c r="E738" s="97" t="s">
        <v>3443</v>
      </c>
      <c r="F738" s="97" t="s">
        <v>1898</v>
      </c>
      <c r="G738" s="98" t="s">
        <v>4060</v>
      </c>
      <c r="H738" s="97" t="n">
        <v>0</v>
      </c>
      <c r="I738" s="97" t="s">
        <v>1394</v>
      </c>
      <c r="J738" s="97" t="n">
        <v>0</v>
      </c>
      <c r="K738" s="98" t="s">
        <v>3445</v>
      </c>
      <c r="L738" s="97" t="s">
        <v>3465</v>
      </c>
      <c r="M738" s="97" t="s">
        <v>1394</v>
      </c>
      <c r="N738" s="97" t="s">
        <v>1903</v>
      </c>
      <c r="O738" s="97" t="s">
        <v>1904</v>
      </c>
    </row>
    <row r="739" spans="1:15">
      <c r="A739" s="101" t="n">
        <v>738</v>
      </c>
      <c r="B739" s="97" t="n">
        <v>719</v>
      </c>
      <c r="C739" s="98" t="s">
        <v>4062</v>
      </c>
      <c r="D739" s="97" t="s">
        <v>4063</v>
      </c>
      <c r="E739" s="97" t="s">
        <v>3443</v>
      </c>
      <c r="F739" s="97" t="s">
        <v>1898</v>
      </c>
      <c r="G739" s="98" t="s">
        <v>4062</v>
      </c>
      <c r="H739" s="97" t="n">
        <v>0</v>
      </c>
      <c r="I739" s="97" t="s">
        <v>1394</v>
      </c>
      <c r="J739" s="97" t="n">
        <v>0</v>
      </c>
      <c r="K739" s="98" t="s">
        <v>3445</v>
      </c>
      <c r="L739" s="97" t="s">
        <v>3465</v>
      </c>
      <c r="M739" s="97" t="s">
        <v>1394</v>
      </c>
      <c r="N739" s="97" t="s">
        <v>1903</v>
      </c>
      <c r="O739" s="97" t="s">
        <v>1904</v>
      </c>
    </row>
    <row r="740" spans="1:15">
      <c r="A740" s="101" t="n">
        <v>739</v>
      </c>
      <c r="B740" s="97" t="n">
        <v>551</v>
      </c>
      <c r="C740" s="98" t="s">
        <v>4064</v>
      </c>
      <c r="D740" s="97" t="s">
        <v>4065</v>
      </c>
      <c r="E740" s="97" t="s">
        <v>3443</v>
      </c>
      <c r="F740" s="97" t="s">
        <v>1898</v>
      </c>
      <c r="G740" s="98" t="s">
        <v>4064</v>
      </c>
      <c r="H740" s="97" t="n">
        <v>0</v>
      </c>
      <c r="I740" s="97" t="s">
        <v>1394</v>
      </c>
      <c r="J740" s="97" t="n">
        <v>0</v>
      </c>
      <c r="K740" s="98" t="s">
        <v>3445</v>
      </c>
      <c r="L740" s="97" t="s">
        <v>1902</v>
      </c>
      <c r="M740" s="97" t="s">
        <v>1394</v>
      </c>
      <c r="N740" s="97" t="s">
        <v>1903</v>
      </c>
      <c r="O740" s="97" t="s">
        <v>1904</v>
      </c>
    </row>
    <row r="741" spans="1:15">
      <c r="A741" s="101" t="n">
        <v>740</v>
      </c>
      <c r="B741" s="97" t="n">
        <v>615</v>
      </c>
      <c r="C741" s="98" t="s">
        <v>4066</v>
      </c>
      <c r="D741" s="97" t="s">
        <v>4067</v>
      </c>
      <c r="E741" s="97" t="s">
        <v>3443</v>
      </c>
      <c r="F741" s="97" t="s">
        <v>1898</v>
      </c>
      <c r="G741" s="98" t="s">
        <v>4066</v>
      </c>
      <c r="H741" s="97" t="n">
        <v>0</v>
      </c>
      <c r="I741" s="97" t="s">
        <v>1394</v>
      </c>
      <c r="J741" s="97" t="n">
        <v>0</v>
      </c>
      <c r="K741" s="98" t="s">
        <v>3445</v>
      </c>
      <c r="L741" s="97" t="s">
        <v>3465</v>
      </c>
      <c r="M741" s="97" t="s">
        <v>1394</v>
      </c>
      <c r="N741" s="97" t="s">
        <v>1903</v>
      </c>
      <c r="O741" s="97" t="s">
        <v>1904</v>
      </c>
    </row>
    <row r="742" spans="1:15">
      <c r="A742" s="101" t="n">
        <v>741</v>
      </c>
      <c r="B742" s="97" t="n">
        <v>614</v>
      </c>
      <c r="C742" s="98" t="s">
        <v>4068</v>
      </c>
      <c r="D742" s="97" t="s">
        <v>4069</v>
      </c>
      <c r="E742" s="97" t="s">
        <v>3443</v>
      </c>
      <c r="F742" s="97" t="s">
        <v>1898</v>
      </c>
      <c r="G742" s="98" t="s">
        <v>4068</v>
      </c>
      <c r="H742" s="97" t="n">
        <v>0</v>
      </c>
      <c r="I742" s="97" t="s">
        <v>1394</v>
      </c>
      <c r="J742" s="97" t="n">
        <v>0</v>
      </c>
      <c r="K742" s="98" t="s">
        <v>3445</v>
      </c>
      <c r="L742" s="97" t="s">
        <v>157</v>
      </c>
      <c r="M742" s="97" t="s">
        <v>1394</v>
      </c>
      <c r="N742" s="97" t="s">
        <v>3451</v>
      </c>
      <c r="O742" s="97" t="s">
        <v>1904</v>
      </c>
    </row>
    <row r="743" spans="1:15">
      <c r="A743" s="101" t="n">
        <v>742</v>
      </c>
      <c r="B743" s="97" t="n">
        <v>626</v>
      </c>
      <c r="C743" s="98" t="s">
        <v>4070</v>
      </c>
      <c r="D743" s="97" t="s">
        <v>4071</v>
      </c>
      <c r="E743" s="97" t="s">
        <v>3443</v>
      </c>
      <c r="F743" s="97" t="s">
        <v>1898</v>
      </c>
      <c r="G743" s="98" t="s">
        <v>4070</v>
      </c>
      <c r="H743" s="97" t="n">
        <v>0</v>
      </c>
      <c r="I743" s="97" t="s">
        <v>1394</v>
      </c>
      <c r="J743" s="97" t="n">
        <v>0</v>
      </c>
      <c r="K743" s="98" t="s">
        <v>3445</v>
      </c>
      <c r="L743" s="97" t="s">
        <v>157</v>
      </c>
      <c r="M743" s="97" t="s">
        <v>1394</v>
      </c>
      <c r="N743" s="97" t="s">
        <v>3451</v>
      </c>
      <c r="O743" s="97" t="s">
        <v>1904</v>
      </c>
    </row>
    <row r="744" spans="1:15">
      <c r="A744" s="101" t="n">
        <v>743</v>
      </c>
      <c r="B744" s="97" t="n">
        <v>596</v>
      </c>
      <c r="C744" s="98" t="s">
        <v>4072</v>
      </c>
      <c r="D744" s="97" t="s">
        <v>4073</v>
      </c>
      <c r="E744" s="97" t="s">
        <v>3443</v>
      </c>
      <c r="F744" s="97" t="s">
        <v>1898</v>
      </c>
      <c r="G744" s="98" t="s">
        <v>4072</v>
      </c>
      <c r="H744" s="97" t="n">
        <v>0</v>
      </c>
      <c r="I744" s="97" t="s">
        <v>1394</v>
      </c>
      <c r="J744" s="97" t="n">
        <v>0</v>
      </c>
      <c r="K744" s="98" t="s">
        <v>3445</v>
      </c>
      <c r="L744" s="97" t="s">
        <v>1902</v>
      </c>
      <c r="M744" s="97" t="s">
        <v>1394</v>
      </c>
      <c r="N744" s="97" t="s">
        <v>1903</v>
      </c>
      <c r="O744" s="97" t="s">
        <v>1904</v>
      </c>
    </row>
  </sheetData>
  <printOptions>
    <extLst>
      <ext uri="smNativeData">
        <pm:pageFlags xmlns:pm="smNativeData" id="1759816862" printRowHead="0" printColHead="0" printHeadLine="0" printFootLine="0" autoHeightHeader="0" autoHeightFooter="0" fitToPageBoth="0"/>
      </ext>
    </extLst>
  </printOptions>
  <pageMargins left="1.000000" right="1.000000" top="1.000000" bottom="1.000000" header="0.393750" footer="0.393750"/>
  <pageSetup paperSize="1" fitToWidth="0" fitToHeight="1" pageOrder="overThenDown"/>
  <headerFooter>
    <extLst>
      <ext uri="smNativeData">
        <pm:header xmlns:pm="smNativeData" id="1759816862" l="56" r="56" t="56" b="56" borderId="0" fillId="0" vertical="0"/>
        <pm:footer xmlns:pm="smNativeData" id="1759816862" l="56" r="56" t="56" b="56" borderId="0" fillId="0" vertical="2"/>
      </ext>
    </extLst>
  </headerFooter>
  <extLst>
    <ext uri="smNativeData">
      <pm:sheetPrefs xmlns:pm="smNativeData" day="1759816862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>server-it</cp:lastModifiedBy>
  <cp:revision>0</cp:revision>
  <dcterms:created xsi:type="dcterms:W3CDTF">2025-09-11T01:04:39Z</dcterms:created>
  <dcterms:modified xsi:type="dcterms:W3CDTF">2025-10-07T06:01:02Z</dcterms:modified>
</cp:coreProperties>
</file>