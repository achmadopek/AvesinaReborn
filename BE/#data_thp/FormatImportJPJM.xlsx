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erver-it"/>
  <workbookPr/>
  <bookViews>
    <workbookView activeTab="1" xWindow="240" yWindow="60" windowWidth="22995" windowHeight="9540" tabRatio="500"/>
  </bookViews>
  <sheets>
    <sheet name="JP JKN JULI 2025" sheetId="1" r:id="rId4"/>
    <sheet name="jp umu m dan bpjstk agustus" sheetId="2" r:id="rId5"/>
    <sheet name="jp covid mei 2020" sheetId="3" r:id="rId6"/>
    <sheet name="jp covid juli 2020" sheetId="4" r:id="rId7"/>
    <sheet name="jp covid agustus 2020" sheetId="5" r:id="rId8"/>
  </sheets>
  <calcPr/>
  <extLst>
    <ext uri="smNativeData">
      <pm:revision xmlns:pm="smNativeData" day="1759732528" val="1228" rev="124" rev64="64" revOS="3" revMin="124" revMax="0"/>
      <pm:docPrefs xmlns:pm="smNativeData" id="1759732528" fixedDigits="0" showNotice="1" showFrameBounds="1" autoChart="1" recalcOnPrint="1" recalcOnCopy="1" finalRounding="1" compatTextArt="1" tab="567" useDefinedPrintRange="1" printArea="currentSheet"/>
      <pm:compatibility xmlns:pm="smNativeData" id="1759732528" overlapCells="1"/>
      <pm:defCurrency xmlns:pm="smNativeData" id="1759732528"/>
    </ext>
  </extLst>
</workbook>
</file>

<file path=xl/sharedStrings.xml><?xml version="1.0" encoding="utf-8"?>
<sst xmlns="http://schemas.openxmlformats.org/spreadsheetml/2006/main" count="18956" uniqueCount="2729">
  <si>
    <t>UOBK RSUD WALUYO JATI KRAKSAAN</t>
  </si>
  <si>
    <t>Daftar Penerima Jasa Pelayanan BPJS Kesehatan Tahap 1</t>
  </si>
  <si>
    <t>Periode : Juli 2025</t>
  </si>
  <si>
    <t>NO.</t>
  </si>
  <si>
    <t>N A M A</t>
  </si>
  <si>
    <t>GOL.</t>
  </si>
  <si>
    <t>STATUS</t>
  </si>
  <si>
    <t>NIK</t>
  </si>
  <si>
    <t>NPWP</t>
  </si>
  <si>
    <t>NO REK</t>
  </si>
  <si>
    <t>JP BRUTO</t>
  </si>
  <si>
    <t>Dasar Pengenaan Pajak</t>
  </si>
  <si>
    <t>PPh  5 %</t>
  </si>
  <si>
    <t>PPh 15%</t>
  </si>
  <si>
    <t>A</t>
  </si>
  <si>
    <t>B</t>
  </si>
  <si>
    <t>C</t>
  </si>
  <si>
    <t>JP NETTO</t>
  </si>
  <si>
    <t>dr. Yessi Rahmawati, Sp.OG, M.H.</t>
  </si>
  <si>
    <t>IV</t>
  </si>
  <si>
    <t>-</t>
  </si>
  <si>
    <t>Final</t>
  </si>
  <si>
    <t>3513144501760002</t>
  </si>
  <si>
    <t>453147357625000</t>
  </si>
  <si>
    <t>0132200222</t>
  </si>
  <si>
    <t>Jurianto, S.E, M.Si</t>
  </si>
  <si>
    <t>3513191312710001</t>
  </si>
  <si>
    <t>486398217625000</t>
  </si>
  <si>
    <t>0132600023</t>
  </si>
  <si>
    <t>dr. Dwi Indah Lestari</t>
  </si>
  <si>
    <t>3574035611680002</t>
  </si>
  <si>
    <t>486303035625000</t>
  </si>
  <si>
    <t>0132190700</t>
  </si>
  <si>
    <t>Khusnul Nur Khotimah, S.Kep, Ners, M.M.</t>
  </si>
  <si>
    <t>3513145509690001</t>
  </si>
  <si>
    <t>48.635.008.5-625.000</t>
  </si>
  <si>
    <t>0132700893</t>
  </si>
  <si>
    <t>Suprayitno, S.Sos, M.Si</t>
  </si>
  <si>
    <t>3513192104690002</t>
  </si>
  <si>
    <t>48.639.814.2-625.000</t>
  </si>
  <si>
    <t>0132057722</t>
  </si>
  <si>
    <t>Ari Dianti, S.Gz, M.MRS</t>
  </si>
  <si>
    <t>3513146101710003</t>
  </si>
  <si>
    <t>48.630.299.5-625.000</t>
  </si>
  <si>
    <t>0132701318</t>
  </si>
  <si>
    <t>Wiwik Yuliati, SKM, M.M.</t>
  </si>
  <si>
    <t>3574046904680001</t>
  </si>
  <si>
    <t>48.628.435.9-625.000</t>
  </si>
  <si>
    <t>0132896666</t>
  </si>
  <si>
    <t>Sugianto, S.Kep.Ners, M.M.</t>
  </si>
  <si>
    <t>3513141212680001</t>
  </si>
  <si>
    <t>48.630.331.6-625.000</t>
  </si>
  <si>
    <t>0132120855</t>
  </si>
  <si>
    <t>Mursid, SKM, M.Si</t>
  </si>
  <si>
    <t>3513162305680003</t>
  </si>
  <si>
    <t>78.759.522.2-625.000</t>
  </si>
  <si>
    <t>0132896691</t>
  </si>
  <si>
    <t>Nuryakub, SKM</t>
  </si>
  <si>
    <t>III</t>
  </si>
  <si>
    <t>3574022703700001</t>
  </si>
  <si>
    <t>48.628.446.6-625.000</t>
  </si>
  <si>
    <t>1612009003</t>
  </si>
  <si>
    <t>Rofi'i, SE, M.M.</t>
  </si>
  <si>
    <t>3513151808780001</t>
  </si>
  <si>
    <t>59.889.839.3-625.000</t>
  </si>
  <si>
    <t>0136701029</t>
  </si>
  <si>
    <t>Yuli Suciati Zaini Putri, SE, M.M.</t>
  </si>
  <si>
    <t>3513125307790005</t>
  </si>
  <si>
    <t>36.248.018.8-625.000</t>
  </si>
  <si>
    <t>0132700656</t>
  </si>
  <si>
    <t>Rekyan Sesutyo Ediy, ST</t>
  </si>
  <si>
    <t>3574046305810001</t>
  </si>
  <si>
    <t>48.630.304.3-625.000</t>
  </si>
  <si>
    <t>0132707545</t>
  </si>
  <si>
    <t>Pudji Srimulyo Asih, SKM, M.M.</t>
  </si>
  <si>
    <t>3513144506790003</t>
  </si>
  <si>
    <t>25.706.788.4-643.000</t>
  </si>
  <si>
    <t>0132136068</t>
  </si>
  <si>
    <t>Zainul Fathah, S.Sos, M.M.</t>
  </si>
  <si>
    <t>3513141504810001</t>
  </si>
  <si>
    <t>49.551.474.7-625.000</t>
  </si>
  <si>
    <t>0132700826</t>
  </si>
  <si>
    <t>dr. Sofie Giantari, M.H.</t>
  </si>
  <si>
    <t>3513146407740005</t>
  </si>
  <si>
    <t>89.580.340.1-625.000</t>
  </si>
  <si>
    <t>0132701342</t>
  </si>
  <si>
    <t>dr. Aryoga Samudra Asmara</t>
  </si>
  <si>
    <t>3515081912920006</t>
  </si>
  <si>
    <t>48.630.362.1-625.000</t>
  </si>
  <si>
    <t>0132704066</t>
  </si>
  <si>
    <t>dr. Islah Harwityastika</t>
  </si>
  <si>
    <t>3513175401840001</t>
  </si>
  <si>
    <t>34.012.081.5-625.000</t>
  </si>
  <si>
    <t>0132093644</t>
  </si>
  <si>
    <t>dr. Ninda Farahdina Nauroh</t>
  </si>
  <si>
    <t>BLUD</t>
  </si>
  <si>
    <t>44.734.288.2-625.000</t>
  </si>
  <si>
    <t>0133733710</t>
  </si>
  <si>
    <t>Rochmat Taufik Romadhoni, SKM, M.Kes.</t>
  </si>
  <si>
    <t>3513123005860006</t>
  </si>
  <si>
    <t>36.251.741.9-625.000</t>
  </si>
  <si>
    <t>0132081123</t>
  </si>
  <si>
    <t>Mieke Yulianawati, SKM.</t>
  </si>
  <si>
    <t>3515084905860006</t>
  </si>
  <si>
    <t>36.248.325.7-625.000</t>
  </si>
  <si>
    <t>0132706816</t>
  </si>
  <si>
    <t>Kristin Dwi Ratnawati, A.Md.Keb</t>
  </si>
  <si>
    <t>3513144710800003</t>
  </si>
  <si>
    <t>89.580.326.0-625.000</t>
  </si>
  <si>
    <t>0132707014</t>
  </si>
  <si>
    <t>Safi'i, SH</t>
  </si>
  <si>
    <t>II</t>
  </si>
  <si>
    <t>3513140410810004</t>
  </si>
  <si>
    <t>36.246.140.2-625.000</t>
  </si>
  <si>
    <t>0132705879</t>
  </si>
  <si>
    <t>Dewi Kustina</t>
  </si>
  <si>
    <t>3513054304780002</t>
  </si>
  <si>
    <t>36.223.638.2-625.000</t>
  </si>
  <si>
    <t>0132706972</t>
  </si>
  <si>
    <t>Ari Nugroho, SE</t>
  </si>
  <si>
    <t>HR</t>
  </si>
  <si>
    <t>TK/0</t>
  </si>
  <si>
    <t>0712046538</t>
  </si>
  <si>
    <t>Mahrigawati</t>
  </si>
  <si>
    <t>K/1</t>
  </si>
  <si>
    <t>76.043.570.1-906.000</t>
  </si>
  <si>
    <t>0712046597</t>
  </si>
  <si>
    <t>Dedy Ari Santo</t>
  </si>
  <si>
    <t>K/2</t>
  </si>
  <si>
    <t>0712046066</t>
  </si>
  <si>
    <t xml:space="preserve">Wahyu Hidayati, S.Tr.Kes. </t>
  </si>
  <si>
    <t>P3K/III</t>
  </si>
  <si>
    <t>3513104204950007</t>
  </si>
  <si>
    <t>0132020990</t>
  </si>
  <si>
    <t>Nungki Agnes Palupi, S.ST</t>
  </si>
  <si>
    <t>0132704091</t>
  </si>
  <si>
    <t>Megawati, S.ST</t>
  </si>
  <si>
    <t>K/0</t>
  </si>
  <si>
    <t>81.385.625.9-625.000</t>
  </si>
  <si>
    <t>0132704104</t>
  </si>
  <si>
    <t>Intan Milenia, Amd.RMIK</t>
  </si>
  <si>
    <t>0132719268</t>
  </si>
  <si>
    <t>Iradatul Khoiriah, S.ST</t>
  </si>
  <si>
    <t>0132719284</t>
  </si>
  <si>
    <t>Nuraika Putriandini, Amd.Kes</t>
  </si>
  <si>
    <t>0132716277</t>
  </si>
  <si>
    <t>A. Rofik, S.Sos</t>
  </si>
  <si>
    <t>3513141504750004</t>
  </si>
  <si>
    <t>0132700567</t>
  </si>
  <si>
    <t>Devi Qory Ainingtyas, A.Md.</t>
  </si>
  <si>
    <t>3513166710870003</t>
  </si>
  <si>
    <t>0132701741</t>
  </si>
  <si>
    <t>Endang Sasmito, SE, M.M.</t>
  </si>
  <si>
    <t>3513186101790001</t>
  </si>
  <si>
    <t>45.225.975.7-625.000</t>
  </si>
  <si>
    <t>0132702055</t>
  </si>
  <si>
    <t>Dwi Retmawati, A.Md.</t>
  </si>
  <si>
    <t>3513135403840001</t>
  </si>
  <si>
    <t>89.580.328.6-617.000</t>
  </si>
  <si>
    <t>0132705526</t>
  </si>
  <si>
    <t>Rizky Anggriawan Susanta Putra, SE</t>
  </si>
  <si>
    <t>5103061705920010</t>
  </si>
  <si>
    <t>36.255.972.6-625.000</t>
  </si>
  <si>
    <t>0132035911</t>
  </si>
  <si>
    <t>Rahmi Banowati, SE, M.M.</t>
  </si>
  <si>
    <t>3513144404760003</t>
  </si>
  <si>
    <t>89.580.336.9-625.000</t>
  </si>
  <si>
    <t>0132700362</t>
  </si>
  <si>
    <t>Lukman Hakim</t>
  </si>
  <si>
    <t>3513171509800004</t>
  </si>
  <si>
    <t>362337875625000</t>
  </si>
  <si>
    <t>0132706093</t>
  </si>
  <si>
    <t>Sudarmawan</t>
  </si>
  <si>
    <t>3513142901820001</t>
  </si>
  <si>
    <t>86.621.081.8-625.000</t>
  </si>
  <si>
    <t>0132707570</t>
  </si>
  <si>
    <t>Muhamad Zaini</t>
  </si>
  <si>
    <t>3513192608810001</t>
  </si>
  <si>
    <t>86.638.026.4-625.000</t>
  </si>
  <si>
    <t>0132710317</t>
  </si>
  <si>
    <t>Rony Hardiyansyah, A.Md</t>
  </si>
  <si>
    <t>74.071.134.6-625.000</t>
  </si>
  <si>
    <t>0712046619</t>
  </si>
  <si>
    <t>Nendy Fajri Rahmadi, SE</t>
  </si>
  <si>
    <t>612310326625000</t>
  </si>
  <si>
    <t>0712046601</t>
  </si>
  <si>
    <t>Septiana Maulindah, S.Pd</t>
  </si>
  <si>
    <t>TK/1</t>
  </si>
  <si>
    <t>0132703655</t>
  </si>
  <si>
    <t>Alfiansyah</t>
  </si>
  <si>
    <t>0132713189</t>
  </si>
  <si>
    <t>Sulin Ariyanto</t>
  </si>
  <si>
    <t>0132715700</t>
  </si>
  <si>
    <t>Afwan Mukhlisin</t>
  </si>
  <si>
    <t>0132720444</t>
  </si>
  <si>
    <t>Retnaning Ayu Dyah Sawitri, S.Tr.Ak</t>
  </si>
  <si>
    <t>0133729909</t>
  </si>
  <si>
    <t>Senima Kurniawati, SE</t>
  </si>
  <si>
    <t>44.851.806.8-656.000</t>
  </si>
  <si>
    <t>0132410712</t>
  </si>
  <si>
    <t>Ardhina Amaliya, SKM</t>
  </si>
  <si>
    <t>3574036305850007</t>
  </si>
  <si>
    <t>36.048.138.6-625.000</t>
  </si>
  <si>
    <t>0132707219</t>
  </si>
  <si>
    <t>Yayuk Tarmiati, S.KL</t>
  </si>
  <si>
    <t>3510044405840004</t>
  </si>
  <si>
    <t>46.109.187.8-625.000</t>
  </si>
  <si>
    <t>0132707596</t>
  </si>
  <si>
    <t>Bidriya Yuniarsih, S.Kep.Ns</t>
  </si>
  <si>
    <t>3513145606790002</t>
  </si>
  <si>
    <t>49.551.512.4-625.000</t>
  </si>
  <si>
    <t>0132707511</t>
  </si>
  <si>
    <t>Dita Puspitasari, SE</t>
  </si>
  <si>
    <t>3513146608930001</t>
  </si>
  <si>
    <t>867021586625000</t>
  </si>
  <si>
    <t>0132400989</t>
  </si>
  <si>
    <t>Rahmatun Ningsih, S.Sos.</t>
  </si>
  <si>
    <t>3513144306990001</t>
  </si>
  <si>
    <t>408437093625000</t>
  </si>
  <si>
    <t>0136844083</t>
  </si>
  <si>
    <t>Dwi Retno Kendono, SKM</t>
  </si>
  <si>
    <t>3512026204860002</t>
  </si>
  <si>
    <t>49.551.506.6-625.000</t>
  </si>
  <si>
    <t>0132702128</t>
  </si>
  <si>
    <t>Supardi, SH</t>
  </si>
  <si>
    <t>3513071208780001</t>
  </si>
  <si>
    <t>36.234.220.6-625.000</t>
  </si>
  <si>
    <t>0712066741</t>
  </si>
  <si>
    <t>Agus Syamsul Bahri, S.Sos, M.M.</t>
  </si>
  <si>
    <t>3513140908790002</t>
  </si>
  <si>
    <t>86.662.928.0-625.000</t>
  </si>
  <si>
    <t>0132706395</t>
  </si>
  <si>
    <t>Aris Nuryati, S.Sos</t>
  </si>
  <si>
    <t>3513146501710004</t>
  </si>
  <si>
    <t>86.668.196.8-625.000</t>
  </si>
  <si>
    <t>0132706484</t>
  </si>
  <si>
    <t>Rahmania Hamida, S.KM</t>
  </si>
  <si>
    <t>3574034501950008</t>
  </si>
  <si>
    <t>86.668.313.9-625.000</t>
  </si>
  <si>
    <t>1902007713</t>
  </si>
  <si>
    <t>Kristya Rizki Widianti, SKM</t>
  </si>
  <si>
    <t>3574046911880004</t>
  </si>
  <si>
    <t>0132211337</t>
  </si>
  <si>
    <t>Dewi Agustin, A.Md.Keb</t>
  </si>
  <si>
    <t>3513145408700005</t>
  </si>
  <si>
    <t>86.635.659.5-625.000</t>
  </si>
  <si>
    <t>0132700354</t>
  </si>
  <si>
    <t>Istikharoh</t>
  </si>
  <si>
    <t>3513144204790003</t>
  </si>
  <si>
    <t>0132706921</t>
  </si>
  <si>
    <t>Kiis Wita Rahman, S.Kom</t>
  </si>
  <si>
    <t>0132961981</t>
  </si>
  <si>
    <t>Alfia Rizky Amalia</t>
  </si>
  <si>
    <t>0712046520</t>
  </si>
  <si>
    <t>Jatimur Rahim</t>
  </si>
  <si>
    <t>0712046686</t>
  </si>
  <si>
    <t xml:space="preserve">Lulut Rebianto </t>
  </si>
  <si>
    <t>86.741.854.3-625.000</t>
  </si>
  <si>
    <t>0132711348</t>
  </si>
  <si>
    <t>Noevita Anggraeni</t>
  </si>
  <si>
    <t>68.343.028.4-625.000</t>
  </si>
  <si>
    <t>0132701245</t>
  </si>
  <si>
    <t>Nuris Erta Febrihani, S.S</t>
  </si>
  <si>
    <t>0132707197</t>
  </si>
  <si>
    <t>Indah Aini</t>
  </si>
  <si>
    <t>44.938.987.3-656.000</t>
  </si>
  <si>
    <t>0712046627</t>
  </si>
  <si>
    <t>Abd. Rahman, SH</t>
  </si>
  <si>
    <t>36.225.763.9-625.000</t>
  </si>
  <si>
    <t>0712046546</t>
  </si>
  <si>
    <t>Abdussatar</t>
  </si>
  <si>
    <t>362343378625000</t>
  </si>
  <si>
    <t>0132702811</t>
  </si>
  <si>
    <t>Lailatul Fitriyah, S.Sos, M.M</t>
  </si>
  <si>
    <t>3513145108780002</t>
  </si>
  <si>
    <t>36.247.542.8-625.000</t>
  </si>
  <si>
    <t>0136900145</t>
  </si>
  <si>
    <t>Zakky Irfan Inderasasmita, S.Kom</t>
  </si>
  <si>
    <t>K/3</t>
  </si>
  <si>
    <t>0132711232</t>
  </si>
  <si>
    <t>Bambang Sujarwo</t>
  </si>
  <si>
    <t>0132710422</t>
  </si>
  <si>
    <t>M. Taufik Hidayat, A.Md.Kom</t>
  </si>
  <si>
    <t>P3K/II</t>
  </si>
  <si>
    <t>08.760.985.5-625.000</t>
  </si>
  <si>
    <t>0132246581</t>
  </si>
  <si>
    <t>Dedy Agus Wijaya</t>
  </si>
  <si>
    <t>495514515625000</t>
  </si>
  <si>
    <t>0132703981</t>
  </si>
  <si>
    <t>Achmad Taufik, S.Kom</t>
  </si>
  <si>
    <t>36.233.999.6-625.000</t>
  </si>
  <si>
    <t>0132720169</t>
  </si>
  <si>
    <t>Erwin Kusuma Wardana, S.Kom</t>
  </si>
  <si>
    <t>36.225.522.6-625.000</t>
  </si>
  <si>
    <t>0132720177</t>
  </si>
  <si>
    <t>Evi Muslicha, S. Kep.Ners</t>
  </si>
  <si>
    <t>3512025212860003</t>
  </si>
  <si>
    <t>359972577627000</t>
  </si>
  <si>
    <t>0132160309</t>
  </si>
  <si>
    <t>Ika Ari Mundiyah, A.Md.</t>
  </si>
  <si>
    <t>3513144805830005</t>
  </si>
  <si>
    <t>36.010.866.6-625.000</t>
  </si>
  <si>
    <t>0132165513</t>
  </si>
  <si>
    <t>Verawati Yusniah</t>
  </si>
  <si>
    <t>3513124304810005</t>
  </si>
  <si>
    <t>800416505625000</t>
  </si>
  <si>
    <t>0132705607</t>
  </si>
  <si>
    <t>Purnadi, S.Kep. Ns</t>
  </si>
  <si>
    <t>3513161503680001</t>
  </si>
  <si>
    <t>0132173833</t>
  </si>
  <si>
    <t>Pramita Duwi Nawang Sari, A.Md.Kep</t>
  </si>
  <si>
    <t>3513074904860001</t>
  </si>
  <si>
    <t>362478802625000</t>
  </si>
  <si>
    <t>0132003823</t>
  </si>
  <si>
    <t>Fiddini Ismi, S.Kep.Ners</t>
  </si>
  <si>
    <t>3513166105820001</t>
  </si>
  <si>
    <t>0132706301</t>
  </si>
  <si>
    <t>Astutik</t>
  </si>
  <si>
    <t>3513174701840003</t>
  </si>
  <si>
    <t>72.842.903.6-625.000</t>
  </si>
  <si>
    <t>0132707260</t>
  </si>
  <si>
    <t>Evi Julaikha</t>
  </si>
  <si>
    <t>0132710350</t>
  </si>
  <si>
    <t>Zaikatul Fitria</t>
  </si>
  <si>
    <t>0132711291</t>
  </si>
  <si>
    <t>Endang Fitriyani, S.ST</t>
  </si>
  <si>
    <t>3513126905900006</t>
  </si>
  <si>
    <t>0712047691</t>
  </si>
  <si>
    <t>Nia Septriana, S.ST</t>
  </si>
  <si>
    <t>3509214509910002</t>
  </si>
  <si>
    <t>0132703248</t>
  </si>
  <si>
    <t>Elok Anggraeni, S.Sos</t>
  </si>
  <si>
    <t>3513144902790002</t>
  </si>
  <si>
    <t>486302896625000</t>
  </si>
  <si>
    <t>0132707251</t>
  </si>
  <si>
    <t>Andy Noor Rachman, A.Md</t>
  </si>
  <si>
    <t>486303233625000</t>
  </si>
  <si>
    <t>1776001101</t>
  </si>
  <si>
    <t>Ayu Siti Hartinah, S.ST</t>
  </si>
  <si>
    <t>895803245625000</t>
  </si>
  <si>
    <t>0132401853</t>
  </si>
  <si>
    <t>Isman Su'udi</t>
  </si>
  <si>
    <t>3513143105710002</t>
  </si>
  <si>
    <t>486303415625000</t>
  </si>
  <si>
    <t>0132705895</t>
  </si>
  <si>
    <t>Felly Septian Finandini, S.Sos</t>
  </si>
  <si>
    <t>0132700516</t>
  </si>
  <si>
    <t>Ayu Finda Rindayu, S.S</t>
  </si>
  <si>
    <t>0132156921</t>
  </si>
  <si>
    <t>Sumarno</t>
  </si>
  <si>
    <t>0132702802</t>
  </si>
  <si>
    <t>Khairul Anwar</t>
  </si>
  <si>
    <t>3513140507830003</t>
  </si>
  <si>
    <t>0132703949</t>
  </si>
  <si>
    <t>Moh. Ali</t>
  </si>
  <si>
    <t>0132711518</t>
  </si>
  <si>
    <t>Nyoman Ruliwati</t>
  </si>
  <si>
    <t>3513144210770003</t>
  </si>
  <si>
    <t>495514838625000</t>
  </si>
  <si>
    <t>0132700532</t>
  </si>
  <si>
    <t>Nur Khasanah</t>
  </si>
  <si>
    <t>0132705194</t>
  </si>
  <si>
    <t>Nur Ahmad</t>
  </si>
  <si>
    <t>0132711682</t>
  </si>
  <si>
    <t>Mamik Sudarmiati, S.Kom</t>
  </si>
  <si>
    <t>0132713995</t>
  </si>
  <si>
    <t>Hela Andriana, S.T</t>
  </si>
  <si>
    <t>209505841625000</t>
  </si>
  <si>
    <t>0132156948</t>
  </si>
  <si>
    <t>As'ad</t>
  </si>
  <si>
    <t>205216708625000</t>
  </si>
  <si>
    <t>0712047496</t>
  </si>
  <si>
    <t>Oktavia Kartika Dewi, SE</t>
  </si>
  <si>
    <t>362256471625000</t>
  </si>
  <si>
    <t>0132156930</t>
  </si>
  <si>
    <t>Abdul Jalil</t>
  </si>
  <si>
    <t>0132711283</t>
  </si>
  <si>
    <t>Reza Yoga Utama</t>
  </si>
  <si>
    <t>0132703281</t>
  </si>
  <si>
    <t>M. Ervan Junaidi</t>
  </si>
  <si>
    <t>895803120625000</t>
  </si>
  <si>
    <t>0712047704</t>
  </si>
  <si>
    <t>Andika Yudi Prasetyo, S.Kom</t>
  </si>
  <si>
    <t>1612054858</t>
  </si>
  <si>
    <t>Moch. As'ad Imam Masruri</t>
  </si>
  <si>
    <t>0132156476</t>
  </si>
  <si>
    <t>Yanuar Eka Restu H.</t>
  </si>
  <si>
    <t>0132703591</t>
  </si>
  <si>
    <t>Teguh Satria Febry Arta</t>
  </si>
  <si>
    <t>362526733625000</t>
  </si>
  <si>
    <t>0132139938</t>
  </si>
  <si>
    <t>Ressy Yusuf Barnes</t>
  </si>
  <si>
    <t>0136670093</t>
  </si>
  <si>
    <t>Momon Sugianto</t>
  </si>
  <si>
    <t>36.549.435.3-625.000</t>
  </si>
  <si>
    <t>0132139644</t>
  </si>
  <si>
    <t>Wahyu Susilo</t>
  </si>
  <si>
    <t>83.216.286.1-625.000</t>
  </si>
  <si>
    <t>0132139920</t>
  </si>
  <si>
    <t>Muhammad Samsul Hadi</t>
  </si>
  <si>
    <t>0132703680</t>
  </si>
  <si>
    <t>Rudy Romadhona</t>
  </si>
  <si>
    <t>86.648.397.7-625.000</t>
  </si>
  <si>
    <t>0136082795</t>
  </si>
  <si>
    <t>Dedhi Rahmad Apriwijaya</t>
  </si>
  <si>
    <t>0712078847</t>
  </si>
  <si>
    <t>M. Fais Amrullah Farhan</t>
  </si>
  <si>
    <t>0132157006</t>
  </si>
  <si>
    <t>Nur Hasan</t>
  </si>
  <si>
    <t>0136754122</t>
  </si>
  <si>
    <t>Roni Bahtiar</t>
  </si>
  <si>
    <t>0132039607</t>
  </si>
  <si>
    <t>Fuad Afandi</t>
  </si>
  <si>
    <t>94.214.908.9-625.000</t>
  </si>
  <si>
    <t>0132035989</t>
  </si>
  <si>
    <t xml:space="preserve">Faisol Susanto </t>
  </si>
  <si>
    <t xml:space="preserve">0132043973 </t>
  </si>
  <si>
    <t>dr. A.A. Sagung Mas C., Sp.KFR</t>
  </si>
  <si>
    <t>3513124112710002</t>
  </si>
  <si>
    <t>0272927626</t>
  </si>
  <si>
    <t>dr. Riza Hidayat, SP.THT-KL</t>
  </si>
  <si>
    <t>3574011208830004</t>
  </si>
  <si>
    <t>0132710333</t>
  </si>
  <si>
    <t>dr. Satmoko Nugroho, Sp.S</t>
  </si>
  <si>
    <t>3574030103700004</t>
  </si>
  <si>
    <t>0132710309</t>
  </si>
  <si>
    <t>dr. Syahrudi, Sp.B</t>
  </si>
  <si>
    <t>3513062907840001</t>
  </si>
  <si>
    <t>362704868626000</t>
  </si>
  <si>
    <t>0132846332</t>
  </si>
  <si>
    <t>dr. Ardianto Fanani, Sp.An</t>
  </si>
  <si>
    <t>3578080501740004</t>
  </si>
  <si>
    <t>362603706626000</t>
  </si>
  <si>
    <t>0132710597</t>
  </si>
  <si>
    <t>dr. Izzuki Muhashonah, Sp.PK</t>
  </si>
  <si>
    <t>3513144111780002</t>
  </si>
  <si>
    <t>447032822625000</t>
  </si>
  <si>
    <t>0132700729</t>
  </si>
  <si>
    <t>dr. Widya Firly Novitasari, Sp.PK</t>
  </si>
  <si>
    <t>3578256111880001</t>
  </si>
  <si>
    <t>457454999625000</t>
  </si>
  <si>
    <t>0132186472</t>
  </si>
  <si>
    <t>dr. Kartika, Sp.Rad</t>
  </si>
  <si>
    <t>3513144710730002</t>
  </si>
  <si>
    <t>362182768625000</t>
  </si>
  <si>
    <t>0132713839</t>
  </si>
  <si>
    <t>dr. Muhammad Reza, M.Biomed, Sp.A (K)</t>
  </si>
  <si>
    <t>3578210911810003</t>
  </si>
  <si>
    <t>447411042625000</t>
  </si>
  <si>
    <t>0132706891</t>
  </si>
  <si>
    <t>dr. Fadhil Rasyid, Sp.An</t>
  </si>
  <si>
    <t>0132712506</t>
  </si>
  <si>
    <t>Luki Harjanti, S.Farm, Apt</t>
  </si>
  <si>
    <t>3513124401820002</t>
  </si>
  <si>
    <t>0132707499</t>
  </si>
  <si>
    <t>Lely Agustin, S.Farm, Apt</t>
  </si>
  <si>
    <t>3513144208760002</t>
  </si>
  <si>
    <t>0132165661</t>
  </si>
  <si>
    <t>Dyan Indah Perwitasari, SKM, M.Kes</t>
  </si>
  <si>
    <t>3574046606700008</t>
  </si>
  <si>
    <t>0132218144</t>
  </si>
  <si>
    <t>Wedaring Prasetyo, SKM</t>
  </si>
  <si>
    <t>3513141403680003</t>
  </si>
  <si>
    <t>814219630655000</t>
  </si>
  <si>
    <t>0132070601</t>
  </si>
  <si>
    <t>Mujino</t>
  </si>
  <si>
    <t>3513140205710002</t>
  </si>
  <si>
    <t>0136700723</t>
  </si>
  <si>
    <t>Tri Yuliastanto, A.Md.Kep</t>
  </si>
  <si>
    <t>3513142307760002</t>
  </si>
  <si>
    <t>0132706638</t>
  </si>
  <si>
    <t>Hertin Kusmariyana, S.Sos</t>
  </si>
  <si>
    <t>3513145909710004</t>
  </si>
  <si>
    <t>0132809046</t>
  </si>
  <si>
    <t>Arviananda Bahtiar, S.Kom</t>
  </si>
  <si>
    <t>0132156484</t>
  </si>
  <si>
    <t>Moh. Muchlis Farisi</t>
  </si>
  <si>
    <t>0132703990</t>
  </si>
  <si>
    <t>Eko Prasetyo</t>
  </si>
  <si>
    <t>0132708177</t>
  </si>
  <si>
    <t>Sholehin, S.Kom</t>
  </si>
  <si>
    <t>0132409331</t>
  </si>
  <si>
    <t>Andrianto</t>
  </si>
  <si>
    <t>0712046082</t>
  </si>
  <si>
    <t>Moh. Avivi, SE</t>
  </si>
  <si>
    <t>0132710589</t>
  </si>
  <si>
    <t>Suhartatik</t>
  </si>
  <si>
    <t>3513124505820003</t>
  </si>
  <si>
    <t>0132700401</t>
  </si>
  <si>
    <t>Tutik Handayani, S.Sos</t>
  </si>
  <si>
    <t>3512025709800001</t>
  </si>
  <si>
    <t>0132147850</t>
  </si>
  <si>
    <t>Herna Kuswarini, S.Sos</t>
  </si>
  <si>
    <t>3513146804740001</t>
  </si>
  <si>
    <t>0132809097</t>
  </si>
  <si>
    <t>Harun Ar-Rasyid, Sap</t>
  </si>
  <si>
    <t>0132711275</t>
  </si>
  <si>
    <t>Asri Hartatik</t>
  </si>
  <si>
    <t>3513124609810002</t>
  </si>
  <si>
    <t>832937619625000</t>
  </si>
  <si>
    <t>0132936994</t>
  </si>
  <si>
    <t>Muti Ambarwati</t>
  </si>
  <si>
    <t>3513144205800008</t>
  </si>
  <si>
    <t>0132707391</t>
  </si>
  <si>
    <t>Misyanto</t>
  </si>
  <si>
    <t>3513140510680003</t>
  </si>
  <si>
    <t>0132706522</t>
  </si>
  <si>
    <t>Agustini Trisnawati</t>
  </si>
  <si>
    <t>3513145208780002</t>
  </si>
  <si>
    <t>0132705178</t>
  </si>
  <si>
    <t>Zainul Hasan</t>
  </si>
  <si>
    <t>0132702985</t>
  </si>
  <si>
    <t>Sa'atul Mufarika</t>
  </si>
  <si>
    <t>3513146602820001</t>
  </si>
  <si>
    <t>0132705429</t>
  </si>
  <si>
    <t>Supatmi</t>
  </si>
  <si>
    <t>3513194507780003</t>
  </si>
  <si>
    <t>0132704937</t>
  </si>
  <si>
    <t>Erfan Mujiono</t>
  </si>
  <si>
    <t>486303282625000</t>
  </si>
  <si>
    <t>0132703523</t>
  </si>
  <si>
    <t>Romli</t>
  </si>
  <si>
    <t>895803153625000</t>
  </si>
  <si>
    <t>0712047275</t>
  </si>
  <si>
    <t>Moh. Kafa Bihi</t>
  </si>
  <si>
    <t>0132711712</t>
  </si>
  <si>
    <t>Abdul Zuhri</t>
  </si>
  <si>
    <t>105952220625000</t>
  </si>
  <si>
    <t>0132713812</t>
  </si>
  <si>
    <t>Jatimur Rahman</t>
  </si>
  <si>
    <t>0132711186</t>
  </si>
  <si>
    <t>Abdul Wahed</t>
  </si>
  <si>
    <t>0132156981</t>
  </si>
  <si>
    <t>Fathor Rosi</t>
  </si>
  <si>
    <t>412471153625000</t>
  </si>
  <si>
    <t>0132710708</t>
  </si>
  <si>
    <t>Fajar Lazuardi</t>
  </si>
  <si>
    <t>946297413626000</t>
  </si>
  <si>
    <t>0132158037</t>
  </si>
  <si>
    <t>Siti Maimunah, S.Sos</t>
  </si>
  <si>
    <t>3513145405720002</t>
  </si>
  <si>
    <t>412437550625000</t>
  </si>
  <si>
    <t>0132701041</t>
  </si>
  <si>
    <t>Yayuk Puji Rahayu, S.Sos</t>
  </si>
  <si>
    <t>3513115204820002</t>
  </si>
  <si>
    <t>0132707006</t>
  </si>
  <si>
    <t>Ana Yuliana, A.Md.</t>
  </si>
  <si>
    <t>0132711194</t>
  </si>
  <si>
    <t>Endah Zuraidah, S.Kom</t>
  </si>
  <si>
    <t>3513145204770001</t>
  </si>
  <si>
    <t>0132705542</t>
  </si>
  <si>
    <t>Agustina Soesilowati</t>
  </si>
  <si>
    <t>3513146708780003</t>
  </si>
  <si>
    <t>412374928656000</t>
  </si>
  <si>
    <t>0132706999</t>
  </si>
  <si>
    <t>Henny Hindarswati</t>
  </si>
  <si>
    <t>3513144905710001</t>
  </si>
  <si>
    <t>0132706697</t>
  </si>
  <si>
    <t>Nurul Maimunah</t>
  </si>
  <si>
    <t>434766564656000</t>
  </si>
  <si>
    <t>0712046431</t>
  </si>
  <si>
    <t>Alis Nurhayati</t>
  </si>
  <si>
    <t>0712046422</t>
  </si>
  <si>
    <t>Putri Dewi Agitanti</t>
  </si>
  <si>
    <t>0712046449</t>
  </si>
  <si>
    <t>Endang Sutrisno Ningsih</t>
  </si>
  <si>
    <t>3513144306680003</t>
  </si>
  <si>
    <t>0132705992</t>
  </si>
  <si>
    <t>Agustiningsih</t>
  </si>
  <si>
    <t>0132402868</t>
  </si>
  <si>
    <t>Melinda Evi Fatmawati</t>
  </si>
  <si>
    <t>0132714398</t>
  </si>
  <si>
    <t>Busani Irmayanti</t>
  </si>
  <si>
    <t>0132720134</t>
  </si>
  <si>
    <t>Nunik Indah Rahayu</t>
  </si>
  <si>
    <t>3513095605830001</t>
  </si>
  <si>
    <t>0132707405</t>
  </si>
  <si>
    <t>Shotqi Habibi, S.Kom</t>
  </si>
  <si>
    <t>0132703019</t>
  </si>
  <si>
    <t>Ahmad Sayadi</t>
  </si>
  <si>
    <t>48.630.366.2-625.000</t>
  </si>
  <si>
    <t>0132705267</t>
  </si>
  <si>
    <t>Krisdian</t>
  </si>
  <si>
    <t>447064031625000</t>
  </si>
  <si>
    <t>0132714053</t>
  </si>
  <si>
    <t>Heni Sri Wijaya</t>
  </si>
  <si>
    <t>3513185502790001</t>
  </si>
  <si>
    <t>495515371625000</t>
  </si>
  <si>
    <t>0132707294</t>
  </si>
  <si>
    <t>Moh. Samsi</t>
  </si>
  <si>
    <t>344334412625000</t>
  </si>
  <si>
    <t>0712046635</t>
  </si>
  <si>
    <t>Satuman Iwan S.</t>
  </si>
  <si>
    <t>630411452625000</t>
  </si>
  <si>
    <t>0712047712</t>
  </si>
  <si>
    <t>Abdul Fatah</t>
  </si>
  <si>
    <t>0132714011</t>
  </si>
  <si>
    <t>Akhmad Nurholis</t>
  </si>
  <si>
    <t>0132713171</t>
  </si>
  <si>
    <t>Suyono</t>
  </si>
  <si>
    <t>3513141208750008</t>
  </si>
  <si>
    <t>866263494625000</t>
  </si>
  <si>
    <t>0132706506</t>
  </si>
  <si>
    <t>Moh. Tohi</t>
  </si>
  <si>
    <t>0712047411</t>
  </si>
  <si>
    <t>Rafi Firman Maulana</t>
  </si>
  <si>
    <t>0132702551</t>
  </si>
  <si>
    <t>Moh. Shoimuddin</t>
  </si>
  <si>
    <t>0132702969</t>
  </si>
  <si>
    <t>Muhammad Irwan Wahyudi</t>
  </si>
  <si>
    <t>0132704457</t>
  </si>
  <si>
    <t>Gogok Agus Priyono, A.Md.Ak</t>
  </si>
  <si>
    <t>3513161408820005</t>
  </si>
  <si>
    <t>0132705275</t>
  </si>
  <si>
    <t>Hadi Susanto, A.Md.</t>
  </si>
  <si>
    <t>3513141510670002</t>
  </si>
  <si>
    <t>0132141339</t>
  </si>
  <si>
    <t>Muflikhah, S.ST</t>
  </si>
  <si>
    <t>3513146502710001</t>
  </si>
  <si>
    <t>0132787778</t>
  </si>
  <si>
    <t>Ita Tobing, A.Md.Keb, SKM</t>
  </si>
  <si>
    <t>3513095212770003</t>
  </si>
  <si>
    <t>0132019339</t>
  </si>
  <si>
    <t>Dina Setyaningrum, STr.Keb</t>
  </si>
  <si>
    <t>3509055806860001</t>
  </si>
  <si>
    <t>495514325625000</t>
  </si>
  <si>
    <t>0132706310</t>
  </si>
  <si>
    <t>Eko Endah Nurhayati, A.Md.Keb</t>
  </si>
  <si>
    <t>3513096203700001</t>
  </si>
  <si>
    <t>451560825625000</t>
  </si>
  <si>
    <t>0132154744</t>
  </si>
  <si>
    <t>Retno Suci Ningrum, A.Md.Keb</t>
  </si>
  <si>
    <t>3516025703860001</t>
  </si>
  <si>
    <t>362332371625000</t>
  </si>
  <si>
    <t>0132706026</t>
  </si>
  <si>
    <t>Riza Dwi Himayati L, A.Md.Keb</t>
  </si>
  <si>
    <t>3508195104870003</t>
  </si>
  <si>
    <t>362505463655000</t>
  </si>
  <si>
    <t>0132707448</t>
  </si>
  <si>
    <t>Indah Wahyu Wijayanti, A.Md.Keb</t>
  </si>
  <si>
    <t>3513135203870002</t>
  </si>
  <si>
    <t>969463512624000</t>
  </si>
  <si>
    <t>0132707553</t>
  </si>
  <si>
    <t>Rani Jayanti, A.Md.Keb</t>
  </si>
  <si>
    <t>3508154106860002</t>
  </si>
  <si>
    <t>0132707367</t>
  </si>
  <si>
    <t>Febri Andari Nugraha A., A.Md.Keb</t>
  </si>
  <si>
    <t>0132962065</t>
  </si>
  <si>
    <t>Nova Holiyatul Fikriyah, A.Md.Keb</t>
  </si>
  <si>
    <t>0712047321</t>
  </si>
  <si>
    <t>Redha Wulansari, A.Md.Keb</t>
  </si>
  <si>
    <t>0712047364</t>
  </si>
  <si>
    <t>Dyah Ayu Wulandari, S.Keb.Bd</t>
  </si>
  <si>
    <t>3518204102910002</t>
  </si>
  <si>
    <t>0132711852</t>
  </si>
  <si>
    <t>Roisus Sholiyah, A.Md.Keb</t>
  </si>
  <si>
    <t>0132962171</t>
  </si>
  <si>
    <t>Rr. Junestia Dwi H., A.Md.Keb</t>
  </si>
  <si>
    <t>0132713031</t>
  </si>
  <si>
    <t>Virgianita Maulindya Zuhri, A.Md.Keb</t>
  </si>
  <si>
    <t>0712047143</t>
  </si>
  <si>
    <t>Sheila Yuliana, A.Md.Keb</t>
  </si>
  <si>
    <t>486303118625000</t>
  </si>
  <si>
    <t>0132962111</t>
  </si>
  <si>
    <t>Rudiawati, A.Md.Keb</t>
  </si>
  <si>
    <t>0712047356</t>
  </si>
  <si>
    <t>Isniah Anggraini Murisa Martha, A.Md.Keb</t>
  </si>
  <si>
    <t>0132962197</t>
  </si>
  <si>
    <t>Rizqi Nurlaili, A.Md.Keb</t>
  </si>
  <si>
    <t>1612007582</t>
  </si>
  <si>
    <t>Sri Agustini, S.ST</t>
  </si>
  <si>
    <t>3513154107900076</t>
  </si>
  <si>
    <t>0712046465</t>
  </si>
  <si>
    <t>Fatihatul Hidayati, A.Md.Keb</t>
  </si>
  <si>
    <t>0712047381</t>
  </si>
  <si>
    <t>Rizka Nanda Laili A I, A.Md.Keb</t>
  </si>
  <si>
    <t>0132713723</t>
  </si>
  <si>
    <t>Dwi Ari Susyanti, S.ST</t>
  </si>
  <si>
    <t>0132962120</t>
  </si>
  <si>
    <t>Riska Nurindah Lestari, A.Md.Keb</t>
  </si>
  <si>
    <t>0132247978</t>
  </si>
  <si>
    <t>Nurma Dianita, A.Md.Keb</t>
  </si>
  <si>
    <t>362523854625000</t>
  </si>
  <si>
    <t>0712046503</t>
  </si>
  <si>
    <t>Dwi Wulan Isro'tullaila, S.Tr.Keb</t>
  </si>
  <si>
    <t>895803146625000</t>
  </si>
  <si>
    <t>0132531081</t>
  </si>
  <si>
    <t>Lilik Muskiatun, S.Kep.Ners</t>
  </si>
  <si>
    <t>3513144609730002</t>
  </si>
  <si>
    <t>0132015171</t>
  </si>
  <si>
    <t>Agus Sulistyowati, S.Kep. Ns</t>
  </si>
  <si>
    <t>3513155008820002</t>
  </si>
  <si>
    <t>0132706476</t>
  </si>
  <si>
    <t>Nirmawati, A.Md.Kep</t>
  </si>
  <si>
    <t>3513145504850003</t>
  </si>
  <si>
    <t>0132710295</t>
  </si>
  <si>
    <t>Heny Widya Astutik, A.Md.Kep</t>
  </si>
  <si>
    <t>0132710678</t>
  </si>
  <si>
    <t>Tutik Kus Endang, S.Kep.Ns</t>
  </si>
  <si>
    <t>3513117010900001</t>
  </si>
  <si>
    <t>0132968543</t>
  </si>
  <si>
    <t>Masquro, A.Md.Kep</t>
  </si>
  <si>
    <t>0132704741</t>
  </si>
  <si>
    <t>Khusnul Khotimah, A.Md.Kep</t>
  </si>
  <si>
    <t>0132711640</t>
  </si>
  <si>
    <t>Dwi Ningsih, Amd.Kep</t>
  </si>
  <si>
    <t>3513186009930001</t>
  </si>
  <si>
    <t>952907103625000</t>
  </si>
  <si>
    <t>0712090863</t>
  </si>
  <si>
    <t>Kuni Konita Izzabillah, Amd.Kep</t>
  </si>
  <si>
    <t>3509095910970004</t>
  </si>
  <si>
    <t>0132704571</t>
  </si>
  <si>
    <t>Putri Mariana Sari, Amd.Kep</t>
  </si>
  <si>
    <t>3574035703890003</t>
  </si>
  <si>
    <t>1612039034</t>
  </si>
  <si>
    <t>Cinta Olivia Audie, A.Md.Kep</t>
  </si>
  <si>
    <t>0132704775</t>
  </si>
  <si>
    <t>Ghaitzur Rizkiyah, A.Md.Kep</t>
  </si>
  <si>
    <t>0132716056</t>
  </si>
  <si>
    <t>Maya Juwita Sari, Amd.Kep</t>
  </si>
  <si>
    <t>3512074505930005</t>
  </si>
  <si>
    <t>0132704635</t>
  </si>
  <si>
    <t>Nilla Rusdiani, A.Md.Kep</t>
  </si>
  <si>
    <t>0132218510</t>
  </si>
  <si>
    <t>Evi Juwita Ratna Permatasari, S.Kep. Ns</t>
  </si>
  <si>
    <t>3511154303970004</t>
  </si>
  <si>
    <t>1612201028</t>
  </si>
  <si>
    <t>Gerina Dwi Agustina, A.Md.Kep</t>
  </si>
  <si>
    <t>0133705937</t>
  </si>
  <si>
    <t>Sindi Patikasari Agustin, A.Md.Kep</t>
  </si>
  <si>
    <t>362245045625000</t>
  </si>
  <si>
    <t>0132284814</t>
  </si>
  <si>
    <t>Daimatul Inayah, A.Md.Kep</t>
  </si>
  <si>
    <t>486303167625000</t>
  </si>
  <si>
    <t>0132206813</t>
  </si>
  <si>
    <t>Nurul Laily Masruroh, S.Kep.,Ns</t>
  </si>
  <si>
    <t>362604712625000</t>
  </si>
  <si>
    <t>0132231982</t>
  </si>
  <si>
    <t>Diah Purwati, A.Md.Kep</t>
  </si>
  <si>
    <t>819955337625000</t>
  </si>
  <si>
    <t>0712080761</t>
  </si>
  <si>
    <t>Ria Eka Mandasari, A.Md.Kep</t>
  </si>
  <si>
    <t>0136151053</t>
  </si>
  <si>
    <t>Wahyuni, S.Kep.,Ns</t>
  </si>
  <si>
    <t>0132720410</t>
  </si>
  <si>
    <t>Yunita Ika Linda Fitriani, S.Kep.,Ns</t>
  </si>
  <si>
    <t>Rina Dwi Puspitasari, S.Kep. Ns</t>
  </si>
  <si>
    <t>3513156104840003</t>
  </si>
  <si>
    <t>0132149526</t>
  </si>
  <si>
    <t>Dwi Prasetyo, S.Kep.Ns</t>
  </si>
  <si>
    <t>3574041809800002</t>
  </si>
  <si>
    <t>664287364601000</t>
  </si>
  <si>
    <t>0132705682</t>
  </si>
  <si>
    <t>Widya Nur Wahyuni, A.Md.Kep</t>
  </si>
  <si>
    <t>3513136310810002</t>
  </si>
  <si>
    <t>964422026656000</t>
  </si>
  <si>
    <t>0132705917</t>
  </si>
  <si>
    <t>Dyah Puji Lestari, S.Kep.Ns</t>
  </si>
  <si>
    <t>3513115611880001</t>
  </si>
  <si>
    <t>0712046571</t>
  </si>
  <si>
    <t>Khusnul Fatimah, A.Md.Kep</t>
  </si>
  <si>
    <t>854108909625000</t>
  </si>
  <si>
    <t>0712046589</t>
  </si>
  <si>
    <t>Noer Komariyah, A.Md.Kep</t>
  </si>
  <si>
    <t>857461891656000</t>
  </si>
  <si>
    <t>0712047313</t>
  </si>
  <si>
    <t>Candra Restu Mentari, S.Kep.Ns</t>
  </si>
  <si>
    <t>3574044905940007</t>
  </si>
  <si>
    <t>0132703809</t>
  </si>
  <si>
    <t>Nur Aeni Aprilina, A.Md.Kep</t>
  </si>
  <si>
    <t>0132711607</t>
  </si>
  <si>
    <t>Dini Febri Wulandari, A.Md.Kep</t>
  </si>
  <si>
    <t>0712090324</t>
  </si>
  <si>
    <t>Bryan Azarya Dimetrico, A.Md.Kep</t>
  </si>
  <si>
    <t>1612036663</t>
  </si>
  <si>
    <t>Maghfiroh Liyan Fatimah, A.Md.Kep</t>
  </si>
  <si>
    <t>0132342695</t>
  </si>
  <si>
    <t>Cahyaning Asti, A.Md.Kep</t>
  </si>
  <si>
    <t>0132713090</t>
  </si>
  <si>
    <t>Ida Ikrimah, A.Md.Kep</t>
  </si>
  <si>
    <t>0716712354</t>
  </si>
  <si>
    <t>Abdus Salam, A.Md.Kep</t>
  </si>
  <si>
    <t>0716556662</t>
  </si>
  <si>
    <t xml:space="preserve">Efri Furqoniah, S. Kep.Ns </t>
  </si>
  <si>
    <t>3513145604780002</t>
  </si>
  <si>
    <t>0132706531</t>
  </si>
  <si>
    <t>Millah Malika Nuril Laili, S.Kep.Ners</t>
  </si>
  <si>
    <t>3513054705840001</t>
  </si>
  <si>
    <t>0132701709</t>
  </si>
  <si>
    <t>Vidi Aviat, S.Kep.Ns</t>
  </si>
  <si>
    <t>3513123112850003</t>
  </si>
  <si>
    <t>49.551.495.2-625.000</t>
  </si>
  <si>
    <t>0132090751</t>
  </si>
  <si>
    <t>Rizky Alfatoni, S.Kep. Ns</t>
  </si>
  <si>
    <t>3506252407860001</t>
  </si>
  <si>
    <t>450152681625000</t>
  </si>
  <si>
    <t>0132090106</t>
  </si>
  <si>
    <t>Irma Mawarsari, Amd.Kep</t>
  </si>
  <si>
    <t>3575034907960001</t>
  </si>
  <si>
    <t>495514705625000</t>
  </si>
  <si>
    <t>0132253552</t>
  </si>
  <si>
    <t>Britantyo M A, S.Kep.Ns</t>
  </si>
  <si>
    <t>0132713260</t>
  </si>
  <si>
    <t>Ahmad Zaenullah, A.Md.Kep</t>
  </si>
  <si>
    <t>0132188009</t>
  </si>
  <si>
    <t>Rofiko, A.Md.Kep</t>
  </si>
  <si>
    <t>895803179625000</t>
  </si>
  <si>
    <t>0712047194</t>
  </si>
  <si>
    <t>Indriani, A.Md.Kep</t>
  </si>
  <si>
    <t>895803203625000</t>
  </si>
  <si>
    <t>0712039027</t>
  </si>
  <si>
    <t>Slamet Eko Yulianto, S.Kep.Ns</t>
  </si>
  <si>
    <t>0132714410</t>
  </si>
  <si>
    <t>Siti Mahmudah Nur Aini, S.Kep.Ns</t>
  </si>
  <si>
    <t>0132037477</t>
  </si>
  <si>
    <t>Firdaus, A.Md.Kep</t>
  </si>
  <si>
    <t>604427690625000</t>
  </si>
  <si>
    <t>0136056972</t>
  </si>
  <si>
    <t>Akhmad Munif, S.Kep, Ns</t>
  </si>
  <si>
    <t>3513152501720003</t>
  </si>
  <si>
    <t>0132701075</t>
  </si>
  <si>
    <t>Achmad Faisal A, A.Md.Kep</t>
  </si>
  <si>
    <t>0132706441</t>
  </si>
  <si>
    <t>Wulandari Suciwati, S.Kep.Ns</t>
  </si>
  <si>
    <t>0716712346</t>
  </si>
  <si>
    <t>Ramadhan Hasan Fahrezi, A.Md.Kep</t>
  </si>
  <si>
    <t>0136169700</t>
  </si>
  <si>
    <t>Rini Sri Dwiarimbi, A.Md. Kep</t>
  </si>
  <si>
    <t>0132204845</t>
  </si>
  <si>
    <t>Maqfirotul Rohma, A.Md. Kep</t>
  </si>
  <si>
    <t>36.224.172.1-625.000</t>
  </si>
  <si>
    <t>0132706018</t>
  </si>
  <si>
    <t>Imam Sujarwanto, A.Md.Kep</t>
  </si>
  <si>
    <t>362336711625000</t>
  </si>
  <si>
    <t>0132963738</t>
  </si>
  <si>
    <t>Ika Wardatul Jannah, A.Md.Kep</t>
  </si>
  <si>
    <t>495514408625000</t>
  </si>
  <si>
    <t>0132211086</t>
  </si>
  <si>
    <t>Andini Lupita Sari, A.Md.Kep</t>
  </si>
  <si>
    <t>0563028904</t>
  </si>
  <si>
    <t>Retno Palupi, S.Kep. Ns</t>
  </si>
  <si>
    <t>3513124709800007</t>
  </si>
  <si>
    <t>0132700621</t>
  </si>
  <si>
    <t>Endang Puji Hastuti, A.Md.Keb</t>
  </si>
  <si>
    <t>3513136706810001</t>
  </si>
  <si>
    <t>866271760625000</t>
  </si>
  <si>
    <t>0132706875</t>
  </si>
  <si>
    <t>Santi Ika Wahyuni, A.Md.Kep</t>
  </si>
  <si>
    <t>3513146310810001</t>
  </si>
  <si>
    <t>969478668652000</t>
  </si>
  <si>
    <t>0132706000</t>
  </si>
  <si>
    <t>Puputri Agis Setia Dewi, A.Md.Keb</t>
  </si>
  <si>
    <t>969421346625000</t>
  </si>
  <si>
    <t>0132150664</t>
  </si>
  <si>
    <t>Latifatul Layli Akhmad, A.Md.Keb</t>
  </si>
  <si>
    <t>956324107656000</t>
  </si>
  <si>
    <t>0132962057</t>
  </si>
  <si>
    <t>Sutratin, A.Md.Keb</t>
  </si>
  <si>
    <t>715228896625000</t>
  </si>
  <si>
    <t>0132713111</t>
  </si>
  <si>
    <t>Septy Maulida, A.Md.Kep</t>
  </si>
  <si>
    <t>0132713286</t>
  </si>
  <si>
    <t>Sulistia Murni, A.Md.Keb</t>
  </si>
  <si>
    <t>0712039124</t>
  </si>
  <si>
    <t>Rini Wahyu Fadilah, A.Md.Keb</t>
  </si>
  <si>
    <t>0712047151</t>
  </si>
  <si>
    <t>Tri Setyayu Ningsih, A.Md.Kep</t>
  </si>
  <si>
    <t>0136196448</t>
  </si>
  <si>
    <t>Dewi Wijayanti, A.Md.Kep</t>
  </si>
  <si>
    <t>1612025734</t>
  </si>
  <si>
    <t>Defi Santi Wulandari, S.Tr.Keb</t>
  </si>
  <si>
    <t>3513054810900002</t>
  </si>
  <si>
    <t>0132605734</t>
  </si>
  <si>
    <t>Nurkhayatul Jannah, AM.Md.Keb</t>
  </si>
  <si>
    <t>0132704732</t>
  </si>
  <si>
    <t>Uswatun Hasanah, S. Kep. Ns</t>
  </si>
  <si>
    <t>3513154109760003</t>
  </si>
  <si>
    <t>0122361829</t>
  </si>
  <si>
    <t>Qurrotul Aeni, A.Md.Kep</t>
  </si>
  <si>
    <t>49.551.502.5-625.000</t>
  </si>
  <si>
    <t>0132203318</t>
  </si>
  <si>
    <t>Afiyatul Hasaniyah, A.Md. Kep</t>
  </si>
  <si>
    <t>495514499625000</t>
  </si>
  <si>
    <t>0136195000</t>
  </si>
  <si>
    <t>Nur Diana Kholida, S.Kep.,Ns</t>
  </si>
  <si>
    <t>362477754625000</t>
  </si>
  <si>
    <t>0133332171</t>
  </si>
  <si>
    <t>Sherlyana Virdasary, S.Kep.,Ns</t>
  </si>
  <si>
    <t>0133734708</t>
  </si>
  <si>
    <t>Robiatul Adawiyah, S.Kep.,Ns</t>
  </si>
  <si>
    <t>Dyah Ari Susanti, S.Kep. Ns</t>
  </si>
  <si>
    <t>3513127112790002</t>
  </si>
  <si>
    <t>449548874625000</t>
  </si>
  <si>
    <t>0132090980</t>
  </si>
  <si>
    <t>Sekti Ayu Agustina</t>
  </si>
  <si>
    <t>3513146608690002</t>
  </si>
  <si>
    <t>0132199522</t>
  </si>
  <si>
    <t>Supartini, A.Md.Kep</t>
  </si>
  <si>
    <t>3508194811820004</t>
  </si>
  <si>
    <t>495514762625000</t>
  </si>
  <si>
    <t>0132707472</t>
  </si>
  <si>
    <t>Etty Trisnawati, A.Md.Kep</t>
  </si>
  <si>
    <t>3508074210850009</t>
  </si>
  <si>
    <t>0132713626</t>
  </si>
  <si>
    <t>Carina Putri M. F., A.Md.Kep</t>
  </si>
  <si>
    <t>0132711208</t>
  </si>
  <si>
    <t>Rindy Ardilianto, A.Md.Kep</t>
  </si>
  <si>
    <t>0132962014</t>
  </si>
  <si>
    <t>Tika Srinuria Agustiningsih, A.md.Kep</t>
  </si>
  <si>
    <t>700785306625000</t>
  </si>
  <si>
    <t>0132703817</t>
  </si>
  <si>
    <t>Septiniar Nugroho Putri, A.Md.Kep</t>
  </si>
  <si>
    <t>0712047283</t>
  </si>
  <si>
    <t>Vika Nur Indah Putri, Amd.Kep</t>
  </si>
  <si>
    <t>3522046801910001</t>
  </si>
  <si>
    <t>0132253463</t>
  </si>
  <si>
    <t>Zulfah Majidah, Amd.Kep</t>
  </si>
  <si>
    <t>3511084707920003</t>
  </si>
  <si>
    <t>0132971838</t>
  </si>
  <si>
    <t>Widiya Fitra Yoga, S.Kep.Ns</t>
  </si>
  <si>
    <t>3513196903920002</t>
  </si>
  <si>
    <t>1612059655</t>
  </si>
  <si>
    <t>Dia Risalatun Nisa', A.Md.Kep</t>
  </si>
  <si>
    <t>360482459625000</t>
  </si>
  <si>
    <t>0133700005</t>
  </si>
  <si>
    <t>Tania Lestari, S.Kep.Ns</t>
  </si>
  <si>
    <t>495514531625000</t>
  </si>
  <si>
    <t>0132243468</t>
  </si>
  <si>
    <t>Siti Masruroh, A.Md.Keb</t>
  </si>
  <si>
    <t>895803229625000</t>
  </si>
  <si>
    <t>0136083643</t>
  </si>
  <si>
    <t>Tika Yolanda, S.ST</t>
  </si>
  <si>
    <t>362472433625000</t>
  </si>
  <si>
    <t>0132962006</t>
  </si>
  <si>
    <t>Yuli Ekayanti, Amd.Kep</t>
  </si>
  <si>
    <t>3510116009900002</t>
  </si>
  <si>
    <t>895741940625000</t>
  </si>
  <si>
    <t>0132044619</t>
  </si>
  <si>
    <t>Uswatun Hasanah, A.Md.Keb</t>
  </si>
  <si>
    <t>0132917728</t>
  </si>
  <si>
    <t>Ratih Bajria Ning Trias, A. Md. Keb</t>
  </si>
  <si>
    <t>0712510510</t>
  </si>
  <si>
    <t>Sariyanto, A.Md. Kep</t>
  </si>
  <si>
    <t>0132186715</t>
  </si>
  <si>
    <t>Firsyal Quroni, A.Md.Kep</t>
  </si>
  <si>
    <t>0712108096</t>
  </si>
  <si>
    <t>Puji Affan Dwi Miriyanto, S.Kep.,Ns</t>
  </si>
  <si>
    <t>734085566625000</t>
  </si>
  <si>
    <t>0546293751</t>
  </si>
  <si>
    <t>Qoriatul Hidayati, A.Md.Kep</t>
  </si>
  <si>
    <t>0133373951</t>
  </si>
  <si>
    <t>Yunus Rahmad Maksum, S.Kep.,Ns</t>
  </si>
  <si>
    <t>0032916252</t>
  </si>
  <si>
    <t>Anita Rahayu, A.Md.Kep</t>
  </si>
  <si>
    <t>0236020231</t>
  </si>
  <si>
    <t>Wiwik Istimewati Hariningsih, S.Kep.Ners</t>
  </si>
  <si>
    <t>3513144707850001</t>
  </si>
  <si>
    <t>0132702471</t>
  </si>
  <si>
    <t xml:space="preserve">Nur Ubaidah, S.Kep.Ners </t>
  </si>
  <si>
    <t>3513144912760001</t>
  </si>
  <si>
    <t>0132706174</t>
  </si>
  <si>
    <t>Sri Rahayuningsih, A.Md.Kep</t>
  </si>
  <si>
    <t>0712046155</t>
  </si>
  <si>
    <t>Putri Nikma Aulia, A.Md.Kep</t>
  </si>
  <si>
    <t>0132710651</t>
  </si>
  <si>
    <t>Eny Wahyuni, S.Kep Ns</t>
  </si>
  <si>
    <t>3513114709790001</t>
  </si>
  <si>
    <t>0132707081</t>
  </si>
  <si>
    <t>Dyah Setyowati, S.Kep. Ns</t>
  </si>
  <si>
    <t>3513126703830004</t>
  </si>
  <si>
    <t>0132706182</t>
  </si>
  <si>
    <t>Yuliasmi Kusuma, S.Kep.Ns</t>
  </si>
  <si>
    <t>3513115307900002</t>
  </si>
  <si>
    <t>495514465625000</t>
  </si>
  <si>
    <t>0136120441</t>
  </si>
  <si>
    <t>Nafisatun, A.Md.Kep</t>
  </si>
  <si>
    <t>495515090625000</t>
  </si>
  <si>
    <t>0712105241</t>
  </si>
  <si>
    <t xml:space="preserve">Sudianto, AMd.Kep </t>
  </si>
  <si>
    <t>449389972625000</t>
  </si>
  <si>
    <t>1612007612</t>
  </si>
  <si>
    <t>Muh Taufiqur, AMd.Kep</t>
  </si>
  <si>
    <t>746377837625000</t>
  </si>
  <si>
    <t>0136754254</t>
  </si>
  <si>
    <t>Moch. Syiddad Arsalan, A.Md.Kep</t>
  </si>
  <si>
    <t>0132248702</t>
  </si>
  <si>
    <t>Achmad Khoiruroziqin, A.Md. Kep.</t>
  </si>
  <si>
    <t>866211709625000</t>
  </si>
  <si>
    <t>0132720207</t>
  </si>
  <si>
    <t>Umi Azizah, A.Md. Kep</t>
  </si>
  <si>
    <t>948578505625000</t>
  </si>
  <si>
    <t>0132243557</t>
  </si>
  <si>
    <t>Rizka Maulida Mayani, S.Kep.,Ns</t>
  </si>
  <si>
    <t>550950927625000</t>
  </si>
  <si>
    <t>0096582587</t>
  </si>
  <si>
    <t>Dia Yoga Pratama, S.Kep.Ns</t>
  </si>
  <si>
    <t>3513125405850007</t>
  </si>
  <si>
    <t>412535825625000</t>
  </si>
  <si>
    <t>0132607486</t>
  </si>
  <si>
    <t>Ria Hariyanti, S.Kep.Ns</t>
  </si>
  <si>
    <t>3513196810810003</t>
  </si>
  <si>
    <t>895803427625000</t>
  </si>
  <si>
    <t>0132706611</t>
  </si>
  <si>
    <t>Silfaniyah Fuji Rahayu, A.Md.Kep</t>
  </si>
  <si>
    <t>362476699625000</t>
  </si>
  <si>
    <t>0132961948</t>
  </si>
  <si>
    <t>A. Nailil Adzkar, S.Kep.Ns</t>
  </si>
  <si>
    <t>964330864625000</t>
  </si>
  <si>
    <t>0132702594</t>
  </si>
  <si>
    <t>Feny Melinda, A.Md.Kep</t>
  </si>
  <si>
    <t>3513195303920001</t>
  </si>
  <si>
    <t>969732254625000</t>
  </si>
  <si>
    <t>0132703299</t>
  </si>
  <si>
    <t>Hidayati, Amd.Kep</t>
  </si>
  <si>
    <t>3573015608970004</t>
  </si>
  <si>
    <t>961225596625000</t>
  </si>
  <si>
    <t>0132253757</t>
  </si>
  <si>
    <t>Indah Nidayati, Amd.Kep</t>
  </si>
  <si>
    <t>3513216010970001</t>
  </si>
  <si>
    <t>0132044431</t>
  </si>
  <si>
    <t>Wilda Mulya Sholehati, Amd.Kep</t>
  </si>
  <si>
    <t>3512156512960001</t>
  </si>
  <si>
    <t>0132924392</t>
  </si>
  <si>
    <t>Ilmi Alfiyati, A.Md.Kep</t>
  </si>
  <si>
    <t>3513114408850001</t>
  </si>
  <si>
    <t>0132965561</t>
  </si>
  <si>
    <t>Heriyana Nurpadilah, A.Md.Kep</t>
  </si>
  <si>
    <t>0132247692</t>
  </si>
  <si>
    <t>Arifianti Fauzijah, S.Kep.Ns</t>
  </si>
  <si>
    <t>0136009494</t>
  </si>
  <si>
    <t>Fatimatus Zahro, S.Kep.Ns</t>
  </si>
  <si>
    <t>0132044759</t>
  </si>
  <si>
    <t>Syari Khorniawati, A.Md.Kep</t>
  </si>
  <si>
    <t>0132243506</t>
  </si>
  <si>
    <t>Siti Faizatul Munawaroh, A.Md.Kep</t>
  </si>
  <si>
    <t>0132720142</t>
  </si>
  <si>
    <t>Maflahatun Nabila, S.Kep.,Ns</t>
  </si>
  <si>
    <t>0126024410</t>
  </si>
  <si>
    <t>Laeilatul Mukarromah, S.Kep.,Ns</t>
  </si>
  <si>
    <t>486303365625000</t>
  </si>
  <si>
    <t>0133373454</t>
  </si>
  <si>
    <t>Ahmad Hasan Zaini, S.Kep. Ns</t>
  </si>
  <si>
    <t>3513171010820001</t>
  </si>
  <si>
    <t>495515439625000</t>
  </si>
  <si>
    <t>0132701393</t>
  </si>
  <si>
    <t>Isnani Mauly Masruri, S.Kep.Ns</t>
  </si>
  <si>
    <t>3513146403830003</t>
  </si>
  <si>
    <t>359981164625000</t>
  </si>
  <si>
    <t>0132705739</t>
  </si>
  <si>
    <t>Nurma Yulinda, A.Md.Kep</t>
  </si>
  <si>
    <t>810692046625000</t>
  </si>
  <si>
    <t>0712047461</t>
  </si>
  <si>
    <t>Lutfiah Nabila, A.Md.Kep</t>
  </si>
  <si>
    <t>792029654625000</t>
  </si>
  <si>
    <t>0712047216</t>
  </si>
  <si>
    <t>Lukman Hakim, A.Md.Kep</t>
  </si>
  <si>
    <t>3513150801820004</t>
  </si>
  <si>
    <t>3513190612860002</t>
  </si>
  <si>
    <t>0132702501</t>
  </si>
  <si>
    <t>Ahmad Buchari, S.Kep.Ners</t>
  </si>
  <si>
    <t>052677846625000</t>
  </si>
  <si>
    <t>0132244898</t>
  </si>
  <si>
    <t>Desi Kurniawati Ulfa, S.Kep.Ns</t>
  </si>
  <si>
    <t>3513145412760002</t>
  </si>
  <si>
    <t>836375121656000</t>
  </si>
  <si>
    <t>0132704953</t>
  </si>
  <si>
    <t>Wilujeng Mugiarti, S.Kep.Ns</t>
  </si>
  <si>
    <t>3574026609860002</t>
  </si>
  <si>
    <t>807347216625000</t>
  </si>
  <si>
    <t>0712047879</t>
  </si>
  <si>
    <t>Nur Diana Kholida, A.Md.Kep</t>
  </si>
  <si>
    <t>0712047658</t>
  </si>
  <si>
    <t>Nabila Hafina, A.Md.Kep</t>
  </si>
  <si>
    <t>911711364629000</t>
  </si>
  <si>
    <t>0136890565</t>
  </si>
  <si>
    <t>Achmad Ibnu Abbas, S.Kep, Ners</t>
  </si>
  <si>
    <t>0132703833</t>
  </si>
  <si>
    <t>Eris Fathur, A.Md. Kep</t>
  </si>
  <si>
    <t>0132780536</t>
  </si>
  <si>
    <t>Fatimatus Zahro, A.Md. Kep.</t>
  </si>
  <si>
    <t>0132720231</t>
  </si>
  <si>
    <t>Rifki Hikmatul, A.Md. Kep</t>
  </si>
  <si>
    <t>0136901478</t>
  </si>
  <si>
    <t>Istiariningsih, A.Md. Kep.</t>
  </si>
  <si>
    <t>0133733779</t>
  </si>
  <si>
    <t>Zakariya Adib Yahya, S.Kep.,Ns</t>
  </si>
  <si>
    <t>486303407625000</t>
  </si>
  <si>
    <t>0132264813</t>
  </si>
  <si>
    <t>Kartika Agustini, S.Kep.Ners</t>
  </si>
  <si>
    <t>3513146204760005</t>
  </si>
  <si>
    <t>697805950625000</t>
  </si>
  <si>
    <t>0132700443</t>
  </si>
  <si>
    <t>Trinia Innarti, A.Md., S.Kep.Ners</t>
  </si>
  <si>
    <t>3513165110810003</t>
  </si>
  <si>
    <t>447480468625000</t>
  </si>
  <si>
    <t>0132706212</t>
  </si>
  <si>
    <t>Kiki Maria, S.Kep.Ners</t>
  </si>
  <si>
    <t>3513105204830002</t>
  </si>
  <si>
    <t>733649701625000</t>
  </si>
  <si>
    <t>0132700940</t>
  </si>
  <si>
    <t>Hurriyatul Jannah, A.Md.Kep</t>
  </si>
  <si>
    <t>3513144709770002</t>
  </si>
  <si>
    <t>412722928625000</t>
  </si>
  <si>
    <t>0132710473</t>
  </si>
  <si>
    <t>Sahroni, A.Md.Kep</t>
  </si>
  <si>
    <t>0712047674</t>
  </si>
  <si>
    <t>Hamidatul Fitriyah , Amd.Kep</t>
  </si>
  <si>
    <t>0132703191</t>
  </si>
  <si>
    <t>Yuliana Wudarti, S.Kep.Ns</t>
  </si>
  <si>
    <t>0716712184</t>
  </si>
  <si>
    <t>Hosmiati, A.Md.Kep</t>
  </si>
  <si>
    <t>0132711241</t>
  </si>
  <si>
    <t>Septian Suwandha Putra, S.Kep.Ns</t>
  </si>
  <si>
    <t>3513141409900004</t>
  </si>
  <si>
    <t>362436289626000</t>
  </si>
  <si>
    <t>0132033978</t>
  </si>
  <si>
    <t>Frida Rafiyanti, S.Keb.Bd</t>
  </si>
  <si>
    <t>495514663625000</t>
  </si>
  <si>
    <t>0566014548</t>
  </si>
  <si>
    <t>Misbahatul Lailia, A.Md.Keb</t>
  </si>
  <si>
    <t>058717349625000</t>
  </si>
  <si>
    <t>0132961999</t>
  </si>
  <si>
    <t>Sarifatun Nisa, A.Md.Keb</t>
  </si>
  <si>
    <t>495514291625000</t>
  </si>
  <si>
    <t>0132962103</t>
  </si>
  <si>
    <t>Dewi Umaria Nandani, A.Md.Keb</t>
  </si>
  <si>
    <t>495514895625000</t>
  </si>
  <si>
    <t>0132702586</t>
  </si>
  <si>
    <t>Yuni Eka Hendriyani, A.Md. Kep.</t>
  </si>
  <si>
    <t>888822996625000</t>
  </si>
  <si>
    <t>0136780042</t>
  </si>
  <si>
    <t>Mohammad Khairul Anam, A.Md.Kep</t>
  </si>
  <si>
    <t>912017043625000</t>
  </si>
  <si>
    <t>0133733655</t>
  </si>
  <si>
    <t>Moch Ipung Fitryanto, A.Md.Kep</t>
  </si>
  <si>
    <t>905135018627000</t>
  </si>
  <si>
    <t>Siti Maimunah, S.Kep</t>
  </si>
  <si>
    <t>3513124112830004</t>
  </si>
  <si>
    <t>0132705615</t>
  </si>
  <si>
    <t>Dadang Kurniawan, S.Kep.Ns</t>
  </si>
  <si>
    <t>3513151611800003</t>
  </si>
  <si>
    <t>0132706824</t>
  </si>
  <si>
    <t>Iva Roesilawati Ningsih, A.Md.Kep</t>
  </si>
  <si>
    <t>3513124405880005</t>
  </si>
  <si>
    <t>0132707651</t>
  </si>
  <si>
    <t>Hendra Kusdiantoro, S.Kep</t>
  </si>
  <si>
    <t>3513190104910001</t>
  </si>
  <si>
    <t>0712046163</t>
  </si>
  <si>
    <t>Rifka Yunita Ardiana, A.Md.Kep</t>
  </si>
  <si>
    <t>0132704996</t>
  </si>
  <si>
    <t>Siti Nurul Laila, A.Md.Kep</t>
  </si>
  <si>
    <t>809415631656000</t>
  </si>
  <si>
    <t>0712046333</t>
  </si>
  <si>
    <t>Teguh Nugroho, S.Kep Ns</t>
  </si>
  <si>
    <t>3513231705860001</t>
  </si>
  <si>
    <t>0712047259</t>
  </si>
  <si>
    <t>Syamsul Arifin, S.Kep.Ns.</t>
  </si>
  <si>
    <t>3513121009890001</t>
  </si>
  <si>
    <t>706761202625000</t>
  </si>
  <si>
    <t>0327030418</t>
  </si>
  <si>
    <t xml:space="preserve">Elok Sayyidah Wibowo, S.Kep.Ners </t>
  </si>
  <si>
    <t>3513124906840002</t>
  </si>
  <si>
    <t>0132111839</t>
  </si>
  <si>
    <t>Giyani, A.Md.Kep</t>
  </si>
  <si>
    <t>3510030403860002</t>
  </si>
  <si>
    <t>0132704708</t>
  </si>
  <si>
    <t>Hardi Pujiono, S.Kep.Ns</t>
  </si>
  <si>
    <t>3513171407850003</t>
  </si>
  <si>
    <t>0132112886</t>
  </si>
  <si>
    <t>Agus Purwanto, S.Kep.Ns</t>
  </si>
  <si>
    <t>3513161308850001</t>
  </si>
  <si>
    <t>0132706077</t>
  </si>
  <si>
    <t>Ahmad Khusyairi, S.Kep.Ns</t>
  </si>
  <si>
    <t>3513091903950001</t>
  </si>
  <si>
    <t>829804665625000</t>
  </si>
  <si>
    <t>0136148826</t>
  </si>
  <si>
    <t>Husnul Wafa, S.Kep.Ns</t>
  </si>
  <si>
    <t>3513062504950004</t>
  </si>
  <si>
    <t>0132042098</t>
  </si>
  <si>
    <t>Tubagus Muhammad Zein, S.Kep.Ns</t>
  </si>
  <si>
    <t>3510091108920003</t>
  </si>
  <si>
    <t>0132929815</t>
  </si>
  <si>
    <t>Nur Fitria Dewi, A.Md.Kep</t>
  </si>
  <si>
    <t>0132703213</t>
  </si>
  <si>
    <t>Nur Risqia Nasution, A.Md. Kep</t>
  </si>
  <si>
    <t>0716556140</t>
  </si>
  <si>
    <t>Widya Suci Hartini, A.Md. Kep</t>
  </si>
  <si>
    <t>0136627279</t>
  </si>
  <si>
    <t>Amirul Anwar, A.Md.Kep</t>
  </si>
  <si>
    <t>0133330470</t>
  </si>
  <si>
    <t>Belqist Izzatul Karomah, A.Md.Kep</t>
  </si>
  <si>
    <t>0133332251</t>
  </si>
  <si>
    <t>Eka Yulianna Rozaqunni'Mah, A.Md.Kep</t>
  </si>
  <si>
    <t>0133 332430</t>
  </si>
  <si>
    <t>Syswati, S.Kep.,Ns</t>
  </si>
  <si>
    <t>0133734228</t>
  </si>
  <si>
    <t>Rizky Wahyu Wilantara, A.Md.Kep</t>
  </si>
  <si>
    <t>0132924414</t>
  </si>
  <si>
    <t>Anang Kurniawan, S.Kep.Ns</t>
  </si>
  <si>
    <t>3513101304770003</t>
  </si>
  <si>
    <t>0132701172</t>
  </si>
  <si>
    <t>Dian Indriana, A.Md.Kep</t>
  </si>
  <si>
    <t>3513146310810003</t>
  </si>
  <si>
    <t>0132706034</t>
  </si>
  <si>
    <t>Rohmatika, A.Md.Kep</t>
  </si>
  <si>
    <t>3513184710820002</t>
  </si>
  <si>
    <t>0132705623</t>
  </si>
  <si>
    <t>Fendi Kusuma Wardana, Amd.Kep</t>
  </si>
  <si>
    <t>3513182311900002</t>
  </si>
  <si>
    <t>0712090952</t>
  </si>
  <si>
    <t>Yandri Apriyadi, S.Kep.Ns</t>
  </si>
  <si>
    <t>3513121304830001</t>
  </si>
  <si>
    <t>0132402779</t>
  </si>
  <si>
    <t>Adi Suwandana, A.Md.Kep</t>
  </si>
  <si>
    <t>082335358245</t>
  </si>
  <si>
    <t>0712047500</t>
  </si>
  <si>
    <t>Basori Alwi, A.Md.Kep</t>
  </si>
  <si>
    <t>3513150604900001</t>
  </si>
  <si>
    <t>0712047631</t>
  </si>
  <si>
    <t>Dwi Agus Nusantara, Amd.Kep</t>
  </si>
  <si>
    <t>3512131601900003</t>
  </si>
  <si>
    <t>0132253536</t>
  </si>
  <si>
    <t>Dwi Arie Purnomo Aji, Amd.Kep</t>
  </si>
  <si>
    <t>3574031601900003</t>
  </si>
  <si>
    <t>1612038437</t>
  </si>
  <si>
    <t>Wiji Eka Shofiah, A.Md.Kep</t>
  </si>
  <si>
    <t>486303175625000</t>
  </si>
  <si>
    <t>0132711305</t>
  </si>
  <si>
    <t>Frita Ferdina, S.Kep.Ns</t>
  </si>
  <si>
    <t>3504096102920002</t>
  </si>
  <si>
    <t>495515173625000</t>
  </si>
  <si>
    <t>0132711828</t>
  </si>
  <si>
    <t>Risqi Puspita Sari, A.Md. Kep</t>
  </si>
  <si>
    <t>359881976625000</t>
  </si>
  <si>
    <t>0132243522</t>
  </si>
  <si>
    <t>Davrina Silva Rianda, A.Md.Kep</t>
  </si>
  <si>
    <t>895803351625000</t>
  </si>
  <si>
    <t>0132248818</t>
  </si>
  <si>
    <t>Ulfia Anggraini, A.Md.Kep</t>
  </si>
  <si>
    <t>895803336625000</t>
  </si>
  <si>
    <t>Lidyawati, S.Kep.,Ns</t>
  </si>
  <si>
    <t>359870037625000</t>
  </si>
  <si>
    <t>0133332219</t>
  </si>
  <si>
    <t>Umi Kulsum, A.Md. Kep</t>
  </si>
  <si>
    <t>451521439625000</t>
  </si>
  <si>
    <t>1612079281</t>
  </si>
  <si>
    <t>Santi Malika Dewi, S.Kep.Ns</t>
  </si>
  <si>
    <t>3513147011800005</t>
  </si>
  <si>
    <t>813639291625000</t>
  </si>
  <si>
    <t>0132700435</t>
  </si>
  <si>
    <t>Tomi Rudy Atmoko, A.Md.Kep</t>
  </si>
  <si>
    <t>3513162710820002</t>
  </si>
  <si>
    <t>759726276625000</t>
  </si>
  <si>
    <t>0132706433</t>
  </si>
  <si>
    <t>Ria Faizah Mustika, A.Md.Kep</t>
  </si>
  <si>
    <t>3513104804910002</t>
  </si>
  <si>
    <t>959426412625000</t>
  </si>
  <si>
    <t>0132702438</t>
  </si>
  <si>
    <t>Fery Darindra, A.Md.Kep</t>
  </si>
  <si>
    <t>3513142612900001</t>
  </si>
  <si>
    <t>822695573645000</t>
  </si>
  <si>
    <t>0132961930</t>
  </si>
  <si>
    <t>Ridha Fatihatul L, A.Md.Kep</t>
  </si>
  <si>
    <t>0132971781</t>
  </si>
  <si>
    <t>Nur Hidayatik, A.Md.Kep</t>
  </si>
  <si>
    <t>6408176704890001</t>
  </si>
  <si>
    <t>0712090987</t>
  </si>
  <si>
    <t>Yuniar Fitri Anggraeni, A.Md.Kep</t>
  </si>
  <si>
    <t>3511114206870001</t>
  </si>
  <si>
    <t>0132253471</t>
  </si>
  <si>
    <t>Evie Herlina, A.Md.Kep</t>
  </si>
  <si>
    <t>0132711259</t>
  </si>
  <si>
    <t>Nili Sitiani A.Md.Kep</t>
  </si>
  <si>
    <t>0132713391</t>
  </si>
  <si>
    <t>Siti Zulaiha, A.Md.Kep</t>
  </si>
  <si>
    <t>0712046376</t>
  </si>
  <si>
    <t>Feri Antoni Hermawan, A.Md.Kep</t>
  </si>
  <si>
    <t>3513122201820004</t>
  </si>
  <si>
    <t>362700809625000</t>
  </si>
  <si>
    <t>0132706590</t>
  </si>
  <si>
    <t>Marfuatun, A.Md.Keb</t>
  </si>
  <si>
    <t>3513114410890001</t>
  </si>
  <si>
    <t>0132702420</t>
  </si>
  <si>
    <t>Andhik Kisworo, S.Kep.Ns</t>
  </si>
  <si>
    <t>3513120208790004</t>
  </si>
  <si>
    <t>0132004919</t>
  </si>
  <si>
    <t>Siti Nurhasanah, A.Md.Kep</t>
  </si>
  <si>
    <t>3513144903790001</t>
  </si>
  <si>
    <t>0132700966</t>
  </si>
  <si>
    <t>Avin Valita, A.Md.</t>
  </si>
  <si>
    <t>3513124104860012</t>
  </si>
  <si>
    <t>362635013625000</t>
  </si>
  <si>
    <t>0132961000</t>
  </si>
  <si>
    <t>Harisma Wirarosentsia, S.Tr.Keb.Bd.</t>
  </si>
  <si>
    <t>3509037112870002</t>
  </si>
  <si>
    <t>0132706336</t>
  </si>
  <si>
    <t>Vivi Nur Vitriani, S.Keb.Bd</t>
  </si>
  <si>
    <t>3513146710900003</t>
  </si>
  <si>
    <t>0132410968</t>
  </si>
  <si>
    <t>Lila Ranaya Widyadari, S.Keb.Bd</t>
  </si>
  <si>
    <t>3510216506940002</t>
  </si>
  <si>
    <t>895803278625000</t>
  </si>
  <si>
    <t>0132711844</t>
  </si>
  <si>
    <t>Arif Bambang Prayogi, S.Kep</t>
  </si>
  <si>
    <t>0712046309</t>
  </si>
  <si>
    <t>Yoga Gusti Argha, A.Md.Kep</t>
  </si>
  <si>
    <t>486302920625000</t>
  </si>
  <si>
    <t>0132961956</t>
  </si>
  <si>
    <t>Erick Pradana Cahyono, S.Kep.Ns</t>
  </si>
  <si>
    <t>486303274625000</t>
  </si>
  <si>
    <t>0132187967</t>
  </si>
  <si>
    <t>Mas Surani, A.Md.Keb</t>
  </si>
  <si>
    <t>495515280625000</t>
  </si>
  <si>
    <t>0712047348</t>
  </si>
  <si>
    <t>Novia Tri Utami, A.Md. Keb</t>
  </si>
  <si>
    <t>495515264625000</t>
  </si>
  <si>
    <t>0132710716</t>
  </si>
  <si>
    <t>Febri Ardiansyah, Amd.Kep</t>
  </si>
  <si>
    <t>3512030502910001</t>
  </si>
  <si>
    <t>742279524615000</t>
  </si>
  <si>
    <t>0132704601</t>
  </si>
  <si>
    <t>Leny Hariyanti, A.Md.Kep</t>
  </si>
  <si>
    <t>448400051627000</t>
  </si>
  <si>
    <t>0132711666</t>
  </si>
  <si>
    <t>Hafni Ainun Arif K, A.Md.Kep</t>
  </si>
  <si>
    <t>3509272206860002</t>
  </si>
  <si>
    <t>981667124625000</t>
  </si>
  <si>
    <t>0132253625</t>
  </si>
  <si>
    <t>Isnaini Wahyu Utami, A.Md.Keb</t>
  </si>
  <si>
    <t>0712047241</t>
  </si>
  <si>
    <t>Agung Widhi Setiawan, Amd. Kep.</t>
  </si>
  <si>
    <t>0132713600</t>
  </si>
  <si>
    <t>Putri Harum Restu, A.Md.Keb</t>
  </si>
  <si>
    <t>0132962090</t>
  </si>
  <si>
    <t>Farista Nurmayanti, A.Md.Keb</t>
  </si>
  <si>
    <t>0712047160</t>
  </si>
  <si>
    <t>Choiriyah Fitriyani, S.Kep</t>
  </si>
  <si>
    <t>3513115604910001</t>
  </si>
  <si>
    <t>0132714380</t>
  </si>
  <si>
    <t>Ratih Tri Nugraheni, A.Md.Keb</t>
  </si>
  <si>
    <t>0132961972</t>
  </si>
  <si>
    <t>Ahmad Fathoni Aziz, A.Md.Kep</t>
  </si>
  <si>
    <t>490389814625000</t>
  </si>
  <si>
    <t>0132402680</t>
  </si>
  <si>
    <t>Atik Wibawa, A.Md.Keb</t>
  </si>
  <si>
    <t>0712047186</t>
  </si>
  <si>
    <t>Dyah Novita, A.Md.Keb</t>
  </si>
  <si>
    <t>362390601625000</t>
  </si>
  <si>
    <t>0132711631</t>
  </si>
  <si>
    <t>Diah Ulfa Wijayanti, S.Tr.Keb</t>
  </si>
  <si>
    <t>675121891625000</t>
  </si>
  <si>
    <t>Moh. Kholil Sidik S.Kep., Ners</t>
  </si>
  <si>
    <t>362532483625000</t>
  </si>
  <si>
    <t>0132716331</t>
  </si>
  <si>
    <t>Riawan Satriantoro, A.Md.Kep</t>
  </si>
  <si>
    <t>362244303625000</t>
  </si>
  <si>
    <t>0132716323</t>
  </si>
  <si>
    <t>Moh. S. Guntur, A.Md. Kep</t>
  </si>
  <si>
    <t>895803187625000</t>
  </si>
  <si>
    <t>0132921024</t>
  </si>
  <si>
    <t>Moch Yudik Prastyo, A.Md. Kep</t>
  </si>
  <si>
    <t>0132294844</t>
  </si>
  <si>
    <t>Junaedi Efendi, S.Kep.,Ns</t>
  </si>
  <si>
    <t>0133196005</t>
  </si>
  <si>
    <t>Moh. Ghozy Arifin, S.Kep.,Ns</t>
  </si>
  <si>
    <t>0712108070</t>
  </si>
  <si>
    <t>Bambang Margie Eko W., S.Kep.Ns</t>
  </si>
  <si>
    <t>3513140403760001</t>
  </si>
  <si>
    <t>0132065870</t>
  </si>
  <si>
    <t>Sunaji, S.Kep.Ns</t>
  </si>
  <si>
    <t>3513122508870001</t>
  </si>
  <si>
    <t>0132175999</t>
  </si>
  <si>
    <t>Abdul Hadi, S.Kep.Ners</t>
  </si>
  <si>
    <t>3513161111740001</t>
  </si>
  <si>
    <t>0132710252</t>
  </si>
  <si>
    <t>Abdul Rosid Ansori, S.Kep.Ns</t>
  </si>
  <si>
    <t>3513141706730003</t>
  </si>
  <si>
    <t>362341174625000</t>
  </si>
  <si>
    <t>0132101191</t>
  </si>
  <si>
    <t>Emy Jamilah, A.Md.Kep</t>
  </si>
  <si>
    <t>3513125904830004</t>
  </si>
  <si>
    <t>0132706719</t>
  </si>
  <si>
    <t>Habibi, A.Md.Kep</t>
  </si>
  <si>
    <t>3513142004850001</t>
  </si>
  <si>
    <t>362265324625000</t>
  </si>
  <si>
    <t>0712046121</t>
  </si>
  <si>
    <t>Hendra Wijatmiko, A.Md.Kep</t>
  </si>
  <si>
    <t>362465668625000</t>
  </si>
  <si>
    <t>0132189960</t>
  </si>
  <si>
    <t>Sentot Suwondo, A.Md.Kep</t>
  </si>
  <si>
    <t>36.262.180.7-625.000</t>
  </si>
  <si>
    <t>0712046031</t>
  </si>
  <si>
    <t>Rofi'atin, A.Md.Kep</t>
  </si>
  <si>
    <t>3512175308950001</t>
  </si>
  <si>
    <t>0132971897</t>
  </si>
  <si>
    <t>Muhammad Mukhlisin N, Amd.Kep</t>
  </si>
  <si>
    <t>3509071111930001</t>
  </si>
  <si>
    <t>495514879625000</t>
  </si>
  <si>
    <t>0132042322</t>
  </si>
  <si>
    <t>Yogi Ludirta Suryalaga, Amd.Kep</t>
  </si>
  <si>
    <t>3511082708880001</t>
  </si>
  <si>
    <t>105896245625000</t>
  </si>
  <si>
    <t>0132944598</t>
  </si>
  <si>
    <t>Hendra Adi Permana, A.Md.Kep</t>
  </si>
  <si>
    <t>0132962081</t>
  </si>
  <si>
    <t>Wenny Indra Sagita, A.Md.Kep</t>
  </si>
  <si>
    <t>3513125212820002</t>
  </si>
  <si>
    <t>486303399625000</t>
  </si>
  <si>
    <t>0132710503</t>
  </si>
  <si>
    <t>Haryono, A.Md.Kep</t>
  </si>
  <si>
    <t>495515108625000</t>
  </si>
  <si>
    <t>0132711721</t>
  </si>
  <si>
    <t>Nur Komariyah, S.Kep.Ners</t>
  </si>
  <si>
    <t>3513155505870002</t>
  </si>
  <si>
    <t>787623032625000</t>
  </si>
  <si>
    <t>0132055939</t>
  </si>
  <si>
    <t>Arum Meralda, A.Md.Kep</t>
  </si>
  <si>
    <t>0712046210</t>
  </si>
  <si>
    <t>As'ari, A.Md.Kep</t>
  </si>
  <si>
    <t>495514382625000</t>
  </si>
  <si>
    <t>0132711691</t>
  </si>
  <si>
    <t>Slamet Hariadi, A.Md.Kep</t>
  </si>
  <si>
    <t>247547102609000</t>
  </si>
  <si>
    <t>0712047135</t>
  </si>
  <si>
    <t>Sidi Mukhlis, A.Md.Kep</t>
  </si>
  <si>
    <t>A95515454625000</t>
  </si>
  <si>
    <t>0136617931</t>
  </si>
  <si>
    <t>Muh. Audini Mukhlisiddin, A.Md.Kep</t>
  </si>
  <si>
    <t>412548463656000</t>
  </si>
  <si>
    <t>0132704783</t>
  </si>
  <si>
    <t>Tatag Mundi Prastianto, A.Md.Kep</t>
  </si>
  <si>
    <t>3513142706830002</t>
  </si>
  <si>
    <t>362463937626000</t>
  </si>
  <si>
    <t>0132700737</t>
  </si>
  <si>
    <t>Muhammad Fauzi, S.Kep.,Ns</t>
  </si>
  <si>
    <t>447348657643000</t>
  </si>
  <si>
    <t>0132720436</t>
  </si>
  <si>
    <t>Mohammad Haris Rofiqi, A.Md.Kep</t>
  </si>
  <si>
    <t>0132720401</t>
  </si>
  <si>
    <t>Indah Tri Lestari, A.Md. Kep</t>
  </si>
  <si>
    <t>0132720223</t>
  </si>
  <si>
    <t>Anton Junaedi, A.Md.Kep</t>
  </si>
  <si>
    <t>Ratna Dwi Hartatik, S.Kep.Ns</t>
  </si>
  <si>
    <t>3513146403740001</t>
  </si>
  <si>
    <t>0132706573</t>
  </si>
  <si>
    <t>Doni Sugiharto, S.Tr.Kep.An</t>
  </si>
  <si>
    <t>3513180907820005</t>
  </si>
  <si>
    <t>49.551.461.4-625.000</t>
  </si>
  <si>
    <t>0132155712</t>
  </si>
  <si>
    <t>Nurul Huda, S.Kep.Ners</t>
  </si>
  <si>
    <t>3513122709840006</t>
  </si>
  <si>
    <t>895803450625000</t>
  </si>
  <si>
    <t>0132705593</t>
  </si>
  <si>
    <t>Yudi Kurniawan, A.Md.Kep</t>
  </si>
  <si>
    <t>3513142307860001</t>
  </si>
  <si>
    <t>787622984625000</t>
  </si>
  <si>
    <t>0132165386</t>
  </si>
  <si>
    <t>Herzuddin Zain, Amd.Kep</t>
  </si>
  <si>
    <t>3513112210840001</t>
  </si>
  <si>
    <t>0132705127</t>
  </si>
  <si>
    <t>Beny Eko Satrio, A.Md.Kep</t>
  </si>
  <si>
    <t>0712046562</t>
  </si>
  <si>
    <t>Imam Buchori, S.Kep.Ns</t>
  </si>
  <si>
    <t>3513142211880001</t>
  </si>
  <si>
    <t>486303498625000</t>
  </si>
  <si>
    <t>0712046643</t>
  </si>
  <si>
    <t>Subiantoro Hadi, A.Md.Kep</t>
  </si>
  <si>
    <t>362331126625000</t>
  </si>
  <si>
    <t>0132402744</t>
  </si>
  <si>
    <t>Alfa Yulianata Pratama, A.Md.Kep</t>
  </si>
  <si>
    <t>486303472625000</t>
  </si>
  <si>
    <t>0132402647</t>
  </si>
  <si>
    <t>Nabilah Fathiyah Rahmah, S.Tr.Kes</t>
  </si>
  <si>
    <t>0132228272</t>
  </si>
  <si>
    <t>Henny Gunawati</t>
  </si>
  <si>
    <t>3574044310670001</t>
  </si>
  <si>
    <t>362528382625000</t>
  </si>
  <si>
    <t>0132707171</t>
  </si>
  <si>
    <t>Ana Yuliawati, S.Kep Ns</t>
  </si>
  <si>
    <t>3513147103780003</t>
  </si>
  <si>
    <t>0132701202</t>
  </si>
  <si>
    <t>Dicky Wahyu Finansa, S.Kep.Ns</t>
  </si>
  <si>
    <t>3525112912840001</t>
  </si>
  <si>
    <t>0132164878</t>
  </si>
  <si>
    <t>Badi'atul Jamilah, A.Md.Kep</t>
  </si>
  <si>
    <t>3513126911850001</t>
  </si>
  <si>
    <t>486303621625000</t>
  </si>
  <si>
    <t>0132170495</t>
  </si>
  <si>
    <t>Siti Munawaroh, S.Kep.Ners</t>
  </si>
  <si>
    <t>3513145803770002</t>
  </si>
  <si>
    <t>453543043625000</t>
  </si>
  <si>
    <t>0132706361</t>
  </si>
  <si>
    <t>Intan Nurcahya, A.Md.Kep</t>
  </si>
  <si>
    <t>0136863932</t>
  </si>
  <si>
    <t>Nurul Mahmuda, S.Kep.Ners</t>
  </si>
  <si>
    <t>3513146611760002</t>
  </si>
  <si>
    <t>0132706620</t>
  </si>
  <si>
    <t>Elok Merdekawati</t>
  </si>
  <si>
    <t>3513145708770004</t>
  </si>
  <si>
    <t>356989962648000</t>
  </si>
  <si>
    <t>0132706344</t>
  </si>
  <si>
    <t>Ike Ira Hesti Rayuni, S.ST</t>
  </si>
  <si>
    <t>3513096804810002</t>
  </si>
  <si>
    <t>0132706239</t>
  </si>
  <si>
    <t>Selfi Sitarina, A.Md.Kep</t>
  </si>
  <si>
    <t>486303217625000</t>
  </si>
  <si>
    <t>0712046651</t>
  </si>
  <si>
    <t>Erik Budi Kuswoyo, A.Md.Kep, SKM</t>
  </si>
  <si>
    <t>3513122703760002</t>
  </si>
  <si>
    <t>541291159625000</t>
  </si>
  <si>
    <t>0132030715</t>
  </si>
  <si>
    <t>Indatun Badriati, S.Kep</t>
  </si>
  <si>
    <t>3513134805770002</t>
  </si>
  <si>
    <t>0132706727</t>
  </si>
  <si>
    <t>Faiqo Turrohmah, A.Md.Kes.Gi</t>
  </si>
  <si>
    <t>3513165204880009</t>
  </si>
  <si>
    <t>0132707278</t>
  </si>
  <si>
    <t>Hasan Basri, S.Kep. Ns</t>
  </si>
  <si>
    <t>3513171807780001</t>
  </si>
  <si>
    <t>0132063460</t>
  </si>
  <si>
    <t>Sri Wahyu Wijayanti, S.Kep.Ns</t>
  </si>
  <si>
    <t>3513106807830001</t>
  </si>
  <si>
    <t>241514892625000</t>
  </si>
  <si>
    <t>0132705411</t>
  </si>
  <si>
    <t>Elma Khuriyatul Fatati, S.ST</t>
  </si>
  <si>
    <t>3509045005740009</t>
  </si>
  <si>
    <t>0132707537</t>
  </si>
  <si>
    <t>Evi Lestari, A.Md.Keb</t>
  </si>
  <si>
    <t>0712046023</t>
  </si>
  <si>
    <t>Teti Hendayati, S.Kep. Ns</t>
  </si>
  <si>
    <t>3513184204700001</t>
  </si>
  <si>
    <t>486303225625000</t>
  </si>
  <si>
    <t>0132063826</t>
  </si>
  <si>
    <t>Dewi Lutfiana, A.Md.Keb</t>
  </si>
  <si>
    <t>3513155709870006</t>
  </si>
  <si>
    <t>0132710325</t>
  </si>
  <si>
    <t>Ida Yuliana, A.Md.Ro</t>
  </si>
  <si>
    <t>3574045507730004</t>
  </si>
  <si>
    <t>486303340625000</t>
  </si>
  <si>
    <t>0132705151</t>
  </si>
  <si>
    <t>Bagus Swasono, A.Md</t>
  </si>
  <si>
    <t>3574042311770002</t>
  </si>
  <si>
    <t>495514440625000</t>
  </si>
  <si>
    <t>0136715721</t>
  </si>
  <si>
    <t>Lina Indriyani, Amd.Kep</t>
  </si>
  <si>
    <t>3511164611950001</t>
  </si>
  <si>
    <t>451280044625000</t>
  </si>
  <si>
    <t>0132044597</t>
  </si>
  <si>
    <t>Dian Nofitasari, A.Md.Kep</t>
  </si>
  <si>
    <t>360103352625000</t>
  </si>
  <si>
    <t>0132715670</t>
  </si>
  <si>
    <t>Rolis Putro Nugroho, A.Md.Kep</t>
  </si>
  <si>
    <t>969849314624000</t>
  </si>
  <si>
    <t>0132705283</t>
  </si>
  <si>
    <t>Dyna Prihatin, A.Md.Kep</t>
  </si>
  <si>
    <t>3513186304700001</t>
  </si>
  <si>
    <t>0132156900</t>
  </si>
  <si>
    <t>Erika Rahmawati, A.Md.Kep</t>
  </si>
  <si>
    <t>0132711224</t>
  </si>
  <si>
    <t>Adi Sugia Akari, S.Kep.Ns</t>
  </si>
  <si>
    <t>3513150604870004</t>
  </si>
  <si>
    <t>0132711836</t>
  </si>
  <si>
    <t>Nugroho Priyo Wicaksono, A.Md.Kep</t>
  </si>
  <si>
    <t>1612035233</t>
  </si>
  <si>
    <t>Hartono, A.Md, Kep</t>
  </si>
  <si>
    <t>359847514625000</t>
  </si>
  <si>
    <t>0712048158</t>
  </si>
  <si>
    <t>Sri Wahyuni, A.Md.Kep</t>
  </si>
  <si>
    <t>895803344625000</t>
  </si>
  <si>
    <t>0712046368</t>
  </si>
  <si>
    <t>Melya Anggraeni, S.Kep, Ners</t>
  </si>
  <si>
    <t>3513174804820003</t>
  </si>
  <si>
    <t>895803310625000</t>
  </si>
  <si>
    <t>0132700222</t>
  </si>
  <si>
    <t>Ellys Bariroh, A.Md.Kep</t>
  </si>
  <si>
    <t>3513126202810002</t>
  </si>
  <si>
    <t>0132705186</t>
  </si>
  <si>
    <t>Wiwit Asih Harum Cahyani, S.Kep.Ns</t>
  </si>
  <si>
    <t>3513145211870002</t>
  </si>
  <si>
    <t>0132702322</t>
  </si>
  <si>
    <t>Sa'adatut Daraini Fitriya, S.Kep</t>
  </si>
  <si>
    <t>3513116306840001</t>
  </si>
  <si>
    <t>0132705518</t>
  </si>
  <si>
    <t>Syakur</t>
  </si>
  <si>
    <t>I</t>
  </si>
  <si>
    <t>3513150705850001</t>
  </si>
  <si>
    <t>0132707120</t>
  </si>
  <si>
    <t>Moh. Tohir</t>
  </si>
  <si>
    <t>0132713103</t>
  </si>
  <si>
    <t>Adi Saputro Purwadi</t>
  </si>
  <si>
    <t>0132710406</t>
  </si>
  <si>
    <t>Muhammad Zuhri</t>
  </si>
  <si>
    <t>3513141008810004</t>
  </si>
  <si>
    <t>0132706263</t>
  </si>
  <si>
    <t>Abd. Djalil</t>
  </si>
  <si>
    <t>3513150406730002</t>
  </si>
  <si>
    <t>0132705721</t>
  </si>
  <si>
    <t>Yuni Nowo Lestari</t>
  </si>
  <si>
    <t>3513146806690003</t>
  </si>
  <si>
    <t>0132707677</t>
  </si>
  <si>
    <t>Aspat</t>
  </si>
  <si>
    <t>3513140906750002</t>
  </si>
  <si>
    <t>0132706271</t>
  </si>
  <si>
    <t>Hasyim Hidayatur Rahman</t>
  </si>
  <si>
    <t>3513170103800007</t>
  </si>
  <si>
    <t>0132706956</t>
  </si>
  <si>
    <t>Musthofa</t>
  </si>
  <si>
    <t>0712046228</t>
  </si>
  <si>
    <t>Subaidi</t>
  </si>
  <si>
    <t>0712046171</t>
  </si>
  <si>
    <t>M. Lutfi Tunggal Putra</t>
  </si>
  <si>
    <t>0132713162</t>
  </si>
  <si>
    <t>Yoyon Cahyono</t>
  </si>
  <si>
    <t>0132713901</t>
  </si>
  <si>
    <t>Soekawati Nurhandayani</t>
  </si>
  <si>
    <t>0132713898</t>
  </si>
  <si>
    <t>M. Salasun</t>
  </si>
  <si>
    <t>0132713804</t>
  </si>
  <si>
    <t>Chusnul Hamisiyana</t>
  </si>
  <si>
    <t>3513145006820006</t>
  </si>
  <si>
    <t>0132707235</t>
  </si>
  <si>
    <t>Lasmoro Aji Santoso</t>
  </si>
  <si>
    <t>0132713707</t>
  </si>
  <si>
    <t>Abdul Gani</t>
  </si>
  <si>
    <t>3513170505720003</t>
  </si>
  <si>
    <t>351769274625000</t>
  </si>
  <si>
    <t>0132043167</t>
  </si>
  <si>
    <t>Indah Nursanti, S.Tr.Kes</t>
  </si>
  <si>
    <t>3513144506820001</t>
  </si>
  <si>
    <t>0132187311</t>
  </si>
  <si>
    <t>Isnaini Hasanah, S.Tr.Kes</t>
  </si>
  <si>
    <t>3513164604810002</t>
  </si>
  <si>
    <t>36.258.675.2-625.000</t>
  </si>
  <si>
    <t>0132701351</t>
  </si>
  <si>
    <t>Yuyun Dwi Wahyuni, S.Tr.Kes</t>
  </si>
  <si>
    <t>452620735625000</t>
  </si>
  <si>
    <t>0132706131</t>
  </si>
  <si>
    <t>Erni Suswati, A.Md.Ak</t>
  </si>
  <si>
    <t>3513146711780002</t>
  </si>
  <si>
    <t>818582413625000</t>
  </si>
  <si>
    <t>0132706123</t>
  </si>
  <si>
    <t>Shofan Ilham Sulaiman, S.Tr.Kes</t>
  </si>
  <si>
    <t>3510100103870001</t>
  </si>
  <si>
    <t>742963523625000</t>
  </si>
  <si>
    <t>0132706085</t>
  </si>
  <si>
    <t>Krida Purwo Tristiani, S.Tr.Kes</t>
  </si>
  <si>
    <t>3513146308760002</t>
  </si>
  <si>
    <t>412448532625000</t>
  </si>
  <si>
    <t>0132082464</t>
  </si>
  <si>
    <t>Budi Akhmad Cahyadi, A.Md.Ak</t>
  </si>
  <si>
    <t>3574010707850002</t>
  </si>
  <si>
    <t>887430189609000</t>
  </si>
  <si>
    <t>0132702071</t>
  </si>
  <si>
    <t>Megawati, A.Md.AK</t>
  </si>
  <si>
    <t>3513214301850003</t>
  </si>
  <si>
    <t>412405169625000</t>
  </si>
  <si>
    <t>1612607563</t>
  </si>
  <si>
    <t>Irma Yhurita, A.Md.AK</t>
  </si>
  <si>
    <t>3574034610870003</t>
  </si>
  <si>
    <t>859795395656000</t>
  </si>
  <si>
    <t>1612607717</t>
  </si>
  <si>
    <t>Fastami' Limayuha, S.Tr.Kes</t>
  </si>
  <si>
    <t>3513081102980002</t>
  </si>
  <si>
    <t>900711656625000</t>
  </si>
  <si>
    <t>0132238693</t>
  </si>
  <si>
    <t>Erly Roifatul Afifah, S.ST</t>
  </si>
  <si>
    <t>3524064606950004</t>
  </si>
  <si>
    <t>495515157625000</t>
  </si>
  <si>
    <t>1776082453</t>
  </si>
  <si>
    <t>Nurul Aini, A.Md.AK.</t>
  </si>
  <si>
    <t>49.551.549.6-625.000</t>
  </si>
  <si>
    <t>0132036829</t>
  </si>
  <si>
    <t>Sisi Sundari. S.Tr.Kes</t>
  </si>
  <si>
    <t>787567643625000</t>
  </si>
  <si>
    <t>0132039011</t>
  </si>
  <si>
    <t>Moh. Sufyan Ubaidillah, A.Md.AK</t>
  </si>
  <si>
    <t>362585531627000</t>
  </si>
  <si>
    <t>0133193324</t>
  </si>
  <si>
    <t>Gilang Firmanda, A.Md.Ak</t>
  </si>
  <si>
    <t>486423569625000</t>
  </si>
  <si>
    <t>0132720193</t>
  </si>
  <si>
    <t>Dhimas Pandu Prayoga, A.Md.K</t>
  </si>
  <si>
    <t>3513141209870001</t>
  </si>
  <si>
    <t>495515520625000</t>
  </si>
  <si>
    <t>0132707642</t>
  </si>
  <si>
    <t>Maulina Robiul Nisah Fanani, A.Md.Ak</t>
  </si>
  <si>
    <t>495514598625000</t>
  </si>
  <si>
    <t>0132402655</t>
  </si>
  <si>
    <t>Hendy Dermawan Setyawan, A.Md.AK</t>
  </si>
  <si>
    <t>895803252625000</t>
  </si>
  <si>
    <t>0132890528</t>
  </si>
  <si>
    <t>Sigit Pujianto, A.Md.AK.</t>
  </si>
  <si>
    <t>3513081209190008</t>
  </si>
  <si>
    <t>36.254.832.3-625.000</t>
  </si>
  <si>
    <t>0136016733</t>
  </si>
  <si>
    <t>Nely Meliyana, S.Tr.Kes</t>
  </si>
  <si>
    <t>787623677625000</t>
  </si>
  <si>
    <t>0133331786</t>
  </si>
  <si>
    <t>Saiful Juhri, S.ST</t>
  </si>
  <si>
    <t>3513230809670002</t>
  </si>
  <si>
    <t>961127537627000</t>
  </si>
  <si>
    <t>0132705836</t>
  </si>
  <si>
    <t>Lutfi Hidayat, A.Md.Rad</t>
  </si>
  <si>
    <t>3513143003710001</t>
  </si>
  <si>
    <t>841971054625000</t>
  </si>
  <si>
    <t>0132706450</t>
  </si>
  <si>
    <t>Nurul Hasanah, A.Md.Rad</t>
  </si>
  <si>
    <t>3513124407760004</t>
  </si>
  <si>
    <t>969991314626000</t>
  </si>
  <si>
    <t>0132705143</t>
  </si>
  <si>
    <t>Yantik, A.Md.Rad</t>
  </si>
  <si>
    <t>3513144603810003</t>
  </si>
  <si>
    <t>413170515625000</t>
  </si>
  <si>
    <t>0132705135</t>
  </si>
  <si>
    <t>Wahyu Miherni, A.Md.Rad</t>
  </si>
  <si>
    <t>3578034108820001</t>
  </si>
  <si>
    <t>412611162656000</t>
  </si>
  <si>
    <t>0132707481</t>
  </si>
  <si>
    <t>Dewi Ismawati, A.Md.Rad</t>
  </si>
  <si>
    <t>3510065703870002</t>
  </si>
  <si>
    <t>0132707383</t>
  </si>
  <si>
    <t>Nogroho Agung M, A.Md Rad</t>
  </si>
  <si>
    <t>3513090711860001</t>
  </si>
  <si>
    <t>0132152306</t>
  </si>
  <si>
    <t>Feri Irawan, Amd.Rad</t>
  </si>
  <si>
    <t>0132452946</t>
  </si>
  <si>
    <t>Alex Ridla Maulana, Amd.Rad</t>
  </si>
  <si>
    <t>0133193715</t>
  </si>
  <si>
    <t>Nining Retnaningsih, S.Kep.Ns</t>
  </si>
  <si>
    <t>0712046511</t>
  </si>
  <si>
    <t>Erni Rositha Budiarti, A.Md.Ft</t>
  </si>
  <si>
    <t>3509204109880004</t>
  </si>
  <si>
    <t>0132707286</t>
  </si>
  <si>
    <t>Nur Cahyani, A.Md.Ft</t>
  </si>
  <si>
    <t>3515185807860004</t>
  </si>
  <si>
    <t>0132702411</t>
  </si>
  <si>
    <t>Indar Dwi Wahyuningsih, A.Md.Ft</t>
  </si>
  <si>
    <t>0712046058</t>
  </si>
  <si>
    <t>Ramadhan Saifullah, Str.Kes</t>
  </si>
  <si>
    <t>0132163166</t>
  </si>
  <si>
    <t>Setiya Hastuti, S.ST, MM</t>
  </si>
  <si>
    <t>3513145701780002</t>
  </si>
  <si>
    <t>0132706760</t>
  </si>
  <si>
    <t>Dyah Evie Mulyaningrum, S.ST</t>
  </si>
  <si>
    <t>3513145002780003</t>
  </si>
  <si>
    <t>0132705577</t>
  </si>
  <si>
    <t>Mulik Agustina, S.Gz</t>
  </si>
  <si>
    <t>3513145808870001</t>
  </si>
  <si>
    <t>0132003742</t>
  </si>
  <si>
    <t>Rima Pramudyah Kusuma, A.Md.</t>
  </si>
  <si>
    <t>3574014707830005</t>
  </si>
  <si>
    <t>486303100625000</t>
  </si>
  <si>
    <t>0132702454</t>
  </si>
  <si>
    <t>Hariah Akbar Yuliana Dewi, A.Md.</t>
  </si>
  <si>
    <t>3513084307900001</t>
  </si>
  <si>
    <t>690760301625000</t>
  </si>
  <si>
    <t>0132962154</t>
  </si>
  <si>
    <t>Nindira Herlisa Bayrachma, Amd.Gz</t>
  </si>
  <si>
    <t>3514166106960003</t>
  </si>
  <si>
    <t>494693092625000</t>
  </si>
  <si>
    <t>0132704589</t>
  </si>
  <si>
    <t>Saiful Ansori, S.Gz</t>
  </si>
  <si>
    <t>895803211625000</t>
  </si>
  <si>
    <t>0132962031</t>
  </si>
  <si>
    <t>Aliffia Rachman Putri, S.Tr.Gz</t>
  </si>
  <si>
    <t>855332680625000</t>
  </si>
  <si>
    <t>0132715424</t>
  </si>
  <si>
    <t>Rizka Indah Kurnia, S.Tr.Gz</t>
  </si>
  <si>
    <t>0132715432</t>
  </si>
  <si>
    <t>Nurdiana Avrillia, STr.Gz</t>
  </si>
  <si>
    <t>0133729801</t>
  </si>
  <si>
    <t>Shafira Nuriyatul Ludfi, A.Md,Gz</t>
  </si>
  <si>
    <t>412467763656000</t>
  </si>
  <si>
    <t>0133727493</t>
  </si>
  <si>
    <t>Rofi'ul Amaliyah</t>
  </si>
  <si>
    <t>3513144212840001</t>
  </si>
  <si>
    <t>410303853625000</t>
  </si>
  <si>
    <t>0132702403</t>
  </si>
  <si>
    <t>Mujiati</t>
  </si>
  <si>
    <t>3513155403730004</t>
  </si>
  <si>
    <t>959787912625000</t>
  </si>
  <si>
    <t>0132700389</t>
  </si>
  <si>
    <t>Simah</t>
  </si>
  <si>
    <t>3513154201730002</t>
  </si>
  <si>
    <t>0132099472</t>
  </si>
  <si>
    <t>Fatmawati</t>
  </si>
  <si>
    <t>888823010625000</t>
  </si>
  <si>
    <t>0712046244</t>
  </si>
  <si>
    <t>Halimatus Sakdiyah</t>
  </si>
  <si>
    <t>0712047453</t>
  </si>
  <si>
    <t>Heni Soraya</t>
  </si>
  <si>
    <t>724984349625000</t>
  </si>
  <si>
    <t>0712047437</t>
  </si>
  <si>
    <t>Arwani</t>
  </si>
  <si>
    <t>0712047429</t>
  </si>
  <si>
    <t>Nur Azizah</t>
  </si>
  <si>
    <t>0712047399</t>
  </si>
  <si>
    <t>Ayu Murningsih</t>
  </si>
  <si>
    <t>0712047445</t>
  </si>
  <si>
    <t>Siti Nur Holifah</t>
  </si>
  <si>
    <t>0132710660</t>
  </si>
  <si>
    <t>Ika Yulianing Tyas</t>
  </si>
  <si>
    <t>0132713651</t>
  </si>
  <si>
    <t>Nur Hasanah</t>
  </si>
  <si>
    <t>495514366625000</t>
  </si>
  <si>
    <t>0712047402</t>
  </si>
  <si>
    <t>Tutik Hidayati</t>
  </si>
  <si>
    <t>0132713669</t>
  </si>
  <si>
    <t>Ira Rofiandika</t>
  </si>
  <si>
    <t>0132306770</t>
  </si>
  <si>
    <t>Nur Ayu Amalia Fitriani</t>
  </si>
  <si>
    <t>0132703329</t>
  </si>
  <si>
    <t>Siti Nur Azizah</t>
  </si>
  <si>
    <t>0132703337</t>
  </si>
  <si>
    <t>Nanik Nurhasila</t>
  </si>
  <si>
    <t>89.580.344.3-625.000</t>
  </si>
  <si>
    <t>0132200327</t>
  </si>
  <si>
    <t>Saiful Bahri</t>
  </si>
  <si>
    <t>89.580.319.5-625.000</t>
  </si>
  <si>
    <t>0712046147</t>
  </si>
  <si>
    <t>Arif Burhanuddin, S.Farm, Apt</t>
  </si>
  <si>
    <t>3513141903850001</t>
  </si>
  <si>
    <t>362377806625000</t>
  </si>
  <si>
    <t>0132108099</t>
  </si>
  <si>
    <t>Selvin Nurfadita Harlinanda, S.Farm.Apt</t>
  </si>
  <si>
    <t>3512134407950001</t>
  </si>
  <si>
    <t>0132253544</t>
  </si>
  <si>
    <t>Dini Syarifah, S.Farm,Apt</t>
  </si>
  <si>
    <t>3508185709950002</t>
  </si>
  <si>
    <t>486303332625000</t>
  </si>
  <si>
    <t>0132044341</t>
  </si>
  <si>
    <t>Kusuma Iriyanthy Koesayu, S.Farm.Apt</t>
  </si>
  <si>
    <t>3515154405850003</t>
  </si>
  <si>
    <t>362525008625000</t>
  </si>
  <si>
    <t>0132622345</t>
  </si>
  <si>
    <t>Ilmi Fatmawati, S.Farm, Apt</t>
  </si>
  <si>
    <t>3517196307870001</t>
  </si>
  <si>
    <t>362601874625000</t>
  </si>
  <si>
    <t>0126233990</t>
  </si>
  <si>
    <t>Moh. Triza Nurfahrudin, Apt</t>
  </si>
  <si>
    <t>3513141201930001</t>
  </si>
  <si>
    <t>543691463625000</t>
  </si>
  <si>
    <t>0132307407</t>
  </si>
  <si>
    <t>Tiara Ismihayati Khoirunisa, S.Farm, Apt</t>
  </si>
  <si>
    <t>3513145805970003</t>
  </si>
  <si>
    <t>727749137625000</t>
  </si>
  <si>
    <t>0132704694</t>
  </si>
  <si>
    <t>Nurul Widi Astutik, S.Farm</t>
  </si>
  <si>
    <t>3506175304950002</t>
  </si>
  <si>
    <t>0132442550</t>
  </si>
  <si>
    <t>Dewi Nikita Maghfirotul Ilmi, S.Farm, Apt</t>
  </si>
  <si>
    <t>954396347625000</t>
  </si>
  <si>
    <t>0136667416</t>
  </si>
  <si>
    <t>Hinda Suliati, S.Farm</t>
  </si>
  <si>
    <t>3513184405770001</t>
  </si>
  <si>
    <t>0132705585</t>
  </si>
  <si>
    <t>Hendra Irawan, A.Md.</t>
  </si>
  <si>
    <t>3510010512850001</t>
  </si>
  <si>
    <t>0132714029</t>
  </si>
  <si>
    <t>Maswin Kirana, A.Md.Farm</t>
  </si>
  <si>
    <t>3513145707790003</t>
  </si>
  <si>
    <t>0132706841</t>
  </si>
  <si>
    <t>Rochmawati</t>
  </si>
  <si>
    <t>3513165903700001</t>
  </si>
  <si>
    <t>486303159625000</t>
  </si>
  <si>
    <t>0132189978</t>
  </si>
  <si>
    <t>Anisatul Maghfiroh, A.Md.Farm</t>
  </si>
  <si>
    <t>3513156005860003</t>
  </si>
  <si>
    <t>495515140625000</t>
  </si>
  <si>
    <t>0132706042</t>
  </si>
  <si>
    <t>Apriyanto Doddy Setiawan, Amd.Farm</t>
  </si>
  <si>
    <t>3511112704940001</t>
  </si>
  <si>
    <t>452597230642000</t>
  </si>
  <si>
    <t>0132044422</t>
  </si>
  <si>
    <t>Maulidia Rohmatun Ni'mah. Amd.Farm</t>
  </si>
  <si>
    <t>3511095510880003</t>
  </si>
  <si>
    <t>362474181625000</t>
  </si>
  <si>
    <t>0132704651</t>
  </si>
  <si>
    <t>Nurma Khairun Nisak, A.Md.Farm</t>
  </si>
  <si>
    <t>3512025801940001</t>
  </si>
  <si>
    <t>495514937625000</t>
  </si>
  <si>
    <t>0132924317</t>
  </si>
  <si>
    <t>Wasilatul Hasanah, Amd.Farm</t>
  </si>
  <si>
    <t>3513115109960001</t>
  </si>
  <si>
    <t>0132944628</t>
  </si>
  <si>
    <t>Nurul Kusuma Dewi, A.Md.Farm</t>
  </si>
  <si>
    <t>3510166707850002</t>
  </si>
  <si>
    <t>0132704546</t>
  </si>
  <si>
    <t>Dwi Rustami, A.Md.</t>
  </si>
  <si>
    <t>0712046473</t>
  </si>
  <si>
    <t>Andy Yustianto, A.Md.</t>
  </si>
  <si>
    <t>0712046040</t>
  </si>
  <si>
    <t>Dwi Anita Fitriana, A.Md.</t>
  </si>
  <si>
    <t>0132713049</t>
  </si>
  <si>
    <t>Musrifin Andalina, A.Md.</t>
  </si>
  <si>
    <t>0132705089</t>
  </si>
  <si>
    <t>Any Sulistyowati, A.Md.</t>
  </si>
  <si>
    <t>3513144109730003</t>
  </si>
  <si>
    <t>0132196922</t>
  </si>
  <si>
    <t>Zumar Fathoni, A.Md.Tekmed</t>
  </si>
  <si>
    <t>3513151905810003</t>
  </si>
  <si>
    <t>0132706905</t>
  </si>
  <si>
    <t>Iwan Dwi Utomo, A.Md.</t>
  </si>
  <si>
    <t>3513141205750006</t>
  </si>
  <si>
    <t>0132704988</t>
  </si>
  <si>
    <t>Septiyan Haris Sasmito S.Sos</t>
  </si>
  <si>
    <t>0132702691</t>
  </si>
  <si>
    <t>Abd. Rohimullah</t>
  </si>
  <si>
    <t>0132189129</t>
  </si>
  <si>
    <t>Mohammat Mahrija</t>
  </si>
  <si>
    <t>0132187631</t>
  </si>
  <si>
    <t>Arief Artha</t>
  </si>
  <si>
    <t>0136710729</t>
  </si>
  <si>
    <t>M. Rianto</t>
  </si>
  <si>
    <t>0132713138</t>
  </si>
  <si>
    <t>Holili</t>
  </si>
  <si>
    <t>3513150711700001</t>
  </si>
  <si>
    <t>0132706581</t>
  </si>
  <si>
    <t>Muhammad Muhyi</t>
  </si>
  <si>
    <t>0132713979</t>
  </si>
  <si>
    <t>Zakaria Romadhon</t>
  </si>
  <si>
    <t>0132704007</t>
  </si>
  <si>
    <t>Reza Cholid Yanuan Perdana, S.T</t>
  </si>
  <si>
    <t>0133734210</t>
  </si>
  <si>
    <t>Akhmad Affandi</t>
  </si>
  <si>
    <t>0712046481</t>
  </si>
  <si>
    <t>Ahmad Saihu</t>
  </si>
  <si>
    <t>0712046287</t>
  </si>
  <si>
    <t>Muhammad Subai</t>
  </si>
  <si>
    <t>0712046325</t>
  </si>
  <si>
    <t>Rudi Hartono</t>
  </si>
  <si>
    <t>0712046091</t>
  </si>
  <si>
    <t>Editya Liry Chandra</t>
  </si>
  <si>
    <t>0132713715</t>
  </si>
  <si>
    <t>dr. Agustining Rahayu, Sp.Rad</t>
  </si>
  <si>
    <t>3513094808760003</t>
  </si>
  <si>
    <t>0132172501</t>
  </si>
  <si>
    <t>dr. Alam Syukur Hidayat, Sp.OG</t>
  </si>
  <si>
    <t>3513140505720001</t>
  </si>
  <si>
    <t>0133453466</t>
  </si>
  <si>
    <t>dr. Ananto Pramono</t>
  </si>
  <si>
    <t>3513141507830002</t>
  </si>
  <si>
    <t>0132845344</t>
  </si>
  <si>
    <t>dr. Aris Sasongko, Sp.PA</t>
  </si>
  <si>
    <t>078872140612000</t>
  </si>
  <si>
    <t>0132702853</t>
  </si>
  <si>
    <t>dr. Cristmos Bambang Merryawan, Sp.B</t>
  </si>
  <si>
    <t>3578082612760001</t>
  </si>
  <si>
    <t>0132935297</t>
  </si>
  <si>
    <t>dr. Dian Dwi Purnomo, SP.M</t>
  </si>
  <si>
    <t>3513142012830002</t>
  </si>
  <si>
    <t>0132109303</t>
  </si>
  <si>
    <t>dr. Donny Rahadianto, Sp.OG</t>
  </si>
  <si>
    <t>3513143108720002</t>
  </si>
  <si>
    <t>0132165718</t>
  </si>
  <si>
    <t>dr. Fauzijah Sri Rahmawati, Sp.P</t>
  </si>
  <si>
    <t>3513127010710001</t>
  </si>
  <si>
    <t>0132710490</t>
  </si>
  <si>
    <t>dr. Frizka Eliza, M.Ked.Klin.,Sp.D.V.E</t>
  </si>
  <si>
    <t>3578255004880001</t>
  </si>
  <si>
    <t>787622513625000</t>
  </si>
  <si>
    <t>0132186090</t>
  </si>
  <si>
    <t>dr. Ika Alimawati, Sp.N</t>
  </si>
  <si>
    <t>3574016410850002</t>
  </si>
  <si>
    <t>249612953625000</t>
  </si>
  <si>
    <t>0126234074</t>
  </si>
  <si>
    <t>249008871625000</t>
  </si>
  <si>
    <t>dr. Komang Ayu R.P., M.Sc., Sp.A</t>
  </si>
  <si>
    <t>706858743902000</t>
  </si>
  <si>
    <t>668479827625000</t>
  </si>
  <si>
    <t>0132711526</t>
  </si>
  <si>
    <t>dr. Kresna Nugraha Setia Putra, Sp.JP, FIHA</t>
  </si>
  <si>
    <t>3578313108870001</t>
  </si>
  <si>
    <t>087572103625000</t>
  </si>
  <si>
    <t>0132189021</t>
  </si>
  <si>
    <t>dr. Muhammad Iqbal Dzaky Asyari</t>
  </si>
  <si>
    <t>3525101504710003</t>
  </si>
  <si>
    <t>0136905783</t>
  </si>
  <si>
    <t>dr. Nanik Triana Kartikasari, Sp.PD</t>
  </si>
  <si>
    <t>3513146507800003</t>
  </si>
  <si>
    <t>346778228606000</t>
  </si>
  <si>
    <t>0132004943</t>
  </si>
  <si>
    <t>dr. Novinna Kusumawati, Sp.P</t>
  </si>
  <si>
    <t>3578204111850001</t>
  </si>
  <si>
    <t>738668367625000</t>
  </si>
  <si>
    <t>0132962430</t>
  </si>
  <si>
    <t>dr. Nur Wahyudianto, Sp.KJ</t>
  </si>
  <si>
    <t>3513162606790002</t>
  </si>
  <si>
    <t>087584066625000</t>
  </si>
  <si>
    <t>0132962448</t>
  </si>
  <si>
    <t>dr. Reza Faisal Muttaqien</t>
  </si>
  <si>
    <t>3513142008880002</t>
  </si>
  <si>
    <t>445918873625000</t>
  </si>
  <si>
    <t>0136148761</t>
  </si>
  <si>
    <t>dr. Soni Indrayana Kurniawan</t>
  </si>
  <si>
    <t>3574042705800006</t>
  </si>
  <si>
    <t>461801698625000</t>
  </si>
  <si>
    <t>0122450643</t>
  </si>
  <si>
    <t>dr. Ummi Ziyadatul Faizah, Sp.PD</t>
  </si>
  <si>
    <t>3513144403840001</t>
  </si>
  <si>
    <t>49.551.541.3-625.000</t>
  </si>
  <si>
    <t>0132054797</t>
  </si>
  <si>
    <t>24.173.922.6-625.001</t>
  </si>
  <si>
    <t>dr. A. Ziyadul Hunaini El Munifi, Sp.OT</t>
  </si>
  <si>
    <t>5108066203810002</t>
  </si>
  <si>
    <t>0712046350</t>
  </si>
  <si>
    <t>drg. Auliya Rahmawati</t>
  </si>
  <si>
    <t>0132707685</t>
  </si>
  <si>
    <t>drg. Yuli Estiningsih, Sp.Ort.</t>
  </si>
  <si>
    <t>087572194625000</t>
  </si>
  <si>
    <t>0133009001</t>
  </si>
  <si>
    <t>742348493618000</t>
  </si>
  <si>
    <t>354735037625000</t>
  </si>
  <si>
    <t>Dokter Non ASN</t>
  </si>
  <si>
    <t>818314643625000</t>
  </si>
  <si>
    <t>547287433625000</t>
  </si>
  <si>
    <t>349441352625000</t>
  </si>
  <si>
    <t>dr. Tofan Margaret Dwi Saputra, Sp.OT</t>
  </si>
  <si>
    <t>3578202903880001</t>
  </si>
  <si>
    <t>086307220609000</t>
  </si>
  <si>
    <t>0047710090</t>
  </si>
  <si>
    <t>dr. Dana WandrianBaraseta, Sp.An</t>
  </si>
  <si>
    <t>3578070507870001</t>
  </si>
  <si>
    <t>0836222024</t>
  </si>
  <si>
    <t>dr. Ketut Arie Suastawa, MSc., Sp.PD</t>
  </si>
  <si>
    <t>5108061708800006</t>
  </si>
  <si>
    <t>543310098625000</t>
  </si>
  <si>
    <t>0123311221</t>
  </si>
  <si>
    <t>dr. IGN Iswan Rahmadi Ranuh, Sp.JP, FIHA</t>
  </si>
  <si>
    <t>3578031404910004</t>
  </si>
  <si>
    <t>0323687692</t>
  </si>
  <si>
    <t>dr. Abdi Saputro, Sp.BS</t>
  </si>
  <si>
    <t>3572030105880001</t>
  </si>
  <si>
    <t>0142307219</t>
  </si>
  <si>
    <t>dr. Dewi Puspitorini, Sp.KK</t>
  </si>
  <si>
    <t>3578094711850001</t>
  </si>
  <si>
    <t>0132700923</t>
  </si>
  <si>
    <t>dr. Riza Fadhila Muhammad</t>
  </si>
  <si>
    <t>3578092504970002</t>
  </si>
  <si>
    <t>0132712492</t>
  </si>
  <si>
    <t>dr. Trinandika Ardhana, Sp.JP, FIHA</t>
  </si>
  <si>
    <t>3578032805810001</t>
  </si>
  <si>
    <t>0017260502</t>
  </si>
  <si>
    <t>dr. Ni Made Maya Purnama Wulandari, Sp.A</t>
  </si>
  <si>
    <t>3574036001920005</t>
  </si>
  <si>
    <t>0132703639</t>
  </si>
  <si>
    <t>dr. Andy Michael, Sp.B</t>
  </si>
  <si>
    <t>0132720452</t>
  </si>
  <si>
    <t>dr. Desi Rianti Rahmadhani</t>
  </si>
  <si>
    <t>0133190325</t>
  </si>
  <si>
    <t xml:space="preserve">dr. Muhammad Abdurrahman Rasyid Ash Siddiq </t>
  </si>
  <si>
    <t>0132299871</t>
  </si>
  <si>
    <t>dr. Puteri Ramasari</t>
  </si>
  <si>
    <t>0716285472</t>
  </si>
  <si>
    <t>dr. Septy Aulia Rahmy, Sp.N</t>
  </si>
  <si>
    <t>0046137256</t>
  </si>
  <si>
    <t>Jasa Pelayanan Umum dan BPJS Ketenagakerjaan</t>
  </si>
  <si>
    <t>Periode : Agustus 2025</t>
  </si>
  <si>
    <t>Khusnul Nur Khotimah, S.Kep, Ners</t>
  </si>
  <si>
    <t>Ari Dianti, S.Gz</t>
  </si>
  <si>
    <t>Wiwik Yuliati, SKM, MM</t>
  </si>
  <si>
    <t>Sugianto, S.Kep.Ners</t>
  </si>
  <si>
    <t>Rofi'i, SE</t>
  </si>
  <si>
    <t>Yuli Suciati Zaini Putri, SE</t>
  </si>
  <si>
    <t>Pudji Srimulyo Asih, SKM</t>
  </si>
  <si>
    <t>Zainul Fathah, S.Sos</t>
  </si>
  <si>
    <t>A. Rofik</t>
  </si>
  <si>
    <t>Endang Sasmito, SE</t>
  </si>
  <si>
    <t>Rahmi Banowati, SE</t>
  </si>
  <si>
    <t>0136199986</t>
  </si>
  <si>
    <t>Rochmat Taufik Romadhoni, SKM</t>
  </si>
  <si>
    <t>Safi'i</t>
  </si>
  <si>
    <t>Agus Syamsul Bahri, S.Sos</t>
  </si>
  <si>
    <t>Lailatul Fitriyah, S.Sos</t>
  </si>
  <si>
    <t xml:space="preserve"/>
  </si>
  <si>
    <t>3513166311970001</t>
  </si>
  <si>
    <t>Tutik Handayani</t>
  </si>
  <si>
    <t>Magfirotul Rohma, A.Md. Kep</t>
  </si>
  <si>
    <t>Imam Sujar Lastanto, A.Md.Kep</t>
  </si>
  <si>
    <t>Septy Maulidia, A.Md.Kep</t>
  </si>
  <si>
    <t>Nurkhayatul Jannah, A.Md.Keb</t>
  </si>
  <si>
    <t>Ririn Astarina, S.Kep.,Ns</t>
  </si>
  <si>
    <t>0563028891</t>
  </si>
  <si>
    <t>Isnani Mauly Masruri, S.Kep. Ns</t>
  </si>
  <si>
    <t>Eris Fathur Rohman, A.Md. Kep</t>
  </si>
  <si>
    <t>Rifki Hikmatul Ramadhani, A.Md. Kep</t>
  </si>
  <si>
    <t>Fatimatus Zahro, A.Md. Kep</t>
  </si>
  <si>
    <t>Hurriyatul Jannah, S.Kep.Ners</t>
  </si>
  <si>
    <t>Hardi Pujiono, S.Kep. Ns</t>
  </si>
  <si>
    <t>Agus Purwanto, A.Md.Kep</t>
  </si>
  <si>
    <t>Nur Risqiana Nasution, A.Md. Kep</t>
  </si>
  <si>
    <t>Harisma Wirarosentsia, S.Keb.Bd</t>
  </si>
  <si>
    <t xml:space="preserve">Sholehin, S.Kom </t>
  </si>
  <si>
    <t>Gogok Agus Priyono, A.Md.Kep</t>
  </si>
  <si>
    <t>Ramadhan Saifullah, S.Tr.Kes</t>
  </si>
  <si>
    <t>Sri Wahyuningsih</t>
  </si>
  <si>
    <t>0132713081</t>
  </si>
  <si>
    <t>Nurdiana Avrilia, STr.Gz</t>
  </si>
  <si>
    <t>Shafira Nuriyatul Ludfi, Amd.Gz</t>
  </si>
  <si>
    <t>TK/2</t>
  </si>
  <si>
    <t>Dwi Rustami, A.Md</t>
  </si>
  <si>
    <t>Musrifin Andalina, A.Md</t>
  </si>
  <si>
    <t>Ratna Dwi Hartatik, S.Kep.Ns.</t>
  </si>
  <si>
    <t>0133702385</t>
  </si>
  <si>
    <t>Rista Septia Watiningsih, S.Kep.,Ns</t>
  </si>
  <si>
    <t>3513176109960001</t>
  </si>
  <si>
    <t>0712993821</t>
  </si>
  <si>
    <t>Ahmad Nurul Fahrusi, S.Kep.,Ns</t>
  </si>
  <si>
    <t>3513072801990003</t>
  </si>
  <si>
    <t>0133999248</t>
  </si>
  <si>
    <t>Ratna Agustina, S.Kep.,Ns</t>
  </si>
  <si>
    <t>3513146208960002</t>
  </si>
  <si>
    <t>0132515883</t>
  </si>
  <si>
    <t>Jinnani Firdausiyah, S.Kep.,Ns</t>
  </si>
  <si>
    <t>3513055909920001</t>
  </si>
  <si>
    <t>1616170917</t>
  </si>
  <si>
    <t>Nurul Komariah, S.Kep.,Ns</t>
  </si>
  <si>
    <t>3513174508960002</t>
  </si>
  <si>
    <t>0133196668</t>
  </si>
  <si>
    <t>Ida Shiva Ariani, S.Tr.Kep.,Ns</t>
  </si>
  <si>
    <t>3513144305020001</t>
  </si>
  <si>
    <t>0133256008</t>
  </si>
  <si>
    <t>Mohammad Fajrul Falah, S.Kep.,Ns</t>
  </si>
  <si>
    <t>3513180403960001</t>
  </si>
  <si>
    <t>0713303585</t>
  </si>
  <si>
    <t>Hilmi Afifatun Niqmah, S.Kep.,Ns</t>
  </si>
  <si>
    <t>3513164106970001</t>
  </si>
  <si>
    <t>0133999426</t>
  </si>
  <si>
    <t>Moh Agil Hidayah, S.Kep.,Ns</t>
  </si>
  <si>
    <t>3513070811980005</t>
  </si>
  <si>
    <t>0136226819</t>
  </si>
  <si>
    <t>Ira Sofia Ninghayati, S.Kep.,Ns</t>
  </si>
  <si>
    <t>3513175306960002</t>
  </si>
  <si>
    <t>0132475881</t>
  </si>
  <si>
    <t>Moch Sholehuddin Tuffa, S.Kep.,Ns</t>
  </si>
  <si>
    <t>3513130508980001</t>
  </si>
  <si>
    <t>0132275009</t>
  </si>
  <si>
    <t>Nuriya Rakhman, S.Kep.,Ns</t>
  </si>
  <si>
    <t>3513235502010002</t>
  </si>
  <si>
    <t>0133999141</t>
  </si>
  <si>
    <t>Sri Wahyuni, S.Kep.,Ns</t>
  </si>
  <si>
    <t>3512044303990003</t>
  </si>
  <si>
    <t>0133999132</t>
  </si>
  <si>
    <t>Akhmad Giandini, S.Kep.,Ns</t>
  </si>
  <si>
    <t>3513131611900002</t>
  </si>
  <si>
    <t>0136676806</t>
  </si>
  <si>
    <t>Eritia Ekky Wahyuningtias, S.Kep.,Ns</t>
  </si>
  <si>
    <t>3513196412960001</t>
  </si>
  <si>
    <t>1616170984</t>
  </si>
  <si>
    <t>Abdur Rakhim Mahaldis, S.Kep.,Ns</t>
  </si>
  <si>
    <t>1403031012962160</t>
  </si>
  <si>
    <t>0136698257</t>
  </si>
  <si>
    <t>Ongky Umartha Yudistia PuterA, S.Kep.,Ns</t>
  </si>
  <si>
    <t>3513110707950001</t>
  </si>
  <si>
    <t>0132272298</t>
  </si>
  <si>
    <t>Bahrul Efendi, S.Kep.,Ns</t>
  </si>
  <si>
    <t>3513141907950001</t>
  </si>
  <si>
    <t>0132272280</t>
  </si>
  <si>
    <t>Amalia Dita Lestari, S.Kep.,Ns</t>
  </si>
  <si>
    <t>3513236704010002</t>
  </si>
  <si>
    <t>0133999205</t>
  </si>
  <si>
    <t>Ira Astutik, S.Kep.,Ns</t>
  </si>
  <si>
    <t>3513105306970002</t>
  </si>
  <si>
    <t>0136148036</t>
  </si>
  <si>
    <t>Zakiyatul Masruro, S.Kep.,Ns</t>
  </si>
  <si>
    <t>3513065905010001</t>
  </si>
  <si>
    <t>0133999167</t>
  </si>
  <si>
    <t>Tutik Hidayati, S.Kep.,Ns</t>
  </si>
  <si>
    <t>3513216802000003</t>
  </si>
  <si>
    <t>0133999159</t>
  </si>
  <si>
    <t>Fatimah Nurul Qudsiyah, S.Kep.,Ns</t>
  </si>
  <si>
    <t>3513046707010001</t>
  </si>
  <si>
    <t>0133451773</t>
  </si>
  <si>
    <t>Ratna Umi Azizah, S.Tr.RMIK</t>
  </si>
  <si>
    <t>3513154506990001</t>
  </si>
  <si>
    <t>0136974467</t>
  </si>
  <si>
    <t>Silvi Nova Mandawati, A.Md.Farm</t>
  </si>
  <si>
    <t>3513197011920002</t>
  </si>
  <si>
    <t>0133999221</t>
  </si>
  <si>
    <t>Dimas Agung Abdurrahman Wahid, A.Md.Farm</t>
  </si>
  <si>
    <t>3513141505030003</t>
  </si>
  <si>
    <t>0132998060</t>
  </si>
  <si>
    <t>Tiara Permata Sari, S.Farm.,Apt</t>
  </si>
  <si>
    <t>3513146211010001</t>
  </si>
  <si>
    <t>0133415581</t>
  </si>
  <si>
    <t>Wanda Anggraeni, S.Tr.Kes</t>
  </si>
  <si>
    <t>3513164403020002</t>
  </si>
  <si>
    <t>0132417881</t>
  </si>
  <si>
    <t>Faisal Yuliansyah, S.Kes,.Ftr</t>
  </si>
  <si>
    <t>3513121807010006</t>
  </si>
  <si>
    <t>0133999256</t>
  </si>
  <si>
    <t>3515182806830002</t>
  </si>
  <si>
    <t>3513146405820002</t>
  </si>
  <si>
    <t>3513146807680002</t>
  </si>
  <si>
    <t>dr. Frizka Eliza, Sp.DVE</t>
  </si>
  <si>
    <t>3578160309870001</t>
  </si>
  <si>
    <t>3513105206980003</t>
  </si>
  <si>
    <t>3513142204910004</t>
  </si>
  <si>
    <t>3502176512980002</t>
  </si>
  <si>
    <t>3513142505000001</t>
  </si>
  <si>
    <t>3513146309970001</t>
  </si>
  <si>
    <t>3573055109910006</t>
  </si>
  <si>
    <t>Kraksaan,  September 2025</t>
  </si>
  <si>
    <t>A.n Direktur RSUD Waluyo Jati</t>
  </si>
  <si>
    <t>Bendahara Pengeluaran</t>
  </si>
  <si>
    <t>Penata Muda Tk I</t>
  </si>
  <si>
    <t>NIP. 19750415 200212 1 009</t>
  </si>
  <si>
    <t>Daftar Penerima Jasa Pelayanan COVID-19</t>
  </si>
  <si>
    <t>Periode : Mei 2020</t>
  </si>
  <si>
    <t>dr. Mansur, M.Mkes</t>
  </si>
  <si>
    <t>0132712921</t>
  </si>
  <si>
    <t>dr. Moch Asjroel Sjakrie</t>
  </si>
  <si>
    <t>0132705046</t>
  </si>
  <si>
    <t>dr. Sri Wahjuni Dyahmartiningsih, M.Kes</t>
  </si>
  <si>
    <t>0132049998</t>
  </si>
  <si>
    <t>Awi, SKM, M.Si</t>
  </si>
  <si>
    <t>0132026637</t>
  </si>
  <si>
    <t>Hary Tjahjono, SE, MM</t>
  </si>
  <si>
    <t>0132895716</t>
  </si>
  <si>
    <t>dr. Adi Nugroho WD, M.MKes</t>
  </si>
  <si>
    <t>0132058288</t>
  </si>
  <si>
    <t>Eleonora Lila Anggraini, SKM</t>
  </si>
  <si>
    <t>0132058792</t>
  </si>
  <si>
    <t>Agus Budi Rahardjo, S.Sos</t>
  </si>
  <si>
    <t>0132184866</t>
  </si>
  <si>
    <t>Dwi Lestari Wahyuningtyas, S.Sos</t>
  </si>
  <si>
    <t>0132015872</t>
  </si>
  <si>
    <t>Sanjoko, S.Sos</t>
  </si>
  <si>
    <t>0122427226</t>
  </si>
  <si>
    <t>Junaidi</t>
  </si>
  <si>
    <t>3513140408620001</t>
  </si>
  <si>
    <t>0132100077</t>
  </si>
  <si>
    <t>Billy Jayeng Herbianto</t>
  </si>
  <si>
    <t>0132703574</t>
  </si>
  <si>
    <t>Ali Wafa</t>
  </si>
  <si>
    <t>0132139814</t>
  </si>
  <si>
    <t>Nurul Budiono Muslim</t>
  </si>
  <si>
    <t>0132139440</t>
  </si>
  <si>
    <t>Abdul Rasyid</t>
  </si>
  <si>
    <t>0132703841</t>
  </si>
  <si>
    <t>Misbahul Munir</t>
  </si>
  <si>
    <t>0132158045</t>
  </si>
  <si>
    <t>Moh. Syarif Hidayatullah</t>
  </si>
  <si>
    <t>0132704015</t>
  </si>
  <si>
    <t>Ahmad Ainul Yaqin</t>
  </si>
  <si>
    <t>3513142812850004</t>
  </si>
  <si>
    <t>0132082367</t>
  </si>
  <si>
    <t>Teguh Hari Kusmanto, S.Sos</t>
  </si>
  <si>
    <t>3513171407810002</t>
  </si>
  <si>
    <t>0132701369</t>
  </si>
  <si>
    <t>Musradi</t>
  </si>
  <si>
    <t>3513122102670001</t>
  </si>
  <si>
    <t>0132706051</t>
  </si>
  <si>
    <t>Aris Rina Ristianti, SE</t>
  </si>
  <si>
    <t>0132702993</t>
  </si>
  <si>
    <t>Tri Antika Yuliantini, A.Md</t>
  </si>
  <si>
    <t>0132714444</t>
  </si>
  <si>
    <t>Andika Wahyu Wijaksana, SH</t>
  </si>
  <si>
    <t>0712046074</t>
  </si>
  <si>
    <t>Istifah Rizkayyah</t>
  </si>
  <si>
    <t>0712046406</t>
  </si>
  <si>
    <t>Fitriyatul Aini, A.Md</t>
  </si>
  <si>
    <t>0132156956</t>
  </si>
  <si>
    <t>Drs. Izzudin</t>
  </si>
  <si>
    <t>0132895821</t>
  </si>
  <si>
    <t>Nadhifa Anwar Maulinda, SKM</t>
  </si>
  <si>
    <t>0132156867</t>
  </si>
  <si>
    <t>Denah Setya Imansari, SKM</t>
  </si>
  <si>
    <t>1062023518</t>
  </si>
  <si>
    <t>Ahmad Sufian Ma'rifallah I.,A.Md.Kep</t>
  </si>
  <si>
    <t>0132702764</t>
  </si>
  <si>
    <t>Lilik Sudarsih</t>
  </si>
  <si>
    <t>3513146708620001</t>
  </si>
  <si>
    <t>0132701148</t>
  </si>
  <si>
    <t>Subekti Handayani</t>
  </si>
  <si>
    <t>3513147105850003</t>
  </si>
  <si>
    <t>0132707456</t>
  </si>
  <si>
    <t>Haryo Rusdianto Susilo, A.Md</t>
  </si>
  <si>
    <t>0132713855</t>
  </si>
  <si>
    <t>Rina Nurhanifah</t>
  </si>
  <si>
    <t>0132156905</t>
  </si>
  <si>
    <t>Cahyo Prihartono, SE</t>
  </si>
  <si>
    <t>0132711178</t>
  </si>
  <si>
    <t>Slamet, S.Kom</t>
  </si>
  <si>
    <t>0132713251</t>
  </si>
  <si>
    <t>Dewi April Lina Sari, S.Kom</t>
  </si>
  <si>
    <t>0132963592</t>
  </si>
  <si>
    <t>Totok Hermawan, A.md</t>
  </si>
  <si>
    <t>0132156964</t>
  </si>
  <si>
    <t>Rosi Marta Wahyuningrum, SKM</t>
  </si>
  <si>
    <t>3512055403860002</t>
  </si>
  <si>
    <t>0132170649</t>
  </si>
  <si>
    <t>Mudiyono, S.Sos</t>
  </si>
  <si>
    <t>3513140403660002</t>
  </si>
  <si>
    <t>0132710261</t>
  </si>
  <si>
    <t>Elok Widjianingsih, A.Md.Keb., SKM</t>
  </si>
  <si>
    <t>0132886971</t>
  </si>
  <si>
    <t>Sulistiani Trisno Harini</t>
  </si>
  <si>
    <t>0132712930</t>
  </si>
  <si>
    <t>Supriadi</t>
  </si>
  <si>
    <t>3513120411620002</t>
  </si>
  <si>
    <t>0132706867</t>
  </si>
  <si>
    <t>Absir</t>
  </si>
  <si>
    <t>3513141012620002</t>
  </si>
  <si>
    <t>0132707529</t>
  </si>
  <si>
    <t>Abdul Rauf, S.ST</t>
  </si>
  <si>
    <t>0132714070</t>
  </si>
  <si>
    <t>Saiful Ulum</t>
  </si>
  <si>
    <t>0132711500</t>
  </si>
  <si>
    <t>Alief Sufi Uzan Kafil Ardi</t>
  </si>
  <si>
    <t>0132158011</t>
  </si>
  <si>
    <t>Aslah Asmi Irianto</t>
  </si>
  <si>
    <t>3513142006640001</t>
  </si>
  <si>
    <t>0132162699</t>
  </si>
  <si>
    <t>Indah Yulianingsih, S.Sos</t>
  </si>
  <si>
    <t>3513144807660001</t>
  </si>
  <si>
    <t>0132705241</t>
  </si>
  <si>
    <t>Arif Rahman Hakim</t>
  </si>
  <si>
    <t>0132080879</t>
  </si>
  <si>
    <t>Fausak Nurita Safitri</t>
  </si>
  <si>
    <t>0132156972</t>
  </si>
  <si>
    <t xml:space="preserve">Bambang Yulianto </t>
  </si>
  <si>
    <t>0132961913</t>
  </si>
  <si>
    <t>Elok Hasmi Irianto</t>
  </si>
  <si>
    <t>3513142704630001</t>
  </si>
  <si>
    <t>0132700478</t>
  </si>
  <si>
    <t>Endang Hariyati</t>
  </si>
  <si>
    <t>3513155612620001</t>
  </si>
  <si>
    <t>0132707049</t>
  </si>
  <si>
    <t>Wiwin Susi Henriyani, A.Md.Keb</t>
  </si>
  <si>
    <t>3574045101720002</t>
  </si>
  <si>
    <t>0132808856</t>
  </si>
  <si>
    <t>Lilip</t>
  </si>
  <si>
    <t>3513141303630002</t>
  </si>
  <si>
    <t>0132161766</t>
  </si>
  <si>
    <t>Salehudin</t>
  </si>
  <si>
    <t>0132706107</t>
  </si>
  <si>
    <t>Tahe</t>
  </si>
  <si>
    <t>3513151902670002</t>
  </si>
  <si>
    <t>0132707022</t>
  </si>
  <si>
    <t>Muttammimah</t>
  </si>
  <si>
    <t>0132706654</t>
  </si>
  <si>
    <t>Abd. Hamid</t>
  </si>
  <si>
    <t>0132713553</t>
  </si>
  <si>
    <t>3513121009840007</t>
  </si>
  <si>
    <t>Ilhafa, S.Kep</t>
  </si>
  <si>
    <t>3513124807930002</t>
  </si>
  <si>
    <t>0132970645</t>
  </si>
  <si>
    <t>3513140407900001</t>
  </si>
  <si>
    <t>Fenty Dwi Febriyanti, SKM</t>
  </si>
  <si>
    <t>3574025402930001</t>
  </si>
  <si>
    <t>0132703353</t>
  </si>
  <si>
    <t>3513116103740001</t>
  </si>
  <si>
    <t>Diah Restu Pratiwi, A.Md</t>
  </si>
  <si>
    <t>0132158053</t>
  </si>
  <si>
    <t>Desy Diah Palupi, S.kom</t>
  </si>
  <si>
    <t>0132704082</t>
  </si>
  <si>
    <t>Yusuf Wibisono</t>
  </si>
  <si>
    <t>3513161707640001</t>
  </si>
  <si>
    <t>0132705321</t>
  </si>
  <si>
    <t>Sudar</t>
  </si>
  <si>
    <t>3513151101640001</t>
  </si>
  <si>
    <t>0132006636</t>
  </si>
  <si>
    <t>3513151010610001</t>
  </si>
  <si>
    <t>3513142812820003</t>
  </si>
  <si>
    <t>3513102311840003</t>
  </si>
  <si>
    <t>3513150706910002</t>
  </si>
  <si>
    <t>Moh. Dasuki</t>
  </si>
  <si>
    <t>3513141912860001</t>
  </si>
  <si>
    <t>0132713154</t>
  </si>
  <si>
    <t>3513140501910001</t>
  </si>
  <si>
    <t>3513142003960002</t>
  </si>
  <si>
    <t>3513132112930002</t>
  </si>
  <si>
    <t>Linda Malinda Agustin, A.Md.Keb</t>
  </si>
  <si>
    <t>3515136008840001</t>
  </si>
  <si>
    <t>0132707359</t>
  </si>
  <si>
    <t>Endang Puji Astutik, S.ST</t>
  </si>
  <si>
    <t>0132188084</t>
  </si>
  <si>
    <t>3513125701910002</t>
  </si>
  <si>
    <t>Mamiek Dian Susanti, A.Md.Keb</t>
  </si>
  <si>
    <t>0712046490</t>
  </si>
  <si>
    <t>3513127004880004</t>
  </si>
  <si>
    <t>3513165705900001</t>
  </si>
  <si>
    <t>3515114511900002</t>
  </si>
  <si>
    <t>3513206703910002</t>
  </si>
  <si>
    <t>3513464607910001</t>
  </si>
  <si>
    <t>3513134507920001</t>
  </si>
  <si>
    <t>3513206112920001</t>
  </si>
  <si>
    <t>3513165405860003</t>
  </si>
  <si>
    <t>Habsawati, A.Md.Kep</t>
  </si>
  <si>
    <t>0132402736</t>
  </si>
  <si>
    <t>Putri Meiga Rofiatul HS, A.md.Kep</t>
  </si>
  <si>
    <t>0132156913</t>
  </si>
  <si>
    <t>Ratna Dwi Puspitasari, A.Md.Kep</t>
  </si>
  <si>
    <t>0712047119</t>
  </si>
  <si>
    <t>3513156603900002</t>
  </si>
  <si>
    <t>3513160711820001</t>
  </si>
  <si>
    <t>3513095611910001</t>
  </si>
  <si>
    <t>3517145403830001</t>
  </si>
  <si>
    <t>3511150304860003</t>
  </si>
  <si>
    <t>3513146804870006</t>
  </si>
  <si>
    <t>Lince Dewi, A.Md.Kep</t>
  </si>
  <si>
    <t>0712046694</t>
  </si>
  <si>
    <t>Rico Dwi Hengki, A.Md.Kep</t>
  </si>
  <si>
    <t>K-2</t>
  </si>
  <si>
    <t>0132711704</t>
  </si>
  <si>
    <t>Ainol Fadilah, A.Md.Kep</t>
  </si>
  <si>
    <t>0132962022</t>
  </si>
  <si>
    <t>3513147101930001</t>
  </si>
  <si>
    <t>Ika Sulistiyani, A.Md.Kep</t>
  </si>
  <si>
    <t>0712047208</t>
  </si>
  <si>
    <t>3513195603950001</t>
  </si>
  <si>
    <t>Karmin, A.Md.Kep</t>
  </si>
  <si>
    <t>3513143004660001</t>
  </si>
  <si>
    <t>0132121022</t>
  </si>
  <si>
    <t>Ali Anshor, A.Md.Kep</t>
  </si>
  <si>
    <t>3513140707630002</t>
  </si>
  <si>
    <t>0132001600</t>
  </si>
  <si>
    <t>3513166502910001</t>
  </si>
  <si>
    <t>3513091404840002</t>
  </si>
  <si>
    <t>3513135301830002</t>
  </si>
  <si>
    <t>Ayu Wibawa, A.Md.Kep</t>
  </si>
  <si>
    <t>0132713642</t>
  </si>
  <si>
    <t>3513074502950003</t>
  </si>
  <si>
    <t>Siti Fatimah, A.Md.Kep</t>
  </si>
  <si>
    <t>0132714061</t>
  </si>
  <si>
    <t>3514035205840009</t>
  </si>
  <si>
    <t>3513135010900006</t>
  </si>
  <si>
    <t>Ana Sri Wahyuni, A.Md.Kep</t>
  </si>
  <si>
    <t>0712047682</t>
  </si>
  <si>
    <t>3513144606900005</t>
  </si>
  <si>
    <t>Dhany Prasetyo, A.Md.Kep</t>
  </si>
  <si>
    <t>0132402043</t>
  </si>
  <si>
    <t>3513135302940002</t>
  </si>
  <si>
    <t>Lilik Ardila Wijaya, A.Md.Kep</t>
  </si>
  <si>
    <t>0712047305</t>
  </si>
  <si>
    <t>3513144506830001</t>
  </si>
  <si>
    <t>3513155701850001</t>
  </si>
  <si>
    <t>3509215306900002</t>
  </si>
  <si>
    <t>3513174810910002</t>
  </si>
  <si>
    <t>3513146301920002</t>
  </si>
  <si>
    <t>Dwi Maria Mayangsari, A.Md.Keb</t>
  </si>
  <si>
    <t>0132962189</t>
  </si>
  <si>
    <t>3513096506920001</t>
  </si>
  <si>
    <t>Ardi Purwanto, S.Kep.Ns</t>
  </si>
  <si>
    <t>0132211222</t>
  </si>
  <si>
    <t>3513175703860003</t>
  </si>
  <si>
    <t>3513145206930001</t>
  </si>
  <si>
    <t>3513147009920001</t>
  </si>
  <si>
    <t>Happy Hermawati, S. A.Md.Kep</t>
  </si>
  <si>
    <t>3513145003640002</t>
  </si>
  <si>
    <t>0132705399</t>
  </si>
  <si>
    <t>Farid Sucahyono, A.Md.Kep</t>
  </si>
  <si>
    <t>0132706069</t>
  </si>
  <si>
    <t>3513161109910002</t>
  </si>
  <si>
    <t>3513126003930002</t>
  </si>
  <si>
    <t>3513146304940002</t>
  </si>
  <si>
    <t>3513095712900002</t>
  </si>
  <si>
    <t>Evita Dewi Lestari, A.Md.Kep</t>
  </si>
  <si>
    <t>0132962073</t>
  </si>
  <si>
    <t>3512162204930002</t>
  </si>
  <si>
    <t>Dina Eka Kusumawati, A.Md.Kep</t>
  </si>
  <si>
    <t>0132713685</t>
  </si>
  <si>
    <t>Wirayudha, A.Md.Kep</t>
  </si>
  <si>
    <t>3513131009880002</t>
  </si>
  <si>
    <t>0132702462</t>
  </si>
  <si>
    <t>3513081606940002</t>
  </si>
  <si>
    <t>3513212606840002</t>
  </si>
  <si>
    <t>Sanawi, A.Md.Kep</t>
  </si>
  <si>
    <t>K-3</t>
  </si>
  <si>
    <t>0712046660</t>
  </si>
  <si>
    <t>3513150503900003</t>
  </si>
  <si>
    <t>3513056004850001</t>
  </si>
  <si>
    <t>3513155601900002</t>
  </si>
  <si>
    <t>3513146302900004</t>
  </si>
  <si>
    <t>Meylia Fitri W, A.Md.Keb</t>
  </si>
  <si>
    <t>0712046384</t>
  </si>
  <si>
    <t>3512144904900004</t>
  </si>
  <si>
    <t>Moch. Danial, A.Md.Kep</t>
  </si>
  <si>
    <t>0122537935</t>
  </si>
  <si>
    <t>Anita Fitriah, Amd.Kep</t>
  </si>
  <si>
    <t>3513141401950001</t>
  </si>
  <si>
    <t>Yogo Pratomo, A.Md.Kep</t>
  </si>
  <si>
    <t>0132402850</t>
  </si>
  <si>
    <t>Anisa Rahmawati, A.Md.Keb</t>
  </si>
  <si>
    <t>3513124505850009</t>
  </si>
  <si>
    <t>0132706492</t>
  </si>
  <si>
    <t>3508145507790004</t>
  </si>
  <si>
    <t>3513184505870005</t>
  </si>
  <si>
    <t>3513126110910001</t>
  </si>
  <si>
    <t>3513144303920002</t>
  </si>
  <si>
    <t>Dwi Lestari, A.Md.Keb</t>
  </si>
  <si>
    <t>0712046678</t>
  </si>
  <si>
    <t>3513145311890001</t>
  </si>
  <si>
    <t>Andi Wijaya, S.Kep. Ns</t>
  </si>
  <si>
    <t>0132706859</t>
  </si>
  <si>
    <t>Merapi Hariyadi, S.Kep Ns</t>
  </si>
  <si>
    <t>0136021702</t>
  </si>
  <si>
    <t>Albertus Hadi Prasetya, A.Md.Kep</t>
  </si>
  <si>
    <t>0712046139</t>
  </si>
  <si>
    <t>Yusril Reza Kurniawan, A.Md.</t>
  </si>
  <si>
    <t>0132702900</t>
  </si>
  <si>
    <t>Hotimah, A.Md.Kep</t>
  </si>
  <si>
    <t>0712047623</t>
  </si>
  <si>
    <t>3513126206920005</t>
  </si>
  <si>
    <t>3513145209910003</t>
  </si>
  <si>
    <t>Sugeng</t>
  </si>
  <si>
    <t>3513162805660004</t>
  </si>
  <si>
    <t>0132702276</t>
  </si>
  <si>
    <t>Retno Andini, A.Md.Kep</t>
  </si>
  <si>
    <t>0132161266</t>
  </si>
  <si>
    <t>Supiyo</t>
  </si>
  <si>
    <t>3513141511051877</t>
  </si>
  <si>
    <t>0132065381</t>
  </si>
  <si>
    <t>Herminasih</t>
  </si>
  <si>
    <t>3513135811660001</t>
  </si>
  <si>
    <t>0132103054</t>
  </si>
  <si>
    <t>Zaenab</t>
  </si>
  <si>
    <t>3513145403690002</t>
  </si>
  <si>
    <t>0132701091</t>
  </si>
  <si>
    <t>Anisah Muzammil, A.Md.K</t>
  </si>
  <si>
    <t>0712046554</t>
  </si>
  <si>
    <t>Imaniah Rizki Utami, A.Md.Ak</t>
  </si>
  <si>
    <t>0712047224</t>
  </si>
  <si>
    <t>Eva Nuril Agustina, A.Md.Ak</t>
  </si>
  <si>
    <t>0132713766</t>
  </si>
  <si>
    <t>Dwi Prisma Nury Firmansyah, A.Md.Keb</t>
  </si>
  <si>
    <t>0712076844</t>
  </si>
  <si>
    <t>3513096408940001</t>
  </si>
  <si>
    <t>3574014910840001</t>
  </si>
  <si>
    <t>Putranto Widodo, S.Gz</t>
  </si>
  <si>
    <t>3507211707870000</t>
  </si>
  <si>
    <t>0132702390</t>
  </si>
  <si>
    <t>Yulita Wulandari, SKM</t>
  </si>
  <si>
    <t>3513144407760000</t>
  </si>
  <si>
    <t>0132706409</t>
  </si>
  <si>
    <t>Dewi Sony Fatmawati, S.Gz</t>
  </si>
  <si>
    <t>3508164505830000</t>
  </si>
  <si>
    <t>0132706191</t>
  </si>
  <si>
    <t>Ika Ayu Kusuma Wardani, A.Md.</t>
  </si>
  <si>
    <t>0132962162</t>
  </si>
  <si>
    <t>Dwi Wahyuliati N, A.Md.</t>
  </si>
  <si>
    <t>0132962146</t>
  </si>
  <si>
    <t>Sri Hartini</t>
  </si>
  <si>
    <t>3513146105620000</t>
  </si>
  <si>
    <t>0132039798</t>
  </si>
  <si>
    <t>Anik Sutiyah</t>
  </si>
  <si>
    <t>0712046198</t>
  </si>
  <si>
    <t>Rokayah, S.Si, Apt</t>
  </si>
  <si>
    <t>3513126606740003</t>
  </si>
  <si>
    <t>0132139857</t>
  </si>
  <si>
    <t>Aina Al Mardhiyah, S.Farm, Apt</t>
  </si>
  <si>
    <t>0132402701</t>
  </si>
  <si>
    <t>Sekar Risti, S.Farm, Apt</t>
  </si>
  <si>
    <t>0122556034</t>
  </si>
  <si>
    <t>Rifka agustarini, Apt</t>
  </si>
  <si>
    <t>0132703795</t>
  </si>
  <si>
    <t>Rani Firda Nur Imaniah Azis, S.Farm, Apt.</t>
  </si>
  <si>
    <t>0132156310</t>
  </si>
  <si>
    <t>Novi Aryani, S.Farm, Apt</t>
  </si>
  <si>
    <t>0126689314</t>
  </si>
  <si>
    <t>Ike Yossy Herawati, S.Farm</t>
  </si>
  <si>
    <t>3574025909840004</t>
  </si>
  <si>
    <t>0132710481</t>
  </si>
  <si>
    <t>3513180712860001</t>
  </si>
  <si>
    <t>Diki Wibawa Eka Putra, A.Md.</t>
  </si>
  <si>
    <t>0712046414</t>
  </si>
  <si>
    <t>3513145204920001</t>
  </si>
  <si>
    <t>Amir Hamzah</t>
  </si>
  <si>
    <t>0132711267</t>
  </si>
  <si>
    <t>Neny Indah Luvita, A.md</t>
  </si>
  <si>
    <t>1612054840</t>
  </si>
  <si>
    <t>Mistari</t>
  </si>
  <si>
    <t>0712046104</t>
  </si>
  <si>
    <t>dr. Totok Mardiyanto, Sp.B</t>
  </si>
  <si>
    <t>0132093415</t>
  </si>
  <si>
    <t>dr. Made Suderata, Sp.A</t>
  </si>
  <si>
    <t>3574031103640003</t>
  </si>
  <si>
    <t>0132710538</t>
  </si>
  <si>
    <t>dr. Gusti Pindo Asa Anindito</t>
  </si>
  <si>
    <t>3509180809910002</t>
  </si>
  <si>
    <t>0132703302</t>
  </si>
  <si>
    <t>dr. Chandra Gunawan</t>
  </si>
  <si>
    <t>0132711861</t>
  </si>
  <si>
    <t>dr. EM Iqrar Bayu, Sp.An</t>
  </si>
  <si>
    <t>0132704368</t>
  </si>
  <si>
    <t>dr. Rizki Habibie, Sp.PD</t>
  </si>
  <si>
    <t>0132713022</t>
  </si>
  <si>
    <t>dr. R. Nendyo Susilo, Sp.THT</t>
  </si>
  <si>
    <t>0132407070</t>
  </si>
  <si>
    <t>dr. Rosid Achmad, Sp.PK</t>
  </si>
  <si>
    <t>0132711551</t>
  </si>
  <si>
    <t>dr. Julian Hartawan Wijaya</t>
  </si>
  <si>
    <t>0132704058</t>
  </si>
  <si>
    <t>KPRI Rsud Waluyo Jati</t>
  </si>
  <si>
    <t>a.n Direktur RSUD Waluyo Jati</t>
  </si>
  <si>
    <t>0132710520</t>
  </si>
  <si>
    <t>Periode : Juli 2020</t>
  </si>
  <si>
    <t>3513120512870002</t>
  </si>
  <si>
    <t>3513147110880001</t>
  </si>
  <si>
    <t>3513190612810002</t>
  </si>
  <si>
    <t>Umi Lailatul Qomaria, S.Kep.Ners</t>
  </si>
  <si>
    <t>0132710341</t>
  </si>
  <si>
    <t>3513142704800003</t>
  </si>
  <si>
    <t>3513166703870001</t>
  </si>
  <si>
    <t>3513170509902154</t>
  </si>
  <si>
    <t>3513121006870001</t>
  </si>
  <si>
    <t>Holik Arisandy, A.Md.Kep</t>
  </si>
  <si>
    <t>0712047640</t>
  </si>
  <si>
    <t>Medison Raditya Gumilang, A.Md.AK.</t>
  </si>
  <si>
    <t>0132003645</t>
  </si>
  <si>
    <t>Dewi Purwanti, A.Md.AK.</t>
  </si>
  <si>
    <t>0132711887</t>
  </si>
  <si>
    <t>Genis Dwi Yunita, A.Md.AK.</t>
  </si>
  <si>
    <t>0132013543</t>
  </si>
  <si>
    <t>Periode : Agustus 2020</t>
  </si>
  <si>
    <t>3513140208930002</t>
  </si>
  <si>
    <t>3513142112820002</t>
  </si>
  <si>
    <t>3513140109890002</t>
  </si>
  <si>
    <t>3513210608890001</t>
  </si>
  <si>
    <t>3513211609890001</t>
  </si>
  <si>
    <t>3518044303910004</t>
  </si>
  <si>
    <t>3513144707930004</t>
  </si>
  <si>
    <t>3513142612850002</t>
  </si>
  <si>
    <t>3514075607910001</t>
  </si>
  <si>
    <t>3513144509910005</t>
  </si>
  <si>
    <t>3517013112800001</t>
  </si>
  <si>
    <t>3513145707930001</t>
  </si>
  <si>
    <t>3513132207880002</t>
  </si>
  <si>
    <t>3513150506880004</t>
  </si>
  <si>
    <t>3513125708910001</t>
  </si>
  <si>
    <t>3513154510880001</t>
  </si>
  <si>
    <t>3513102206870004</t>
  </si>
  <si>
    <t>3520082812880001</t>
  </si>
  <si>
    <t>3513144306820002</t>
  </si>
  <si>
    <t>3574030110750005</t>
  </si>
  <si>
    <t>3513146011780003</t>
  </si>
  <si>
    <t>3513141110930001</t>
  </si>
  <si>
    <t>3574045607870007</t>
  </si>
  <si>
    <t>3574041205840003</t>
  </si>
  <si>
    <t>3513171904840002</t>
  </si>
  <si>
    <t>3513141310720001</t>
  </si>
  <si>
    <t>3511211001880006</t>
  </si>
  <si>
    <t>3513141201910001</t>
  </si>
  <si>
    <t>3513144809850004</t>
  </si>
  <si>
    <t>3513141607910004</t>
  </si>
  <si>
    <t>3513151612850001</t>
  </si>
  <si>
    <t>3513141505830001</t>
  </si>
  <si>
    <t>3513142409750004</t>
  </si>
  <si>
    <t>3513151506880005</t>
  </si>
  <si>
    <t>3513145702910001</t>
  </si>
  <si>
    <t>3513154704930002</t>
  </si>
  <si>
    <t>3508174310920003</t>
  </si>
  <si>
    <t>3513124702900002</t>
  </si>
  <si>
    <t>3513114906900001</t>
  </si>
  <si>
    <t>3513175912940002</t>
  </si>
  <si>
    <t>3513164106870002</t>
  </si>
  <si>
    <t>3513110101910005</t>
  </si>
  <si>
    <t>3513085006920003</t>
  </si>
  <si>
    <t>3513122512890001</t>
  </si>
  <si>
    <t>3513125303910001</t>
  </si>
  <si>
    <t>3513147011910001</t>
  </si>
  <si>
    <t>3513140307880001</t>
  </si>
  <si>
    <t>3513144509840008</t>
  </si>
  <si>
    <t>3513144705930001</t>
  </si>
  <si>
    <t>3513134308940001</t>
  </si>
  <si>
    <t>3513165804840001</t>
  </si>
  <si>
    <t>3513111810900001</t>
  </si>
  <si>
    <t>3513141212880003</t>
  </si>
  <si>
    <t>3513185804910002</t>
  </si>
  <si>
    <t>3513124103880004</t>
  </si>
  <si>
    <t>3513145203920005</t>
  </si>
  <si>
    <t>3513127001900001</t>
  </si>
  <si>
    <t>3513144111880002</t>
  </si>
  <si>
    <t>3513155202930002</t>
  </si>
  <si>
    <t>3513146404930001</t>
  </si>
  <si>
    <t>3513146106760003</t>
  </si>
  <si>
    <t>3513111501850001</t>
  </si>
  <si>
    <t>3513150505900001</t>
  </si>
  <si>
    <t>3513170703890002</t>
  </si>
  <si>
    <t>3513155305890003</t>
  </si>
  <si>
    <t>3513180410920001</t>
  </si>
  <si>
    <t>3513140609920001</t>
  </si>
  <si>
    <t>3513235201870002</t>
  </si>
  <si>
    <t>3513202412880001</t>
  </si>
  <si>
    <t>3513142901770002</t>
  </si>
  <si>
    <t>3513161008890003</t>
  </si>
  <si>
    <t>3513124503830009</t>
  </si>
  <si>
    <t>3513216711850002</t>
  </si>
  <si>
    <t>3512063005940002</t>
  </si>
  <si>
    <t>3513144305930001</t>
  </si>
  <si>
    <t>3513142907920002</t>
  </si>
  <si>
    <t>3513141106920002</t>
  </si>
  <si>
    <t>3513142710820001</t>
  </si>
  <si>
    <t>3574036611720005</t>
  </si>
  <si>
    <t>3513152606900002</t>
  </si>
  <si>
    <t>3513146407880002</t>
  </si>
  <si>
    <t>3513134603930002</t>
  </si>
  <si>
    <t>3513145204880003</t>
  </si>
  <si>
    <t>3513172101910002</t>
  </si>
  <si>
    <t>3513146810910000</t>
  </si>
  <si>
    <t>3513146807890000</t>
  </si>
  <si>
    <t>3513144702640000</t>
  </si>
  <si>
    <t>3513144501820001</t>
  </si>
  <si>
    <t>3513146705830000</t>
  </si>
  <si>
    <t>3613164807860000</t>
  </si>
  <si>
    <t>3513155402890000</t>
  </si>
  <si>
    <t>3513144402850000</t>
  </si>
  <si>
    <t>3513157001890000</t>
  </si>
  <si>
    <t>3513143005840000</t>
  </si>
  <si>
    <t>3513175206910000</t>
  </si>
  <si>
    <t>3513146011870000</t>
  </si>
  <si>
    <t>3513155902980000</t>
  </si>
  <si>
    <t>3513144803930000</t>
  </si>
  <si>
    <t>3513156507910000</t>
  </si>
  <si>
    <t>3513155603700000</t>
  </si>
  <si>
    <t>3513146308930002</t>
  </si>
  <si>
    <t>3574034304930002</t>
  </si>
  <si>
    <t>3513142911910002</t>
  </si>
  <si>
    <t>3513141307920002</t>
  </si>
  <si>
    <t>3513140212800004</t>
  </si>
  <si>
    <t>3574032809890004</t>
  </si>
  <si>
    <t>3513142106960002</t>
  </si>
  <si>
    <t>3513142709860003</t>
  </si>
  <si>
    <t>3513141709680002</t>
  </si>
  <si>
    <t>3513122005660002</t>
  </si>
  <si>
    <t>3513130406830005</t>
  </si>
  <si>
    <t>3513091708810005</t>
  </si>
  <si>
    <t>3513141701880003</t>
  </si>
</sst>
</file>

<file path=xl/styles.xml><?xml version="1.0" encoding="utf-8"?>
<styleSheet xmlns="http://schemas.openxmlformats.org/spreadsheetml/2006/main">
  <numFmts count="17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-* #,##0_-;\-* #,##0_-;_-* &quot;-&quot;_-;_-@_-"/>
    <numFmt numFmtId="165" formatCode="_(&quot;Rp&quot;* #,##0_);_(&quot;Rp&quot;* \(#,##0\);_(&quot;Rp&quot;* &quot;-&quot;_);_(@_)"/>
    <numFmt numFmtId="166" formatCode="_(&quot;Rp&quot;* #,##0.00_);_(&quot;Rp&quot;* \(#,##0.00\);_(&quot;Rp&quot;* &quot;-&quot;??_);_(@_)"/>
    <numFmt numFmtId="167" formatCode="&quot;Rp.&quot;\ #,##0_);\(&quot;Rp.&quot;\ #,##0\)"/>
    <numFmt numFmtId="168" formatCode="#,##0.\-\-"/>
    <numFmt numFmtId="1" formatCode="0"/>
    <numFmt numFmtId="49" formatCode="@"/>
    <numFmt numFmtId="169" formatCode="_$0"/>
    <numFmt numFmtId="9" formatCode="0%"/>
  </numFmts>
  <fonts count="25">
    <font>
      <name val="Calibri"/>
      <family val="2"/>
      <color rgb="FF000000"/>
      <sz val="11"/>
      <extLst>
        <ext uri="smNativeData">
          <pm:charSpec xmlns:pm="smNativeData" id="1759732528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59732528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Book Antiqua"/>
      <family val="1"/>
      <color rgb="FF000000"/>
      <sz val="20"/>
      <extLst>
        <ext uri="smNativeData">
          <pm:charSpec xmlns:pm="smNativeData" id="1759732528" ulstyle="none" kern="1">
            <pm:latin face="Book Antiqua" sz="400" lang="default"/>
            <pm:cs face="Basic Roman" sz="400" lang="default"/>
            <pm:ea face="Basic Roman" sz="400" lang="default"/>
          </pm:charSpec>
        </ext>
      </extLst>
    </font>
    <font>
      <name val="Times New Roman"/>
      <family val="1"/>
      <color rgb="FF000000"/>
      <sz val="12"/>
      <extLst>
        <ext uri="smNativeData">
          <pm:charSpec xmlns:pm="smNativeData" id="1759732528" ulstyle="none" kern="1">
            <pm:latin face="Times New Roman" sz="240" lang="default"/>
            <pm:cs face="Basic Roman" sz="240" lang="default"/>
            <pm:ea face="Basic Roman" sz="240" lang="default"/>
          </pm:charSpec>
        </ext>
      </extLst>
    </font>
    <font>
      <name val="Book Antiqua"/>
      <family val="1"/>
      <b/>
      <color rgb="FF000000"/>
      <sz val="20"/>
      <extLst>
        <ext uri="smNativeData">
          <pm:charSpec xmlns:pm="smNativeData" id="1759732528" ulstyle="none" kern="1">
            <pm:latin face="Book Antiqua" sz="400" lang="default" weight="bold"/>
            <pm:cs face="Basic Roman" sz="400" lang="default" weight="bold"/>
            <pm:ea face="Basic Roman" sz="400" lang="default" weight="bold"/>
          </pm:charSpec>
        </ext>
      </extLst>
    </font>
    <font>
      <name val="Book Antiqua"/>
      <family val="1"/>
      <color rgb="FF000000"/>
      <sz val="11"/>
      <extLst>
        <ext uri="smNativeData">
          <pm:charSpec xmlns:pm="smNativeData" id="1759732528" ulstyle="none" kern="1">
            <pm:latin face="Book Antiqua" sz="220" lang="default"/>
            <pm:cs face="Basic Roman" sz="220" lang="default"/>
            <pm:ea face="Basic Roman" sz="220" lang="default"/>
          </pm:charSpec>
        </ext>
      </extLst>
    </font>
    <font>
      <name val="Book Antiqua"/>
      <family val="1"/>
      <b/>
      <color rgb="FF000000"/>
      <sz val="18"/>
      <extLst>
        <ext uri="smNativeData">
          <pm:charSpec xmlns:pm="smNativeData" id="1759732528" ulstyle="none" kern="1">
            <pm:latin face="Book Antiqua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Book Antiqua"/>
      <family val="1"/>
      <b/>
      <color rgb="FF000000"/>
      <sz val="12"/>
      <extLst>
        <ext uri="smNativeData">
          <pm:charSpec xmlns:pm="smNativeData" id="1759732528" ulstyle="none" kern="1">
            <pm:latin face="Book Antiqua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Book Antiqua"/>
      <family val="1"/>
      <color rgb="FF000000"/>
      <sz val="12"/>
      <extLst>
        <ext uri="smNativeData">
          <pm:charSpec xmlns:pm="smNativeData" id="1759732528" ulstyle="none" kern="1">
            <pm:latin face="Book Antiqua" sz="240" lang="default"/>
            <pm:cs face="Basic Roman" sz="240" lang="default"/>
            <pm:ea face="Basic Roman" sz="240" lang="default"/>
          </pm:charSpec>
        </ext>
      </extLst>
    </font>
    <font>
      <name val="Book Antiqua"/>
      <family val="1"/>
      <b/>
      <color rgb="FF000000"/>
      <sz val="14"/>
      <extLst>
        <ext uri="smNativeData">
          <pm:charSpec xmlns:pm="smNativeData" id="1759732528" ulstyle="none" kern="1">
            <pm:latin face="Book Antiqua" sz="280" lang="default" weight="bold"/>
            <pm:cs face="Basic Roman" sz="280" lang="default" weight="bold"/>
            <pm:ea face="Basic Roman" sz="280" lang="default" weight="bold"/>
          </pm:charSpec>
        </ext>
      </extLst>
    </font>
    <font>
      <name val="Book Antiqua"/>
      <family val="1"/>
      <b/>
      <color rgb="FF000000"/>
      <sz val="11"/>
      <extLst>
        <ext uri="smNativeData">
          <pm:charSpec xmlns:pm="smNativeData" id="1759732528" ulstyle="none" kern="1">
            <pm:latin face="Book Antiqua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Book Antiqua"/>
      <family val="1"/>
      <color rgb="FFFFFFFF"/>
      <sz val="11"/>
      <extLst>
        <ext uri="smNativeData">
          <pm:charSpec xmlns:pm="smNativeData" id="1759732528" fgClr="FFFFFF" ulstyle="none" kern="1">
            <pm:latin face="Book Antiqua" sz="220" lang="default"/>
            <pm:cs face="Basic Roman" sz="220" lang="default"/>
            <pm:ea face="Basic Roman" sz="220" lang="default"/>
          </pm:charSpec>
        </ext>
      </extLst>
    </font>
    <font>
      <name val="Courier"/>
      <family val="3"/>
      <color rgb="FF000000"/>
      <sz val="10"/>
      <extLst>
        <ext uri="smNativeData">
          <pm:charSpec xmlns:pm="smNativeData" id="1759732528" ulstyle="none" kern="1">
            <pm:latin face="Courier" sz="200" lang="default"/>
            <pm:cs face="Basic Roman" sz="200" lang="default"/>
            <pm:ea face="Basic Roman" sz="200" lang="default"/>
          </pm:charSpec>
        </ext>
      </extLst>
    </font>
    <font>
      <name val="Book Antiqua"/>
      <family val="1"/>
      <b/>
      <color rgb="FF000000"/>
      <sz val="11"/>
      <u val="single"/>
      <extLst>
        <ext uri="smNativeData">
          <pm:charSpec xmlns:pm="smNativeData" id="1759732528" ulstyle="single" kern="1">
            <pm:latin face="Book Antiqua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Times New Roman"/>
      <family val="1"/>
      <color rgb="FF000000"/>
      <sz val="11"/>
      <extLst>
        <ext uri="smNativeData">
          <pm:charSpec xmlns:pm="smNativeData" id="1759732528" ulstyle="none" kern="1">
            <pm:latin face="Times New Roman" sz="220" lang="default"/>
            <pm:cs face="Basic Roman" sz="220" lang="default"/>
            <pm:ea face="Basic Roman" sz="220" lang="default"/>
          </pm:charSpec>
        </ext>
      </extLst>
    </font>
    <font>
      <name val="Book Antiqua"/>
      <family val="1"/>
      <b/>
      <color rgb="FF000000"/>
      <sz val="26"/>
      <extLst>
        <ext uri="smNativeData">
          <pm:charSpec xmlns:pm="smNativeData" id="1759732528" ulstyle="none" kern="1">
            <pm:latin face="Book Antiqua" sz="520" lang="default" weight="bold"/>
            <pm:cs face="Basic Roman" sz="520" lang="default" weight="bold"/>
            <pm:ea face="Basic Roman" sz="520" lang="default" weight="bold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59732528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color rgb="FF000000"/>
      <sz val="12"/>
      <extLst>
        <ext uri="smNativeData">
          <pm:charSpec xmlns:pm="smNativeData" id="1759732528" ulstyle="none" kern="1">
            <pm:latin face="Calibri" sz="240" lang="default"/>
            <pm:cs face="Basic Roman" sz="240" lang="default"/>
            <pm:ea face="Basic Roman" sz="240" lang="default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59732528" ulstyle="none" kern="1">
            <pm:latin face="Calibri" sz="200" lang="default"/>
            <pm:cs face="Basic Sans" sz="200" lang="default"/>
            <pm:ea face="Basic Sans" sz="20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59732528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59732528" ulstyle="none" kern="1">
            <pm:latin face="Calibri" sz="180" lang="default"/>
            <pm:cs face="Basic Sans" sz="180" lang="default"/>
            <pm:ea face="Basic Sans" sz="180" lang="default"/>
          </pm:charSpec>
        </ext>
      </extLst>
    </font>
    <font>
      <name val="Calibri"/>
      <family val="2"/>
      <color rgb="FF000000"/>
      <sz val="8"/>
      <extLst>
        <ext uri="smNativeData">
          <pm:charSpec xmlns:pm="smNativeData" id="1759732528" ulstyle="none" kern="1">
            <pm:latin face="Calibri" sz="160" lang="default"/>
            <pm:cs face="Basic Sans" sz="160" lang="default"/>
            <pm:ea face="Basic Sans" sz="160" lang="default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59732528" ulstyle="none" kern="1">
            <pm:latin face="Calibri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color rgb="FF000000"/>
      <sz val="7"/>
      <extLst>
        <ext uri="smNativeData">
          <pm:charSpec xmlns:pm="smNativeData" id="1759732528" ulstyle="none" kern="1">
            <pm:latin face="Calibri" sz="140" lang="default"/>
            <pm:cs face="Basic Sans" sz="140" lang="default"/>
            <pm:ea face="Basic Sans" sz="140" lang="default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59732528" ulstyle="none" kern="1">
            <pm:latin face="Calibri" sz="180" lang="default"/>
            <pm:cs face="Basic Roman" sz="180" lang="default"/>
            <pm:ea face="Basic Roman" sz="180" lang="default"/>
          </pm:charSpec>
        </ext>
      </extLst>
    </font>
  </fonts>
  <fills count="3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59732528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59732528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59732528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59732528" type="1" fgLvl="100" fgClr="00FFFF00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9732528" type="1" fgLvl="100" fgClr="00BFBFB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9732528" type="1" fgLvl="100" fgClr="00BFBFB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9732528" type="1" fgLvl="100" fgClr="00BFBFB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9732528" type="1" fgLvl="100" fgClr="00BFBFB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59732528" type="1" fgLvl="100" fgClr="00FFFF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9732528" type="1" fgLvl="100" fgClr="00FFFFFF" bgLvl="100" bgClr="00000000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59732528" type="1" fgLvl="12" fgClr="0000FF00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59732528" type="1" fgLvl="12" fgClr="0000FF00" bgLvl="88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59732528" type="1" fgLvl="38" fgClr="00FFFF00" bgLvl="62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59732528" type="1" fgLvl="38" fgClr="00FFFF00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59732528" type="1" fgLvl="38" fgClr="0000FFFF" bgLvl="62" bgClr="00FFFFFF"/>
          </ext>
        </extLst>
      </patternFill>
    </fill>
  </fills>
  <borders count="3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73252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59732528">
            <pm:line position="bottom" type="2" style="0" width="2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59732528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59732528">
            <pm:line position="top" type="1" style="0" width="3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59732528">
            <pm:line position="top" type="1" style="0" width="3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none">
        <color rgb="FF000000"/>
      </top>
      <bottom style="hair">
        <color rgb="FF000000"/>
      </bottom>
      <extLst>
        <ext uri="smNativeData">
          <pm:border xmlns:pm="smNativeData" id="1759732528">
            <pm:line position="bottom" type="1" style="0" width="1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hair">
        <color rgb="FF000000"/>
      </bottom>
      <extLst>
        <ext uri="smNativeData">
          <pm:border xmlns:pm="smNativeData" id="1759732528">
            <pm:line position="bottom" type="1" style="0" width="1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732528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hair">
        <color rgb="FF000000"/>
      </bottom>
      <extLst>
        <ext uri="smNativeData">
          <pm:border xmlns:pm="smNativeData" id="1759732528">
            <pm:line position="bottom" type="1" style="0" width="1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none">
        <color rgb="FF000000"/>
      </top>
      <bottom style="hair">
        <color rgb="FF000000"/>
      </bottom>
      <extLst>
        <ext uri="smNativeData">
          <pm:border xmlns:pm="smNativeData" id="1759732528">
            <pm:line position="bottom" type="1" style="0" width="1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9732528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9732528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732528"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732528">
            <pm:line position="left" type="1" style="0" width="2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extLst>
        <ext uri="smNativeData">
          <pm:border xmlns:pm="smNativeData" id="1759732528">
            <pm:line position="top" type="1" style="0" width="20" dist="20" width2="20" rgb="000000"/>
            <pm:line position="bottom" type="2" style="0" width="2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extLst>
        <ext uri="smNativeData">
          <pm:border xmlns:pm="smNativeData" id="1759732528">
            <pm:line position="top" type="1" style="0" width="20" dist="20" width2="20" rgb="000000"/>
            <pm:line position="bottom" type="2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extLst>
        <ext uri="smNativeData">
          <pm:border xmlns:pm="smNativeData" id="1759732528">
            <pm:line position="top" type="1" style="0" width="20" dist="20" width2="20" rgb="000000"/>
            <pm:line position="bottom" type="2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732528"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9732528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73252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732528"/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732528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59732528">
            <pm:line position="top" type="1" style="0" width="3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6">
    <xf numFmtId="0" fontId="0" fillId="0" borderId="0" applyNumberFormat="1" applyFont="1" applyFill="1" applyBorder="1" applyAlignment="1" applyProtection="1"/>
    <xf numFmtId="164" fontId="0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167" fontId="12" fillId="0" borderId="0" applyNumberFormat="1" applyFont="1" applyFill="1" applyBorder="1" applyAlignment="1" applyProtection="1"/>
  </cellStyleXfs>
  <cellXfs count="126">
    <xf numFmtId="0" fontId="0" fillId="0" borderId="0" xfId="0"/>
    <xf numFmtId="164" fontId="0" fillId="0" borderId="0" xfId="1"/>
    <xf numFmtId="0" fontId="0" fillId="0" borderId="0" xfId="2"/>
    <xf numFmtId="0" fontId="3" fillId="0" borderId="0" xfId="3"/>
    <xf numFmtId="0" fontId="0" fillId="0" borderId="0" xfId="4"/>
    <xf numFmtId="167" fontId="12" fillId="0" borderId="0" xfId="5"/>
    <xf numFmtId="0" fontId="2" fillId="0" borderId="0" xfId="2" applyFont="1" applyAlignment="1">
      <alignment horizontal="centerContinuous" vertical="center"/>
    </xf>
    <xf numFmtId="0" fontId="4" fillId="0" borderId="0" xfId="3" applyFont="1" applyAlignment="1">
      <alignment horizontal="centerContinuous" vertical="center"/>
    </xf>
    <xf numFmtId="0" fontId="4" fillId="0" borderId="0" xfId="3" applyFont="1" applyAlignment="1">
      <alignment horizontal="centerContinuous"/>
    </xf>
    <xf numFmtId="164" fontId="4" fillId="0" borderId="0" xfId="1" applyFont="1" applyAlignment="1">
      <alignment horizontal="centerContinuous"/>
    </xf>
    <xf numFmtId="164" fontId="4" fillId="0" borderId="0" xfId="1" applyFont="1" applyAlignment="1">
      <alignment horizontal="centerContinuous" vertical="center"/>
    </xf>
    <xf numFmtId="0" fontId="5" fillId="0" borderId="0" xfId="2" applyFont="1" applyAlignment="1">
      <alignment horizontal="centerContinuous" vertical="center"/>
    </xf>
    <xf numFmtId="0" fontId="6" fillId="0" borderId="0" xfId="3" applyFont="1" applyAlignment="1">
      <alignment horizontal="centerContinuous" vertical="center"/>
    </xf>
    <xf numFmtId="0" fontId="6" fillId="0" borderId="0" xfId="3" applyFont="1" applyAlignment="1">
      <alignment horizontal="centerContinuous"/>
    </xf>
    <xf numFmtId="0" fontId="5" fillId="0" borderId="1" xfId="2" applyFont="1" applyFill="1" applyBorder="1" applyAlignment="1">
      <alignment horizontal="centerContinuous" vertical="center"/>
    </xf>
    <xf numFmtId="0" fontId="6" fillId="0" borderId="1" xfId="3" applyFont="1" applyFill="1" applyBorder="1" applyAlignment="1">
      <alignment horizontal="centerContinuous" vertical="center"/>
    </xf>
    <xf numFmtId="0" fontId="6" fillId="0" borderId="1" xfId="3" applyFont="1" applyFill="1" applyBorder="1" applyAlignment="1">
      <alignment horizontal="centerContinuous"/>
    </xf>
    <xf numFmtId="164" fontId="6" fillId="0" borderId="1" xfId="1" applyFont="1" applyFill="1" applyBorder="1" applyAlignment="1">
      <alignment horizontal="centerContinuous"/>
    </xf>
    <xf numFmtId="164" fontId="6" fillId="0" borderId="1" xfId="1" applyFont="1" applyFill="1" applyBorder="1" applyAlignment="1">
      <alignment horizontal="centerContinuous" vertical="center"/>
    </xf>
    <xf numFmtId="0" fontId="7" fillId="0" borderId="0" xfId="3" applyFont="1"/>
    <xf numFmtId="0" fontId="8" fillId="0" borderId="0" xfId="2" applyFont="1"/>
    <xf numFmtId="0" fontId="8" fillId="0" borderId="0" xfId="2" applyFont="1" applyAlignment="1">
      <alignment horizontal="center"/>
    </xf>
    <xf numFmtId="1" fontId="8" fillId="0" borderId="0" xfId="2" applyNumberFormat="1" applyFont="1" applyAlignment="1">
      <alignment horizontal="center"/>
    </xf>
    <xf numFmtId="164" fontId="8" fillId="0" borderId="0" xfId="1" applyFont="1" applyAlignment="1">
      <alignment horizontal="center"/>
    </xf>
    <xf numFmtId="165" fontId="7" fillId="0" borderId="0" xfId="3" applyNumberFormat="1" applyFont="1"/>
    <xf numFmtId="0" fontId="9" fillId="0" borderId="2" xfId="3" applyFont="1" applyFill="1" applyBorder="1" applyAlignment="1">
      <alignment horizontal="center" vertical="center"/>
    </xf>
    <xf numFmtId="0" fontId="7" fillId="0" borderId="3" xfId="3" applyFont="1" applyFill="1" applyBorder="1" applyAlignment="1">
      <alignment horizontal="center" vertical="center"/>
    </xf>
    <xf numFmtId="1" fontId="10" fillId="0" borderId="3" xfId="3" applyNumberFormat="1" applyFont="1" applyFill="1" applyBorder="1" applyAlignment="1">
      <alignment horizontal="center" vertical="center"/>
    </xf>
    <xf numFmtId="1" fontId="9" fillId="0" borderId="3" xfId="3" applyNumberFormat="1" applyFont="1" applyFill="1" applyBorder="1" applyAlignment="1">
      <alignment horizontal="center" vertical="center"/>
    </xf>
    <xf numFmtId="165" fontId="7" fillId="0" borderId="3" xfId="3" applyNumberFormat="1" applyFont="1" applyFill="1" applyBorder="1" applyAlignment="1">
      <alignment horizontal="center" vertical="center" wrapText="1"/>
    </xf>
    <xf numFmtId="165" fontId="10" fillId="0" borderId="4" xfId="3" applyNumberFormat="1" applyFont="1" applyFill="1" applyBorder="1" applyAlignment="1">
      <alignment horizontal="center" vertical="center"/>
    </xf>
    <xf numFmtId="0" fontId="5" fillId="0" borderId="5" xfId="2" applyFont="1" applyFill="1" applyBorder="1" applyAlignment="1">
      <alignment horizontal="center"/>
    </xf>
    <xf numFmtId="0" fontId="8" fillId="0" borderId="6" xfId="2" applyFont="1" applyFill="1" applyBorder="1"/>
    <xf numFmtId="0" fontId="8" fillId="0" borderId="7" xfId="2" applyFont="1" applyFill="1" applyBorder="1" applyAlignment="1">
      <alignment horizontal="center"/>
    </xf>
    <xf numFmtId="1" fontId="11" fillId="0" borderId="6" xfId="2" applyNumberFormat="1" applyFont="1" applyFill="1" applyBorder="1" applyAlignment="1">
      <alignment horizontal="center"/>
    </xf>
    <xf numFmtId="164" fontId="11" fillId="0" borderId="8" xfId="1" applyFont="1" applyFill="1" applyBorder="1" applyAlignment="1">
      <alignment horizontal="center"/>
    </xf>
    <xf numFmtId="166" fontId="5" fillId="0" borderId="9" xfId="2" applyNumberFormat="1" applyFont="1" applyFill="1" applyBorder="1" applyAlignment="1">
      <alignment horizontal="center"/>
    </xf>
    <xf numFmtId="0" fontId="8" fillId="0" borderId="10" xfId="2" applyFont="1" applyFill="1" applyBorder="1" applyAlignment="1">
      <alignment horizontal="center"/>
    </xf>
    <xf numFmtId="164" fontId="8" fillId="0" borderId="11" xfId="1" applyFont="1" applyFill="1" applyBorder="1"/>
    <xf numFmtId="164" fontId="8" fillId="0" borderId="11" xfId="1" applyFont="1" applyFill="1" applyBorder="1" applyAlignment="1">
      <alignment horizontal="center"/>
    </xf>
    <xf numFmtId="0" fontId="8" fillId="0" borderId="12" xfId="2" applyFont="1" applyFill="1" applyBorder="1" applyAlignment="1">
      <alignment horizontal="center"/>
    </xf>
    <xf numFmtId="164" fontId="8" fillId="0" borderId="11" xfId="1" applyFont="1" applyFill="1" applyBorder="1" applyAlignment="1">
      <alignment horizontal="center"/>
    </xf>
    <xf numFmtId="166" fontId="8" fillId="0" borderId="13" xfId="2" applyNumberFormat="1" applyFont="1" applyFill="1" applyBorder="1" applyAlignment="1">
      <alignment horizontal="center"/>
    </xf>
    <xf numFmtId="0" fontId="8" fillId="15" borderId="14" xfId="2" applyFont="1" applyFill="1" applyBorder="1" applyAlignment="1">
      <alignment horizontal="center"/>
    </xf>
    <xf numFmtId="164" fontId="8" fillId="16" borderId="15" xfId="1" applyFont="1" applyFill="1" applyBorder="1"/>
    <xf numFmtId="164" fontId="8" fillId="16" borderId="15" xfId="1" applyFont="1" applyFill="1" applyBorder="1" applyAlignment="1">
      <alignment horizontal="center"/>
    </xf>
    <xf numFmtId="0" fontId="8" fillId="17" borderId="16" xfId="2" applyFont="1" applyFill="1" applyBorder="1" applyAlignment="1">
      <alignment horizontal="center"/>
    </xf>
    <xf numFmtId="164" fontId="8" fillId="16" borderId="15" xfId="1" applyFont="1" applyFill="1" applyBorder="1" applyAlignment="1">
      <alignment horizontal="center"/>
    </xf>
    <xf numFmtId="166" fontId="8" fillId="18" borderId="17" xfId="2" applyNumberFormat="1" applyFont="1" applyFill="1" applyBorder="1" applyAlignment="1">
      <alignment horizontal="center"/>
    </xf>
    <xf numFmtId="0" fontId="8" fillId="19" borderId="18" xfId="2" applyFont="1" applyFill="1" applyBorder="1" applyAlignment="1">
      <alignment horizontal="center"/>
    </xf>
    <xf numFmtId="164" fontId="8" fillId="20" borderId="19" xfId="1" applyFont="1" applyFill="1" applyBorder="1"/>
    <xf numFmtId="164" fontId="8" fillId="20" borderId="19" xfId="1" applyFont="1" applyFill="1" applyBorder="1" applyAlignment="1">
      <alignment horizontal="center"/>
    </xf>
    <xf numFmtId="164" fontId="8" fillId="20" borderId="19" xfId="1" applyFont="1" applyFill="1" applyBorder="1" applyAlignment="1">
      <alignment horizontal="center"/>
    </xf>
    <xf numFmtId="166" fontId="8" fillId="22" borderId="21" xfId="2" applyNumberFormat="1" applyFont="1" applyFill="1" applyBorder="1" applyAlignment="1">
      <alignment horizontal="center"/>
    </xf>
    <xf numFmtId="0" fontId="5" fillId="0" borderId="22" xfId="4" applyFont="1" applyFill="1" applyBorder="1" applyAlignment="1">
      <alignment horizontal="center"/>
    </xf>
    <xf numFmtId="0" fontId="5" fillId="0" borderId="23" xfId="4" applyFont="1" applyFill="1" applyBorder="1"/>
    <xf numFmtId="1" fontId="5" fillId="0" borderId="23" xfId="4" applyNumberFormat="1" applyFont="1" applyFill="1" applyBorder="1" applyAlignment="1">
      <alignment horizontal="center"/>
    </xf>
    <xf numFmtId="166" fontId="10" fillId="0" borderId="23" xfId="4" applyNumberFormat="1" applyFont="1" applyFill="1" applyBorder="1" applyAlignment="1">
      <alignment horizontal="center"/>
    </xf>
    <xf numFmtId="0" fontId="8" fillId="0" borderId="10" xfId="4" applyFont="1" applyFill="1" applyBorder="1" applyAlignment="1">
      <alignment horizontal="center"/>
    </xf>
    <xf numFmtId="164" fontId="7" fillId="0" borderId="12" xfId="1" applyFont="1" applyFill="1" applyBorder="1"/>
    <xf numFmtId="0" fontId="8" fillId="0" borderId="12" xfId="4" applyFont="1" applyFill="1" applyBorder="1" applyAlignment="1">
      <alignment horizontal="center"/>
    </xf>
    <xf numFmtId="166" fontId="8" fillId="0" borderId="12" xfId="4" applyNumberFormat="1" applyFont="1" applyFill="1" applyBorder="1" applyAlignment="1">
      <alignment horizontal="center"/>
    </xf>
    <xf numFmtId="0" fontId="8" fillId="0" borderId="24" xfId="4" applyFont="1" applyFill="1" applyBorder="1" applyAlignment="1">
      <alignment horizontal="center"/>
    </xf>
    <xf numFmtId="164" fontId="8" fillId="0" borderId="7" xfId="1" applyFont="1" applyFill="1" applyBorder="1"/>
    <xf numFmtId="49" fontId="8" fillId="0" borderId="7" xfId="4" applyNumberFormat="1" applyFont="1" applyFill="1" applyBorder="1" applyAlignment="1">
      <alignment horizontal="center"/>
    </xf>
    <xf numFmtId="166" fontId="8" fillId="0" borderId="7" xfId="4" applyNumberFormat="1" applyFont="1" applyFill="1" applyBorder="1" applyAlignment="1">
      <alignment horizontal="center"/>
    </xf>
    <xf numFmtId="0" fontId="8" fillId="0" borderId="24" xfId="2" applyFont="1" applyFill="1" applyBorder="1" applyAlignment="1">
      <alignment horizontal="center"/>
    </xf>
    <xf numFmtId="164" fontId="8" fillId="0" borderId="7" xfId="1" applyFont="1" applyFill="1" applyBorder="1" applyAlignment="1">
      <alignment horizontal="center"/>
    </xf>
    <xf numFmtId="164" fontId="8" fillId="0" borderId="25" xfId="1" applyFont="1" applyFill="1" applyBorder="1" applyAlignment="1">
      <alignment horizontal="center"/>
    </xf>
    <xf numFmtId="0" fontId="5" fillId="0" borderId="26" xfId="2" applyFont="1" applyFill="1" applyBorder="1" applyAlignment="1">
      <alignment horizontal="center"/>
    </xf>
    <xf numFmtId="0" fontId="8" fillId="0" borderId="27" xfId="2" applyFont="1" applyFill="1" applyBorder="1"/>
    <xf numFmtId="0" fontId="8" fillId="0" borderId="27" xfId="2" applyFont="1" applyFill="1" applyBorder="1" applyAlignment="1">
      <alignment horizontal="center"/>
    </xf>
    <xf numFmtId="166" fontId="10" fillId="0" borderId="28" xfId="2" applyNumberFormat="1" applyFont="1" applyFill="1" applyBorder="1" applyAlignment="1">
      <alignment horizontal="center"/>
    </xf>
    <xf numFmtId="0" fontId="5" fillId="0" borderId="0" xfId="2" applyFont="1" applyAlignment="1">
      <alignment horizontal="center"/>
    </xf>
    <xf numFmtId="1" fontId="5" fillId="0" borderId="0" xfId="2" applyNumberFormat="1" applyFont="1" applyAlignment="1">
      <alignment horizontal="center"/>
    </xf>
    <xf numFmtId="164" fontId="5" fillId="0" borderId="0" xfId="1" applyFont="1" applyAlignment="1">
      <alignment horizontal="center"/>
    </xf>
    <xf numFmtId="164" fontId="0" fillId="0" borderId="0" xfId="1"/>
    <xf numFmtId="164" fontId="3" fillId="0" borderId="0" xfId="1" applyFont="1"/>
    <xf numFmtId="164" fontId="3" fillId="0" borderId="0" xfId="1" applyFont="1" applyAlignment="1">
      <alignment horizontal="center"/>
    </xf>
    <xf numFmtId="0" fontId="0" fillId="0" borderId="0" xfId="0"/>
    <xf numFmtId="169" fontId="13" fillId="0" borderId="0" xfId="5" applyNumberFormat="1" applyFont="1" applyAlignment="1">
      <alignment horizontal="center" vertical="center"/>
    </xf>
    <xf numFmtId="164" fontId="13" fillId="0" borderId="0" xfId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168" fontId="5" fillId="0" borderId="0" xfId="5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164" fontId="14" fillId="0" borderId="0" xfId="1" applyFont="1"/>
    <xf numFmtId="164" fontId="14" fillId="0" borderId="0" xfId="1" applyFont="1" applyAlignment="1">
      <alignment horizontal="center"/>
    </xf>
    <xf numFmtId="0" fontId="9" fillId="0" borderId="1" xfId="3" applyFont="1" applyFill="1" applyBorder="1" applyAlignment="1">
      <alignment horizontal="centerContinuous"/>
    </xf>
    <xf numFmtId="0" fontId="10" fillId="0" borderId="2" xfId="3" applyFont="1" applyFill="1" applyBorder="1" applyAlignment="1">
      <alignment horizontal="center" vertical="center"/>
    </xf>
    <xf numFmtId="0" fontId="10" fillId="0" borderId="3" xfId="3" applyFont="1" applyFill="1" applyBorder="1" applyAlignment="1">
      <alignment horizontal="center" vertical="center"/>
    </xf>
    <xf numFmtId="165" fontId="10" fillId="0" borderId="3" xfId="3" applyNumberFormat="1" applyFont="1" applyFill="1" applyBorder="1" applyAlignment="1">
      <alignment horizontal="center" vertical="center"/>
    </xf>
    <xf numFmtId="0" fontId="9" fillId="0" borderId="24" xfId="3" applyFont="1" applyFill="1" applyBorder="1" applyAlignment="1">
      <alignment horizontal="center" vertical="center"/>
    </xf>
    <xf numFmtId="0" fontId="9" fillId="0" borderId="7" xfId="3" applyFont="1" applyFill="1" applyBorder="1" applyAlignment="1">
      <alignment horizontal="center" vertical="center"/>
    </xf>
    <xf numFmtId="1" fontId="9" fillId="0" borderId="7" xfId="3" applyNumberFormat="1" applyFont="1" applyFill="1" applyBorder="1" applyAlignment="1">
      <alignment horizontal="center" vertical="center"/>
    </xf>
    <xf numFmtId="165" fontId="9" fillId="0" borderId="7" xfId="3" applyNumberFormat="1" applyFont="1" applyFill="1" applyBorder="1" applyAlignment="1">
      <alignment horizontal="center" vertical="center"/>
    </xf>
    <xf numFmtId="165" fontId="9" fillId="0" borderId="29" xfId="3" applyNumberFormat="1" applyFont="1" applyFill="1" applyBorder="1" applyAlignment="1">
      <alignment horizontal="center" vertical="center"/>
    </xf>
    <xf numFmtId="164" fontId="8" fillId="0" borderId="12" xfId="1" applyFont="1" applyFill="1" applyBorder="1"/>
    <xf numFmtId="0" fontId="8" fillId="0" borderId="12" xfId="2" applyFont="1" applyFill="1" applyBorder="1" applyAlignment="1">
      <alignment horizontal="center"/>
    </xf>
    <xf numFmtId="166" fontId="8" fillId="0" borderId="12" xfId="2" applyNumberFormat="1" applyFont="1" applyFill="1" applyBorder="1" applyAlignment="1">
      <alignment horizontal="center"/>
    </xf>
    <xf numFmtId="0" fontId="8" fillId="0" borderId="7" xfId="2" applyFont="1" applyFill="1" applyBorder="1" applyAlignment="1">
      <alignment horizontal="center"/>
    </xf>
    <xf numFmtId="166" fontId="8" fillId="0" borderId="7" xfId="2" applyNumberFormat="1" applyFont="1" applyFill="1" applyBorder="1" applyAlignment="1">
      <alignment horizontal="center"/>
    </xf>
    <xf numFmtId="0" fontId="5" fillId="0" borderId="22" xfId="2" applyFont="1" applyFill="1" applyBorder="1" applyAlignment="1">
      <alignment horizontal="center"/>
    </xf>
    <xf numFmtId="0" fontId="5" fillId="0" borderId="23" xfId="2" applyFont="1" applyFill="1" applyBorder="1"/>
    <xf numFmtId="1" fontId="5" fillId="0" borderId="23" xfId="2" applyNumberFormat="1" applyFont="1" applyFill="1" applyBorder="1" applyAlignment="1">
      <alignment horizontal="center"/>
    </xf>
    <xf numFmtId="166" fontId="10" fillId="0" borderId="23" xfId="2" applyNumberFormat="1" applyFont="1" applyFill="1" applyBorder="1" applyAlignment="1">
      <alignment horizontal="center"/>
    </xf>
    <xf numFmtId="49" fontId="8" fillId="0" borderId="7" xfId="2" applyNumberFormat="1" applyFont="1" applyFill="1" applyBorder="1" applyAlignment="1">
      <alignment horizontal="center"/>
    </xf>
    <xf numFmtId="166" fontId="8" fillId="0" borderId="29" xfId="2" applyNumberFormat="1" applyFont="1" applyFill="1" applyBorder="1" applyAlignment="1">
      <alignment horizontal="center"/>
    </xf>
    <xf numFmtId="9" fontId="0" fillId="0" borderId="0" xfId="0" applyNumberFormat="1"/>
    <xf numFmtId="0" fontId="15" fillId="0" borderId="0" xfId="3" applyFont="1" applyAlignment="1">
      <alignment horizontal="centerContinuous"/>
    </xf>
    <xf numFmtId="166" fontId="10" fillId="0" borderId="30" xfId="2" applyNumberFormat="1" applyFont="1" applyFill="1" applyBorder="1" applyAlignment="1">
      <alignment horizontal="center"/>
    </xf>
    <xf numFmtId="0" fontId="5" fillId="0" borderId="0" xfId="2" applyFont="1"/>
    <xf numFmtId="166" fontId="5" fillId="0" borderId="0" xfId="2" applyNumberFormat="1" applyFont="1" applyAlignment="1">
      <alignment horizontal="center"/>
    </xf>
    <xf numFmtId="166" fontId="5" fillId="32" borderId="31" xfId="2" applyNumberFormat="1" applyFont="1" applyFill="1" applyAlignment="1">
      <alignment horizontal="center"/>
    </xf>
    <xf numFmtId="1" fontId="5" fillId="0" borderId="0" xfId="2" applyNumberFormat="1" applyFont="1" applyAlignment="1">
      <alignment horizontal="center"/>
    </xf>
    <xf numFmtId="1" fontId="13" fillId="0" borderId="0" xfId="2" applyNumberFormat="1" applyFont="1" applyAlignment="1">
      <alignment horizontal="center"/>
    </xf>
    <xf numFmtId="164" fontId="8" fillId="34" borderId="33" xfId="1" applyFont="1" applyFill="1" applyBorder="1"/>
    <xf numFmtId="164" fontId="8" fillId="34" borderId="33" xfId="1" applyFont="1" applyFill="1" applyBorder="1" applyAlignment="1">
      <alignment horizontal="center"/>
    </xf>
    <xf numFmtId="164" fontId="8" fillId="36" borderId="35" xfId="1" applyFont="1" applyFill="1" applyBorder="1" applyAlignment="1">
      <alignment horizontal="center"/>
    </xf>
    <xf numFmtId="166" fontId="8" fillId="37" borderId="36" xfId="2" applyNumberFormat="1" applyFont="1" applyFill="1" applyBorder="1" applyAlignment="1">
      <alignment horizontal="center"/>
    </xf>
    <xf numFmtId="165" fontId="7" fillId="38" borderId="37" xfId="3" applyNumberFormat="1" applyFont="1" applyFill="1" applyBorder="1" applyAlignment="1">
      <alignment horizontal="center" vertical="center" wrapText="1"/>
    </xf>
    <xf numFmtId="0" fontId="8" fillId="0" borderId="12" xfId="2" applyFont="1" applyFill="1" applyBorder="1" applyAlignment="1" quotePrefix="1">
      <alignment horizontal="center"/>
    </xf>
    <xf numFmtId="0" fontId="8" fillId="0" borderId="12" xfId="2" applyFont="1" applyFill="1" applyBorder="1" applyAlignment="1" quotePrefix="1">
      <alignment horizontal="center"/>
    </xf>
    <xf numFmtId="0" fontId="8" fillId="21" borderId="20" xfId="2" applyFont="1" applyFill="1" applyBorder="1" applyAlignment="1" quotePrefix="1">
      <alignment horizontal="center"/>
    </xf>
    <xf numFmtId="0" fontId="8" fillId="17" borderId="16" xfId="2" applyFont="1" applyFill="1" applyBorder="1" applyAlignment="1" quotePrefix="1">
      <alignment horizontal="center"/>
    </xf>
    <xf numFmtId="0" fontId="8" fillId="35" borderId="34" xfId="2" applyFont="1" applyFill="1" applyBorder="1" applyAlignment="1" quotePrefix="1">
      <alignment horizontal="center"/>
    </xf>
  </cellXfs>
  <cellStyles count="6">
    <cellStyle name="Normal" xfId="0" builtinId="0" customBuiltin="1"/>
    <cellStyle name="Comma [0]" xfId="1" builtinId="6" customBuiltin="1"/>
    <cellStyle name="Normal 26" xfId="2"/>
    <cellStyle name="Normal_April-Mei1999" xfId="3"/>
    <cellStyle name="Normal 26 2" xfId="4"/>
    <cellStyle name="Normal_Jasmed 2002" xfId="5"/>
  </cellStyles>
  <dxfs count="244"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732528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732528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732528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732528" type="1" fgLvl="100" fgClr="00C6EFCE" bgLvl="100" bgClr="FFFFFFFF"/>
            </ext>
          </extLst>
        </patternFill>
      </fill>
    </dxf>
  </dxfs>
  <tableStyles count="0"/>
  <extLst>
    <ext uri="smNativeData">
      <pm:charStyles xmlns:pm="smNativeData" id="1759732528" count="1">
        <pm:charStyle name="Normal" fontId="0" Id="1"/>
      </pm:charStyles>
      <pm:colors xmlns:pm="smNativeData" id="1759732528" count="5">
        <pm:color name="Color 24" rgb="BFBFBF"/>
        <pm:color name="Color 25" rgb="006100"/>
        <pm:color name="Color 26" rgb="C6EFCE"/>
        <pm:color name="Color 27" rgb="9C0006"/>
        <pm:color name="Color 28" rgb="FFC7C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</xdr:colOff>
      <xdr:row>7</xdr:row>
      <xdr:rowOff>47625</xdr:rowOff>
    </xdr:from>
    <xdr:to>
      <xdr:col>1</xdr:col>
      <xdr:colOff>1282700</xdr:colOff>
      <xdr:row>7</xdr:row>
      <xdr:rowOff>166370</xdr:rowOff>
    </xdr:to>
    <xdr:sp macro="">
      <xdr:nvSpPr>
        <xdr:cNvPr id="15" name="Rectangle6"/>
        <xdr:cNvSpPr>
          <a:extLst>
            <a:ext uri="smNativeData">
              <pm:smNativeData xmlns:pm="smNativeData" val="SMDATA_13_MGPjaBMAAAAlAAAAZAAAAI8BAAAAkAAAAEgAAACQAAAASAAAAAAAAAAAAAAAAAAAAAEAAABQAAAAAAAAAAAA4D8AAAAAAADgPwAAAAAAAOA/AAAAAAAA4D8AAAAAAADgPwAAAAAAAOA/AAAAAAAA4D8AAAAAAADgPwAAAAAAAOA/AAAAAAAA4D8CAAAAjAAAAAEAAAACAAAA////AAAAAAAAAAAAAAAAAM5oyWaBQGvRvDwcFb4aDmM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D48dj4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BAAAA+AAfAAcAAAABAAAAaAMYArkCAACGDAAAbwcAALsAAAAAAAAA"/>
            </a:ext>
          </a:extLst>
        </xdr:cNvSpPr>
      </xdr:nvSpPr>
      <xdr:spPr>
        <a:xfrm>
          <a:off x="442595" y="2035810"/>
          <a:ext cx="1208405" cy="118745"/>
        </a:xfrm>
        <a:prstGeom prst="rect">
          <a:avLst/>
        </a:prstGeom>
        <a:blipFill>
          <a:blip xmlns:r="http://schemas.openxmlformats.org/officeDocument/2006/relationships" r:embed="rId1"/>
          <a:srcRect/>
          <a:tile sx="100000" sy="100000" algn="tl"/>
        </a:blip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1</xdr:col>
      <xdr:colOff>3596640</xdr:colOff>
      <xdr:row>0</xdr:row>
      <xdr:rowOff>57150</xdr:rowOff>
    </xdr:from>
    <xdr:to>
      <xdr:col>1</xdr:col>
      <xdr:colOff>6812915</xdr:colOff>
      <xdr:row>2</xdr:row>
      <xdr:rowOff>133350</xdr:rowOff>
    </xdr:to>
    <xdr:sp macro="" fLocksText="0">
      <xdr:nvSpPr>
        <xdr:cNvPr id="14" name="Rectangle 1" descr="ZZA"/>
        <xdr:cNvSpPr>
          <a:extLst>
            <a:ext uri="smNativeData">
              <pm:smNativeData xmlns:pm="smNativeData" val="SMDATA_13_MGPjaBMAAAAlAAAAZAAAAI0AAAAAkAAAAEgAAACQAAAASAAAAAAAAAAAAAAAAAAAAAEAAABQAAAAAAAAAAAA4D8AAAAAAADgPwAAAAAAAOA/AAAAAAAA4D8AAAAAAADgPwAAAAAAAOA/AAAAAAAA4D8AAAAAAADgPwAAAAAAAOA/AAAAAAAA4D8CAAAAjAAAAAEAAAACAAAA////AAAAAAAAAAAAAAAAAAVTH02SnJmqkt/vLkT/nxgBAAAAeAAAAAEAAABAAAAAAAAAAAAAAAB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E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AAAAABAAAAuQDfBQIAAAABAAAAxAEfC1cRAABaAAAAAAAAAF4EAAAAAAAA"/>
            </a:ext>
          </a:extLst>
        </xdr:cNvSpPr>
      </xdr:nvSpPr>
      <xdr:spPr>
        <a:xfrm>
          <a:off x="2818765" y="57150"/>
          <a:ext cx="0" cy="709930"/>
        </a:xfrm>
        <a:prstGeom prst="rect">
          <a:avLst/>
        </a:prstGeom>
        <a:blipFill rotWithShape="1">
          <a:blip xmlns:r="http://schemas.openxmlformats.org/officeDocument/2006/relationships" r:embed="rId2"/>
          <a:srcRect/>
          <a:stretch/>
        </a:blipFill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4</xdr:col>
      <xdr:colOff>389890</xdr:colOff>
      <xdr:row>5</xdr:row>
      <xdr:rowOff>160655</xdr:rowOff>
    </xdr:from>
    <xdr:to>
      <xdr:col>6</xdr:col>
      <xdr:colOff>59055</xdr:colOff>
      <xdr:row>7</xdr:row>
      <xdr:rowOff>41910</xdr:rowOff>
    </xdr:to>
    <xdr:sp macro="">
      <xdr:nvSpPr>
        <xdr:cNvPr id="13" name="AutoShape1"/>
        <xdr:cNvSpPr>
          <a:extLst>
            <a:ext uri="smNativeData">
              <pm:smNativeData xmlns:pm="smNativeData" val="SMDATA_13_MGPjaBMAAAAlAAAAZQAAAI8BAAAAkAAAAEgAAACQAAAASAAAAAAAAAAAAAAAAAAAAAEAAABQAAAAU1VVVVVV1T8AAAAAAADgPwAAAAAAAOA/AAAAAAAA4D8AAAAAAADgPwAAAAAAAOA/AAAAAAAA4D8AAAAAAADgPwAAAAAAAOA/AAAAAAAA4D8CAAAAjAAAAAAAAAAAAAAAAAAAAAAAAAAAAAAAAAAAAAAAAAAAAAAAAAAAAAAAAAAAAAAAZAAAAAEAAABAAAAAAAAAAAAAAAAAAAAAAAAAAAAAAAAAAAAAAAAAAAAAAAAAAAAAAAAAAAAAAAAAAAAAAAAAAAAAAAAAAAAAAAAAAAAAAAAAAAAAAAAAAAAAAAAAAAAAFAAAADwAAAABAAAAAAAAAAD/AABk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G9tV2k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EAAAADQNNAwcAAAAGAAAA2gArAIkaAACwCgAAWQkAAM0BAAAAAAAA"/>
            </a:ext>
          </a:extLst>
        </xdr:cNvSpPr>
      </xdr:nvSpPr>
      <xdr:spPr>
        <a:xfrm>
          <a:off x="4313555" y="1737360"/>
          <a:ext cx="1519555" cy="292735"/>
        </a:xfrm>
        <a:prstGeom prst="roundRect">
          <a:avLst>
            <a:gd name="adj" fmla="val 16667"/>
          </a:avLst>
        </a:prstGeom>
        <a:noFill/>
        <a:ln w="63500" cap="flat">
          <a:solidFill>
            <a:srgbClr val="00FF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0</xdr:col>
      <xdr:colOff>314960</xdr:colOff>
      <xdr:row>5</xdr:row>
      <xdr:rowOff>129540</xdr:rowOff>
    </xdr:from>
    <xdr:to>
      <xdr:col>2</xdr:col>
      <xdr:colOff>52705</xdr:colOff>
      <xdr:row>7</xdr:row>
      <xdr:rowOff>43815</xdr:rowOff>
    </xdr:to>
    <xdr:sp macro="">
      <xdr:nvSpPr>
        <xdr:cNvPr id="12" name="AutoShape2"/>
        <xdr:cNvSpPr>
          <a:extLst>
            <a:ext uri="smNativeData">
              <pm:smNativeData xmlns:pm="smNativeData" val="SMDATA_13_MGPjaBMAAAAlAAAAZQAAAI8BAAAAkAAAAEgAAACQAAAASAAAAAAAAAAAAAAAAAAAAAEAAABQAAAAU1VVVVVV1T8AAAAAAADgPwAAAAAAAOA/AAAAAAAA4D8AAAAAAADgPwAAAAAAAOA/AAAAAAAA4D8AAAAAAADgPwAAAAAAAOA/AAAAAAAA4D8CAAAAjAAAAAAAAAAAAAAAAAAAAAAAAAAAAAAAAAAAAAAAAAAAAAAAAAAAAAAAAAAAAAAAZAAAAAEAAABAAAAAAAAAAAAAAAAAAAAAAAAAAAAAAAAAAAAAAAAAAAAAAAAAAAAAAAAAAAAAAAAAAAAAAAAAAAAAAAAAAAAAAAAAAAAAAAAAAAAAAAAAAAAAAAAAAAAAFAAAADwAAAABAAAAAAAAAAAA/wBk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CI+PHY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AAAAAdgJsAwcAAAACAAAA5QBWAPABAAB/CgAAug8AAAECAAAAAAAA"/>
            </a:ext>
          </a:extLst>
        </xdr:cNvSpPr>
      </xdr:nvSpPr>
      <xdr:spPr>
        <a:xfrm>
          <a:off x="314960" y="1706245"/>
          <a:ext cx="2556510" cy="325755"/>
        </a:xfrm>
        <a:prstGeom prst="roundRect">
          <a:avLst>
            <a:gd name="adj" fmla="val 16667"/>
          </a:avLst>
        </a:prstGeom>
        <a:noFill/>
        <a:ln w="63500" cap="flat">
          <a:solidFill>
            <a:srgbClr val="0000FF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1</xdr:col>
      <xdr:colOff>74295</xdr:colOff>
      <xdr:row>8</xdr:row>
      <xdr:rowOff>32385</xdr:rowOff>
    </xdr:from>
    <xdr:to>
      <xdr:col>2</xdr:col>
      <xdr:colOff>22225</xdr:colOff>
      <xdr:row>13</xdr:row>
      <xdr:rowOff>108585</xdr:rowOff>
    </xdr:to>
    <xdr:sp macro="">
      <xdr:nvSpPr>
        <xdr:cNvPr id="11" name="Legend1"/>
        <xdr:cNvSpPr>
          <a:extLst>
            <a:ext uri="smNativeData">
              <pm:smNativeData xmlns:pm="smNativeData" val="SMDATA_13_MGPjaBMAAAAlAAAA9QEAAI8BAAAAkAAAAEgAAACQAAAASAAAAAAAAAAAAAAAAAAAAAEAAABQAAAAcU3PT0Se7L9JpSwGCZf2vwAAAAAAAOA/AAAAAAAA4D8AAAAAAADgPwAAAAAAAOA/AAAAAAAA4D8AAAAAAADgPwAAAAAAAOA/AAAAAAAA4D8CAAAAjAAAAAEAAAAAAAAA////AAAAAAAAAAAAAAAAAAAAAAAAAAAAAAAAAAAAAAAAAAAAZAAAAAEAAABAAAAAAAAAAAAAAAAAAAAAAAAAAAAAAAAAAAAAAAAAAAAAAAAAAAAAAAAAAAAAAAAAAAAAAAAAAAAAAAAAAAAAAAAAAAAAAAAAAAAAAAAAAAAAAAAAAAAAFAAAADwAAAABAAAAAAAAAAAA/wBk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CM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gAAAABAAAAqwAfAA0AAAACAAAAOgIkALkCAACiDQAAwQ4AAHwGAAAAAAAA"/>
            </a:ext>
          </a:extLst>
        </xdr:cNvSpPr>
      </xdr:nvSpPr>
      <xdr:spPr>
        <a:xfrm>
          <a:off x="442595" y="2216150"/>
          <a:ext cx="2398395" cy="1054100"/>
        </a:xfrm>
        <a:prstGeom prst="wedgeRoundRectCallout">
          <a:avLst>
            <a:gd name="adj1" fmla="val -44716"/>
            <a:gd name="adj2" fmla="val -70594"/>
            <a:gd name="adj3" fmla="val 12500"/>
          </a:avLst>
        </a:prstGeom>
        <a:solidFill>
          <a:srgbClr val="FFFFFF"/>
        </a:solidFill>
        <a:ln w="63500" cap="flat">
          <a:solidFill>
            <a:srgbClr val="0000FF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t" upright="1"/>
        <a:lstStyle/>
        <a:p>
          <a:pPr algn="ctr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Roman" pitchFamily="1" charset="0"/>
              <a:cs typeface="Basic Roman" pitchFamily="1" charset="0"/>
            </a:rPr>
            <a:t>Data Pertama (NAMA PEGAWAI)</a:t>
          </a:r>
        </a:p>
        <a:p>
          <a:pPr algn="ctr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Roman" pitchFamily="1" charset="0"/>
              <a:cs typeface="Basic Roman" pitchFamily="1" charset="0"/>
            </a:rPr>
            <a:t>Pegwai pertama</a:t>
          </a:r>
        </a:p>
        <a:p>
          <a:pPr algn="ctr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Roman" pitchFamily="1" charset="0"/>
              <a:cs typeface="Basic Roman" pitchFamily="1" charset="0"/>
            </a:rPr>
            <a:t>Harus di cell</a:t>
          </a:r>
        </a:p>
        <a:p>
          <a:pPr algn="ctr" defTabSz="360045" rtl="0">
            <a:defRPr sz="1000"/>
          </a:pPr>
          <a:r>
            <a:rPr lang="en-us" sz="2400" b="1" i="0" u="none" strike="noStrike" kern="100" baseline="0">
              <a:solidFill>
                <a:srgbClr val="000000"/>
              </a:solidFill>
              <a:latin typeface="Calibri" pitchFamily="2" charset="0"/>
              <a:ea typeface="Basic Roman" pitchFamily="1" charset="0"/>
              <a:cs typeface="Basic Roman" pitchFamily="1" charset="0"/>
            </a:rPr>
            <a:t>B7</a:t>
          </a:r>
        </a:p>
      </xdr:txBody>
    </xdr:sp>
    <xdr:clientData/>
  </xdr:twoCellAnchor>
  <xdr:twoCellAnchor>
    <xdr:from>
      <xdr:col>2</xdr:col>
      <xdr:colOff>360680</xdr:colOff>
      <xdr:row>8</xdr:row>
      <xdr:rowOff>53975</xdr:rowOff>
    </xdr:from>
    <xdr:to>
      <xdr:col>5</xdr:col>
      <xdr:colOff>1166495</xdr:colOff>
      <xdr:row>13</xdr:row>
      <xdr:rowOff>130175</xdr:rowOff>
    </xdr:to>
    <xdr:sp macro="">
      <xdr:nvSpPr>
        <xdr:cNvPr id="10" name="Legend2"/>
        <xdr:cNvSpPr>
          <a:extLst>
            <a:ext uri="smNativeData">
              <pm:smNativeData xmlns:pm="smNativeData" val="SMDATA_13_MGPjaBMAAAAlAAAA9QEAAI8BAAAAkAAAAEgAAACQAAAASAAAAAAAAAAAAAAAAAAAAAEAAABQAAAADPqCvqAv4D+ktBsBKe32vwAAAAAAAOA/AAAAAAAA4D8AAAAAAADgPwAAAAAAAOA/AAAAAAAA4D8AAAAAAADgPwAAAAAAAOA/AAAAAAAA4D8CAAAAjAAAAAEAAAAAAAAA////AAAAAAAAAAAAAAAAAAAAAAAAAAAAAAAAAAAAAAAAAAAAZAAAAAEAAABAAAAAAAAAAAAAAAAAAAAAAAAAAAAAAAAAAAAAAAAAAAAAAAAAAAAAAAAAAAAAAAAAAAAAAAAAAAAAAAAAAAAAAAAAAAAAAAAAAAAAAAAAAAAAAAAAAAAAFAAAADwAAAABAAAAAAAAAAD/AABk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CI+PHY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gAAAACAAAAGwFQAg0AAAAFAAAAqwJjA48TAADEDQAAqQ4AAHwGAAAAAAAA"/>
            </a:ext>
          </a:extLst>
        </xdr:cNvSpPr>
      </xdr:nvSpPr>
      <xdr:spPr>
        <a:xfrm>
          <a:off x="3179445" y="2237740"/>
          <a:ext cx="2383155" cy="1054100"/>
        </a:xfrm>
        <a:prstGeom prst="wedgeRoundRectCallout">
          <a:avLst>
            <a:gd name="adj1" fmla="val 25291"/>
            <a:gd name="adj2" fmla="val -71645"/>
            <a:gd name="adj3" fmla="val 12500"/>
          </a:avLst>
        </a:prstGeom>
        <a:solidFill>
          <a:srgbClr val="FFFFFF"/>
        </a:solidFill>
        <a:ln w="63500" cap="flat">
          <a:solidFill>
            <a:srgbClr val="00FF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t" upright="1"/>
        <a:lstStyle/>
        <a:p>
          <a:pPr algn="ctr" defTabSz="360045" rtl="0">
            <a:defRPr sz="1000"/>
          </a:pPr>
        </a:p>
        <a:p>
          <a:pPr algn="ctr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Roman" pitchFamily="1" charset="0"/>
              <a:cs typeface="Basic Roman" pitchFamily="1" charset="0"/>
            </a:rPr>
            <a:t>NIK adalah data kunci</a:t>
          </a:r>
        </a:p>
        <a:p>
          <a:pPr algn="ctr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Roman" pitchFamily="1" charset="0"/>
              <a:cs typeface="Basic Roman" pitchFamily="1" charset="0"/>
            </a:rPr>
            <a:t>(Import Key), harus</a:t>
          </a:r>
        </a:p>
        <a:p>
          <a:pPr algn="ctr" defTabSz="360045" rtl="0">
            <a:defRPr sz="1000"/>
          </a:pPr>
          <a:r>
            <a:rPr lang="en-us" sz="1800" b="1" i="0" u="none" strike="noStrike" kern="100" baseline="0">
              <a:solidFill>
                <a:srgbClr val="000000"/>
              </a:solidFill>
              <a:latin typeface="Calibri" pitchFamily="2" charset="0"/>
              <a:ea typeface="Basic Roman" pitchFamily="1" charset="0"/>
              <a:cs typeface="Basic Roman" pitchFamily="1" charset="0"/>
            </a:rPr>
            <a:t>ADA</a:t>
          </a: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Roman" pitchFamily="1" charset="0"/>
              <a:cs typeface="Basic Roman" pitchFamily="1" charset="0"/>
            </a:rPr>
            <a:t> dan </a:t>
          </a:r>
          <a:r>
            <a:rPr lang="en-us" sz="1800" b="1" i="0" u="none" strike="noStrike" kern="100" baseline="0">
              <a:solidFill>
                <a:srgbClr val="000000"/>
              </a:solidFill>
              <a:latin typeface="Calibri" pitchFamily="2" charset="0"/>
              <a:ea typeface="Basic Roman" pitchFamily="1" charset="0"/>
              <a:cs typeface="Basic Roman" pitchFamily="1" charset="0"/>
            </a:rPr>
            <a:t>BENAR</a:t>
          </a:r>
        </a:p>
      </xdr:txBody>
    </xdr:sp>
    <xdr:clientData/>
  </xdr:twoCellAnchor>
  <xdr:twoCellAnchor>
    <xdr:from>
      <xdr:col>5</xdr:col>
      <xdr:colOff>1369695</xdr:colOff>
      <xdr:row>7</xdr:row>
      <xdr:rowOff>163195</xdr:rowOff>
    </xdr:from>
    <xdr:to>
      <xdr:col>7</xdr:col>
      <xdr:colOff>612775</xdr:colOff>
      <xdr:row>13</xdr:row>
      <xdr:rowOff>141605</xdr:rowOff>
    </xdr:to>
    <xdr:sp macro="">
      <xdr:nvSpPr>
        <xdr:cNvPr id="9" name="AutoShape3"/>
        <xdr:cNvSpPr>
          <a:extLst>
            <a:ext uri="smNativeData">
              <pm:smNativeData xmlns:pm="smNativeData" val="SMDATA_13_MGPjaBMAAAAlAAAALAEAAI8BAAAAkAAAAEgAAACQAAAASAAAAAAAAAABAAAAAAAAAAEAAABQAAAAAAAAAAAA4D8AAAAAAADgPwAAAAAAAOA/AAAAAAAA4D8AAAAAAADgPwAAAAAAAOA/AAAAAAAA4D8AAAAAAADgPwAAAAAAAOA/AAAAAAAA4D8CAAAAjAAAAAEAAAAAAAAA/8fOAAAAAAAAAAAAAAAAAAAAAAAAAAAAAAAAAAAAAAAAAAAAZAAAAAEAAABAAAAAAAAAAAAAAAAAAAAAAAAAAAAAAAAAAAAAAAAAAAAAAAAAAAAAAAAAAAAAAAAAAAAAAAAAAAAAAAAAAAAAAAAAAAAAAAAAAAAAAAAAAAAAAAAAAAAAFAAAADwAAAABAAAAAAAAAP/Hzg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KQ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FAAAAVQP6Aw0AAAAHAAAA5QIhAngjAAA8DQAAdAwAABYHAAAAAAAA"/>
            </a:ext>
          </a:extLst>
        </xdr:cNvSpPr>
      </xdr:nvSpPr>
      <xdr:spPr>
        <a:xfrm>
          <a:off x="5765800" y="2151380"/>
          <a:ext cx="2024380" cy="1151890"/>
        </a:xfrm>
        <a:prstGeom prst="flowChartProcess">
          <a:avLst/>
        </a:prstGeom>
        <a:solidFill>
          <a:srgbClr val="FFC7CE"/>
        </a:solidFill>
        <a:ln w="12700" cap="flat">
          <a:solidFill>
            <a:srgbClr val="FFC7CE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ctr" upright="1"/>
        <a:lstStyle/>
        <a:p>
          <a:pPr algn="l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Roman" pitchFamily="1" charset="0"/>
              <a:cs typeface="Basic Roman" pitchFamily="1" charset="0"/>
            </a:rPr>
            <a:t>  Peserta nomor 2 dst, dilanjut ke </a:t>
          </a:r>
        </a:p>
        <a:p>
          <a:pPr algn="l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Roman" pitchFamily="1" charset="0"/>
              <a:cs typeface="Basic Roman" pitchFamily="1" charset="0"/>
            </a:rPr>
            <a:t>  bawah dengan  jumlah baris data </a:t>
          </a:r>
        </a:p>
        <a:p>
          <a:pPr algn="l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Roman" pitchFamily="1" charset="0"/>
              <a:cs typeface="Basic Roman" pitchFamily="1" charset="0"/>
            </a:rPr>
            <a:t>  perpegawai harus sama yaitu </a:t>
          </a:r>
        </a:p>
        <a:p>
          <a:pPr algn="l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Roman" pitchFamily="1" charset="0"/>
              <a:cs typeface="Basic Roman" pitchFamily="1" charset="0"/>
            </a:rPr>
            <a:t>  1 (satu) baris.</a:t>
          </a:r>
        </a:p>
      </xdr:txBody>
    </xdr:sp>
    <xdr:clientData/>
  </xdr:twoCellAnchor>
  <xdr:twoCellAnchor>
    <xdr:from>
      <xdr:col>7</xdr:col>
      <xdr:colOff>691515</xdr:colOff>
      <xdr:row>7</xdr:row>
      <xdr:rowOff>21590</xdr:rowOff>
    </xdr:from>
    <xdr:to>
      <xdr:col>11</xdr:col>
      <xdr:colOff>71755</xdr:colOff>
      <xdr:row>13</xdr:row>
      <xdr:rowOff>130175</xdr:rowOff>
    </xdr:to>
    <xdr:sp macro="">
      <xdr:nvSpPr>
        <xdr:cNvPr id="8" name="AutoShape4"/>
        <xdr:cNvSpPr>
          <a:extLst>
            <a:ext uri="smNativeData">
              <pm:smNativeData xmlns:pm="smNativeData" val="SMDATA_13_MGPjaBMAAAAlAAAALAEAAI8BAAAAkAAAAEgAAACQAAAASAAAAAAAAAABAAAAAAAAAAEAAABQAAAAAAAAAAAA4D8AAAAAAADgPwAAAAAAAOA/AAAAAAAA4D8AAAAAAADgPwAAAAAAAOA/AAAAAAAA4D8AAAAAAADgPwAAAAAAAOA/AAAAAAAA4D8CAAAAjAAAAAEAAAAAAAAA/8fOAAAAAAAAAAAAAAAAAAAAAAAAAAAAAAAAAAAAAAAAAAAAZAAAAAEAAABAAAAAAAAAAAAAAAAAAAAAAAAAAAAAAAAAAAAAAAAAAAAAAAAAAAAAAAAAAAAAAAAAAAAAAAAAAAAAAAAAAAAAAAAAAAAAAAAAAAAAAAAAAAAAAAAAAAAAFAAAADwAAAABAAAAAAAAAP/Hzg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JK/C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HAAAAcQBnAg0AAAALAAAAqwJFAGgwAABdDAAAkxcAAOMHAAAAAAAA"/>
            </a:ext>
          </a:extLst>
        </xdr:cNvSpPr>
      </xdr:nvSpPr>
      <xdr:spPr>
        <a:xfrm>
          <a:off x="7868920" y="2009775"/>
          <a:ext cx="3832225" cy="1282065"/>
        </a:xfrm>
        <a:prstGeom prst="flowChartProcess">
          <a:avLst/>
        </a:prstGeom>
        <a:solidFill>
          <a:srgbClr val="FFC7CE"/>
        </a:solidFill>
        <a:ln w="12700" cap="flat">
          <a:solidFill>
            <a:srgbClr val="FFC7CE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ctr" upright="1"/>
        <a:lstStyle/>
        <a:p>
          <a:pPr algn="l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Sans" pitchFamily="1" charset="0"/>
              <a:cs typeface="Basic Sans" pitchFamily="1" charset="0"/>
            </a:rPr>
            <a:t>PERHATIAN: </a:t>
          </a:r>
        </a:p>
        <a:p>
          <a:pPr algn="l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Sans" pitchFamily="1" charset="0"/>
              <a:cs typeface="Basic Sans" pitchFamily="1" charset="0"/>
            </a:rPr>
            <a:t>1. Sesuaikan kolom-kolom harus sesiai dg contoh yaitu kolom A-P, </a:t>
          </a:r>
        </a:p>
        <a:p>
          <a:pPr algn="l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Sans" pitchFamily="1" charset="0"/>
              <a:cs typeface="Basic Sans" pitchFamily="1" charset="0"/>
            </a:rPr>
            <a:t>jika ada cell yg tergabung [merge, misal kolom B,C,D untuk identitas pegawai dll) harus dibuang kolom kanannya (C,D), hanya ambil kolom kiri (B)], termasuk kolom kosong paling kiri</a:t>
          </a:r>
        </a:p>
        <a:p>
          <a:pPr algn="l" defTabSz="360045" rtl="0">
            <a:defRPr sz="1000"/>
          </a:pPr>
          <a:r>
            <a:rPr lang="en-us" sz="1100" b="0" i="0" u="none" strike="noStrike" kern="100" baseline="0">
              <a:solidFill>
                <a:srgbClr val="000000"/>
              </a:solidFill>
              <a:latin typeface="Calibri" pitchFamily="2" charset="0"/>
              <a:ea typeface="Basic Sans" pitchFamily="1" charset="0"/>
              <a:cs typeface="Basic Sans" pitchFamily="1" charset="0"/>
            </a:rPr>
            <a:t>2. Buang baris kosong paling atas termasuk baris judul dokumen (baris 1 selalu untuk mulaiheader data)</a:t>
          </a:r>
        </a:p>
        <a:p>
          <a:pPr algn="l" defTabSz="360045" rtl="0">
            <a:defRPr sz="1000"/>
          </a:pPr>
        </a:p>
      </xdr:txBody>
    </xdr:sp>
    <xdr:clientData/>
  </xdr:twoCellAnchor>
  <xdr:twoCellAnchor>
    <xdr:from>
      <xdr:col>11</xdr:col>
      <xdr:colOff>157480</xdr:colOff>
      <xdr:row>7</xdr:row>
      <xdr:rowOff>141605</xdr:rowOff>
    </xdr:from>
    <xdr:to>
      <xdr:col>15</xdr:col>
      <xdr:colOff>1126490</xdr:colOff>
      <xdr:row>13</xdr:row>
      <xdr:rowOff>81280</xdr:rowOff>
    </xdr:to>
    <xdr:sp macro="" fLocksText="0">
      <xdr:nvSpPr>
        <xdr:cNvPr id="7" name="Rectangle1"/>
        <xdr:cNvSpPr>
          <a:extLst>
            <a:ext uri="smNativeData">
              <pm:smNativeData xmlns:pm="smNativeData" val="SMDATA_13_MGPjaBMAAAAlAAAAZAAAAI0AAAAAkAAAAEgAAACQAAAASAAAAAAAAAAAAAAAAAAAAAEAAABQAAAAAAAAAAAA4D8AAAAAAADgPwAAAAAAAOA/AAAAAAAA4D8AAAAAAADgPwAAAAAAAOA/AAAAAAAA4D8AAAAAAADgPwAAAAAAAOA/AAAAAAAA4D8CAAAAjAAAAAEAAAADAAAA2/ypAPT/5gAAAAAAAAAAAAAAAAAAAAAAAAAAAAAAAAAAAAAAAAAAAAAAAAAAAAAAAAAAAJz///9aAAAAAAAAAAEAAAAjAAAA4/zCAAAAAAAAAAAAAAAAAAAAAAAAAAAAAAAAAAAAAAAAAAAAAAAAAAAAAAAAAAAAAAAAAAAAAAAAAAAAFAAAADwAAAABAAAAAAAAAJm6VAAPAAAAAQAAABQAAAAUAAAAFAAAAAEAAAAAAAAAZAAAAGQAAAAAAAAAZAAAAGQAAAAVAAAAYAAAAAAAAAAAAAAAAAAAAAAAAAAAAAAAAAAAAAAAAAAAAAAAAAAAAAAAAAAAAAAAAAAAAAAAAAAAAAAAAAAAAAAAAAAAAAAAAAAAAAAAAAAAAAAAAAAAAAAAAAAAAAAAAAAAABYAAABMAAAAAQAAAAAAAAACAAAAAAAAAAEAAAAAAAAAPgAAAAAAAAAfAAAAZAAAAGQAAAAAAAAAAAAAAAAAAAAAAAAAAAAAAAAAAAAAAAAAAAAAABcAAAAUAAAAAAAAAAAAAAD/fwAA/38AAAAAAAAJAAAABAAAAAAAAAAeAAAAaAAAAAAAAAAAAAAAAAAAAAAAAAAAAAAAECcAABAnAAAAAAAAAAAAAAAAAAAAAAAAAAAAAAAAAAAAAAAAAAAAAD8AAAAAAAAAAAAAAAAAAAAAAAAAAA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LAAAA5QKYAA0AAAAPAAAAqwG3A4JIAAAaDQAA/BUAANkGAAAAAAAA"/>
            </a:ext>
          </a:extLst>
        </xdr:cNvSpPr>
      </xdr:nvSpPr>
      <xdr:spPr>
        <a:xfrm>
          <a:off x="11786870" y="2129790"/>
          <a:ext cx="3573780" cy="1113155"/>
        </a:xfrm>
        <a:prstGeom prst="rect">
          <a:avLst/>
        </a:prstGeom>
        <a:gradFill flip="none" rotWithShape="0">
          <a:gsLst>
            <a:gs pos="0">
              <a:srgbClr val="DBFCA9"/>
            </a:gs>
            <a:gs pos="35000">
              <a:srgbClr val="E3FCC2"/>
            </a:gs>
            <a:gs pos="100000">
              <a:srgbClr val="F4FFE6"/>
            </a:gs>
          </a:gsLst>
          <a:lin ang="16200000" scaled="0"/>
          <a:tileRect/>
        </a:gradFill>
        <a:ln w="9525" cap="flat">
          <a:solidFill>
            <a:srgbClr val="99BA54"/>
          </a:solidFill>
          <a:prstDash val="solid"/>
          <a:headEnd type="none" w="med" len="med"/>
          <a:tailEnd type="none" w="med" len="med"/>
        </a:ln>
        <a:effectLst>
          <a:outerShdw blurRad="40005" dist="19685" dir="5400000" algn="tr">
            <a:srgbClr val="000000">
              <a:alpha val="38000"/>
            </a:srgbClr>
          </a:outerShdw>
        </a:effectLst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en-us" sz="1000" b="0" i="0" u="none" strike="noStrike" kern="100" baseline="0">
              <a:solidFill>
                <a:srgbClr val="000000"/>
              </a:solidFill>
              <a:latin typeface="Calibri" pitchFamily="2" charset="0"/>
              <a:ea typeface="Basic Sans" pitchFamily="1" charset="0"/>
              <a:cs typeface="Basic Sans" pitchFamily="1" charset="0"/>
            </a:rPr>
            <a:t>Biru      = KODE PENGHASILAN/POTONGAN (posisi harus sama dan tidak dirubah)</a:t>
          </a:r>
        </a:p>
        <a:p>
          <a:pPr algn="l" defTabSz="360045" rtl="0">
            <a:defRPr sz="1000"/>
          </a:pPr>
          <a:r>
            <a:rPr lang="en-us" sz="1000" b="0" i="0" u="none" strike="noStrike" kern="100" baseline="0">
              <a:solidFill>
                <a:srgbClr val="000000"/>
              </a:solidFill>
              <a:latin typeface="Calibri" pitchFamily="2" charset="0"/>
              <a:ea typeface="Basic Sans" pitchFamily="1" charset="0"/>
              <a:cs typeface="Basic Sans" pitchFamily="1" charset="0"/>
            </a:rPr>
            <a:t>Hijau    = DATA PEGAWAI (yang akan dicocokan dengan data pegawai di Data Base)</a:t>
          </a:r>
        </a:p>
        <a:p>
          <a:pPr algn="l" defTabSz="360045" rtl="0">
            <a:defRPr sz="1000"/>
          </a:pPr>
          <a:r>
            <a:rPr lang="en-us" sz="1000" b="0" i="0" u="none" strike="noStrike" kern="100" baseline="0">
              <a:solidFill>
                <a:srgbClr val="000000"/>
              </a:solidFill>
              <a:latin typeface="Calibri" pitchFamily="2" charset="0"/>
              <a:ea typeface="Basic Sans" pitchFamily="1" charset="0"/>
              <a:cs typeface="Basic Sans" pitchFamily="1" charset="0"/>
            </a:rPr>
            <a:t>Kuning = NOMINAL Gaji &amp; Potongan (harus bilangan murni, tanpa pemisah ribuan manual)</a:t>
          </a:r>
        </a:p>
      </xdr:txBody>
    </xdr:sp>
    <xdr:clientData/>
  </xdr:twoCellAnchor>
  <xdr:twoCellAnchor>
    <xdr:from>
      <xdr:col>1</xdr:col>
      <xdr:colOff>86360</xdr:colOff>
      <xdr:row>6</xdr:row>
      <xdr:rowOff>41910</xdr:rowOff>
    </xdr:from>
    <xdr:to>
      <xdr:col>1</xdr:col>
      <xdr:colOff>2268855</xdr:colOff>
      <xdr:row>6</xdr:row>
      <xdr:rowOff>141605</xdr:rowOff>
    </xdr:to>
    <xdr:sp macro="">
      <xdr:nvSpPr>
        <xdr:cNvPr id="6" name="Rectangle2"/>
        <xdr:cNvSpPr>
          <a:extLst>
            <a:ext uri="smNativeData">
              <pm:smNativeData xmlns:pm="smNativeData" val="SMDATA_13_MGPjaBMAAAAlAAAAZAAAAI8BAAAAkAAAAEgAAACQAAAASAAAAAAAAAAAAAAAAAAAAAEAAABQAAAAAAAAAAAA4D8AAAAAAADgPwAAAAAAAOA/AAAAAAAA4D8AAAAAAADgPwAAAAAAAOA/AAAAAAAA4D8AAAAAAADgPwAAAAAAAOA/AAAAAAAA4D8CAAAAjAAAAAEAAAACAAAA////AAAAAAAAAAAAAAAAAM5oyWaBQGvRvDwcFb4aDmM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EBhQEI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BAAAA1QAkAAYAAAABAAAA0gK0A8wCAABBCwAAbQ0AAJ0AAAAAAAAA"/>
            </a:ext>
          </a:extLst>
        </xdr:cNvSpPr>
      </xdr:nvSpPr>
      <xdr:spPr>
        <a:xfrm>
          <a:off x="454660" y="1829435"/>
          <a:ext cx="2182495" cy="99695"/>
        </a:xfrm>
        <a:prstGeom prst="rect">
          <a:avLst/>
        </a:prstGeom>
        <a:blipFill>
          <a:blip xmlns:r="http://schemas.openxmlformats.org/officeDocument/2006/relationships" r:embed="rId1"/>
          <a:srcRect/>
          <a:tile sx="100000" sy="100000" algn="tl"/>
        </a:blip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5</xdr:col>
      <xdr:colOff>87630</xdr:colOff>
      <xdr:row>6</xdr:row>
      <xdr:rowOff>46990</xdr:rowOff>
    </xdr:from>
    <xdr:to>
      <xdr:col>5</xdr:col>
      <xdr:colOff>1297305</xdr:colOff>
      <xdr:row>6</xdr:row>
      <xdr:rowOff>139065</xdr:rowOff>
    </xdr:to>
    <xdr:sp macro="">
      <xdr:nvSpPr>
        <xdr:cNvPr id="5" name="Rectangle3"/>
        <xdr:cNvSpPr>
          <a:extLst>
            <a:ext uri="smNativeData">
              <pm:smNativeData xmlns:pm="smNativeData" val="SMDATA_13_MGPjaBMAAAAlAAAAZAAAAI8BAAAAkAAAAEgAAACQAAAASAAAAAAAAAAAAAAAAAAAAAEAAABQAAAAAAAAAAAA4D8AAAAAAADgPwAAAAAAAOA/AAAAAAAA4D8AAAAAAADgPwAAAAAAAOA/AAAAAAAA4D8AAAAAAADgPwAAAAAAAOA/AAAAAAAA4D8CAAAAjAAAAAEAAAACAAAA////AAAAAAAAAAAAAAAAAM5oyWaBQGvRvDwcFb4aDmM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P3svHE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FAAAA8ABBAAYAAAAFAAAAxgLEA5UbAABJCwAAcQcAAJEAAAAAAAAA"/>
            </a:ext>
          </a:extLst>
        </xdr:cNvSpPr>
      </xdr:nvSpPr>
      <xdr:spPr>
        <a:xfrm>
          <a:off x="4483735" y="1834515"/>
          <a:ext cx="1209675" cy="92075"/>
        </a:xfrm>
        <a:prstGeom prst="rect">
          <a:avLst/>
        </a:prstGeom>
        <a:blipFill>
          <a:blip xmlns:r="http://schemas.openxmlformats.org/officeDocument/2006/relationships" r:embed="rId1"/>
          <a:srcRect/>
          <a:tile sx="100000" sy="100000" algn="tl"/>
        </a:blip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6</xdr:col>
      <xdr:colOff>80645</xdr:colOff>
      <xdr:row>6</xdr:row>
      <xdr:rowOff>53340</xdr:rowOff>
    </xdr:from>
    <xdr:to>
      <xdr:col>6</xdr:col>
      <xdr:colOff>1290955</xdr:colOff>
      <xdr:row>6</xdr:row>
      <xdr:rowOff>172085</xdr:rowOff>
    </xdr:to>
    <xdr:sp macro="">
      <xdr:nvSpPr>
        <xdr:cNvPr id="4" name="Rectangle4"/>
        <xdr:cNvSpPr>
          <a:extLst>
            <a:ext uri="smNativeData">
              <pm:smNativeData xmlns:pm="smNativeData" val="SMDATA_13_MGPjaBMAAAAlAAAAZAAAAI8BAAAAkAAAAEgAAACQAAAASAAAAAAAAAAAAAAAAAAAAAEAAABQAAAAAAAAAAAA4D8AAAAAAADgPwAAAAAAAOA/AAAAAAAA4D8AAAAAAADgPwAAAAAAAOA/AAAAAAAA4D8AAAAAAADgPwAAAAAAAOA/AAAAAAAA4D8CAAAAjAAAAAEAAAACAAAA////AAAAAAAAAAAAAAAAAM5oyWaBQGvRvDwcFb4aDmM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o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GAAAAEAE7AAYAAAAGAAAAbQOuAwQkAABTCwAAcgcAALsAAAAAAAAA"/>
            </a:ext>
          </a:extLst>
        </xdr:cNvSpPr>
      </xdr:nvSpPr>
      <xdr:spPr>
        <a:xfrm>
          <a:off x="5854700" y="1840865"/>
          <a:ext cx="1210310" cy="118745"/>
        </a:xfrm>
        <a:prstGeom prst="rect">
          <a:avLst/>
        </a:prstGeom>
        <a:blipFill>
          <a:blip xmlns:r="http://schemas.openxmlformats.org/officeDocument/2006/relationships" r:embed="rId1"/>
          <a:srcRect/>
          <a:tile sx="100000" sy="100000" algn="tl"/>
        </a:blip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6</xdr:col>
      <xdr:colOff>93345</xdr:colOff>
      <xdr:row>7</xdr:row>
      <xdr:rowOff>22225</xdr:rowOff>
    </xdr:from>
    <xdr:to>
      <xdr:col>6</xdr:col>
      <xdr:colOff>1303020</xdr:colOff>
      <xdr:row>7</xdr:row>
      <xdr:rowOff>114300</xdr:rowOff>
    </xdr:to>
    <xdr:sp macro="">
      <xdr:nvSpPr>
        <xdr:cNvPr id="3" name="Rectangle5"/>
        <xdr:cNvSpPr>
          <a:extLst>
            <a:ext uri="smNativeData">
              <pm:smNativeData xmlns:pm="smNativeData" val="SMDATA_13_MGPjaBMAAAAlAAAAZAAAAI8BAAAAkAAAAEgAAACQAAAASAAAAAAAAAAAAAAAAAAAAAEAAABQAAAAAAAAAAAA4D8AAAAAAADgPwAAAAAAAOA/AAAAAAAA4D8AAAAAAADgPwAAAAAAAOA/AAAAAAAA4D8AAAAAAADgPwAAAAAAAOA/AAAAAAAA4D8CAAAAjAAAAAEAAAACAAAA////AAAAAAAAAAAAAAAAAM5oyWaBQGvRvDwcFb4aDmM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GAAAAdABEAAcAAAAGAAAAVgK3AxgkAABeDAAAcQcAAJEAAAAAAAAA"/>
            </a:ext>
          </a:extLst>
        </xdr:cNvSpPr>
      </xdr:nvSpPr>
      <xdr:spPr>
        <a:xfrm>
          <a:off x="5867400" y="2010410"/>
          <a:ext cx="1209675" cy="92075"/>
        </a:xfrm>
        <a:prstGeom prst="rect">
          <a:avLst/>
        </a:prstGeom>
        <a:blipFill>
          <a:blip xmlns:r="http://schemas.openxmlformats.org/officeDocument/2006/relationships" r:embed="rId1"/>
          <a:srcRect/>
          <a:tile sx="100000" sy="100000" algn="tl"/>
        </a:blip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7</xdr:col>
      <xdr:colOff>189865</xdr:colOff>
      <xdr:row>6</xdr:row>
      <xdr:rowOff>42545</xdr:rowOff>
    </xdr:from>
    <xdr:to>
      <xdr:col>7</xdr:col>
      <xdr:colOff>1012190</xdr:colOff>
      <xdr:row>6</xdr:row>
      <xdr:rowOff>134620</xdr:rowOff>
    </xdr:to>
    <xdr:sp macro="">
      <xdr:nvSpPr>
        <xdr:cNvPr id="2" name="Rectangle7"/>
        <xdr:cNvSpPr>
          <a:extLst>
            <a:ext uri="smNativeData">
              <pm:smNativeData xmlns:pm="smNativeData" val="SMDATA_13_MGPjaBMAAAAlAAAAZAAAAI8BAAAAkAAAAEgAAACQAAAASAAAAAAAAAAAAAAAAAAAAAEAAABQAAAAAAAAAAAA4D8AAAAAAADgPwAAAAAAAOA/AAAAAAAA4D8AAAAAAADgPwAAAAAAAOA/AAAAAAAA4D8AAAAAAADgPwAAAAAAAOA/AAAAAAAA4D8CAAAAjAAAAAEAAAACAAAA////AAAAAAAAAAAAAAAAAM5oyWaBQGvRvDwcFb4aDmM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CM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HAAAA2QCpAAYAAAAHAAAArwKEA1ItAABCCwAADwUAAJEAAAAAAAAA"/>
            </a:ext>
          </a:extLst>
        </xdr:cNvSpPr>
      </xdr:nvSpPr>
      <xdr:spPr>
        <a:xfrm>
          <a:off x="7367270" y="1830070"/>
          <a:ext cx="822325" cy="92075"/>
        </a:xfrm>
        <a:prstGeom prst="rect">
          <a:avLst/>
        </a:prstGeom>
        <a:blipFill>
          <a:blip xmlns:r="http://schemas.openxmlformats.org/officeDocument/2006/relationships" r:embed="rId1"/>
          <a:srcRect/>
          <a:tile sx="100000" sy="100000" algn="tl"/>
        </a:blip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R747"/>
  <sheetViews>
    <sheetView view="normal" zoomScale="70" workbookViewId="0">
      <selection activeCell="G18" sqref="G18"/>
    </sheetView>
  </sheetViews>
  <sheetFormatPr defaultRowHeight="15.40"/>
  <cols>
    <col min="1" max="1" width="4.241071" customWidth="1"/>
    <col min="2" max="2" width="81.607143" customWidth="1"/>
    <col min="3" max="3" width="7.348214" customWidth="1"/>
    <col min="4" max="4" width="5.330357" customWidth="1"/>
    <col min="5" max="5" width="5.214286" customWidth="1"/>
    <col min="6" max="6" width="17.946429" customWidth="1"/>
    <col min="7" max="7" width="19.732143" customWidth="1"/>
    <col min="8" max="8" width="12.053571" customWidth="1"/>
    <col min="9" max="10" width="18.366071" customWidth="1"/>
    <col min="11" max="12" width="15.982143" customWidth="1"/>
    <col min="13" max="15" width="7.589286" customWidth="1"/>
    <col min="16" max="16" width="18.366071" customWidth="1"/>
    <col min="17" max="17" width="10.000000" customWidth="1"/>
    <col min="18" max="18" width="4.205357" customWidth="1"/>
    <col min="19" max="16384" width="10.000000" customWidth="1"/>
  </cols>
  <sheetData>
    <row r="1" spans="1:17">
      <c r="A1" s="6"/>
      <c r="B1" s="7" t="s">
        <v>0</v>
      </c>
      <c r="C1" s="7"/>
      <c r="D1" s="7"/>
      <c r="E1" s="7"/>
      <c r="F1" s="8"/>
      <c r="G1" s="8"/>
      <c r="H1" s="8"/>
      <c r="I1" s="8"/>
      <c r="J1" s="9"/>
      <c r="K1" s="10"/>
      <c r="L1" s="10"/>
      <c r="M1" s="10"/>
      <c r="N1" s="10"/>
      <c r="O1" s="10"/>
      <c r="P1" s="10"/>
      <c r="Q1" s="7"/>
    </row>
    <row r="2" spans="1:18">
      <c r="A2" s="73"/>
      <c r="B2" s="13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R2" s="108" t="n">
        <v>0.05</v>
      </c>
    </row>
    <row r="3" spans="1:18">
      <c r="A3" s="16"/>
      <c r="B3" s="88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08" t="n">
        <v>0.15</v>
      </c>
    </row>
    <row r="4" spans="1:16">
      <c r="A4" s="19"/>
      <c r="B4" s="20"/>
      <c r="C4" s="22"/>
      <c r="D4" s="22"/>
      <c r="E4" s="22"/>
      <c r="F4" s="22"/>
      <c r="G4" s="22"/>
      <c r="H4" s="22"/>
      <c r="I4" s="24"/>
      <c r="J4" s="24"/>
      <c r="K4" s="24"/>
      <c r="L4" s="24"/>
      <c r="M4" s="24"/>
      <c r="N4" s="24"/>
      <c r="O4" s="24"/>
      <c r="P4" s="24"/>
    </row>
    <row r="5" spans="1:16">
      <c r="A5" s="89" t="s">
        <v>3</v>
      </c>
      <c r="B5" s="90" t="s">
        <v>4</v>
      </c>
      <c r="C5" s="27" t="s">
        <v>5</v>
      </c>
      <c r="D5" s="27" t="s">
        <v>6</v>
      </c>
      <c r="E5" s="27"/>
      <c r="F5" s="27" t="s">
        <v>7</v>
      </c>
      <c r="G5" s="28" t="s">
        <v>8</v>
      </c>
      <c r="H5" s="27" t="s">
        <v>9</v>
      </c>
      <c r="I5" s="91" t="s">
        <v>10</v>
      </c>
      <c r="J5" s="29" t="s">
        <v>11</v>
      </c>
      <c r="K5" s="29" t="s">
        <v>12</v>
      </c>
      <c r="L5" s="29" t="s">
        <v>13</v>
      </c>
      <c r="M5" s="29" t="s">
        <v>14</v>
      </c>
      <c r="N5" s="29" t="s">
        <v>15</v>
      </c>
      <c r="O5" s="29" t="s">
        <v>16</v>
      </c>
      <c r="P5" s="30" t="s">
        <v>17</v>
      </c>
    </row>
    <row r="6" spans="1:16">
      <c r="A6" s="92"/>
      <c r="B6" s="93"/>
      <c r="C6" s="94"/>
      <c r="D6" s="94"/>
      <c r="E6" s="94"/>
      <c r="F6" s="94"/>
      <c r="G6" s="34"/>
      <c r="H6" s="94"/>
      <c r="I6" s="95"/>
      <c r="J6" s="95"/>
      <c r="K6" s="95"/>
      <c r="L6" s="95"/>
      <c r="M6" s="95"/>
      <c r="N6" s="95"/>
      <c r="O6" s="95"/>
      <c r="P6" s="96"/>
    </row>
    <row r="7" spans="1:16">
      <c r="A7" s="37" t="n">
        <v>1</v>
      </c>
      <c r="B7" s="97" t="s">
        <v>18</v>
      </c>
      <c r="C7" s="121" t="s">
        <v>19</v>
      </c>
      <c r="D7" s="121" t="s">
        <v>20</v>
      </c>
      <c r="E7" s="121" t="s">
        <v>21</v>
      </c>
      <c r="F7" s="121" t="s">
        <v>22</v>
      </c>
      <c r="G7" s="122" t="s">
        <v>23</v>
      </c>
      <c r="H7" s="121" t="s">
        <v>24</v>
      </c>
      <c r="I7" s="99" t="n">
        <v>42051636</v>
      </c>
      <c r="J7" s="99" t="n">
        <v>42051636</v>
      </c>
      <c r="K7" s="99">
        <f>IF(C7="III",ROUND(J7*$R$2,0),IF(C7="P3K/III",ROUND(J7*$R$2,0),0))</f>
        <v>0</v>
      </c>
      <c r="L7" s="99">
        <f>IF(C7="IV",ROUND(J7*$R$3,0),0)</f>
        <v>6307745</v>
      </c>
      <c r="M7" s="99" t="n">
        <v>0</v>
      </c>
      <c r="N7" s="99" t="n">
        <v>0</v>
      </c>
      <c r="O7" s="99" t="n">
        <v>0</v>
      </c>
      <c r="P7" s="42">
        <f>I7-SUM(K7:O7)</f>
        <v>35743891</v>
      </c>
    </row>
    <row r="8" spans="1:16">
      <c r="A8" s="37" t="n">
        <v>2</v>
      </c>
      <c r="B8" s="97" t="s">
        <v>25</v>
      </c>
      <c r="C8" s="121" t="s">
        <v>19</v>
      </c>
      <c r="D8" s="121" t="s">
        <v>20</v>
      </c>
      <c r="E8" s="121" t="s">
        <v>21</v>
      </c>
      <c r="F8" s="121" t="s">
        <v>26</v>
      </c>
      <c r="G8" s="122" t="s">
        <v>27</v>
      </c>
      <c r="H8" s="121" t="s">
        <v>28</v>
      </c>
      <c r="I8" s="99" t="n">
        <v>29439466</v>
      </c>
      <c r="J8" s="99" t="n">
        <v>29439466</v>
      </c>
      <c r="K8" s="99">
        <f>IF(C8="III",ROUND(J8*$R$2,0),IF(C8="P3K/III",ROUND(J8*$R$2,0),0))</f>
        <v>0</v>
      </c>
      <c r="L8" s="99">
        <f>IF(C8="IV",ROUND(J8*$R$3,0),0)</f>
        <v>4415920</v>
      </c>
      <c r="M8" s="99" t="n">
        <v>0</v>
      </c>
      <c r="N8" s="99" t="n">
        <v>0</v>
      </c>
      <c r="O8" s="99" t="n">
        <v>0</v>
      </c>
      <c r="P8" s="42">
        <f>I8-SUM(K8:O8)</f>
        <v>25023546</v>
      </c>
    </row>
    <row r="9" spans="1:16">
      <c r="A9" s="37" t="n">
        <v>3</v>
      </c>
      <c r="B9" s="97" t="s">
        <v>29</v>
      </c>
      <c r="C9" s="121" t="s">
        <v>19</v>
      </c>
      <c r="D9" s="121" t="s">
        <v>20</v>
      </c>
      <c r="E9" s="121" t="s">
        <v>21</v>
      </c>
      <c r="F9" s="121" t="s">
        <v>30</v>
      </c>
      <c r="G9" s="122" t="s">
        <v>31</v>
      </c>
      <c r="H9" s="121" t="s">
        <v>32</v>
      </c>
      <c r="I9" s="99" t="n">
        <v>20187063</v>
      </c>
      <c r="J9" s="99" t="n">
        <v>20187063</v>
      </c>
      <c r="K9" s="99">
        <f>IF(C9="III",ROUND(J9*$R$2,0),IF(C9="P3K/III",ROUND(J9*$R$2,0),0))</f>
        <v>0</v>
      </c>
      <c r="L9" s="99">
        <f>IF(C9="IV",ROUND(J9*$R$3,0),0)</f>
        <v>3028059</v>
      </c>
      <c r="M9" s="99" t="n">
        <v>0</v>
      </c>
      <c r="N9" s="99" t="n">
        <v>0</v>
      </c>
      <c r="O9" s="99" t="n">
        <v>0</v>
      </c>
      <c r="P9" s="42">
        <f>I9-SUM(K9:O9)</f>
        <v>17159004</v>
      </c>
    </row>
    <row r="10" spans="1:16">
      <c r="A10" s="37" t="n">
        <v>4</v>
      </c>
      <c r="B10" s="97" t="s">
        <v>33</v>
      </c>
      <c r="C10" s="121" t="s">
        <v>19</v>
      </c>
      <c r="D10" s="121" t="s">
        <v>20</v>
      </c>
      <c r="E10" s="121" t="s">
        <v>21</v>
      </c>
      <c r="F10" s="121" t="s">
        <v>34</v>
      </c>
      <c r="G10" s="122" t="s">
        <v>35</v>
      </c>
      <c r="H10" s="121" t="s">
        <v>36</v>
      </c>
      <c r="I10" s="99" t="n">
        <v>16822552</v>
      </c>
      <c r="J10" s="99" t="n">
        <v>16822552</v>
      </c>
      <c r="K10" s="99">
        <f>IF(C10="III",ROUND(J10*$R$2,0),IF(C10="P3K/III",ROUND(J10*$R$2,0),0))</f>
        <v>0</v>
      </c>
      <c r="L10" s="99">
        <f>IF(C10="IV",ROUND(J10*$R$3,0),0)</f>
        <v>2523383</v>
      </c>
      <c r="M10" s="99" t="n">
        <v>0</v>
      </c>
      <c r="N10" s="99" t="n">
        <v>0</v>
      </c>
      <c r="O10" s="99" t="n">
        <v>0</v>
      </c>
      <c r="P10" s="42">
        <f>I10-SUM(K10:O10)</f>
        <v>14299169</v>
      </c>
    </row>
    <row r="11" spans="1:16">
      <c r="A11" s="37" t="n">
        <v>5</v>
      </c>
      <c r="B11" s="97" t="s">
        <v>37</v>
      </c>
      <c r="C11" s="121" t="s">
        <v>19</v>
      </c>
      <c r="D11" s="121" t="s">
        <v>20</v>
      </c>
      <c r="E11" s="121" t="s">
        <v>21</v>
      </c>
      <c r="F11" s="121" t="s">
        <v>38</v>
      </c>
      <c r="G11" s="122" t="s">
        <v>39</v>
      </c>
      <c r="H11" s="121" t="s">
        <v>40</v>
      </c>
      <c r="I11" s="99" t="n">
        <v>16822552</v>
      </c>
      <c r="J11" s="99" t="n">
        <v>16822552</v>
      </c>
      <c r="K11" s="99">
        <f>IF(C11="III",ROUND(J11*$R$2,0),IF(C11="P3K/III",ROUND(J11*$R$2,0),0))</f>
        <v>0</v>
      </c>
      <c r="L11" s="99">
        <f>IF(C11="IV",ROUND(J11*$R$3,0),0)</f>
        <v>2523383</v>
      </c>
      <c r="M11" s="99" t="n">
        <v>0</v>
      </c>
      <c r="N11" s="99" t="n">
        <v>0</v>
      </c>
      <c r="O11" s="99" t="n">
        <v>0</v>
      </c>
      <c r="P11" s="42">
        <f>I11-SUM(K11:O11)</f>
        <v>14299169</v>
      </c>
    </row>
    <row r="12" spans="1:16">
      <c r="A12" s="37" t="n">
        <v>6</v>
      </c>
      <c r="B12" s="97" t="s">
        <v>41</v>
      </c>
      <c r="C12" s="121" t="s">
        <v>19</v>
      </c>
      <c r="D12" s="121" t="s">
        <v>20</v>
      </c>
      <c r="E12" s="121" t="s">
        <v>21</v>
      </c>
      <c r="F12" s="121" t="s">
        <v>42</v>
      </c>
      <c r="G12" s="122" t="s">
        <v>43</v>
      </c>
      <c r="H12" s="121" t="s">
        <v>44</v>
      </c>
      <c r="I12" s="99" t="n">
        <v>15194563</v>
      </c>
      <c r="J12" s="99" t="n">
        <v>15194563</v>
      </c>
      <c r="K12" s="99">
        <f>IF(C12="III",ROUND(J12*$R$2,0),IF(C12="P3K/III",ROUND(J12*$R$2,0),0))</f>
        <v>0</v>
      </c>
      <c r="L12" s="99">
        <f>IF(C12="IV",ROUND(J12*$R$3,0),0)</f>
        <v>2279184</v>
      </c>
      <c r="M12" s="99" t="n">
        <v>0</v>
      </c>
      <c r="N12" s="99" t="n">
        <v>0</v>
      </c>
      <c r="O12" s="99" t="n">
        <v>0</v>
      </c>
      <c r="P12" s="42">
        <f>I12-SUM(K12:O12)</f>
        <v>12915379</v>
      </c>
    </row>
    <row r="13" spans="1:16">
      <c r="A13" s="37" t="n">
        <v>7</v>
      </c>
      <c r="B13" s="97" t="s">
        <v>45</v>
      </c>
      <c r="C13" s="121" t="s">
        <v>19</v>
      </c>
      <c r="D13" s="121" t="s">
        <v>20</v>
      </c>
      <c r="E13" s="121" t="s">
        <v>21</v>
      </c>
      <c r="F13" s="121" t="s">
        <v>46</v>
      </c>
      <c r="G13" s="122" t="s">
        <v>47</v>
      </c>
      <c r="H13" s="121" t="s">
        <v>48</v>
      </c>
      <c r="I13" s="99" t="n">
        <v>16822552</v>
      </c>
      <c r="J13" s="99" t="n">
        <v>16822552</v>
      </c>
      <c r="K13" s="99">
        <f>IF(C13="III",ROUND(J13*$R$2,0),IF(C13="P3K/III",ROUND(J13*$R$2,0),0))</f>
        <v>0</v>
      </c>
      <c r="L13" s="99">
        <f>IF(C13="IV",ROUND(J13*$R$3,0),0)</f>
        <v>2523383</v>
      </c>
      <c r="M13" s="99" t="n">
        <v>0</v>
      </c>
      <c r="N13" s="99" t="n">
        <v>0</v>
      </c>
      <c r="O13" s="99" t="n">
        <v>0</v>
      </c>
      <c r="P13" s="42">
        <f>I13-SUM(K13:O13)</f>
        <v>14299169</v>
      </c>
    </row>
    <row r="14" spans="1:16">
      <c r="A14" s="37" t="n">
        <v>8</v>
      </c>
      <c r="B14" s="97" t="s">
        <v>49</v>
      </c>
      <c r="C14" s="121" t="s">
        <v>19</v>
      </c>
      <c r="D14" s="121" t="s">
        <v>20</v>
      </c>
      <c r="E14" s="121" t="s">
        <v>21</v>
      </c>
      <c r="F14" s="121" t="s">
        <v>50</v>
      </c>
      <c r="G14" s="122" t="s">
        <v>51</v>
      </c>
      <c r="H14" s="121" t="s">
        <v>52</v>
      </c>
      <c r="I14" s="99" t="n">
        <v>16822552</v>
      </c>
      <c r="J14" s="99" t="n">
        <v>16822552</v>
      </c>
      <c r="K14" s="99">
        <f>IF(C14="III",ROUND(J14*$R$2,0),IF(C14="P3K/III",ROUND(J14*$R$2,0),0))</f>
        <v>0</v>
      </c>
      <c r="L14" s="99">
        <f>IF(C14="IV",ROUND(J14*$R$3,0),0)</f>
        <v>2523383</v>
      </c>
      <c r="M14" s="99" t="n">
        <v>0</v>
      </c>
      <c r="N14" s="99" t="n">
        <v>0</v>
      </c>
      <c r="O14" s="99" t="n">
        <v>0</v>
      </c>
      <c r="P14" s="42">
        <f>I14-SUM(K14:O14)</f>
        <v>14299169</v>
      </c>
    </row>
    <row r="15" spans="1:16">
      <c r="A15" s="37" t="n">
        <v>10</v>
      </c>
      <c r="B15" s="97" t="s">
        <v>53</v>
      </c>
      <c r="C15" s="121" t="s">
        <v>19</v>
      </c>
      <c r="D15" s="121" t="s">
        <v>20</v>
      </c>
      <c r="E15" s="121" t="s">
        <v>21</v>
      </c>
      <c r="F15" s="121" t="s">
        <v>54</v>
      </c>
      <c r="G15" s="122" t="s">
        <v>55</v>
      </c>
      <c r="H15" s="121" t="s">
        <v>56</v>
      </c>
      <c r="I15" s="99" t="n">
        <v>8818273</v>
      </c>
      <c r="J15" s="99" t="n">
        <v>8818273</v>
      </c>
      <c r="K15" s="99">
        <f>IF(C15="III",ROUND(J15*$R$2,0),IF(C15="P3K/III",ROUND(J15*$R$2,0),0))</f>
        <v>0</v>
      </c>
      <c r="L15" s="99">
        <f>IF(C15="IV",ROUND(J15*$R$3,0),0)</f>
        <v>1322741</v>
      </c>
      <c r="M15" s="99" t="n">
        <v>0</v>
      </c>
      <c r="N15" s="99" t="n">
        <v>0</v>
      </c>
      <c r="O15" s="99" t="n">
        <v>0</v>
      </c>
      <c r="P15" s="42">
        <f>I15-SUM(K15:O15)</f>
        <v>7495532</v>
      </c>
    </row>
    <row r="16" spans="1:16">
      <c r="A16" s="37" t="n">
        <v>11</v>
      </c>
      <c r="B16" s="97" t="s">
        <v>57</v>
      </c>
      <c r="C16" s="121" t="s">
        <v>58</v>
      </c>
      <c r="D16" s="121" t="s">
        <v>20</v>
      </c>
      <c r="E16" s="121" t="s">
        <v>21</v>
      </c>
      <c r="F16" s="121" t="s">
        <v>59</v>
      </c>
      <c r="G16" s="122" t="s">
        <v>60</v>
      </c>
      <c r="H16" s="121" t="s">
        <v>61</v>
      </c>
      <c r="I16" s="99" t="n">
        <v>11986068</v>
      </c>
      <c r="J16" s="99" t="n">
        <v>11986068</v>
      </c>
      <c r="K16" s="99">
        <f>IF(C16="III",ROUND(J16*$R$2,0),IF(C16="P3K/III",ROUND(J16*$R$2,0),0))</f>
        <v>599303</v>
      </c>
      <c r="L16" s="99">
        <f>IF(C16="IV",ROUND(J16*$R$3,0),0)</f>
        <v>0</v>
      </c>
      <c r="M16" s="99" t="n">
        <v>0</v>
      </c>
      <c r="N16" s="99" t="n">
        <v>0</v>
      </c>
      <c r="O16" s="99" t="n">
        <v>0</v>
      </c>
      <c r="P16" s="42">
        <f>I16-SUM(K16:O16)</f>
        <v>11386765</v>
      </c>
    </row>
    <row r="17" spans="1:16">
      <c r="A17" s="37" t="n">
        <v>12</v>
      </c>
      <c r="B17" s="97" t="s">
        <v>62</v>
      </c>
      <c r="C17" s="121" t="s">
        <v>58</v>
      </c>
      <c r="D17" s="121" t="s">
        <v>20</v>
      </c>
      <c r="E17" s="121" t="s">
        <v>21</v>
      </c>
      <c r="F17" s="121" t="s">
        <v>63</v>
      </c>
      <c r="G17" s="122" t="s">
        <v>64</v>
      </c>
      <c r="H17" s="121" t="s">
        <v>65</v>
      </c>
      <c r="I17" s="99" t="n">
        <v>13037478</v>
      </c>
      <c r="J17" s="99" t="n">
        <v>13037478</v>
      </c>
      <c r="K17" s="99">
        <f>IF(C17="III",ROUND(J17*$R$2,0),IF(C17="P3K/III",ROUND(J17*$R$2,0),0))</f>
        <v>651874</v>
      </c>
      <c r="L17" s="99">
        <f>IF(C17="IV",ROUND(J17*$R$3,0),0)</f>
        <v>0</v>
      </c>
      <c r="M17" s="99" t="n">
        <v>0</v>
      </c>
      <c r="N17" s="99" t="n">
        <v>0</v>
      </c>
      <c r="O17" s="99" t="n">
        <v>0</v>
      </c>
      <c r="P17" s="42">
        <f>I17-SUM(K17:O17)</f>
        <v>12385604</v>
      </c>
    </row>
    <row r="18" spans="1:16">
      <c r="A18" s="37" t="n">
        <v>13</v>
      </c>
      <c r="B18" s="97" t="s">
        <v>66</v>
      </c>
      <c r="C18" s="121" t="s">
        <v>58</v>
      </c>
      <c r="D18" s="121" t="s">
        <v>20</v>
      </c>
      <c r="E18" s="121" t="s">
        <v>21</v>
      </c>
      <c r="F18" s="121" t="s">
        <v>67</v>
      </c>
      <c r="G18" s="122" t="s">
        <v>68</v>
      </c>
      <c r="H18" s="121" t="s">
        <v>69</v>
      </c>
      <c r="I18" s="99" t="n">
        <v>11565505</v>
      </c>
      <c r="J18" s="99" t="n">
        <v>11565505</v>
      </c>
      <c r="K18" s="99">
        <f>IF(C18="III",ROUND(J18*$R$2,0),IF(C18="P3K/III",ROUND(J18*$R$2,0),0))</f>
        <v>578275</v>
      </c>
      <c r="L18" s="99">
        <f>IF(C18="IV",ROUND(J18*$R$3,0),0)</f>
        <v>0</v>
      </c>
      <c r="M18" s="99" t="n">
        <v>0</v>
      </c>
      <c r="N18" s="99" t="n">
        <v>0</v>
      </c>
      <c r="O18" s="99" t="n">
        <v>0</v>
      </c>
      <c r="P18" s="42">
        <f>I18-SUM(K18:O18)</f>
        <v>10987230</v>
      </c>
    </row>
    <row r="19" spans="1:16">
      <c r="A19" s="37" t="n">
        <v>14</v>
      </c>
      <c r="B19" s="97" t="s">
        <v>70</v>
      </c>
      <c r="C19" s="121" t="s">
        <v>58</v>
      </c>
      <c r="D19" s="121" t="s">
        <v>20</v>
      </c>
      <c r="E19" s="121" t="s">
        <v>21</v>
      </c>
      <c r="F19" s="121" t="s">
        <v>71</v>
      </c>
      <c r="G19" s="122" t="s">
        <v>72</v>
      </c>
      <c r="H19" s="121" t="s">
        <v>73</v>
      </c>
      <c r="I19" s="99" t="n">
        <v>8989551</v>
      </c>
      <c r="J19" s="99" t="n">
        <v>8989551</v>
      </c>
      <c r="K19" s="99">
        <f>IF(C19="III",ROUND(J19*$R$2,0),IF(C19="P3K/III",ROUND(J19*$R$2,0),0))</f>
        <v>449478</v>
      </c>
      <c r="L19" s="99">
        <f>IF(C19="IV",ROUND(J19*$R$3,0),0)</f>
        <v>0</v>
      </c>
      <c r="M19" s="99" t="n">
        <v>0</v>
      </c>
      <c r="N19" s="99" t="n">
        <v>0</v>
      </c>
      <c r="O19" s="99" t="n">
        <v>0</v>
      </c>
      <c r="P19" s="42">
        <f>I19-SUM(K19:O19)</f>
        <v>8540073</v>
      </c>
    </row>
    <row r="20" spans="1:16">
      <c r="A20" s="37" t="n">
        <v>15</v>
      </c>
      <c r="B20" s="97" t="s">
        <v>74</v>
      </c>
      <c r="C20" s="121" t="s">
        <v>58</v>
      </c>
      <c r="D20" s="121" t="s">
        <v>20</v>
      </c>
      <c r="E20" s="121" t="s">
        <v>21</v>
      </c>
      <c r="F20" s="121" t="s">
        <v>75</v>
      </c>
      <c r="G20" s="122" t="s">
        <v>76</v>
      </c>
      <c r="H20" s="121" t="s">
        <v>77</v>
      </c>
      <c r="I20" s="99" t="n">
        <v>3462642</v>
      </c>
      <c r="J20" s="99" t="n">
        <v>3462642</v>
      </c>
      <c r="K20" s="99">
        <f>IF(C20="III",ROUND(J20*$R$2,0),IF(C20="P3K/III",ROUND(J20*$R$2,0),0))</f>
        <v>173132</v>
      </c>
      <c r="L20" s="99">
        <f>IF(C20="IV",ROUND(J20*$R$3,0),0)</f>
        <v>0</v>
      </c>
      <c r="M20" s="99" t="n">
        <v>0</v>
      </c>
      <c r="N20" s="99" t="n">
        <v>0</v>
      </c>
      <c r="O20" s="99" t="n">
        <v>0</v>
      </c>
      <c r="P20" s="42">
        <f>I20-SUM(K20:O20)</f>
        <v>3289510</v>
      </c>
    </row>
    <row r="21" spans="1:16">
      <c r="A21" s="37" t="n">
        <v>16</v>
      </c>
      <c r="B21" s="97" t="s">
        <v>78</v>
      </c>
      <c r="C21" s="121" t="s">
        <v>58</v>
      </c>
      <c r="D21" s="121" t="s">
        <v>20</v>
      </c>
      <c r="E21" s="121" t="s">
        <v>21</v>
      </c>
      <c r="F21" s="121" t="s">
        <v>79</v>
      </c>
      <c r="G21" s="122" t="s">
        <v>80</v>
      </c>
      <c r="H21" s="121" t="s">
        <v>81</v>
      </c>
      <c r="I21" s="99" t="n">
        <v>8989551</v>
      </c>
      <c r="J21" s="99" t="n">
        <v>8989551</v>
      </c>
      <c r="K21" s="99">
        <f>IF(C21="III",ROUND(J21*$R$2,0),IF(C21="P3K/III",ROUND(J21*$R$2,0),0))</f>
        <v>449478</v>
      </c>
      <c r="L21" s="99">
        <f>IF(C21="IV",ROUND(J21*$R$3,0),0)</f>
        <v>0</v>
      </c>
      <c r="M21" s="99" t="n">
        <v>0</v>
      </c>
      <c r="N21" s="99" t="n">
        <v>0</v>
      </c>
      <c r="O21" s="99" t="n">
        <v>0</v>
      </c>
      <c r="P21" s="42">
        <f>I21-SUM(K21:O21)</f>
        <v>8540073</v>
      </c>
    </row>
    <row r="22" spans="1:16">
      <c r="A22" s="37" t="n">
        <v>17</v>
      </c>
      <c r="B22" s="97" t="s">
        <v>82</v>
      </c>
      <c r="C22" s="121" t="s">
        <v>19</v>
      </c>
      <c r="D22" s="121" t="s">
        <v>20</v>
      </c>
      <c r="E22" s="121" t="s">
        <v>21</v>
      </c>
      <c r="F22" s="121" t="s">
        <v>83</v>
      </c>
      <c r="G22" s="122" t="s">
        <v>84</v>
      </c>
      <c r="H22" s="121" t="s">
        <v>85</v>
      </c>
      <c r="I22" s="99" t="n">
        <v>20263976</v>
      </c>
      <c r="J22" s="99" t="n">
        <v>20263976</v>
      </c>
      <c r="K22" s="99">
        <f>IF(C22="III",ROUND(J22*$R$2,0),IF(C22="P3K/III",ROUND(J22*$R$2,0),0))</f>
        <v>0</v>
      </c>
      <c r="L22" s="99">
        <f>IF(C22="IV",ROUND(J22*$R$3,0),0)</f>
        <v>3039596</v>
      </c>
      <c r="M22" s="99" t="n">
        <v>0</v>
      </c>
      <c r="N22" s="99" t="n">
        <v>0</v>
      </c>
      <c r="O22" s="99" t="n">
        <v>0</v>
      </c>
      <c r="P22" s="42">
        <f>I22-SUM(K22:O22)</f>
        <v>17224380</v>
      </c>
    </row>
    <row r="23" spans="1:16">
      <c r="A23" s="37" t="n">
        <v>18</v>
      </c>
      <c r="B23" s="97" t="s">
        <v>86</v>
      </c>
      <c r="C23" s="121" t="s">
        <v>58</v>
      </c>
      <c r="D23" s="121" t="s">
        <v>20</v>
      </c>
      <c r="E23" s="121" t="s">
        <v>21</v>
      </c>
      <c r="F23" s="121" t="s">
        <v>87</v>
      </c>
      <c r="G23" s="122" t="s">
        <v>88</v>
      </c>
      <c r="H23" s="121" t="s">
        <v>89</v>
      </c>
      <c r="I23" s="99" t="n">
        <v>8843999</v>
      </c>
      <c r="J23" s="99" t="n">
        <v>8843999</v>
      </c>
      <c r="K23" s="99">
        <f>IF(C23="III",ROUND(J23*$R$2,0),IF(C23="P3K/III",ROUND(J23*$R$2,0),0))</f>
        <v>442200</v>
      </c>
      <c r="L23" s="99">
        <f>IF(C23="IV",ROUND(J23*$R$3,0),0)</f>
        <v>0</v>
      </c>
      <c r="M23" s="99" t="n">
        <v>0</v>
      </c>
      <c r="N23" s="99" t="n">
        <v>0</v>
      </c>
      <c r="O23" s="99" t="n">
        <v>0</v>
      </c>
      <c r="P23" s="42">
        <f>I23-SUM(K23:O23)</f>
        <v>8401799</v>
      </c>
    </row>
    <row r="24" spans="1:16">
      <c r="A24" s="37" t="n">
        <v>19</v>
      </c>
      <c r="B24" s="97" t="s">
        <v>90</v>
      </c>
      <c r="C24" s="121" t="s">
        <v>58</v>
      </c>
      <c r="D24" s="121" t="s">
        <v>20</v>
      </c>
      <c r="E24" s="121" t="s">
        <v>21</v>
      </c>
      <c r="F24" s="121" t="s">
        <v>91</v>
      </c>
      <c r="G24" s="122" t="s">
        <v>92</v>
      </c>
      <c r="H24" s="121" t="s">
        <v>93</v>
      </c>
      <c r="I24" s="99" t="n">
        <v>4205638</v>
      </c>
      <c r="J24" s="99" t="n">
        <v>4205638</v>
      </c>
      <c r="K24" s="99">
        <f>IF(C24="III",ROUND(J24*$R$2,0),IF(C24="P3K/III",ROUND(J24*$R$2,0),0))</f>
        <v>210282</v>
      </c>
      <c r="L24" s="99">
        <f>IF(C24="IV",ROUND(J24*$R$3,0),0)</f>
        <v>0</v>
      </c>
      <c r="M24" s="99" t="n">
        <v>0</v>
      </c>
      <c r="N24" s="99" t="n">
        <v>0</v>
      </c>
      <c r="O24" s="99" t="n">
        <v>0</v>
      </c>
      <c r="P24" s="42">
        <f>I24-SUM(K24:O24)</f>
        <v>3995356</v>
      </c>
    </row>
    <row r="25" spans="1:16">
      <c r="A25" s="37" t="n">
        <v>20</v>
      </c>
      <c r="B25" s="97" t="s">
        <v>94</v>
      </c>
      <c r="C25" s="121" t="s">
        <v>95</v>
      </c>
      <c r="D25" s="121" t="s">
        <v>20</v>
      </c>
      <c r="E25" s="121" t="s">
        <v>21</v>
      </c>
      <c r="F25" s="98" t="n">
        <v>0</v>
      </c>
      <c r="G25" s="122" t="s">
        <v>96</v>
      </c>
      <c r="H25" s="121" t="s">
        <v>97</v>
      </c>
      <c r="I25" s="99" t="n">
        <v>4205638</v>
      </c>
      <c r="J25" s="99" t="n">
        <v>4205638</v>
      </c>
      <c r="K25" s="99">
        <f>IF(C25="III",ROUND(J25*$R$2,0),IF(C25="P3K/III",ROUND(J25*$R$2,0),0))</f>
        <v>0</v>
      </c>
      <c r="L25" s="99">
        <f>IF(C25="IV",ROUND(J25*$R$3,0),0)</f>
        <v>0</v>
      </c>
      <c r="M25" s="99" t="n">
        <v>0</v>
      </c>
      <c r="N25" s="99" t="n">
        <v>0</v>
      </c>
      <c r="O25" s="99" t="n">
        <v>0</v>
      </c>
      <c r="P25" s="42">
        <f>I25-SUM(K25:O25)</f>
        <v>4205638</v>
      </c>
    </row>
    <row r="26" spans="1:16">
      <c r="A26" s="37" t="n">
        <v>21</v>
      </c>
      <c r="B26" s="97" t="s">
        <v>98</v>
      </c>
      <c r="C26" s="121" t="s">
        <v>58</v>
      </c>
      <c r="D26" s="121" t="s">
        <v>20</v>
      </c>
      <c r="E26" s="121" t="s">
        <v>21</v>
      </c>
      <c r="F26" s="121" t="s">
        <v>99</v>
      </c>
      <c r="G26" s="122" t="s">
        <v>100</v>
      </c>
      <c r="H26" s="121" t="s">
        <v>101</v>
      </c>
      <c r="I26" s="99" t="n">
        <v>5243029</v>
      </c>
      <c r="J26" s="99" t="n">
        <v>5243029</v>
      </c>
      <c r="K26" s="99">
        <f>IF(C26="III",ROUND(J26*$R$2,0),IF(C26="P3K/III",ROUND(J26*$R$2,0),0))</f>
        <v>262151</v>
      </c>
      <c r="L26" s="99">
        <f>IF(C26="IV",ROUND(J26*$R$3,0),0)</f>
        <v>0</v>
      </c>
      <c r="M26" s="99" t="n">
        <v>0</v>
      </c>
      <c r="N26" s="99" t="n">
        <v>0</v>
      </c>
      <c r="O26" s="99" t="n">
        <v>0</v>
      </c>
      <c r="P26" s="42">
        <f>I26-SUM(K26:O26)</f>
        <v>4980878</v>
      </c>
    </row>
    <row r="27" spans="1:16">
      <c r="A27" s="37" t="n">
        <v>22</v>
      </c>
      <c r="B27" s="97" t="s">
        <v>102</v>
      </c>
      <c r="C27" s="121" t="s">
        <v>58</v>
      </c>
      <c r="D27" s="121" t="s">
        <v>20</v>
      </c>
      <c r="E27" s="121" t="s">
        <v>21</v>
      </c>
      <c r="F27" s="121" t="s">
        <v>103</v>
      </c>
      <c r="G27" s="122" t="s">
        <v>104</v>
      </c>
      <c r="H27" s="121" t="s">
        <v>105</v>
      </c>
      <c r="I27" s="99" t="n">
        <v>3658905</v>
      </c>
      <c r="J27" s="99" t="n">
        <v>3658905</v>
      </c>
      <c r="K27" s="99">
        <f>IF(C27="III",ROUND(J27*$R$2,0),IF(C27="P3K/III",ROUND(J27*$R$2,0),0))</f>
        <v>182945</v>
      </c>
      <c r="L27" s="99">
        <f>IF(C27="IV",ROUND(J27*$R$3,0),0)</f>
        <v>0</v>
      </c>
      <c r="M27" s="99" t="n">
        <v>0</v>
      </c>
      <c r="N27" s="99" t="n">
        <v>0</v>
      </c>
      <c r="O27" s="99" t="n">
        <v>0</v>
      </c>
      <c r="P27" s="42">
        <f>I27-SUM(K27:O27)</f>
        <v>3475960</v>
      </c>
    </row>
    <row r="28" spans="1:16">
      <c r="A28" s="37" t="n">
        <v>23</v>
      </c>
      <c r="B28" s="97" t="s">
        <v>106</v>
      </c>
      <c r="C28" s="121" t="s">
        <v>58</v>
      </c>
      <c r="D28" s="121" t="s">
        <v>20</v>
      </c>
      <c r="E28" s="121" t="s">
        <v>21</v>
      </c>
      <c r="F28" s="121" t="s">
        <v>107</v>
      </c>
      <c r="G28" s="122" t="s">
        <v>108</v>
      </c>
      <c r="H28" s="121" t="s">
        <v>109</v>
      </c>
      <c r="I28" s="99" t="n">
        <v>3637877</v>
      </c>
      <c r="J28" s="99" t="n">
        <v>3637877</v>
      </c>
      <c r="K28" s="99">
        <f>IF(C28="III",ROUND(J28*$R$2,0),IF(C28="P3K/III",ROUND(J28*$R$2,0),0))</f>
        <v>181894</v>
      </c>
      <c r="L28" s="99">
        <f>IF(C28="IV",ROUND(J28*$R$3,0),0)</f>
        <v>0</v>
      </c>
      <c r="M28" s="99" t="n">
        <v>0</v>
      </c>
      <c r="N28" s="99" t="n">
        <v>0</v>
      </c>
      <c r="O28" s="99" t="n">
        <v>0</v>
      </c>
      <c r="P28" s="42">
        <f>I28-SUM(K28:O28)</f>
        <v>3455983</v>
      </c>
    </row>
    <row r="29" spans="1:16">
      <c r="A29" s="37" t="n">
        <v>24</v>
      </c>
      <c r="B29" s="97" t="s">
        <v>110</v>
      </c>
      <c r="C29" s="121" t="s">
        <v>111</v>
      </c>
      <c r="D29" s="121" t="s">
        <v>20</v>
      </c>
      <c r="E29" s="121" t="s">
        <v>21</v>
      </c>
      <c r="F29" s="121" t="s">
        <v>112</v>
      </c>
      <c r="G29" s="122" t="s">
        <v>113</v>
      </c>
      <c r="H29" s="121" t="s">
        <v>114</v>
      </c>
      <c r="I29" s="99" t="n">
        <v>2579458</v>
      </c>
      <c r="J29" s="99" t="n">
        <v>2579458</v>
      </c>
      <c r="K29" s="99">
        <f>IF(C29="III",ROUND(J29*$R$2,0),IF(C29="P3K/III",ROUND(J29*$R$2,0),0))</f>
        <v>0</v>
      </c>
      <c r="L29" s="99">
        <f>IF(C29="IV",ROUND(J29*$R$3,0),0)</f>
        <v>0</v>
      </c>
      <c r="M29" s="99" t="n">
        <v>0</v>
      </c>
      <c r="N29" s="99" t="n">
        <v>0</v>
      </c>
      <c r="O29" s="99" t="n">
        <v>0</v>
      </c>
      <c r="P29" s="42">
        <f>I29-SUM(K29:O29)</f>
        <v>2579458</v>
      </c>
    </row>
    <row r="30" spans="1:16">
      <c r="A30" s="37" t="n">
        <v>25</v>
      </c>
      <c r="B30" s="97" t="s">
        <v>115</v>
      </c>
      <c r="C30" s="121" t="s">
        <v>111</v>
      </c>
      <c r="D30" s="121" t="s">
        <v>20</v>
      </c>
      <c r="E30" s="121" t="s">
        <v>21</v>
      </c>
      <c r="F30" s="121" t="s">
        <v>116</v>
      </c>
      <c r="G30" s="122" t="s">
        <v>117</v>
      </c>
      <c r="H30" s="121" t="s">
        <v>118</v>
      </c>
      <c r="I30" s="99" t="n">
        <v>3105163</v>
      </c>
      <c r="J30" s="99" t="n">
        <v>3105163</v>
      </c>
      <c r="K30" s="99">
        <f>IF(C30="III",ROUND(J30*$R$2,0),IF(C30="P3K/III",ROUND(J30*$R$2,0),0))</f>
        <v>0</v>
      </c>
      <c r="L30" s="99">
        <f>IF(C30="IV",ROUND(J30*$R$3,0),0)</f>
        <v>0</v>
      </c>
      <c r="M30" s="99" t="n">
        <v>0</v>
      </c>
      <c r="N30" s="99" t="n">
        <v>0</v>
      </c>
      <c r="O30" s="99" t="n">
        <v>0</v>
      </c>
      <c r="P30" s="42">
        <f>I30-SUM(K30:O30)</f>
        <v>3105163</v>
      </c>
    </row>
    <row r="31" spans="1:16">
      <c r="A31" s="37" t="n">
        <v>26</v>
      </c>
      <c r="B31" s="97" t="s">
        <v>119</v>
      </c>
      <c r="C31" s="121" t="s">
        <v>120</v>
      </c>
      <c r="D31" s="121" t="s">
        <v>121</v>
      </c>
      <c r="E31" s="121" t="s">
        <v>14</v>
      </c>
      <c r="F31" s="98" t="n">
        <v>0</v>
      </c>
      <c r="G31" s="40" t="n">
        <v>0</v>
      </c>
      <c r="H31" s="121" t="s">
        <v>122</v>
      </c>
      <c r="I31" s="99" t="n">
        <v>3658905</v>
      </c>
      <c r="J31" s="99" t="n">
        <v>3658905</v>
      </c>
      <c r="K31" s="99">
        <f>IF(C31="III",ROUND(J31*$R$2,0),IF(C31="P3K/III",ROUND(J31*$R$2,0),0))</f>
        <v>0</v>
      </c>
      <c r="L31" s="99">
        <f>IF(C31="IV",ROUND(J31*$R$3,0),0)</f>
        <v>0</v>
      </c>
      <c r="M31" s="99" t="n">
        <v>0</v>
      </c>
      <c r="N31" s="99" t="n">
        <v>0</v>
      </c>
      <c r="O31" s="99" t="n">
        <v>0</v>
      </c>
      <c r="P31" s="42">
        <f>I31-SUM(K31:O31)</f>
        <v>3658905</v>
      </c>
    </row>
    <row r="32" spans="1:16">
      <c r="A32" s="37" t="n">
        <v>27</v>
      </c>
      <c r="B32" s="97" t="s">
        <v>123</v>
      </c>
      <c r="C32" s="121" t="s">
        <v>120</v>
      </c>
      <c r="D32" s="121" t="s">
        <v>124</v>
      </c>
      <c r="E32" s="121" t="s">
        <v>15</v>
      </c>
      <c r="F32" s="98" t="n">
        <v>0</v>
      </c>
      <c r="G32" s="122" t="s">
        <v>125</v>
      </c>
      <c r="H32" s="121" t="s">
        <v>126</v>
      </c>
      <c r="I32" s="99" t="n">
        <v>3105163</v>
      </c>
      <c r="J32" s="99" t="n">
        <v>3105163</v>
      </c>
      <c r="K32" s="99">
        <f>IF(C32="III",ROUND(J32*$R$2,0),IF(C32="P3K/III",ROUND(J32*$R$2,0),0))</f>
        <v>0</v>
      </c>
      <c r="L32" s="99">
        <f>IF(C32="IV",ROUND(J32*$R$3,0),0)</f>
        <v>0</v>
      </c>
      <c r="M32" s="99" t="n">
        <v>0</v>
      </c>
      <c r="N32" s="99" t="n">
        <v>0</v>
      </c>
      <c r="O32" s="99" t="n">
        <v>0</v>
      </c>
      <c r="P32" s="42">
        <f>I32-SUM(K32:O32)</f>
        <v>3105163</v>
      </c>
    </row>
    <row r="33" spans="1:16">
      <c r="A33" s="37" t="n">
        <v>28</v>
      </c>
      <c r="B33" s="97" t="s">
        <v>127</v>
      </c>
      <c r="C33" s="121" t="s">
        <v>120</v>
      </c>
      <c r="D33" s="121" t="s">
        <v>128</v>
      </c>
      <c r="E33" s="121" t="s">
        <v>15</v>
      </c>
      <c r="F33" s="98" t="n">
        <v>0</v>
      </c>
      <c r="G33" s="122" t="s">
        <v>20</v>
      </c>
      <c r="H33" s="121" t="s">
        <v>129</v>
      </c>
      <c r="I33" s="99" t="n">
        <v>3105163</v>
      </c>
      <c r="J33" s="99" t="n">
        <v>3105163</v>
      </c>
      <c r="K33" s="99">
        <f>IF(C33="III",ROUND(J33*$R$2,0),IF(C33="P3K/III",ROUND(J33*$R$2,0),0))</f>
        <v>0</v>
      </c>
      <c r="L33" s="99">
        <f>IF(C33="IV",ROUND(J33*$R$3,0),0)</f>
        <v>0</v>
      </c>
      <c r="M33" s="99" t="n">
        <v>0</v>
      </c>
      <c r="N33" s="99" t="n">
        <v>0</v>
      </c>
      <c r="O33" s="99" t="n">
        <v>0</v>
      </c>
      <c r="P33" s="42">
        <f>I33-SUM(K33:O33)</f>
        <v>3105163</v>
      </c>
    </row>
    <row r="34" spans="1:16">
      <c r="A34" s="37" t="n">
        <v>29</v>
      </c>
      <c r="B34" s="97" t="s">
        <v>130</v>
      </c>
      <c r="C34" s="121" t="s">
        <v>131</v>
      </c>
      <c r="D34" s="121" t="s">
        <v>20</v>
      </c>
      <c r="E34" s="121" t="s">
        <v>21</v>
      </c>
      <c r="F34" s="121" t="s">
        <v>132</v>
      </c>
      <c r="G34" s="122" t="s">
        <v>20</v>
      </c>
      <c r="H34" s="121" t="s">
        <v>133</v>
      </c>
      <c r="I34" s="99" t="n">
        <v>3658905</v>
      </c>
      <c r="J34" s="99" t="n">
        <v>3658905</v>
      </c>
      <c r="K34" s="99">
        <f>IF(C34="III",ROUND(J34*$R$2,0),IF(C34="P3K/III",ROUND(J34*$R$2,0),0))</f>
        <v>182945</v>
      </c>
      <c r="L34" s="99">
        <f>IF(C34="IV",ROUND(J34*$R$3,0),0)</f>
        <v>0</v>
      </c>
      <c r="M34" s="99" t="n">
        <v>0</v>
      </c>
      <c r="N34" s="99" t="n">
        <v>0</v>
      </c>
      <c r="O34" s="99" t="n">
        <v>0</v>
      </c>
      <c r="P34" s="42">
        <f>I34-SUM(K34:O34)</f>
        <v>3475960</v>
      </c>
    </row>
    <row r="35" spans="1:16">
      <c r="A35" s="37" t="n">
        <v>30</v>
      </c>
      <c r="B35" s="97" t="s">
        <v>134</v>
      </c>
      <c r="C35" s="121" t="s">
        <v>95</v>
      </c>
      <c r="D35" s="121" t="s">
        <v>124</v>
      </c>
      <c r="E35" s="121" t="s">
        <v>15</v>
      </c>
      <c r="F35" s="98" t="n">
        <v>0</v>
      </c>
      <c r="G35" s="122" t="s">
        <v>20</v>
      </c>
      <c r="H35" s="121" t="s">
        <v>135</v>
      </c>
      <c r="I35" s="99" t="n">
        <v>3448623</v>
      </c>
      <c r="J35" s="99" t="n">
        <v>3448623</v>
      </c>
      <c r="K35" s="99">
        <f>IF(C35="III",ROUND(J35*$R$2,0),IF(C35="P3K/III",ROUND(J35*$R$2,0),0))</f>
        <v>0</v>
      </c>
      <c r="L35" s="99">
        <f>IF(C35="IV",ROUND(J35*$R$3,0),0)</f>
        <v>0</v>
      </c>
      <c r="M35" s="99" t="n">
        <v>0</v>
      </c>
      <c r="N35" s="99" t="n">
        <v>0</v>
      </c>
      <c r="O35" s="99" t="n">
        <v>0</v>
      </c>
      <c r="P35" s="42">
        <f>I35-SUM(K35:O35)</f>
        <v>3448623</v>
      </c>
    </row>
    <row r="36" spans="1:16">
      <c r="A36" s="37" t="n">
        <v>31</v>
      </c>
      <c r="B36" s="97" t="s">
        <v>136</v>
      </c>
      <c r="C36" s="121" t="s">
        <v>95</v>
      </c>
      <c r="D36" s="121" t="s">
        <v>137</v>
      </c>
      <c r="E36" s="121" t="s">
        <v>14</v>
      </c>
      <c r="F36" s="98" t="n">
        <v>0</v>
      </c>
      <c r="G36" s="122" t="s">
        <v>138</v>
      </c>
      <c r="H36" s="121" t="s">
        <v>139</v>
      </c>
      <c r="I36" s="99" t="n">
        <v>3448623</v>
      </c>
      <c r="J36" s="99" t="n">
        <v>3448623</v>
      </c>
      <c r="K36" s="99">
        <f>IF(C36="III",ROUND(J36*$R$2,0),IF(C36="P3K/III",ROUND(J36*$R$2,0),0))</f>
        <v>0</v>
      </c>
      <c r="L36" s="99">
        <f>IF(C36="IV",ROUND(J36*$R$3,0),0)</f>
        <v>0</v>
      </c>
      <c r="M36" s="99" t="n">
        <v>0</v>
      </c>
      <c r="N36" s="99" t="n">
        <v>0</v>
      </c>
      <c r="O36" s="99" t="n">
        <v>0</v>
      </c>
      <c r="P36" s="42">
        <f>I36-SUM(K36:O36)</f>
        <v>3448623</v>
      </c>
    </row>
    <row r="37" spans="1:16">
      <c r="A37" s="37" t="n">
        <v>32</v>
      </c>
      <c r="B37" s="97" t="s">
        <v>140</v>
      </c>
      <c r="C37" s="121" t="s">
        <v>95</v>
      </c>
      <c r="D37" s="121" t="s">
        <v>121</v>
      </c>
      <c r="E37" s="121" t="s">
        <v>14</v>
      </c>
      <c r="F37" s="98" t="n">
        <v>0</v>
      </c>
      <c r="G37" s="122" t="s">
        <v>20</v>
      </c>
      <c r="H37" s="121" t="s">
        <v>141</v>
      </c>
      <c r="I37" s="99" t="n">
        <v>3427595</v>
      </c>
      <c r="J37" s="99" t="n">
        <v>3427595</v>
      </c>
      <c r="K37" s="99">
        <f>IF(C37="III",ROUND(J37*$R$2,0),IF(C37="P3K/III",ROUND(J37*$R$2,0),0))</f>
        <v>0</v>
      </c>
      <c r="L37" s="99">
        <f>IF(C37="IV",ROUND(J37*$R$3,0),0)</f>
        <v>0</v>
      </c>
      <c r="M37" s="99" t="n">
        <v>0</v>
      </c>
      <c r="N37" s="99" t="n">
        <v>0</v>
      </c>
      <c r="O37" s="99" t="n">
        <v>0</v>
      </c>
      <c r="P37" s="42">
        <f>I37-SUM(K37:O37)</f>
        <v>3427595</v>
      </c>
    </row>
    <row r="38" spans="1:16">
      <c r="A38" s="37" t="n">
        <v>33</v>
      </c>
      <c r="B38" s="97" t="s">
        <v>142</v>
      </c>
      <c r="C38" s="121" t="s">
        <v>95</v>
      </c>
      <c r="D38" s="121" t="s">
        <v>137</v>
      </c>
      <c r="E38" s="121" t="s">
        <v>14</v>
      </c>
      <c r="F38" s="98" t="n">
        <v>0</v>
      </c>
      <c r="G38" s="122" t="s">
        <v>20</v>
      </c>
      <c r="H38" s="121" t="s">
        <v>143</v>
      </c>
      <c r="I38" s="99" t="n">
        <v>3448623</v>
      </c>
      <c r="J38" s="99" t="n">
        <v>3448623</v>
      </c>
      <c r="K38" s="99">
        <f>IF(C38="III",ROUND(J38*$R$2,0),IF(C38="P3K/III",ROUND(J38*$R$2,0),0))</f>
        <v>0</v>
      </c>
      <c r="L38" s="99">
        <f>IF(C38="IV",ROUND(J38*$R$3,0),0)</f>
        <v>0</v>
      </c>
      <c r="M38" s="99" t="n">
        <v>0</v>
      </c>
      <c r="N38" s="99" t="n">
        <v>0</v>
      </c>
      <c r="O38" s="99" t="n">
        <v>0</v>
      </c>
      <c r="P38" s="42">
        <f>I38-SUM(K38:O38)</f>
        <v>3448623</v>
      </c>
    </row>
    <row r="39" spans="1:16">
      <c r="A39" s="37" t="n">
        <v>34</v>
      </c>
      <c r="B39" s="97" t="s">
        <v>144</v>
      </c>
      <c r="C39" s="121" t="s">
        <v>95</v>
      </c>
      <c r="D39" s="121" t="s">
        <v>137</v>
      </c>
      <c r="E39" s="121" t="s">
        <v>14</v>
      </c>
      <c r="F39" s="98" t="n">
        <v>0</v>
      </c>
      <c r="G39" s="122" t="s">
        <v>20</v>
      </c>
      <c r="H39" s="121" t="s">
        <v>145</v>
      </c>
      <c r="I39" s="99" t="n">
        <v>3427595</v>
      </c>
      <c r="J39" s="99" t="n">
        <v>3427595</v>
      </c>
      <c r="K39" s="99">
        <f>IF(C39="III",ROUND(J39*$R$2,0),IF(C39="P3K/III",ROUND(J39*$R$2,0),0))</f>
        <v>0</v>
      </c>
      <c r="L39" s="99">
        <f>IF(C39="IV",ROUND(J39*$R$3,0),0)</f>
        <v>0</v>
      </c>
      <c r="M39" s="99" t="n">
        <v>0</v>
      </c>
      <c r="N39" s="99" t="n">
        <v>0</v>
      </c>
      <c r="O39" s="99" t="n">
        <v>0</v>
      </c>
      <c r="P39" s="42">
        <f>I39-SUM(K39:O39)</f>
        <v>3427595</v>
      </c>
    </row>
    <row r="40" spans="1:16">
      <c r="A40" s="37" t="n">
        <v>35</v>
      </c>
      <c r="B40" s="97" t="s">
        <v>146</v>
      </c>
      <c r="C40" s="121" t="s">
        <v>58</v>
      </c>
      <c r="D40" s="121" t="s">
        <v>20</v>
      </c>
      <c r="E40" s="121" t="s">
        <v>21</v>
      </c>
      <c r="F40" s="121" t="s">
        <v>147</v>
      </c>
      <c r="G40" s="122" t="s">
        <v>20</v>
      </c>
      <c r="H40" s="121" t="s">
        <v>148</v>
      </c>
      <c r="I40" s="99" t="n">
        <v>4927606</v>
      </c>
      <c r="J40" s="99" t="n">
        <v>4927606</v>
      </c>
      <c r="K40" s="99">
        <f>IF(C40="III",ROUND(J40*$R$2,0),IF(C40="P3K/III",ROUND(J40*$R$2,0),0))</f>
        <v>246380</v>
      </c>
      <c r="L40" s="99">
        <f>IF(C40="IV",ROUND(J40*$R$3,0),0)</f>
        <v>0</v>
      </c>
      <c r="M40" s="99" t="n">
        <v>0</v>
      </c>
      <c r="N40" s="99" t="n">
        <v>0</v>
      </c>
      <c r="O40" s="99" t="n">
        <v>0</v>
      </c>
      <c r="P40" s="42">
        <f>I40-SUM(K40:O40)</f>
        <v>4681226</v>
      </c>
    </row>
    <row r="41" spans="1:16">
      <c r="A41" s="37" t="n">
        <v>36</v>
      </c>
      <c r="B41" s="97" t="s">
        <v>149</v>
      </c>
      <c r="C41" s="121" t="s">
        <v>58</v>
      </c>
      <c r="D41" s="121" t="s">
        <v>20</v>
      </c>
      <c r="E41" s="121" t="s">
        <v>21</v>
      </c>
      <c r="F41" s="121" t="s">
        <v>150</v>
      </c>
      <c r="G41" s="40" t="n">
        <v>0</v>
      </c>
      <c r="H41" s="121" t="s">
        <v>151</v>
      </c>
      <c r="I41" s="99" t="n">
        <v>5677611</v>
      </c>
      <c r="J41" s="99" t="n">
        <v>5677611</v>
      </c>
      <c r="K41" s="99">
        <f>IF(C41="III",ROUND(J41*$R$2,0),IF(C41="P3K/III",ROUND(J41*$R$2,0),0))</f>
        <v>283881</v>
      </c>
      <c r="L41" s="99">
        <f>IF(C41="IV",ROUND(J41*$R$3,0),0)</f>
        <v>0</v>
      </c>
      <c r="M41" s="99" t="n">
        <v>0</v>
      </c>
      <c r="N41" s="99" t="n">
        <v>0</v>
      </c>
      <c r="O41" s="99" t="n">
        <v>0</v>
      </c>
      <c r="P41" s="42">
        <f>I41-SUM(K41:O41)</f>
        <v>5393730</v>
      </c>
    </row>
    <row r="42" spans="1:16">
      <c r="A42" s="37" t="n">
        <v>37</v>
      </c>
      <c r="B42" s="97" t="s">
        <v>152</v>
      </c>
      <c r="C42" s="121" t="s">
        <v>58</v>
      </c>
      <c r="D42" s="121" t="s">
        <v>20</v>
      </c>
      <c r="E42" s="121" t="s">
        <v>21</v>
      </c>
      <c r="F42" s="121" t="s">
        <v>153</v>
      </c>
      <c r="G42" s="122" t="s">
        <v>154</v>
      </c>
      <c r="H42" s="121" t="s">
        <v>155</v>
      </c>
      <c r="I42" s="99" t="n">
        <v>4843493</v>
      </c>
      <c r="J42" s="99" t="n">
        <v>4843493</v>
      </c>
      <c r="K42" s="99">
        <f>IF(C42="III",ROUND(J42*$R$2,0),IF(C42="P3K/III",ROUND(J42*$R$2,0),0))</f>
        <v>242175</v>
      </c>
      <c r="L42" s="99">
        <f>IF(C42="IV",ROUND(J42*$R$3,0),0)</f>
        <v>0</v>
      </c>
      <c r="M42" s="99" t="n">
        <v>0</v>
      </c>
      <c r="N42" s="99" t="n">
        <v>0</v>
      </c>
      <c r="O42" s="99" t="n">
        <v>0</v>
      </c>
      <c r="P42" s="42">
        <f>I42-SUM(K42:O42)</f>
        <v>4601318</v>
      </c>
    </row>
    <row r="43" spans="1:16">
      <c r="A43" s="37" t="n">
        <v>38</v>
      </c>
      <c r="B43" s="97" t="s">
        <v>156</v>
      </c>
      <c r="C43" s="121" t="s">
        <v>58</v>
      </c>
      <c r="D43" s="121" t="s">
        <v>20</v>
      </c>
      <c r="E43" s="121" t="s">
        <v>21</v>
      </c>
      <c r="F43" s="121" t="s">
        <v>157</v>
      </c>
      <c r="G43" s="122" t="s">
        <v>158</v>
      </c>
      <c r="H43" s="121" t="s">
        <v>159</v>
      </c>
      <c r="I43" s="99" t="n">
        <v>4584145</v>
      </c>
      <c r="J43" s="99" t="n">
        <v>4584145</v>
      </c>
      <c r="K43" s="99">
        <f>IF(C43="III",ROUND(J43*$R$2,0),IF(C43="P3K/III",ROUND(J43*$R$2,0),0))</f>
        <v>229207</v>
      </c>
      <c r="L43" s="99">
        <f>IF(C43="IV",ROUND(J43*$R$3,0),0)</f>
        <v>0</v>
      </c>
      <c r="M43" s="99" t="n">
        <v>0</v>
      </c>
      <c r="N43" s="99" t="n">
        <v>0</v>
      </c>
      <c r="O43" s="99" t="n">
        <v>0</v>
      </c>
      <c r="P43" s="42">
        <f>I43-SUM(K43:O43)</f>
        <v>4354938</v>
      </c>
    </row>
    <row r="44" spans="1:16">
      <c r="A44" s="37" t="n">
        <v>39</v>
      </c>
      <c r="B44" s="97" t="s">
        <v>160</v>
      </c>
      <c r="C44" s="121" t="s">
        <v>58</v>
      </c>
      <c r="D44" s="121" t="s">
        <v>20</v>
      </c>
      <c r="E44" s="121" t="s">
        <v>21</v>
      </c>
      <c r="F44" s="121" t="s">
        <v>161</v>
      </c>
      <c r="G44" s="122" t="s">
        <v>162</v>
      </c>
      <c r="H44" s="121" t="s">
        <v>163</v>
      </c>
      <c r="I44" s="99" t="n">
        <v>2418242</v>
      </c>
      <c r="J44" s="99" t="n">
        <v>2418242</v>
      </c>
      <c r="K44" s="99">
        <f>IF(C44="III",ROUND(J44*$R$2,0),IF(C44="P3K/III",ROUND(J44*$R$2,0),0))</f>
        <v>120912</v>
      </c>
      <c r="L44" s="99">
        <f>IF(C44="IV",ROUND(J44*$R$3,0),0)</f>
        <v>0</v>
      </c>
      <c r="M44" s="99" t="n">
        <v>0</v>
      </c>
      <c r="N44" s="99" t="n">
        <v>0</v>
      </c>
      <c r="O44" s="99" t="n">
        <v>0</v>
      </c>
      <c r="P44" s="42">
        <f>I44-SUM(K44:O44)</f>
        <v>2297330</v>
      </c>
    </row>
    <row r="45" spans="1:16">
      <c r="A45" s="37" t="n">
        <v>40</v>
      </c>
      <c r="B45" s="97" t="s">
        <v>164</v>
      </c>
      <c r="C45" s="121" t="s">
        <v>58</v>
      </c>
      <c r="D45" s="121" t="s">
        <v>20</v>
      </c>
      <c r="E45" s="121" t="s">
        <v>21</v>
      </c>
      <c r="F45" s="121" t="s">
        <v>165</v>
      </c>
      <c r="G45" s="122" t="s">
        <v>166</v>
      </c>
      <c r="H45" s="121" t="s">
        <v>167</v>
      </c>
      <c r="I45" s="99" t="n">
        <v>2642543</v>
      </c>
      <c r="J45" s="99" t="n">
        <v>2642543</v>
      </c>
      <c r="K45" s="99">
        <f>IF(C45="III",ROUND(J45*$R$2,0),IF(C45="P3K/III",ROUND(J45*$R$2,0),0))</f>
        <v>132127</v>
      </c>
      <c r="L45" s="99">
        <f>IF(C45="IV",ROUND(J45*$R$3,0),0)</f>
        <v>0</v>
      </c>
      <c r="M45" s="99" t="n">
        <v>0</v>
      </c>
      <c r="N45" s="99" t="n">
        <v>0</v>
      </c>
      <c r="O45" s="99" t="n">
        <v>0</v>
      </c>
      <c r="P45" s="42">
        <f>I45-SUM(K45:O45)</f>
        <v>2510416</v>
      </c>
    </row>
    <row r="46" spans="1:16">
      <c r="A46" s="37" t="n">
        <v>41</v>
      </c>
      <c r="B46" s="97" t="s">
        <v>168</v>
      </c>
      <c r="C46" s="121" t="s">
        <v>58</v>
      </c>
      <c r="D46" s="121" t="s">
        <v>20</v>
      </c>
      <c r="E46" s="121" t="s">
        <v>21</v>
      </c>
      <c r="F46" s="121" t="s">
        <v>169</v>
      </c>
      <c r="G46" s="122" t="s">
        <v>170</v>
      </c>
      <c r="H46" s="121" t="s">
        <v>171</v>
      </c>
      <c r="I46" s="99" t="n">
        <v>2558430</v>
      </c>
      <c r="J46" s="99" t="n">
        <v>2558430</v>
      </c>
      <c r="K46" s="99">
        <f>IF(C46="III",ROUND(J46*$R$2,0),IF(C46="P3K/III",ROUND(J46*$R$2,0),0))</f>
        <v>127922</v>
      </c>
      <c r="L46" s="99">
        <f>IF(C46="IV",ROUND(J46*$R$3,0),0)</f>
        <v>0</v>
      </c>
      <c r="M46" s="99" t="n">
        <v>0</v>
      </c>
      <c r="N46" s="99" t="n">
        <v>0</v>
      </c>
      <c r="O46" s="99" t="n">
        <v>0</v>
      </c>
      <c r="P46" s="42">
        <f>I46-SUM(K46:O46)</f>
        <v>2430508</v>
      </c>
    </row>
    <row r="47" spans="1:16">
      <c r="A47" s="37" t="n">
        <v>43</v>
      </c>
      <c r="B47" s="97" t="s">
        <v>172</v>
      </c>
      <c r="C47" s="121" t="s">
        <v>111</v>
      </c>
      <c r="D47" s="121" t="s">
        <v>20</v>
      </c>
      <c r="E47" s="121" t="s">
        <v>21</v>
      </c>
      <c r="F47" s="121" t="s">
        <v>173</v>
      </c>
      <c r="G47" s="122" t="s">
        <v>174</v>
      </c>
      <c r="H47" s="121" t="s">
        <v>175</v>
      </c>
      <c r="I47" s="99" t="n">
        <v>2789740</v>
      </c>
      <c r="J47" s="99" t="n">
        <v>2789740</v>
      </c>
      <c r="K47" s="99">
        <f>IF(C47="III",ROUND(J47*$R$2,0),IF(C47="P3K/III",ROUND(J47*$R$2,0),0))</f>
        <v>0</v>
      </c>
      <c r="L47" s="99">
        <f>IF(C47="IV",ROUND(J47*$R$3,0),0)</f>
        <v>0</v>
      </c>
      <c r="M47" s="99" t="n">
        <v>0</v>
      </c>
      <c r="N47" s="99" t="n">
        <v>0</v>
      </c>
      <c r="O47" s="99" t="n">
        <v>0</v>
      </c>
      <c r="P47" s="42">
        <f>I47-SUM(K47:O47)</f>
        <v>2789740</v>
      </c>
    </row>
    <row r="48" spans="1:16">
      <c r="A48" s="37" t="n">
        <v>44</v>
      </c>
      <c r="B48" s="97" t="s">
        <v>176</v>
      </c>
      <c r="C48" s="121" t="s">
        <v>58</v>
      </c>
      <c r="D48" s="121" t="s">
        <v>20</v>
      </c>
      <c r="E48" s="121" t="s">
        <v>21</v>
      </c>
      <c r="F48" s="121" t="s">
        <v>177</v>
      </c>
      <c r="G48" s="122" t="s">
        <v>178</v>
      </c>
      <c r="H48" s="121" t="s">
        <v>179</v>
      </c>
      <c r="I48" s="99" t="n">
        <v>2558430</v>
      </c>
      <c r="J48" s="99" t="n">
        <v>2558430</v>
      </c>
      <c r="K48" s="99">
        <f>IF(C48="III",ROUND(J48*$R$2,0),IF(C48="P3K/III",ROUND(J48*$R$2,0),0))</f>
        <v>127922</v>
      </c>
      <c r="L48" s="99">
        <f>IF(C48="IV",ROUND(J48*$R$3,0),0)</f>
        <v>0</v>
      </c>
      <c r="M48" s="99" t="n">
        <v>0</v>
      </c>
      <c r="N48" s="99" t="n">
        <v>0</v>
      </c>
      <c r="O48" s="99" t="n">
        <v>0</v>
      </c>
      <c r="P48" s="42">
        <f>I48-SUM(K48:O48)</f>
        <v>2430508</v>
      </c>
    </row>
    <row r="49" spans="1:16">
      <c r="A49" s="37" t="n">
        <v>45</v>
      </c>
      <c r="B49" s="97" t="s">
        <v>180</v>
      </c>
      <c r="C49" s="121" t="s">
        <v>120</v>
      </c>
      <c r="D49" s="121" t="s">
        <v>137</v>
      </c>
      <c r="E49" s="121" t="s">
        <v>14</v>
      </c>
      <c r="F49" s="98" t="n">
        <v>0</v>
      </c>
      <c r="G49" s="122" t="s">
        <v>181</v>
      </c>
      <c r="H49" s="121" t="s">
        <v>182</v>
      </c>
      <c r="I49" s="99" t="n">
        <v>2831796</v>
      </c>
      <c r="J49" s="99" t="n">
        <v>2831796</v>
      </c>
      <c r="K49" s="99">
        <f>IF(C49="III",ROUND(J49*$R$2,0),IF(C49="P3K/III",ROUND(J49*$R$2,0),0))</f>
        <v>0</v>
      </c>
      <c r="L49" s="99">
        <f>IF(C49="IV",ROUND(J49*$R$3,0),0)</f>
        <v>0</v>
      </c>
      <c r="M49" s="99" t="n">
        <v>0</v>
      </c>
      <c r="N49" s="99" t="n">
        <v>0</v>
      </c>
      <c r="O49" s="99" t="n">
        <v>0</v>
      </c>
      <c r="P49" s="42">
        <f>I49-SUM(K49:O49)</f>
        <v>2831796</v>
      </c>
    </row>
    <row r="50" spans="1:16">
      <c r="A50" s="37" t="n">
        <v>46</v>
      </c>
      <c r="B50" s="97" t="s">
        <v>183</v>
      </c>
      <c r="C50" s="121" t="s">
        <v>120</v>
      </c>
      <c r="D50" s="121" t="s">
        <v>128</v>
      </c>
      <c r="E50" s="121" t="s">
        <v>15</v>
      </c>
      <c r="F50" s="98" t="n">
        <v>0</v>
      </c>
      <c r="G50" s="122" t="s">
        <v>184</v>
      </c>
      <c r="H50" s="121" t="s">
        <v>185</v>
      </c>
      <c r="I50" s="99" t="n">
        <v>2642543</v>
      </c>
      <c r="J50" s="99" t="n">
        <v>2642543</v>
      </c>
      <c r="K50" s="99">
        <f>IF(C50="III",ROUND(J50*$R$2,0),IF(C50="P3K/III",ROUND(J50*$R$2,0),0))</f>
        <v>0</v>
      </c>
      <c r="L50" s="99">
        <f>IF(C50="IV",ROUND(J50*$R$3,0),0)</f>
        <v>0</v>
      </c>
      <c r="M50" s="99" t="n">
        <v>0</v>
      </c>
      <c r="N50" s="99" t="n">
        <v>0</v>
      </c>
      <c r="O50" s="99" t="n">
        <v>0</v>
      </c>
      <c r="P50" s="42">
        <f>I50-SUM(K50:O50)</f>
        <v>2642543</v>
      </c>
    </row>
    <row r="51" spans="1:16">
      <c r="A51" s="37" t="n">
        <v>47</v>
      </c>
      <c r="B51" s="97" t="s">
        <v>186</v>
      </c>
      <c r="C51" s="121" t="s">
        <v>120</v>
      </c>
      <c r="D51" s="121" t="s">
        <v>187</v>
      </c>
      <c r="E51" s="121" t="s">
        <v>14</v>
      </c>
      <c r="F51" s="98" t="n">
        <v>0</v>
      </c>
      <c r="G51" s="122" t="s">
        <v>20</v>
      </c>
      <c r="H51" s="121" t="s">
        <v>188</v>
      </c>
      <c r="I51" s="99" t="n">
        <v>2642543</v>
      </c>
      <c r="J51" s="99" t="n">
        <v>2642543</v>
      </c>
      <c r="K51" s="99">
        <f>IF(C51="III",ROUND(J51*$R$2,0),IF(C51="P3K/III",ROUND(J51*$R$2,0),0))</f>
        <v>0</v>
      </c>
      <c r="L51" s="99">
        <f>IF(C51="IV",ROUND(J51*$R$3,0),0)</f>
        <v>0</v>
      </c>
      <c r="M51" s="99" t="n">
        <v>0</v>
      </c>
      <c r="N51" s="99" t="n">
        <v>0</v>
      </c>
      <c r="O51" s="99" t="n">
        <v>0</v>
      </c>
      <c r="P51" s="42">
        <f>I51-SUM(K51:O51)</f>
        <v>2642543</v>
      </c>
    </row>
    <row r="52" spans="1:16">
      <c r="A52" s="37" t="n">
        <v>48</v>
      </c>
      <c r="B52" s="97" t="s">
        <v>189</v>
      </c>
      <c r="C52" s="121" t="s">
        <v>120</v>
      </c>
      <c r="D52" s="121" t="s">
        <v>128</v>
      </c>
      <c r="E52" s="121" t="s">
        <v>15</v>
      </c>
      <c r="F52" s="98" t="n">
        <v>0</v>
      </c>
      <c r="G52" s="122" t="s">
        <v>20</v>
      </c>
      <c r="H52" s="121" t="s">
        <v>190</v>
      </c>
      <c r="I52" s="99" t="n">
        <v>2495345</v>
      </c>
      <c r="J52" s="99" t="n">
        <v>2495345</v>
      </c>
      <c r="K52" s="99">
        <f>IF(C52="III",ROUND(J52*$R$2,0),IF(C52="P3K/III",ROUND(J52*$R$2,0),0))</f>
        <v>0</v>
      </c>
      <c r="L52" s="99">
        <f>IF(C52="IV",ROUND(J52*$R$3,0),0)</f>
        <v>0</v>
      </c>
      <c r="M52" s="99" t="n">
        <v>0</v>
      </c>
      <c r="N52" s="99" t="n">
        <v>0</v>
      </c>
      <c r="O52" s="99" t="n">
        <v>0</v>
      </c>
      <c r="P52" s="42">
        <f>I52-SUM(K52:O52)</f>
        <v>2495345</v>
      </c>
    </row>
    <row r="53" spans="1:16">
      <c r="A53" s="37" t="n">
        <v>49</v>
      </c>
      <c r="B53" s="97" t="s">
        <v>191</v>
      </c>
      <c r="C53" s="121" t="s">
        <v>120</v>
      </c>
      <c r="D53" s="121" t="s">
        <v>128</v>
      </c>
      <c r="E53" s="121" t="s">
        <v>15</v>
      </c>
      <c r="F53" s="98" t="n">
        <v>0</v>
      </c>
      <c r="G53" s="122" t="s">
        <v>20</v>
      </c>
      <c r="H53" s="121" t="s">
        <v>192</v>
      </c>
      <c r="I53" s="99" t="n">
        <v>2579458</v>
      </c>
      <c r="J53" s="99" t="n">
        <v>2579458</v>
      </c>
      <c r="K53" s="99">
        <f>IF(C53="III",ROUND(J53*$R$2,0),IF(C53="P3K/III",ROUND(J53*$R$2,0),0))</f>
        <v>0</v>
      </c>
      <c r="L53" s="99">
        <f>IF(C53="IV",ROUND(J53*$R$3,0),0)</f>
        <v>0</v>
      </c>
      <c r="M53" s="99" t="n">
        <v>0</v>
      </c>
      <c r="N53" s="99" t="n">
        <v>0</v>
      </c>
      <c r="O53" s="99" t="n">
        <v>0</v>
      </c>
      <c r="P53" s="42">
        <f>I53-SUM(K53:O53)</f>
        <v>2579458</v>
      </c>
    </row>
    <row r="54" spans="1:16">
      <c r="A54" s="37" t="n">
        <v>50</v>
      </c>
      <c r="B54" s="97" t="s">
        <v>193</v>
      </c>
      <c r="C54" s="121" t="s">
        <v>95</v>
      </c>
      <c r="D54" s="121" t="s">
        <v>128</v>
      </c>
      <c r="E54" s="121" t="s">
        <v>15</v>
      </c>
      <c r="F54" s="98" t="n">
        <v>0</v>
      </c>
      <c r="G54" s="122" t="s">
        <v>20</v>
      </c>
      <c r="H54" s="121" t="s">
        <v>194</v>
      </c>
      <c r="I54" s="99" t="n">
        <v>2635533</v>
      </c>
      <c r="J54" s="99" t="n">
        <v>2635533</v>
      </c>
      <c r="K54" s="99">
        <f>IF(C54="III",ROUND(J54*$R$2,0),IF(C54="P3K/III",ROUND(J54*$R$2,0),0))</f>
        <v>0</v>
      </c>
      <c r="L54" s="99">
        <f>IF(C54="IV",ROUND(J54*$R$3,0),0)</f>
        <v>0</v>
      </c>
      <c r="M54" s="99" t="n">
        <v>0</v>
      </c>
      <c r="N54" s="99" t="n">
        <v>0</v>
      </c>
      <c r="O54" s="99" t="n">
        <v>0</v>
      </c>
      <c r="P54" s="42">
        <f>I54-SUM(K54:O54)</f>
        <v>2635533</v>
      </c>
    </row>
    <row r="55" spans="1:16">
      <c r="A55" s="37" t="n">
        <v>51</v>
      </c>
      <c r="B55" s="97" t="s">
        <v>195</v>
      </c>
      <c r="C55" s="121" t="s">
        <v>95</v>
      </c>
      <c r="D55" s="121" t="s">
        <v>121</v>
      </c>
      <c r="E55" s="121" t="s">
        <v>14</v>
      </c>
      <c r="F55" s="98" t="n">
        <v>0</v>
      </c>
      <c r="G55" s="122" t="s">
        <v>20</v>
      </c>
      <c r="H55" s="121" t="s">
        <v>196</v>
      </c>
      <c r="I55" s="99" t="n">
        <v>2292073</v>
      </c>
      <c r="J55" s="99" t="n">
        <v>2292073</v>
      </c>
      <c r="K55" s="99">
        <f>IF(C55="III",ROUND(J55*$R$2,0),IF(C55="P3K/III",ROUND(J55*$R$2,0),0))</f>
        <v>0</v>
      </c>
      <c r="L55" s="99">
        <f>IF(C55="IV",ROUND(J55*$R$3,0),0)</f>
        <v>0</v>
      </c>
      <c r="M55" s="99" t="n">
        <v>0</v>
      </c>
      <c r="N55" s="99" t="n">
        <v>0</v>
      </c>
      <c r="O55" s="99" t="n">
        <v>0</v>
      </c>
      <c r="P55" s="42">
        <f>I55-SUM(K55:O55)</f>
        <v>2292073</v>
      </c>
    </row>
    <row r="56" spans="1:16">
      <c r="A56" s="37" t="n">
        <v>52</v>
      </c>
      <c r="B56" s="97" t="s">
        <v>197</v>
      </c>
      <c r="C56" s="121" t="s">
        <v>95</v>
      </c>
      <c r="D56" s="121" t="s">
        <v>137</v>
      </c>
      <c r="E56" s="121" t="s">
        <v>14</v>
      </c>
      <c r="F56" s="98" t="n">
        <v>0</v>
      </c>
      <c r="G56" s="122" t="s">
        <v>198</v>
      </c>
      <c r="H56" s="121" t="s">
        <v>199</v>
      </c>
      <c r="I56" s="99" t="n">
        <v>2642543</v>
      </c>
      <c r="J56" s="99" t="n">
        <v>2642543</v>
      </c>
      <c r="K56" s="99">
        <f>IF(C56="III",ROUND(J56*$R$2,0),IF(C56="P3K/III",ROUND(J56*$R$2,0),0))</f>
        <v>0</v>
      </c>
      <c r="L56" s="99">
        <f>IF(C56="IV",ROUND(J56*$R$3,0),0)</f>
        <v>0</v>
      </c>
      <c r="M56" s="99" t="n">
        <v>0</v>
      </c>
      <c r="N56" s="99" t="n">
        <v>0</v>
      </c>
      <c r="O56" s="99" t="n">
        <v>0</v>
      </c>
      <c r="P56" s="42">
        <f>I56-SUM(K56:O56)</f>
        <v>2642543</v>
      </c>
    </row>
    <row r="57" spans="1:16">
      <c r="A57" s="37" t="n">
        <v>53</v>
      </c>
      <c r="B57" s="97" t="s">
        <v>200</v>
      </c>
      <c r="C57" s="121" t="s">
        <v>58</v>
      </c>
      <c r="D57" s="121" t="s">
        <v>20</v>
      </c>
      <c r="E57" s="121" t="s">
        <v>21</v>
      </c>
      <c r="F57" s="121" t="s">
        <v>201</v>
      </c>
      <c r="G57" s="122" t="s">
        <v>202</v>
      </c>
      <c r="H57" s="121" t="s">
        <v>203</v>
      </c>
      <c r="I57" s="99" t="n">
        <v>3644886</v>
      </c>
      <c r="J57" s="99" t="n">
        <v>3644886</v>
      </c>
      <c r="K57" s="99">
        <f>IF(C57="III",ROUND(J57*$R$2,0),IF(C57="P3K/III",ROUND(J57*$R$2,0),0))</f>
        <v>182244</v>
      </c>
      <c r="L57" s="99">
        <f>IF(C57="IV",ROUND(J57*$R$3,0),0)</f>
        <v>0</v>
      </c>
      <c r="M57" s="99" t="n">
        <v>0</v>
      </c>
      <c r="N57" s="99" t="n">
        <v>0</v>
      </c>
      <c r="O57" s="99" t="n">
        <v>0</v>
      </c>
      <c r="P57" s="42">
        <f>I57-SUM(K57:O57)</f>
        <v>3462642</v>
      </c>
    </row>
    <row r="58" spans="1:16">
      <c r="A58" s="37" t="n">
        <v>54</v>
      </c>
      <c r="B58" s="97" t="s">
        <v>204</v>
      </c>
      <c r="C58" s="121" t="s">
        <v>58</v>
      </c>
      <c r="D58" s="121" t="s">
        <v>20</v>
      </c>
      <c r="E58" s="121" t="s">
        <v>21</v>
      </c>
      <c r="F58" s="121" t="s">
        <v>205</v>
      </c>
      <c r="G58" s="122" t="s">
        <v>206</v>
      </c>
      <c r="H58" s="121" t="s">
        <v>207</v>
      </c>
      <c r="I58" s="99" t="n">
        <v>3897225</v>
      </c>
      <c r="J58" s="99" t="n">
        <v>3897225</v>
      </c>
      <c r="K58" s="99">
        <f>IF(C58="III",ROUND(J58*$R$2,0),IF(C58="P3K/III",ROUND(J58*$R$2,0),0))</f>
        <v>194861</v>
      </c>
      <c r="L58" s="99">
        <f>IF(C58="IV",ROUND(J58*$R$3,0),0)</f>
        <v>0</v>
      </c>
      <c r="M58" s="99" t="n">
        <v>0</v>
      </c>
      <c r="N58" s="99" t="n">
        <v>0</v>
      </c>
      <c r="O58" s="99" t="n">
        <v>0</v>
      </c>
      <c r="P58" s="42">
        <f>I58-SUM(K58:O58)</f>
        <v>3702364</v>
      </c>
    </row>
    <row r="59" spans="1:16">
      <c r="A59" s="37" t="n">
        <v>55</v>
      </c>
      <c r="B59" s="97" t="s">
        <v>208</v>
      </c>
      <c r="C59" s="121" t="s">
        <v>58</v>
      </c>
      <c r="D59" s="121" t="s">
        <v>20</v>
      </c>
      <c r="E59" s="121" t="s">
        <v>21</v>
      </c>
      <c r="F59" s="121" t="s">
        <v>209</v>
      </c>
      <c r="G59" s="122" t="s">
        <v>210</v>
      </c>
      <c r="H59" s="121" t="s">
        <v>211</v>
      </c>
      <c r="I59" s="99" t="n">
        <v>2684599</v>
      </c>
      <c r="J59" s="99" t="n">
        <v>2684599</v>
      </c>
      <c r="K59" s="99">
        <f>IF(C59="III",ROUND(J59*$R$2,0),IF(C59="P3K/III",ROUND(J59*$R$2,0),0))</f>
        <v>134230</v>
      </c>
      <c r="L59" s="99">
        <f>IF(C59="IV",ROUND(J59*$R$3,0),0)</f>
        <v>0</v>
      </c>
      <c r="M59" s="99" t="n">
        <v>0</v>
      </c>
      <c r="N59" s="99" t="n">
        <v>0</v>
      </c>
      <c r="O59" s="99" t="n">
        <v>0</v>
      </c>
      <c r="P59" s="42">
        <f>I59-SUM(K59:O59)</f>
        <v>2550369</v>
      </c>
    </row>
    <row r="60" spans="1:16">
      <c r="A60" s="37" t="n">
        <v>56</v>
      </c>
      <c r="B60" s="97" t="s">
        <v>212</v>
      </c>
      <c r="C60" s="121" t="s">
        <v>131</v>
      </c>
      <c r="D60" s="121" t="s">
        <v>20</v>
      </c>
      <c r="E60" s="121" t="s">
        <v>21</v>
      </c>
      <c r="F60" s="121" t="s">
        <v>213</v>
      </c>
      <c r="G60" s="122" t="s">
        <v>214</v>
      </c>
      <c r="H60" s="121" t="s">
        <v>215</v>
      </c>
      <c r="I60" s="99" t="n">
        <v>2088800</v>
      </c>
      <c r="J60" s="99" t="n">
        <v>2088800</v>
      </c>
      <c r="K60" s="99">
        <f>IF(C60="III",ROUND(J60*$R$2,0),IF(C60="P3K/III",ROUND(J60*$R$2,0),0))</f>
        <v>104440</v>
      </c>
      <c r="L60" s="99">
        <f>IF(C60="IV",ROUND(J60*$R$3,0),0)</f>
        <v>0</v>
      </c>
      <c r="M60" s="99" t="n">
        <v>0</v>
      </c>
      <c r="N60" s="99" t="n">
        <v>0</v>
      </c>
      <c r="O60" s="99" t="n">
        <v>0</v>
      </c>
      <c r="P60" s="42">
        <f>I60-SUM(K60:O60)</f>
        <v>1984360</v>
      </c>
    </row>
    <row r="61" spans="1:16">
      <c r="A61" s="37" t="n">
        <v>57</v>
      </c>
      <c r="B61" s="97" t="s">
        <v>216</v>
      </c>
      <c r="C61" s="121" t="s">
        <v>58</v>
      </c>
      <c r="D61" s="121" t="s">
        <v>137</v>
      </c>
      <c r="E61" s="121" t="s">
        <v>14</v>
      </c>
      <c r="F61" s="121" t="s">
        <v>217</v>
      </c>
      <c r="G61" s="122" t="s">
        <v>218</v>
      </c>
      <c r="H61" s="121" t="s">
        <v>219</v>
      </c>
      <c r="I61" s="99" t="n">
        <v>2088800</v>
      </c>
      <c r="J61" s="99" t="n">
        <v>2088800</v>
      </c>
      <c r="K61" s="99">
        <f>IF(C61="III",ROUND(J61*$R$2,0),IF(C61="P3K/III",ROUND(J61*$R$2,0),0))</f>
        <v>104440</v>
      </c>
      <c r="L61" s="99">
        <f>IF(C61="IV",ROUND(J61*$R$3,0),0)</f>
        <v>0</v>
      </c>
      <c r="M61" s="99" t="n">
        <v>0</v>
      </c>
      <c r="N61" s="99" t="n">
        <v>0</v>
      </c>
      <c r="O61" s="99" t="n">
        <v>0</v>
      </c>
      <c r="P61" s="42">
        <f>I61-SUM(K61:O61)</f>
        <v>1984360</v>
      </c>
    </row>
    <row r="62" spans="1:16">
      <c r="A62" s="37" t="n">
        <v>58</v>
      </c>
      <c r="B62" s="97" t="s">
        <v>220</v>
      </c>
      <c r="C62" s="121" t="s">
        <v>58</v>
      </c>
      <c r="D62" s="121" t="s">
        <v>20</v>
      </c>
      <c r="E62" s="121" t="s">
        <v>21</v>
      </c>
      <c r="F62" s="121" t="s">
        <v>221</v>
      </c>
      <c r="G62" s="122" t="s">
        <v>222</v>
      </c>
      <c r="H62" s="121" t="s">
        <v>223</v>
      </c>
      <c r="I62" s="99" t="n">
        <v>4023394</v>
      </c>
      <c r="J62" s="99" t="n">
        <v>4023394</v>
      </c>
      <c r="K62" s="99">
        <f>IF(C62="III",ROUND(J62*$R$2,0),IF(C62="P3K/III",ROUND(J62*$R$2,0),0))</f>
        <v>201170</v>
      </c>
      <c r="L62" s="99">
        <f>IF(C62="IV",ROUND(J62*$R$3,0),0)</f>
        <v>0</v>
      </c>
      <c r="M62" s="99" t="n">
        <v>0</v>
      </c>
      <c r="N62" s="99" t="n">
        <v>0</v>
      </c>
      <c r="O62" s="99" t="n">
        <v>0</v>
      </c>
      <c r="P62" s="42">
        <f>I62-SUM(K62:O62)</f>
        <v>3822224</v>
      </c>
    </row>
    <row r="63" spans="1:16">
      <c r="A63" s="37" t="n">
        <v>59</v>
      </c>
      <c r="B63" s="97" t="s">
        <v>224</v>
      </c>
      <c r="C63" s="121" t="s">
        <v>58</v>
      </c>
      <c r="D63" s="121" t="s">
        <v>20</v>
      </c>
      <c r="E63" s="121" t="s">
        <v>21</v>
      </c>
      <c r="F63" s="121" t="s">
        <v>225</v>
      </c>
      <c r="G63" s="122" t="s">
        <v>226</v>
      </c>
      <c r="H63" s="121" t="s">
        <v>227</v>
      </c>
      <c r="I63" s="99" t="n">
        <v>2425251</v>
      </c>
      <c r="J63" s="99" t="n">
        <v>2425251</v>
      </c>
      <c r="K63" s="99">
        <f>IF(C63="III",ROUND(J63*$R$2,0),IF(C63="P3K/III",ROUND(J63*$R$2,0),0))</f>
        <v>121263</v>
      </c>
      <c r="L63" s="99">
        <f>IF(C63="IV",ROUND(J63*$R$3,0),0)</f>
        <v>0</v>
      </c>
      <c r="M63" s="99" t="n">
        <v>0</v>
      </c>
      <c r="N63" s="99" t="n">
        <v>0</v>
      </c>
      <c r="O63" s="99" t="n">
        <v>0</v>
      </c>
      <c r="P63" s="42">
        <f>I63-SUM(K63:O63)</f>
        <v>2303988</v>
      </c>
    </row>
    <row r="64" spans="1:16">
      <c r="A64" s="37" t="n">
        <v>60</v>
      </c>
      <c r="B64" s="97" t="s">
        <v>228</v>
      </c>
      <c r="C64" s="121" t="s">
        <v>58</v>
      </c>
      <c r="D64" s="121" t="s">
        <v>20</v>
      </c>
      <c r="E64" s="121" t="s">
        <v>21</v>
      </c>
      <c r="F64" s="121" t="s">
        <v>229</v>
      </c>
      <c r="G64" s="122" t="s">
        <v>230</v>
      </c>
      <c r="H64" s="121" t="s">
        <v>231</v>
      </c>
      <c r="I64" s="99" t="n">
        <v>2890656</v>
      </c>
      <c r="J64" s="99" t="n">
        <v>2890656</v>
      </c>
      <c r="K64" s="99">
        <f>IF(C64="III",ROUND(J64*$R$2,0),IF(C64="P3K/III",ROUND(J64*$R$2,0),0))</f>
        <v>144533</v>
      </c>
      <c r="L64" s="99">
        <f>IF(C64="IV",ROUND(J64*$R$3,0),0)</f>
        <v>0</v>
      </c>
      <c r="M64" s="99" t="n">
        <v>0</v>
      </c>
      <c r="N64" s="99" t="n">
        <v>0</v>
      </c>
      <c r="O64" s="99" t="n">
        <v>0</v>
      </c>
      <c r="P64" s="42">
        <f>I64-SUM(K64:O64)</f>
        <v>2746123</v>
      </c>
    </row>
    <row r="65" spans="1:16">
      <c r="A65" s="37" t="n">
        <v>61</v>
      </c>
      <c r="B65" s="97" t="s">
        <v>232</v>
      </c>
      <c r="C65" s="121" t="s">
        <v>58</v>
      </c>
      <c r="D65" s="121" t="s">
        <v>20</v>
      </c>
      <c r="E65" s="121" t="s">
        <v>21</v>
      </c>
      <c r="F65" s="121" t="s">
        <v>233</v>
      </c>
      <c r="G65" s="122" t="s">
        <v>234</v>
      </c>
      <c r="H65" s="121" t="s">
        <v>235</v>
      </c>
      <c r="I65" s="99" t="n">
        <v>1948612</v>
      </c>
      <c r="J65" s="99" t="n">
        <v>1948612</v>
      </c>
      <c r="K65" s="99">
        <f>IF(C65="III",ROUND(J65*$R$2,0),IF(C65="P3K/III",ROUND(J65*$R$2,0),0))</f>
        <v>97431</v>
      </c>
      <c r="L65" s="99">
        <f>IF(C65="IV",ROUND(J65*$R$3,0),0)</f>
        <v>0</v>
      </c>
      <c r="M65" s="99" t="n">
        <v>0</v>
      </c>
      <c r="N65" s="99" t="n">
        <v>0</v>
      </c>
      <c r="O65" s="99" t="n">
        <v>0</v>
      </c>
      <c r="P65" s="42">
        <f>I65-SUM(K65:O65)</f>
        <v>1851181</v>
      </c>
    </row>
    <row r="66" spans="1:16">
      <c r="A66" s="37" t="n">
        <v>62</v>
      </c>
      <c r="B66" s="97" t="s">
        <v>236</v>
      </c>
      <c r="C66" s="121" t="s">
        <v>131</v>
      </c>
      <c r="D66" s="121" t="s">
        <v>20</v>
      </c>
      <c r="E66" s="121" t="s">
        <v>21</v>
      </c>
      <c r="F66" s="121" t="s">
        <v>237</v>
      </c>
      <c r="G66" s="122" t="s">
        <v>238</v>
      </c>
      <c r="H66" s="121" t="s">
        <v>239</v>
      </c>
      <c r="I66" s="99" t="n">
        <v>2144875</v>
      </c>
      <c r="J66" s="99" t="n">
        <v>2144875</v>
      </c>
      <c r="K66" s="99">
        <f>IF(C66="III",ROUND(J66*$R$2,0),IF(C66="P3K/III",ROUND(J66*$R$2,0),0))</f>
        <v>107244</v>
      </c>
      <c r="L66" s="99">
        <f>IF(C66="IV",ROUND(J66*$R$3,0),0)</f>
        <v>0</v>
      </c>
      <c r="M66" s="99" t="n">
        <v>0</v>
      </c>
      <c r="N66" s="99" t="n">
        <v>0</v>
      </c>
      <c r="O66" s="99" t="n">
        <v>0</v>
      </c>
      <c r="P66" s="42">
        <f>I66-SUM(K66:O66)</f>
        <v>2037631</v>
      </c>
    </row>
    <row r="67" spans="1:16">
      <c r="A67" s="37" t="n">
        <v>63</v>
      </c>
      <c r="B67" s="97" t="s">
        <v>240</v>
      </c>
      <c r="C67" s="121" t="s">
        <v>131</v>
      </c>
      <c r="D67" s="121" t="s">
        <v>20</v>
      </c>
      <c r="E67" s="121" t="s">
        <v>21</v>
      </c>
      <c r="F67" s="121" t="s">
        <v>241</v>
      </c>
      <c r="G67" s="122" t="s">
        <v>20</v>
      </c>
      <c r="H67" s="121" t="s">
        <v>242</v>
      </c>
      <c r="I67" s="99" t="n">
        <v>3633747</v>
      </c>
      <c r="J67" s="99" t="n">
        <v>3633747</v>
      </c>
      <c r="K67" s="99">
        <f>IF(C67="III",ROUND(J67*$R$2,0),IF(C67="P3K/III",ROUND(J67*$R$2,0),0))</f>
        <v>181687</v>
      </c>
      <c r="L67" s="99">
        <f>IF(C67="IV",ROUND(J67*$R$3,0),0)</f>
        <v>0</v>
      </c>
      <c r="M67" s="99" t="n">
        <v>0</v>
      </c>
      <c r="N67" s="99" t="n">
        <v>0</v>
      </c>
      <c r="O67" s="99" t="n">
        <v>0</v>
      </c>
      <c r="P67" s="42">
        <f>I67-SUM(K67:O67)</f>
        <v>3452060</v>
      </c>
    </row>
    <row r="68" spans="1:16">
      <c r="A68" s="37" t="n">
        <v>64</v>
      </c>
      <c r="B68" s="97" t="s">
        <v>243</v>
      </c>
      <c r="C68" s="121" t="s">
        <v>111</v>
      </c>
      <c r="D68" s="121" t="s">
        <v>20</v>
      </c>
      <c r="E68" s="121" t="s">
        <v>21</v>
      </c>
      <c r="F68" s="121" t="s">
        <v>244</v>
      </c>
      <c r="G68" s="122" t="s">
        <v>245</v>
      </c>
      <c r="H68" s="121" t="s">
        <v>246</v>
      </c>
      <c r="I68" s="99" t="n">
        <v>1815434</v>
      </c>
      <c r="J68" s="99" t="n">
        <v>1815434</v>
      </c>
      <c r="K68" s="99">
        <f>IF(C68="III",ROUND(J68*$R$2,0),IF(C68="P3K/III",ROUND(J68*$R$2,0),0))</f>
        <v>0</v>
      </c>
      <c r="L68" s="99">
        <f>IF(C68="IV",ROUND(J68*$R$3,0),0)</f>
        <v>0</v>
      </c>
      <c r="M68" s="99" t="n">
        <v>0</v>
      </c>
      <c r="N68" s="99" t="n">
        <v>0</v>
      </c>
      <c r="O68" s="99" t="n">
        <v>0</v>
      </c>
      <c r="P68" s="42">
        <f>I68-SUM(K68:O68)</f>
        <v>1815434</v>
      </c>
    </row>
    <row r="69" spans="1:16">
      <c r="A69" s="37" t="n">
        <v>65</v>
      </c>
      <c r="B69" s="97" t="s">
        <v>247</v>
      </c>
      <c r="C69" s="121" t="s">
        <v>111</v>
      </c>
      <c r="D69" s="121" t="s">
        <v>20</v>
      </c>
      <c r="E69" s="121" t="s">
        <v>21</v>
      </c>
      <c r="F69" s="121" t="s">
        <v>248</v>
      </c>
      <c r="G69" s="122" t="s">
        <v>20</v>
      </c>
      <c r="H69" s="121" t="s">
        <v>249</v>
      </c>
      <c r="I69" s="99" t="n">
        <v>2095810</v>
      </c>
      <c r="J69" s="99" t="n">
        <v>2095810</v>
      </c>
      <c r="K69" s="99">
        <f>IF(C69="III",ROUND(J69*$R$2,0),IF(C69="P3K/III",ROUND(J69*$R$2,0),0))</f>
        <v>0</v>
      </c>
      <c r="L69" s="99">
        <f>IF(C69="IV",ROUND(J69*$R$3,0),0)</f>
        <v>0</v>
      </c>
      <c r="M69" s="99" t="n">
        <v>0</v>
      </c>
      <c r="N69" s="99" t="n">
        <v>0</v>
      </c>
      <c r="O69" s="99" t="n">
        <v>0</v>
      </c>
      <c r="P69" s="42">
        <f>I69-SUM(K69:O69)</f>
        <v>2095810</v>
      </c>
    </row>
    <row r="70" spans="1:16">
      <c r="A70" s="37" t="n">
        <v>66</v>
      </c>
      <c r="B70" s="97" t="s">
        <v>250</v>
      </c>
      <c r="C70" s="121" t="s">
        <v>120</v>
      </c>
      <c r="D70" s="121" t="s">
        <v>128</v>
      </c>
      <c r="E70" s="121" t="s">
        <v>15</v>
      </c>
      <c r="F70" s="98" t="n">
        <v>0</v>
      </c>
      <c r="G70" s="40" t="n">
        <v>0</v>
      </c>
      <c r="H70" s="121" t="s">
        <v>251</v>
      </c>
      <c r="I70" s="99" t="n">
        <v>2439270</v>
      </c>
      <c r="J70" s="99" t="n">
        <v>2439270</v>
      </c>
      <c r="K70" s="99">
        <f>IF(C70="III",ROUND(J70*$R$2,0),IF(C70="P3K/III",ROUND(J70*$R$2,0),0))</f>
        <v>0</v>
      </c>
      <c r="L70" s="99">
        <f>IF(C70="IV",ROUND(J70*$R$3,0),0)</f>
        <v>0</v>
      </c>
      <c r="M70" s="99" t="n">
        <v>0</v>
      </c>
      <c r="N70" s="99" t="n">
        <v>0</v>
      </c>
      <c r="O70" s="99" t="n">
        <v>0</v>
      </c>
      <c r="P70" s="42">
        <f>I70-SUM(K70:O70)</f>
        <v>2439270</v>
      </c>
    </row>
    <row r="71" spans="1:16">
      <c r="A71" s="37" t="n">
        <v>67</v>
      </c>
      <c r="B71" s="97" t="s">
        <v>252</v>
      </c>
      <c r="C71" s="121" t="s">
        <v>120</v>
      </c>
      <c r="D71" s="121" t="s">
        <v>137</v>
      </c>
      <c r="E71" s="121" t="s">
        <v>14</v>
      </c>
      <c r="F71" s="98" t="n">
        <v>0</v>
      </c>
      <c r="G71" s="122" t="s">
        <v>20</v>
      </c>
      <c r="H71" s="121" t="s">
        <v>253</v>
      </c>
      <c r="I71" s="99" t="n">
        <v>2376185</v>
      </c>
      <c r="J71" s="99" t="n">
        <v>2376185</v>
      </c>
      <c r="K71" s="99">
        <f>IF(C71="III",ROUND(J71*$R$2,0),IF(C71="P3K/III",ROUND(J71*$R$2,0),0))</f>
        <v>0</v>
      </c>
      <c r="L71" s="99">
        <f>IF(C71="IV",ROUND(J71*$R$3,0),0)</f>
        <v>0</v>
      </c>
      <c r="M71" s="99" t="n">
        <v>0</v>
      </c>
      <c r="N71" s="99" t="n">
        <v>0</v>
      </c>
      <c r="O71" s="99" t="n">
        <v>0</v>
      </c>
      <c r="P71" s="42">
        <f>I71-SUM(K71:O71)</f>
        <v>2376185</v>
      </c>
    </row>
    <row r="72" spans="1:16">
      <c r="A72" s="37" t="n">
        <v>68</v>
      </c>
      <c r="B72" s="97" t="s">
        <v>254</v>
      </c>
      <c r="C72" s="121" t="s">
        <v>120</v>
      </c>
      <c r="D72" s="121" t="s">
        <v>128</v>
      </c>
      <c r="E72" s="121" t="s">
        <v>15</v>
      </c>
      <c r="F72" s="98" t="n">
        <v>0</v>
      </c>
      <c r="G72" s="40" t="n">
        <v>0</v>
      </c>
      <c r="H72" s="121" t="s">
        <v>255</v>
      </c>
      <c r="I72" s="99" t="n">
        <v>2207960</v>
      </c>
      <c r="J72" s="99" t="n">
        <v>2207960</v>
      </c>
      <c r="K72" s="99">
        <f>IF(C72="III",ROUND(J72*$R$2,0),IF(C72="P3K/III",ROUND(J72*$R$2,0),0))</f>
        <v>0</v>
      </c>
      <c r="L72" s="99">
        <f>IF(C72="IV",ROUND(J72*$R$3,0),0)</f>
        <v>0</v>
      </c>
      <c r="M72" s="99" t="n">
        <v>0</v>
      </c>
      <c r="N72" s="99" t="n">
        <v>0</v>
      </c>
      <c r="O72" s="99" t="n">
        <v>0</v>
      </c>
      <c r="P72" s="42">
        <f>I72-SUM(K72:O72)</f>
        <v>2207960</v>
      </c>
    </row>
    <row r="73" spans="1:16">
      <c r="A73" s="37" t="n">
        <v>69</v>
      </c>
      <c r="B73" s="97" t="s">
        <v>256</v>
      </c>
      <c r="C73" s="121" t="s">
        <v>120</v>
      </c>
      <c r="D73" s="121" t="s">
        <v>128</v>
      </c>
      <c r="E73" s="121" t="s">
        <v>15</v>
      </c>
      <c r="F73" s="98" t="n">
        <v>0</v>
      </c>
      <c r="G73" s="122" t="s">
        <v>257</v>
      </c>
      <c r="H73" s="121" t="s">
        <v>258</v>
      </c>
      <c r="I73" s="99" t="n">
        <v>2081791</v>
      </c>
      <c r="J73" s="99" t="n">
        <v>2081791</v>
      </c>
      <c r="K73" s="99">
        <f>IF(C73="III",ROUND(J73*$R$2,0),IF(C73="P3K/III",ROUND(J73*$R$2,0),0))</f>
        <v>0</v>
      </c>
      <c r="L73" s="99">
        <f>IF(C73="IV",ROUND(J73*$R$3,0),0)</f>
        <v>0</v>
      </c>
      <c r="M73" s="99" t="n">
        <v>0</v>
      </c>
      <c r="N73" s="99" t="n">
        <v>0</v>
      </c>
      <c r="O73" s="99" t="n">
        <v>0</v>
      </c>
      <c r="P73" s="42">
        <f>I73-SUM(K73:O73)</f>
        <v>2081791</v>
      </c>
    </row>
    <row r="74" spans="1:16">
      <c r="A74" s="37" t="n">
        <v>70</v>
      </c>
      <c r="B74" s="97" t="s">
        <v>259</v>
      </c>
      <c r="C74" s="121" t="s">
        <v>120</v>
      </c>
      <c r="D74" s="121" t="s">
        <v>124</v>
      </c>
      <c r="E74" s="121" t="s">
        <v>15</v>
      </c>
      <c r="F74" s="98" t="n">
        <v>0</v>
      </c>
      <c r="G74" s="122" t="s">
        <v>260</v>
      </c>
      <c r="H74" s="121" t="s">
        <v>261</v>
      </c>
      <c r="I74" s="99" t="n">
        <v>2053753</v>
      </c>
      <c r="J74" s="99" t="n">
        <v>2053753</v>
      </c>
      <c r="K74" s="99">
        <f>IF(C74="III",ROUND(J74*$R$2,0),IF(C74="P3K/III",ROUND(J74*$R$2,0),0))</f>
        <v>0</v>
      </c>
      <c r="L74" s="99">
        <f>IF(C74="IV",ROUND(J74*$R$3,0),0)</f>
        <v>0</v>
      </c>
      <c r="M74" s="99" t="n">
        <v>0</v>
      </c>
      <c r="N74" s="99" t="n">
        <v>0</v>
      </c>
      <c r="O74" s="99" t="n">
        <v>0</v>
      </c>
      <c r="P74" s="42">
        <f>I74-SUM(K74:O74)</f>
        <v>2053753</v>
      </c>
    </row>
    <row r="75" spans="1:16">
      <c r="A75" s="37" t="n">
        <v>71</v>
      </c>
      <c r="B75" s="97" t="s">
        <v>262</v>
      </c>
      <c r="C75" s="121" t="s">
        <v>120</v>
      </c>
      <c r="D75" s="121" t="s">
        <v>128</v>
      </c>
      <c r="E75" s="121" t="s">
        <v>15</v>
      </c>
      <c r="F75" s="98" t="n">
        <v>0</v>
      </c>
      <c r="G75" s="122" t="s">
        <v>20</v>
      </c>
      <c r="H75" s="121" t="s">
        <v>263</v>
      </c>
      <c r="I75" s="99" t="n">
        <v>2411232</v>
      </c>
      <c r="J75" s="99" t="n">
        <v>2411232</v>
      </c>
      <c r="K75" s="99">
        <f>IF(C75="III",ROUND(J75*$R$2,0),IF(C75="P3K/III",ROUND(J75*$R$2,0),0))</f>
        <v>0</v>
      </c>
      <c r="L75" s="99">
        <f>IF(C75="IV",ROUND(J75*$R$3,0),0)</f>
        <v>0</v>
      </c>
      <c r="M75" s="99" t="n">
        <v>0</v>
      </c>
      <c r="N75" s="99" t="n">
        <v>0</v>
      </c>
      <c r="O75" s="99" t="n">
        <v>0</v>
      </c>
      <c r="P75" s="42">
        <f>I75-SUM(K75:O75)</f>
        <v>2411232</v>
      </c>
    </row>
    <row r="76" spans="1:16">
      <c r="A76" s="37" t="n">
        <v>72</v>
      </c>
      <c r="B76" s="97" t="s">
        <v>264</v>
      </c>
      <c r="C76" s="121" t="s">
        <v>120</v>
      </c>
      <c r="D76" s="121" t="s">
        <v>128</v>
      </c>
      <c r="E76" s="121" t="s">
        <v>15</v>
      </c>
      <c r="F76" s="98" t="n">
        <v>0</v>
      </c>
      <c r="G76" s="122" t="s">
        <v>265</v>
      </c>
      <c r="H76" s="121" t="s">
        <v>266</v>
      </c>
      <c r="I76" s="99" t="n">
        <v>1349330</v>
      </c>
      <c r="J76" s="99" t="n">
        <v>1349330</v>
      </c>
      <c r="K76" s="99">
        <f>IF(C76="III",ROUND(J76*$R$2,0),IF(C76="P3K/III",ROUND(J76*$R$2,0),0))</f>
        <v>0</v>
      </c>
      <c r="L76" s="99">
        <f>IF(C76="IV",ROUND(J76*$R$3,0),0)</f>
        <v>0</v>
      </c>
      <c r="M76" s="99" t="n">
        <v>0</v>
      </c>
      <c r="N76" s="99" t="n">
        <v>0</v>
      </c>
      <c r="O76" s="99" t="n">
        <v>0</v>
      </c>
      <c r="P76" s="42">
        <f>I76-SUM(K76:O76)</f>
        <v>1349330</v>
      </c>
    </row>
    <row r="77" spans="1:16">
      <c r="A77" s="37" t="n">
        <v>73</v>
      </c>
      <c r="B77" s="97" t="s">
        <v>267</v>
      </c>
      <c r="C77" s="121" t="s">
        <v>120</v>
      </c>
      <c r="D77" s="121" t="s">
        <v>128</v>
      </c>
      <c r="E77" s="121" t="s">
        <v>15</v>
      </c>
      <c r="F77" s="98" t="n">
        <v>0</v>
      </c>
      <c r="G77" s="122" t="s">
        <v>268</v>
      </c>
      <c r="H77" s="121" t="s">
        <v>269</v>
      </c>
      <c r="I77" s="99" t="n">
        <v>1475306</v>
      </c>
      <c r="J77" s="99" t="n">
        <v>1475306</v>
      </c>
      <c r="K77" s="99">
        <f>IF(C77="III",ROUND(J77*$R$2,0),IF(C77="P3K/III",ROUND(J77*$R$2,0),0))</f>
        <v>0</v>
      </c>
      <c r="L77" s="99">
        <f>IF(C77="IV",ROUND(J77*$R$3,0),0)</f>
        <v>0</v>
      </c>
      <c r="M77" s="99" t="n">
        <v>0</v>
      </c>
      <c r="N77" s="99" t="n">
        <v>0</v>
      </c>
      <c r="O77" s="99" t="n">
        <v>0</v>
      </c>
      <c r="P77" s="42">
        <f>I77-SUM(K77:O77)</f>
        <v>1475306</v>
      </c>
    </row>
    <row r="78" spans="1:16">
      <c r="A78" s="37" t="n">
        <v>74</v>
      </c>
      <c r="B78" s="97" t="s">
        <v>270</v>
      </c>
      <c r="C78" s="121" t="s">
        <v>95</v>
      </c>
      <c r="D78" s="121" t="s">
        <v>137</v>
      </c>
      <c r="E78" s="121" t="s">
        <v>14</v>
      </c>
      <c r="F78" s="98" t="n">
        <v>0</v>
      </c>
      <c r="G78" s="122" t="s">
        <v>271</v>
      </c>
      <c r="H78" s="121" t="s">
        <v>272</v>
      </c>
      <c r="I78" s="99" t="n">
        <v>2105428</v>
      </c>
      <c r="J78" s="99" t="n">
        <v>2105428</v>
      </c>
      <c r="K78" s="99">
        <f>IF(C78="III",ROUND(J78*$R$2,0),IF(C78="P3K/III",ROUND(J78*$R$2,0),0))</f>
        <v>0</v>
      </c>
      <c r="L78" s="99">
        <f>IF(C78="IV",ROUND(J78*$R$3,0),0)</f>
        <v>0</v>
      </c>
      <c r="M78" s="99" t="n">
        <v>0</v>
      </c>
      <c r="N78" s="99" t="n">
        <v>0</v>
      </c>
      <c r="O78" s="99" t="n">
        <v>0</v>
      </c>
      <c r="P78" s="42">
        <f>I78-SUM(K78:O78)</f>
        <v>2105428</v>
      </c>
    </row>
    <row r="79" spans="1:16">
      <c r="A79" s="37" t="n">
        <v>76</v>
      </c>
      <c r="B79" s="97" t="s">
        <v>273</v>
      </c>
      <c r="C79" s="121" t="s">
        <v>58</v>
      </c>
      <c r="D79" s="121" t="s">
        <v>20</v>
      </c>
      <c r="E79" s="121" t="s">
        <v>21</v>
      </c>
      <c r="F79" s="121" t="s">
        <v>274</v>
      </c>
      <c r="G79" s="122" t="s">
        <v>275</v>
      </c>
      <c r="H79" s="121" t="s">
        <v>276</v>
      </c>
      <c r="I79" s="99" t="n">
        <v>3378529</v>
      </c>
      <c r="J79" s="99" t="n">
        <v>3378529</v>
      </c>
      <c r="K79" s="99">
        <f>IF(C79="III",ROUND(J79*$R$2,0),IF(C79="P3K/III",ROUND(J79*$R$2,0),0))</f>
        <v>168926</v>
      </c>
      <c r="L79" s="99">
        <f>IF(C79="IV",ROUND(J79*$R$3,0),0)</f>
        <v>0</v>
      </c>
      <c r="M79" s="99" t="n">
        <v>0</v>
      </c>
      <c r="N79" s="99" t="n">
        <v>0</v>
      </c>
      <c r="O79" s="99" t="n">
        <v>0</v>
      </c>
      <c r="P79" s="42">
        <f>I79-SUM(K79:O79)</f>
        <v>3209603</v>
      </c>
    </row>
    <row r="80" spans="1:16">
      <c r="A80" s="37" t="n">
        <v>77</v>
      </c>
      <c r="B80" s="97" t="s">
        <v>277</v>
      </c>
      <c r="C80" s="121" t="s">
        <v>120</v>
      </c>
      <c r="D80" s="121" t="s">
        <v>278</v>
      </c>
      <c r="E80" s="121" t="s">
        <v>16</v>
      </c>
      <c r="F80" s="98" t="n">
        <v>0</v>
      </c>
      <c r="G80" s="122" t="s">
        <v>20</v>
      </c>
      <c r="H80" s="121" t="s">
        <v>279</v>
      </c>
      <c r="I80" s="99" t="n">
        <v>3112172</v>
      </c>
      <c r="J80" s="99" t="n">
        <v>3112172</v>
      </c>
      <c r="K80" s="99">
        <f>IF(C80="III",ROUND(J80*$R$2,0),IF(C80="P3K/III",ROUND(J80*$R$2,0),0))</f>
        <v>0</v>
      </c>
      <c r="L80" s="99">
        <f>IF(C80="IV",ROUND(J80*$R$3,0),0)</f>
        <v>0</v>
      </c>
      <c r="M80" s="99" t="n">
        <v>0</v>
      </c>
      <c r="N80" s="99" t="n">
        <v>0</v>
      </c>
      <c r="O80" s="99" t="n">
        <v>0</v>
      </c>
      <c r="P80" s="42">
        <f>I80-SUM(K80:O80)</f>
        <v>3112172</v>
      </c>
    </row>
    <row r="81" spans="1:16">
      <c r="A81" s="37" t="n">
        <v>78</v>
      </c>
      <c r="B81" s="97" t="s">
        <v>280</v>
      </c>
      <c r="C81" s="121" t="s">
        <v>120</v>
      </c>
      <c r="D81" s="121" t="s">
        <v>128</v>
      </c>
      <c r="E81" s="121" t="s">
        <v>15</v>
      </c>
      <c r="F81" s="98" t="n">
        <v>0</v>
      </c>
      <c r="G81" s="122" t="s">
        <v>20</v>
      </c>
      <c r="H81" s="121" t="s">
        <v>281</v>
      </c>
      <c r="I81" s="99" t="n">
        <v>1831488</v>
      </c>
      <c r="J81" s="99" t="n">
        <v>1831488</v>
      </c>
      <c r="K81" s="99">
        <f>IF(C81="III",ROUND(J81*$R$2,0),IF(C81="P3K/III",ROUND(J81*$R$2,0),0))</f>
        <v>0</v>
      </c>
      <c r="L81" s="99">
        <f>IF(C81="IV",ROUND(J81*$R$3,0),0)</f>
        <v>0</v>
      </c>
      <c r="M81" s="99" t="n">
        <v>0</v>
      </c>
      <c r="N81" s="99" t="n">
        <v>0</v>
      </c>
      <c r="O81" s="99" t="n">
        <v>0</v>
      </c>
      <c r="P81" s="42">
        <f>I81-SUM(K81:O81)</f>
        <v>1831488</v>
      </c>
    </row>
    <row r="82" spans="1:16">
      <c r="A82" s="37" t="n">
        <v>79</v>
      </c>
      <c r="B82" s="97" t="s">
        <v>282</v>
      </c>
      <c r="C82" s="121" t="s">
        <v>283</v>
      </c>
      <c r="D82" s="121" t="s">
        <v>20</v>
      </c>
      <c r="E82" s="121" t="s">
        <v>21</v>
      </c>
      <c r="F82" s="98" t="n">
        <v>0</v>
      </c>
      <c r="G82" s="122" t="s">
        <v>284</v>
      </c>
      <c r="H82" s="121" t="s">
        <v>285</v>
      </c>
      <c r="I82" s="99" t="n">
        <v>2880862</v>
      </c>
      <c r="J82" s="99" t="n">
        <v>2880862</v>
      </c>
      <c r="K82" s="99">
        <f>IF(C82="III",ROUND(J82*$R$2,0),IF(C82="P3K/III",ROUND(J82*$R$2,0),0))</f>
        <v>0</v>
      </c>
      <c r="L82" s="99">
        <f>IF(C82="IV",ROUND(J82*$R$3,0),0)</f>
        <v>0</v>
      </c>
      <c r="M82" s="99" t="n">
        <v>0</v>
      </c>
      <c r="N82" s="99" t="n">
        <v>0</v>
      </c>
      <c r="O82" s="99" t="n">
        <v>0</v>
      </c>
      <c r="P82" s="42">
        <f>I82-SUM(K82:O82)</f>
        <v>2880862</v>
      </c>
    </row>
    <row r="83" spans="1:16">
      <c r="A83" s="37" t="n">
        <v>81</v>
      </c>
      <c r="B83" s="97" t="s">
        <v>286</v>
      </c>
      <c r="C83" s="121" t="s">
        <v>95</v>
      </c>
      <c r="D83" s="121" t="s">
        <v>124</v>
      </c>
      <c r="E83" s="121" t="s">
        <v>15</v>
      </c>
      <c r="F83" s="98" t="n">
        <v>0</v>
      </c>
      <c r="G83" s="122" t="s">
        <v>287</v>
      </c>
      <c r="H83" s="121" t="s">
        <v>288</v>
      </c>
      <c r="I83" s="99" t="n">
        <v>2250016</v>
      </c>
      <c r="J83" s="99" t="n">
        <v>2250016</v>
      </c>
      <c r="K83" s="99">
        <f>IF(C83="III",ROUND(J83*$R$2,0),IF(C83="P3K/III",ROUND(J83*$R$2,0),0))</f>
        <v>0</v>
      </c>
      <c r="L83" s="99">
        <f>IF(C83="IV",ROUND(J83*$R$3,0),0)</f>
        <v>0</v>
      </c>
      <c r="M83" s="99" t="n">
        <v>0</v>
      </c>
      <c r="N83" s="99" t="n">
        <v>0</v>
      </c>
      <c r="O83" s="99" t="n">
        <v>0</v>
      </c>
      <c r="P83" s="42">
        <f>I83-SUM(K83:O83)</f>
        <v>2250016</v>
      </c>
    </row>
    <row r="84" spans="1:16">
      <c r="A84" s="37" t="n">
        <v>82</v>
      </c>
      <c r="B84" s="97" t="s">
        <v>289</v>
      </c>
      <c r="C84" s="121" t="s">
        <v>95</v>
      </c>
      <c r="D84" s="121" t="s">
        <v>128</v>
      </c>
      <c r="E84" s="121" t="s">
        <v>15</v>
      </c>
      <c r="F84" s="98" t="n">
        <v>0</v>
      </c>
      <c r="G84" s="122" t="s">
        <v>290</v>
      </c>
      <c r="H84" s="121" t="s">
        <v>291</v>
      </c>
      <c r="I84" s="99" t="n">
        <v>2901890</v>
      </c>
      <c r="J84" s="99" t="n">
        <v>2901890</v>
      </c>
      <c r="K84" s="99">
        <f>IF(C84="III",ROUND(J84*$R$2,0),IF(C84="P3K/III",ROUND(J84*$R$2,0),0))</f>
        <v>0</v>
      </c>
      <c r="L84" s="99">
        <f>IF(C84="IV",ROUND(J84*$R$3,0),0)</f>
        <v>0</v>
      </c>
      <c r="M84" s="99" t="n">
        <v>0</v>
      </c>
      <c r="N84" s="99" t="n">
        <v>0</v>
      </c>
      <c r="O84" s="99" t="n">
        <v>0</v>
      </c>
      <c r="P84" s="42">
        <f>I84-SUM(K84:O84)</f>
        <v>2901890</v>
      </c>
    </row>
    <row r="85" spans="1:16">
      <c r="A85" s="37" t="n">
        <v>83</v>
      </c>
      <c r="B85" s="97" t="s">
        <v>292</v>
      </c>
      <c r="C85" s="121" t="s">
        <v>95</v>
      </c>
      <c r="D85" s="121" t="s">
        <v>128</v>
      </c>
      <c r="E85" s="121" t="s">
        <v>15</v>
      </c>
      <c r="F85" s="98" t="n">
        <v>0</v>
      </c>
      <c r="G85" s="122" t="s">
        <v>293</v>
      </c>
      <c r="H85" s="121" t="s">
        <v>294</v>
      </c>
      <c r="I85" s="99" t="n">
        <v>2901890</v>
      </c>
      <c r="J85" s="99" t="n">
        <v>2901890</v>
      </c>
      <c r="K85" s="99">
        <f>IF(C85="III",ROUND(J85*$R$2,0),IF(C85="P3K/III",ROUND(J85*$R$2,0),0))</f>
        <v>0</v>
      </c>
      <c r="L85" s="99">
        <f>IF(C85="IV",ROUND(J85*$R$3,0),0)</f>
        <v>0</v>
      </c>
      <c r="M85" s="99" t="n">
        <v>0</v>
      </c>
      <c r="N85" s="99" t="n">
        <v>0</v>
      </c>
      <c r="O85" s="99" t="n">
        <v>0</v>
      </c>
      <c r="P85" s="42">
        <f>I85-SUM(K85:O85)</f>
        <v>2901890</v>
      </c>
    </row>
    <row r="86" spans="1:16">
      <c r="A86" s="37" t="n">
        <v>85</v>
      </c>
      <c r="B86" s="97" t="s">
        <v>295</v>
      </c>
      <c r="C86" s="121" t="s">
        <v>58</v>
      </c>
      <c r="D86" s="121" t="s">
        <v>20</v>
      </c>
      <c r="E86" s="121" t="s">
        <v>21</v>
      </c>
      <c r="F86" s="121" t="s">
        <v>296</v>
      </c>
      <c r="G86" s="122" t="s">
        <v>297</v>
      </c>
      <c r="H86" s="121" t="s">
        <v>298</v>
      </c>
      <c r="I86" s="99" t="n">
        <v>3308435</v>
      </c>
      <c r="J86" s="99" t="n">
        <v>3308435</v>
      </c>
      <c r="K86" s="99">
        <f>IF(C86="III",ROUND(J86*$R$2,0),IF(C86="P3K/III",ROUND(J86*$R$2,0),0))</f>
        <v>165422</v>
      </c>
      <c r="L86" s="99">
        <f>IF(C86="IV",ROUND(J86*$R$3,0),0)</f>
        <v>0</v>
      </c>
      <c r="M86" s="99" t="n">
        <v>0</v>
      </c>
      <c r="N86" s="99" t="n">
        <v>0</v>
      </c>
      <c r="O86" s="99" t="n">
        <v>0</v>
      </c>
      <c r="P86" s="42">
        <f>I86-SUM(K86:O86)</f>
        <v>3143013</v>
      </c>
    </row>
    <row r="87" spans="1:16">
      <c r="A87" s="37" t="n">
        <v>86</v>
      </c>
      <c r="B87" s="97" t="s">
        <v>299</v>
      </c>
      <c r="C87" s="121" t="s">
        <v>58</v>
      </c>
      <c r="D87" s="121" t="s">
        <v>20</v>
      </c>
      <c r="E87" s="121" t="s">
        <v>21</v>
      </c>
      <c r="F87" s="121" t="s">
        <v>300</v>
      </c>
      <c r="G87" s="122" t="s">
        <v>301</v>
      </c>
      <c r="H87" s="121" t="s">
        <v>302</v>
      </c>
      <c r="I87" s="99" t="n">
        <v>3091144</v>
      </c>
      <c r="J87" s="99" t="n">
        <v>3091144</v>
      </c>
      <c r="K87" s="99">
        <f>IF(C87="III",ROUND(J87*$R$2,0),IF(C87="P3K/III",ROUND(J87*$R$2,0),0))</f>
        <v>154557</v>
      </c>
      <c r="L87" s="99">
        <f>IF(C87="IV",ROUND(J87*$R$3,0),0)</f>
        <v>0</v>
      </c>
      <c r="M87" s="99" t="n">
        <v>0</v>
      </c>
      <c r="N87" s="99" t="n">
        <v>0</v>
      </c>
      <c r="O87" s="99" t="n">
        <v>0</v>
      </c>
      <c r="P87" s="42">
        <f>I87-SUM(K87:O87)</f>
        <v>2936587</v>
      </c>
    </row>
    <row r="88" spans="1:16">
      <c r="A88" s="37" t="n">
        <v>87</v>
      </c>
      <c r="B88" s="97" t="s">
        <v>303</v>
      </c>
      <c r="C88" s="121" t="s">
        <v>111</v>
      </c>
      <c r="D88" s="121" t="s">
        <v>20</v>
      </c>
      <c r="E88" s="121" t="s">
        <v>21</v>
      </c>
      <c r="F88" s="121" t="s">
        <v>304</v>
      </c>
      <c r="G88" s="122" t="s">
        <v>305</v>
      </c>
      <c r="H88" s="121" t="s">
        <v>306</v>
      </c>
      <c r="I88" s="99" t="n">
        <v>3070116</v>
      </c>
      <c r="J88" s="99" t="n">
        <v>3070116</v>
      </c>
      <c r="K88" s="99">
        <f>IF(C88="III",ROUND(J88*$R$2,0),IF(C88="P3K/III",ROUND(J88*$R$2,0),0))</f>
        <v>0</v>
      </c>
      <c r="L88" s="99">
        <f>IF(C88="IV",ROUND(J88*$R$3,0),0)</f>
        <v>0</v>
      </c>
      <c r="M88" s="99" t="n">
        <v>0</v>
      </c>
      <c r="N88" s="99" t="n">
        <v>0</v>
      </c>
      <c r="O88" s="99" t="n">
        <v>0</v>
      </c>
      <c r="P88" s="42">
        <f>I88-SUM(K88:O88)</f>
        <v>3070116</v>
      </c>
    </row>
    <row r="89" spans="1:16">
      <c r="A89" s="37" t="n">
        <v>88</v>
      </c>
      <c r="B89" s="97" t="s">
        <v>307</v>
      </c>
      <c r="C89" s="121" t="s">
        <v>58</v>
      </c>
      <c r="D89" s="121" t="s">
        <v>20</v>
      </c>
      <c r="E89" s="121" t="s">
        <v>21</v>
      </c>
      <c r="F89" s="121" t="s">
        <v>308</v>
      </c>
      <c r="G89" s="40" t="n">
        <v>0</v>
      </c>
      <c r="H89" s="121" t="s">
        <v>309</v>
      </c>
      <c r="I89" s="99" t="n">
        <v>5365128</v>
      </c>
      <c r="J89" s="99" t="n">
        <v>5365128</v>
      </c>
      <c r="K89" s="99">
        <f>IF(C89="III",ROUND(J89*$R$2,0),IF(C89="P3K/III",ROUND(J89*$R$2,0),0))</f>
        <v>268256</v>
      </c>
      <c r="L89" s="99">
        <f>IF(C89="IV",ROUND(J89*$R$3,0),0)</f>
        <v>0</v>
      </c>
      <c r="M89" s="99" t="n">
        <v>0</v>
      </c>
      <c r="N89" s="99" t="n">
        <v>0</v>
      </c>
      <c r="O89" s="99" t="n">
        <v>0</v>
      </c>
      <c r="P89" s="42">
        <f>I89-SUM(K89:O89)</f>
        <v>5096872</v>
      </c>
    </row>
    <row r="90" spans="1:16">
      <c r="A90" s="37" t="n">
        <v>89</v>
      </c>
      <c r="B90" s="97" t="s">
        <v>310</v>
      </c>
      <c r="C90" s="121" t="s">
        <v>58</v>
      </c>
      <c r="D90" s="121" t="s">
        <v>20</v>
      </c>
      <c r="E90" s="121" t="s">
        <v>21</v>
      </c>
      <c r="F90" s="121" t="s">
        <v>311</v>
      </c>
      <c r="G90" s="122" t="s">
        <v>312</v>
      </c>
      <c r="H90" s="121" t="s">
        <v>313</v>
      </c>
      <c r="I90" s="99" t="n">
        <v>3389453</v>
      </c>
      <c r="J90" s="99" t="n">
        <v>3389453</v>
      </c>
      <c r="K90" s="99">
        <f>IF(C90="III",ROUND(J90*$R$2,0),IF(C90="P3K/III",ROUND(J90*$R$2,0),0))</f>
        <v>169473</v>
      </c>
      <c r="L90" s="99">
        <f>IF(C90="IV",ROUND(J90*$R$3,0),0)</f>
        <v>0</v>
      </c>
      <c r="M90" s="99" t="n">
        <v>0</v>
      </c>
      <c r="N90" s="99" t="n">
        <v>0</v>
      </c>
      <c r="O90" s="99" t="n">
        <v>0</v>
      </c>
      <c r="P90" s="42">
        <f>I90-SUM(K90:O90)</f>
        <v>3219980</v>
      </c>
    </row>
    <row r="91" spans="1:16">
      <c r="A91" s="37" t="n">
        <v>90</v>
      </c>
      <c r="B91" s="97" t="s">
        <v>314</v>
      </c>
      <c r="C91" s="121" t="s">
        <v>58</v>
      </c>
      <c r="D91" s="121" t="s">
        <v>20</v>
      </c>
      <c r="E91" s="121" t="s">
        <v>21</v>
      </c>
      <c r="F91" s="121" t="s">
        <v>315</v>
      </c>
      <c r="G91" s="122" t="s">
        <v>20</v>
      </c>
      <c r="H91" s="121" t="s">
        <v>316</v>
      </c>
      <c r="I91" s="99" t="n">
        <v>2663571</v>
      </c>
      <c r="J91" s="99" t="n">
        <v>2663571</v>
      </c>
      <c r="K91" s="99">
        <f>IF(C91="III",ROUND(J91*$R$2,0),IF(C91="P3K/III",ROUND(J91*$R$2,0),0))</f>
        <v>133179</v>
      </c>
      <c r="L91" s="99">
        <f>IF(C91="IV",ROUND(J91*$R$3,0),0)</f>
        <v>0</v>
      </c>
      <c r="M91" s="99" t="n">
        <v>0</v>
      </c>
      <c r="N91" s="99" t="n">
        <v>0</v>
      </c>
      <c r="O91" s="99" t="n">
        <v>0</v>
      </c>
      <c r="P91" s="42">
        <f>I91-SUM(K91:O91)</f>
        <v>2530392</v>
      </c>
    </row>
    <row r="92" spans="1:16">
      <c r="A92" s="37" t="n">
        <v>91</v>
      </c>
      <c r="B92" s="97" t="s">
        <v>317</v>
      </c>
      <c r="C92" s="121" t="s">
        <v>58</v>
      </c>
      <c r="D92" s="121" t="s">
        <v>20</v>
      </c>
      <c r="E92" s="121" t="s">
        <v>21</v>
      </c>
      <c r="F92" s="121" t="s">
        <v>318</v>
      </c>
      <c r="G92" s="122" t="s">
        <v>319</v>
      </c>
      <c r="H92" s="121" t="s">
        <v>320</v>
      </c>
      <c r="I92" s="99" t="n">
        <v>3196285</v>
      </c>
      <c r="J92" s="99" t="n">
        <v>3196285</v>
      </c>
      <c r="K92" s="99">
        <f>IF(C92="III",ROUND(J92*$R$2,0),IF(C92="P3K/III",ROUND(J92*$R$2,0),0))</f>
        <v>159814</v>
      </c>
      <c r="L92" s="99">
        <f>IF(C92="IV",ROUND(J92*$R$3,0),0)</f>
        <v>0</v>
      </c>
      <c r="M92" s="99" t="n">
        <v>0</v>
      </c>
      <c r="N92" s="99" t="n">
        <v>0</v>
      </c>
      <c r="O92" s="99" t="n">
        <v>0</v>
      </c>
      <c r="P92" s="42">
        <f>I92-SUM(K92:O92)</f>
        <v>3036471</v>
      </c>
    </row>
    <row r="93" spans="1:16">
      <c r="A93" s="37" t="n">
        <v>92</v>
      </c>
      <c r="B93" s="97" t="s">
        <v>321</v>
      </c>
      <c r="C93" s="121" t="s">
        <v>120</v>
      </c>
      <c r="D93" s="121" t="s">
        <v>124</v>
      </c>
      <c r="E93" s="121" t="s">
        <v>15</v>
      </c>
      <c r="F93" s="98" t="n">
        <v>0</v>
      </c>
      <c r="G93" s="122" t="s">
        <v>20</v>
      </c>
      <c r="H93" s="121" t="s">
        <v>322</v>
      </c>
      <c r="I93" s="99" t="n">
        <v>2943947</v>
      </c>
      <c r="J93" s="99" t="n">
        <v>2943947</v>
      </c>
      <c r="K93" s="99">
        <f>IF(C93="III",ROUND(J93*$R$2,0),IF(C93="P3K/III",ROUND(J93*$R$2,0),0))</f>
        <v>0</v>
      </c>
      <c r="L93" s="99">
        <f>IF(C93="IV",ROUND(J93*$R$3,0),0)</f>
        <v>0</v>
      </c>
      <c r="M93" s="99" t="n">
        <v>0</v>
      </c>
      <c r="N93" s="99" t="n">
        <v>0</v>
      </c>
      <c r="O93" s="99" t="n">
        <v>0</v>
      </c>
      <c r="P93" s="42">
        <f>I93-SUM(K93:O93)</f>
        <v>2943947</v>
      </c>
    </row>
    <row r="94" spans="1:16">
      <c r="A94" s="37" t="n">
        <v>93</v>
      </c>
      <c r="B94" s="97" t="s">
        <v>323</v>
      </c>
      <c r="C94" s="121" t="s">
        <v>120</v>
      </c>
      <c r="D94" s="121" t="s">
        <v>124</v>
      </c>
      <c r="E94" s="121" t="s">
        <v>15</v>
      </c>
      <c r="F94" s="98" t="n">
        <v>0</v>
      </c>
      <c r="G94" s="122" t="s">
        <v>20</v>
      </c>
      <c r="H94" s="121" t="s">
        <v>324</v>
      </c>
      <c r="I94" s="99" t="n">
        <v>2922918</v>
      </c>
      <c r="J94" s="99" t="n">
        <v>2922918</v>
      </c>
      <c r="K94" s="99">
        <f>IF(C94="III",ROUND(J94*$R$2,0),IF(C94="P3K/III",ROUND(J94*$R$2,0),0))</f>
        <v>0</v>
      </c>
      <c r="L94" s="99">
        <f>IF(C94="IV",ROUND(J94*$R$3,0),0)</f>
        <v>0</v>
      </c>
      <c r="M94" s="99" t="n">
        <v>0</v>
      </c>
      <c r="N94" s="99" t="n">
        <v>0</v>
      </c>
      <c r="O94" s="99" t="n">
        <v>0</v>
      </c>
      <c r="P94" s="42">
        <f>I94-SUM(K94:O94)</f>
        <v>2922918</v>
      </c>
    </row>
    <row r="95" spans="1:16">
      <c r="A95" s="37" t="n">
        <v>94</v>
      </c>
      <c r="B95" s="97" t="s">
        <v>325</v>
      </c>
      <c r="C95" s="121" t="s">
        <v>131</v>
      </c>
      <c r="D95" s="121" t="s">
        <v>20</v>
      </c>
      <c r="E95" s="121" t="s">
        <v>21</v>
      </c>
      <c r="F95" s="121" t="s">
        <v>326</v>
      </c>
      <c r="G95" s="122" t="s">
        <v>20</v>
      </c>
      <c r="H95" s="121" t="s">
        <v>327</v>
      </c>
      <c r="I95" s="99" t="n">
        <v>3266379</v>
      </c>
      <c r="J95" s="99" t="n">
        <v>3266379</v>
      </c>
      <c r="K95" s="99">
        <f>IF(C95="III",ROUND(J95*$R$2,0),IF(C95="P3K/III",ROUND(J95*$R$2,0),0))</f>
        <v>163319</v>
      </c>
      <c r="L95" s="99">
        <f>IF(C95="IV",ROUND(J95*$R$3,0),0)</f>
        <v>0</v>
      </c>
      <c r="M95" s="99" t="n">
        <v>0</v>
      </c>
      <c r="N95" s="99" t="n">
        <v>0</v>
      </c>
      <c r="O95" s="99" t="n">
        <v>0</v>
      </c>
      <c r="P95" s="42">
        <f>I95-SUM(K95:O95)</f>
        <v>3103060</v>
      </c>
    </row>
    <row r="96" spans="1:16">
      <c r="A96" s="37" t="n">
        <v>95</v>
      </c>
      <c r="B96" s="97" t="s">
        <v>328</v>
      </c>
      <c r="C96" s="121" t="s">
        <v>131</v>
      </c>
      <c r="D96" s="121" t="s">
        <v>20</v>
      </c>
      <c r="E96" s="121" t="s">
        <v>21</v>
      </c>
      <c r="F96" s="121" t="s">
        <v>329</v>
      </c>
      <c r="G96" s="122" t="s">
        <v>20</v>
      </c>
      <c r="H96" s="121" t="s">
        <v>330</v>
      </c>
      <c r="I96" s="99" t="n">
        <v>2607496</v>
      </c>
      <c r="J96" s="99" t="n">
        <v>2607496</v>
      </c>
      <c r="K96" s="99">
        <f>IF(C96="III",ROUND(J96*$R$2,0),IF(C96="P3K/III",ROUND(J96*$R$2,0),0))</f>
        <v>130375</v>
      </c>
      <c r="L96" s="99">
        <f>IF(C96="IV",ROUND(J96*$R$3,0),0)</f>
        <v>0</v>
      </c>
      <c r="M96" s="99" t="n">
        <v>0</v>
      </c>
      <c r="N96" s="99" t="n">
        <v>0</v>
      </c>
      <c r="O96" s="99" t="n">
        <v>0</v>
      </c>
      <c r="P96" s="42">
        <f>I96-SUM(K96:O96)</f>
        <v>2477121</v>
      </c>
    </row>
    <row r="97" spans="1:16">
      <c r="A97" s="37" t="n">
        <v>96</v>
      </c>
      <c r="B97" s="97" t="s">
        <v>331</v>
      </c>
      <c r="C97" s="121" t="s">
        <v>58</v>
      </c>
      <c r="D97" s="121" t="s">
        <v>20</v>
      </c>
      <c r="E97" s="121" t="s">
        <v>21</v>
      </c>
      <c r="F97" s="121" t="s">
        <v>332</v>
      </c>
      <c r="G97" s="122" t="s">
        <v>333</v>
      </c>
      <c r="H97" s="121" t="s">
        <v>334</v>
      </c>
      <c r="I97" s="99" t="n">
        <v>2327120</v>
      </c>
      <c r="J97" s="99" t="n">
        <v>2327120</v>
      </c>
      <c r="K97" s="99">
        <f>IF(C97="III",ROUND(J97*$R$2,0),IF(C97="P3K/III",ROUND(J97*$R$2,0),0))</f>
        <v>116356</v>
      </c>
      <c r="L97" s="99">
        <f>IF(C97="IV",ROUND(J97*$R$3,0),0)</f>
        <v>0</v>
      </c>
      <c r="M97" s="99" t="n">
        <v>0</v>
      </c>
      <c r="N97" s="99" t="n">
        <v>0</v>
      </c>
      <c r="O97" s="99" t="n">
        <v>0</v>
      </c>
      <c r="P97" s="42">
        <f>I97-SUM(K97:O97)</f>
        <v>2210764</v>
      </c>
    </row>
    <row r="98" spans="1:16">
      <c r="A98" s="37" t="n">
        <v>97</v>
      </c>
      <c r="B98" s="97" t="s">
        <v>335</v>
      </c>
      <c r="C98" s="121" t="s">
        <v>283</v>
      </c>
      <c r="D98" s="121" t="s">
        <v>20</v>
      </c>
      <c r="E98" s="121" t="s">
        <v>21</v>
      </c>
      <c r="F98" s="98" t="n">
        <v>0</v>
      </c>
      <c r="G98" s="122" t="s">
        <v>336</v>
      </c>
      <c r="H98" s="121" t="s">
        <v>337</v>
      </c>
      <c r="I98" s="99" t="n">
        <v>2123847</v>
      </c>
      <c r="J98" s="99" t="n">
        <v>2123847</v>
      </c>
      <c r="K98" s="99">
        <f>IF(C98="III",ROUND(J98*$R$2,0),IF(C98="P3K/III",ROUND(J98*$R$2,0),0))</f>
        <v>0</v>
      </c>
      <c r="L98" s="99">
        <f>IF(C98="IV",ROUND(J98*$R$3,0),0)</f>
        <v>0</v>
      </c>
      <c r="M98" s="99" t="n">
        <v>0</v>
      </c>
      <c r="N98" s="99" t="n">
        <v>0</v>
      </c>
      <c r="O98" s="99" t="n">
        <v>0</v>
      </c>
      <c r="P98" s="42">
        <f>I98-SUM(K98:O98)</f>
        <v>2123847</v>
      </c>
    </row>
    <row r="99" spans="1:16">
      <c r="A99" s="37" t="n">
        <v>98</v>
      </c>
      <c r="B99" s="97" t="s">
        <v>338</v>
      </c>
      <c r="C99" s="121" t="s">
        <v>95</v>
      </c>
      <c r="D99" s="121" t="s">
        <v>124</v>
      </c>
      <c r="E99" s="121" t="s">
        <v>15</v>
      </c>
      <c r="F99" s="98" t="n">
        <v>0</v>
      </c>
      <c r="G99" s="122" t="s">
        <v>339</v>
      </c>
      <c r="H99" s="121" t="s">
        <v>340</v>
      </c>
      <c r="I99" s="99" t="n">
        <v>2116838</v>
      </c>
      <c r="J99" s="99" t="n">
        <v>2116838</v>
      </c>
      <c r="K99" s="99">
        <f>IF(C99="III",ROUND(J99*$R$2,0),IF(C99="P3K/III",ROUND(J99*$R$2,0),0))</f>
        <v>0</v>
      </c>
      <c r="L99" s="99">
        <f>IF(C99="IV",ROUND(J99*$R$3,0),0)</f>
        <v>0</v>
      </c>
      <c r="M99" s="99" t="n">
        <v>0</v>
      </c>
      <c r="N99" s="99" t="n">
        <v>0</v>
      </c>
      <c r="O99" s="99" t="n">
        <v>0</v>
      </c>
      <c r="P99" s="42">
        <f>I99-SUM(K99:O99)</f>
        <v>2116838</v>
      </c>
    </row>
    <row r="100" spans="1:16">
      <c r="A100" s="37" t="n">
        <v>100</v>
      </c>
      <c r="B100" s="97" t="s">
        <v>341</v>
      </c>
      <c r="C100" s="121" t="s">
        <v>111</v>
      </c>
      <c r="D100" s="121" t="s">
        <v>20</v>
      </c>
      <c r="E100" s="121" t="s">
        <v>21</v>
      </c>
      <c r="F100" s="121" t="s">
        <v>342</v>
      </c>
      <c r="G100" s="122" t="s">
        <v>343</v>
      </c>
      <c r="H100" s="121" t="s">
        <v>344</v>
      </c>
      <c r="I100" s="99" t="n">
        <v>1857490</v>
      </c>
      <c r="J100" s="99" t="n">
        <v>1857490</v>
      </c>
      <c r="K100" s="99">
        <f>IF(C100="III",ROUND(J100*$R$2,0),IF(C100="P3K/III",ROUND(J100*$R$2,0),0))</f>
        <v>0</v>
      </c>
      <c r="L100" s="99">
        <f>IF(C100="IV",ROUND(J100*$R$3,0),0)</f>
        <v>0</v>
      </c>
      <c r="M100" s="99" t="n">
        <v>0</v>
      </c>
      <c r="N100" s="99" t="n">
        <v>0</v>
      </c>
      <c r="O100" s="99" t="n">
        <v>0</v>
      </c>
      <c r="P100" s="42">
        <f>I100-SUM(K100:O100)</f>
        <v>1857490</v>
      </c>
    </row>
    <row r="101" spans="1:16">
      <c r="A101" s="37" t="n">
        <v>101</v>
      </c>
      <c r="B101" s="97" t="s">
        <v>345</v>
      </c>
      <c r="C101" s="121" t="s">
        <v>120</v>
      </c>
      <c r="D101" s="121" t="s">
        <v>128</v>
      </c>
      <c r="E101" s="121" t="s">
        <v>15</v>
      </c>
      <c r="F101" s="98" t="n">
        <v>0</v>
      </c>
      <c r="G101" s="122" t="s">
        <v>20</v>
      </c>
      <c r="H101" s="121" t="s">
        <v>346</v>
      </c>
      <c r="I101" s="99" t="n">
        <v>1808424</v>
      </c>
      <c r="J101" s="99" t="n">
        <v>1808424</v>
      </c>
      <c r="K101" s="99">
        <f>IF(C101="III",ROUND(J101*$R$2,0),IF(C101="P3K/III",ROUND(J101*$R$2,0),0))</f>
        <v>0</v>
      </c>
      <c r="L101" s="99">
        <f>IF(C101="IV",ROUND(J101*$R$3,0),0)</f>
        <v>0</v>
      </c>
      <c r="M101" s="99" t="n">
        <v>0</v>
      </c>
      <c r="N101" s="99" t="n">
        <v>0</v>
      </c>
      <c r="O101" s="99" t="n">
        <v>0</v>
      </c>
      <c r="P101" s="42">
        <f>I101-SUM(K101:O101)</f>
        <v>1808424</v>
      </c>
    </row>
    <row r="102" spans="1:16">
      <c r="A102" s="37" t="n">
        <v>102</v>
      </c>
      <c r="B102" s="97" t="s">
        <v>347</v>
      </c>
      <c r="C102" s="121" t="s">
        <v>95</v>
      </c>
      <c r="D102" s="121" t="s">
        <v>137</v>
      </c>
      <c r="E102" s="121" t="s">
        <v>14</v>
      </c>
      <c r="F102" s="98" t="n">
        <v>0</v>
      </c>
      <c r="G102" s="122" t="s">
        <v>20</v>
      </c>
      <c r="H102" s="121" t="s">
        <v>348</v>
      </c>
      <c r="I102" s="99" t="n">
        <v>1808424</v>
      </c>
      <c r="J102" s="99" t="n">
        <v>1808424</v>
      </c>
      <c r="K102" s="99">
        <f>IF(C102="III",ROUND(J102*$R$2,0),IF(C102="P3K/III",ROUND(J102*$R$2,0),0))</f>
        <v>0</v>
      </c>
      <c r="L102" s="99">
        <f>IF(C102="IV",ROUND(J102*$R$3,0),0)</f>
        <v>0</v>
      </c>
      <c r="M102" s="99" t="n">
        <v>0</v>
      </c>
      <c r="N102" s="99" t="n">
        <v>0</v>
      </c>
      <c r="O102" s="99" t="n">
        <v>0</v>
      </c>
      <c r="P102" s="42">
        <f>I102-SUM(K102:O102)</f>
        <v>1808424</v>
      </c>
    </row>
    <row r="103" spans="1:16">
      <c r="A103" s="37" t="n">
        <v>103</v>
      </c>
      <c r="B103" s="97" t="s">
        <v>349</v>
      </c>
      <c r="C103" s="121" t="s">
        <v>95</v>
      </c>
      <c r="D103" s="121" t="s">
        <v>128</v>
      </c>
      <c r="E103" s="121" t="s">
        <v>15</v>
      </c>
      <c r="F103" s="98" t="n">
        <v>0</v>
      </c>
      <c r="G103" s="122" t="s">
        <v>20</v>
      </c>
      <c r="H103" s="121" t="s">
        <v>350</v>
      </c>
      <c r="I103" s="99" t="n">
        <v>1773377</v>
      </c>
      <c r="J103" s="99" t="n">
        <v>1773377</v>
      </c>
      <c r="K103" s="99">
        <f>IF(C103="III",ROUND(J103*$R$2,0),IF(C103="P3K/III",ROUND(J103*$R$2,0),0))</f>
        <v>0</v>
      </c>
      <c r="L103" s="99">
        <f>IF(C103="IV",ROUND(J103*$R$3,0),0)</f>
        <v>0</v>
      </c>
      <c r="M103" s="99" t="n">
        <v>0</v>
      </c>
      <c r="N103" s="99" t="n">
        <v>0</v>
      </c>
      <c r="O103" s="99" t="n">
        <v>0</v>
      </c>
      <c r="P103" s="42">
        <f>I103-SUM(K103:O103)</f>
        <v>1773377</v>
      </c>
    </row>
    <row r="104" spans="1:16">
      <c r="A104" s="37" t="n">
        <v>104</v>
      </c>
      <c r="B104" s="97" t="s">
        <v>351</v>
      </c>
      <c r="C104" s="121" t="s">
        <v>111</v>
      </c>
      <c r="D104" s="121" t="s">
        <v>20</v>
      </c>
      <c r="E104" s="121" t="s">
        <v>21</v>
      </c>
      <c r="F104" s="121" t="s">
        <v>352</v>
      </c>
      <c r="G104" s="122" t="s">
        <v>20</v>
      </c>
      <c r="H104" s="121" t="s">
        <v>353</v>
      </c>
      <c r="I104" s="99" t="n">
        <v>1773377</v>
      </c>
      <c r="J104" s="99" t="n">
        <v>1773377</v>
      </c>
      <c r="K104" s="99">
        <f>IF(C104="III",ROUND(J104*$R$2,0),IF(C104="P3K/III",ROUND(J104*$R$2,0),0))</f>
        <v>0</v>
      </c>
      <c r="L104" s="99">
        <f>IF(C104="IV",ROUND(J104*$R$3,0),0)</f>
        <v>0</v>
      </c>
      <c r="M104" s="99" t="n">
        <v>0</v>
      </c>
      <c r="N104" s="99" t="n">
        <v>0</v>
      </c>
      <c r="O104" s="99" t="n">
        <v>0</v>
      </c>
      <c r="P104" s="42">
        <f>I104-SUM(K104:O104)</f>
        <v>1773377</v>
      </c>
    </row>
    <row r="105" spans="1:16">
      <c r="A105" s="37" t="n">
        <v>105</v>
      </c>
      <c r="B105" s="97" t="s">
        <v>354</v>
      </c>
      <c r="C105" s="121" t="s">
        <v>120</v>
      </c>
      <c r="D105" s="121" t="s">
        <v>128</v>
      </c>
      <c r="E105" s="121" t="s">
        <v>15</v>
      </c>
      <c r="F105" s="98" t="n">
        <v>0</v>
      </c>
      <c r="G105" s="122" t="s">
        <v>20</v>
      </c>
      <c r="H105" s="121" t="s">
        <v>355</v>
      </c>
      <c r="I105" s="99" t="n">
        <v>1752349</v>
      </c>
      <c r="J105" s="99" t="n">
        <v>1752349</v>
      </c>
      <c r="K105" s="99">
        <f>IF(C105="III",ROUND(J105*$R$2,0),IF(C105="P3K/III",ROUND(J105*$R$2,0),0))</f>
        <v>0</v>
      </c>
      <c r="L105" s="99">
        <f>IF(C105="IV",ROUND(J105*$R$3,0),0)</f>
        <v>0</v>
      </c>
      <c r="M105" s="99" t="n">
        <v>0</v>
      </c>
      <c r="N105" s="99" t="n">
        <v>0</v>
      </c>
      <c r="O105" s="99" t="n">
        <v>0</v>
      </c>
      <c r="P105" s="42">
        <f>I105-SUM(K105:O105)</f>
        <v>1752349</v>
      </c>
    </row>
    <row r="106" spans="1:16">
      <c r="A106" s="37" t="n">
        <v>106</v>
      </c>
      <c r="B106" s="97" t="s">
        <v>356</v>
      </c>
      <c r="C106" s="121" t="s">
        <v>58</v>
      </c>
      <c r="D106" s="121" t="s">
        <v>20</v>
      </c>
      <c r="E106" s="121" t="s">
        <v>21</v>
      </c>
      <c r="F106" s="121" t="s">
        <v>357</v>
      </c>
      <c r="G106" s="122" t="s">
        <v>358</v>
      </c>
      <c r="H106" s="121" t="s">
        <v>359</v>
      </c>
      <c r="I106" s="99" t="n">
        <v>2607496</v>
      </c>
      <c r="J106" s="99" t="n">
        <v>2607496</v>
      </c>
      <c r="K106" s="99">
        <f>IF(C106="III",ROUND(J106*$R$2,0),IF(C106="P3K/III",ROUND(J106*$R$2,0),0))</f>
        <v>130375</v>
      </c>
      <c r="L106" s="99">
        <f>IF(C106="IV",ROUND(J106*$R$3,0),0)</f>
        <v>0</v>
      </c>
      <c r="M106" s="99" t="n">
        <v>0</v>
      </c>
      <c r="N106" s="99" t="n">
        <v>0</v>
      </c>
      <c r="O106" s="99" t="n">
        <v>0</v>
      </c>
      <c r="P106" s="42">
        <f>I106-SUM(K106:O106)</f>
        <v>2477121</v>
      </c>
    </row>
    <row r="107" spans="1:16">
      <c r="A107" s="37" t="n">
        <v>107</v>
      </c>
      <c r="B107" s="97" t="s">
        <v>360</v>
      </c>
      <c r="C107" s="121" t="s">
        <v>120</v>
      </c>
      <c r="D107" s="121" t="s">
        <v>128</v>
      </c>
      <c r="E107" s="121" t="s">
        <v>15</v>
      </c>
      <c r="F107" s="98" t="n">
        <v>0</v>
      </c>
      <c r="G107" s="122" t="s">
        <v>20</v>
      </c>
      <c r="H107" s="121" t="s">
        <v>361</v>
      </c>
      <c r="I107" s="99" t="n">
        <v>2053753</v>
      </c>
      <c r="J107" s="99" t="n">
        <v>2053753</v>
      </c>
      <c r="K107" s="99">
        <f>IF(C107="III",ROUND(J107*$R$2,0),IF(C107="P3K/III",ROUND(J107*$R$2,0),0))</f>
        <v>0</v>
      </c>
      <c r="L107" s="99">
        <f>IF(C107="IV",ROUND(J107*$R$3,0),0)</f>
        <v>0</v>
      </c>
      <c r="M107" s="99" t="n">
        <v>0</v>
      </c>
      <c r="N107" s="99" t="n">
        <v>0</v>
      </c>
      <c r="O107" s="99" t="n">
        <v>0</v>
      </c>
      <c r="P107" s="42">
        <f>I107-SUM(K107:O107)</f>
        <v>2053753</v>
      </c>
    </row>
    <row r="108" spans="1:16">
      <c r="A108" s="37" t="n">
        <v>108</v>
      </c>
      <c r="B108" s="97" t="s">
        <v>362</v>
      </c>
      <c r="C108" s="121" t="s">
        <v>120</v>
      </c>
      <c r="D108" s="121" t="s">
        <v>278</v>
      </c>
      <c r="E108" s="121" t="s">
        <v>16</v>
      </c>
      <c r="F108" s="98" t="n">
        <v>0</v>
      </c>
      <c r="G108" s="122" t="s">
        <v>20</v>
      </c>
      <c r="H108" s="121" t="s">
        <v>363</v>
      </c>
      <c r="I108" s="99" t="n">
        <v>1661227</v>
      </c>
      <c r="J108" s="99" t="n">
        <v>1661227</v>
      </c>
      <c r="K108" s="99">
        <f>IF(C108="III",ROUND(J108*$R$2,0),IF(C108="P3K/III",ROUND(J108*$R$2,0),0))</f>
        <v>0</v>
      </c>
      <c r="L108" s="99">
        <f>IF(C108="IV",ROUND(J108*$R$3,0),0)</f>
        <v>0</v>
      </c>
      <c r="M108" s="99" t="n">
        <v>0</v>
      </c>
      <c r="N108" s="99" t="n">
        <v>0</v>
      </c>
      <c r="O108" s="99" t="n">
        <v>0</v>
      </c>
      <c r="P108" s="42">
        <f>I108-SUM(K108:O108)</f>
        <v>1661227</v>
      </c>
    </row>
    <row r="109" spans="1:16">
      <c r="A109" s="37" t="n">
        <v>109</v>
      </c>
      <c r="B109" s="97" t="s">
        <v>364</v>
      </c>
      <c r="C109" s="121" t="s">
        <v>95</v>
      </c>
      <c r="D109" s="121" t="s">
        <v>124</v>
      </c>
      <c r="E109" s="121" t="s">
        <v>15</v>
      </c>
      <c r="F109" s="98" t="n">
        <v>0</v>
      </c>
      <c r="G109" s="122" t="s">
        <v>20</v>
      </c>
      <c r="H109" s="121" t="s">
        <v>365</v>
      </c>
      <c r="I109" s="99" t="n">
        <v>2032725</v>
      </c>
      <c r="J109" s="99" t="n">
        <v>2032725</v>
      </c>
      <c r="K109" s="99">
        <f>IF(C109="III",ROUND(J109*$R$2,0),IF(C109="P3K/III",ROUND(J109*$R$2,0),0))</f>
        <v>0</v>
      </c>
      <c r="L109" s="99">
        <f>IF(C109="IV",ROUND(J109*$R$3,0),0)</f>
        <v>0</v>
      </c>
      <c r="M109" s="99" t="n">
        <v>0</v>
      </c>
      <c r="N109" s="99" t="n">
        <v>0</v>
      </c>
      <c r="O109" s="99" t="n">
        <v>0</v>
      </c>
      <c r="P109" s="42">
        <f>I109-SUM(K109:O109)</f>
        <v>2032725</v>
      </c>
    </row>
    <row r="110" spans="1:16">
      <c r="A110" s="37" t="n">
        <v>110</v>
      </c>
      <c r="B110" s="97" t="s">
        <v>366</v>
      </c>
      <c r="C110" s="121" t="s">
        <v>95</v>
      </c>
      <c r="D110" s="121" t="s">
        <v>124</v>
      </c>
      <c r="E110" s="121" t="s">
        <v>15</v>
      </c>
      <c r="F110" s="98" t="n">
        <v>0</v>
      </c>
      <c r="G110" s="122" t="s">
        <v>367</v>
      </c>
      <c r="H110" s="121" t="s">
        <v>368</v>
      </c>
      <c r="I110" s="99" t="n">
        <v>2032725</v>
      </c>
      <c r="J110" s="99" t="n">
        <v>2032725</v>
      </c>
      <c r="K110" s="99">
        <f>IF(C110="III",ROUND(J110*$R$2,0),IF(C110="P3K/III",ROUND(J110*$R$2,0),0))</f>
        <v>0</v>
      </c>
      <c r="L110" s="99">
        <f>IF(C110="IV",ROUND(J110*$R$3,0),0)</f>
        <v>0</v>
      </c>
      <c r="M110" s="99" t="n">
        <v>0</v>
      </c>
      <c r="N110" s="99" t="n">
        <v>0</v>
      </c>
      <c r="O110" s="99" t="n">
        <v>0</v>
      </c>
      <c r="P110" s="42">
        <f>I110-SUM(K110:O110)</f>
        <v>2032725</v>
      </c>
    </row>
    <row r="111" spans="1:16">
      <c r="A111" s="37" t="n">
        <v>111</v>
      </c>
      <c r="B111" s="97" t="s">
        <v>369</v>
      </c>
      <c r="C111" s="121" t="s">
        <v>120</v>
      </c>
      <c r="D111" s="121" t="s">
        <v>124</v>
      </c>
      <c r="E111" s="121" t="s">
        <v>15</v>
      </c>
      <c r="F111" s="98" t="n">
        <v>0</v>
      </c>
      <c r="G111" s="122" t="s">
        <v>370</v>
      </c>
      <c r="H111" s="121" t="s">
        <v>371</v>
      </c>
      <c r="I111" s="99" t="n">
        <v>2053753</v>
      </c>
      <c r="J111" s="99" t="n">
        <v>2053753</v>
      </c>
      <c r="K111" s="99">
        <f>IF(C111="III",ROUND(J111*$R$2,0),IF(C111="P3K/III",ROUND(J111*$R$2,0),0))</f>
        <v>0</v>
      </c>
      <c r="L111" s="99">
        <f>IF(C111="IV",ROUND(J111*$R$3,0),0)</f>
        <v>0</v>
      </c>
      <c r="M111" s="99" t="n">
        <v>0</v>
      </c>
      <c r="N111" s="99" t="n">
        <v>0</v>
      </c>
      <c r="O111" s="99" t="n">
        <v>0</v>
      </c>
      <c r="P111" s="42">
        <f>I111-SUM(K111:O111)</f>
        <v>2053753</v>
      </c>
    </row>
    <row r="112" spans="1:16">
      <c r="A112" s="37" t="n">
        <v>112</v>
      </c>
      <c r="B112" s="97" t="s">
        <v>372</v>
      </c>
      <c r="C112" s="121" t="s">
        <v>95</v>
      </c>
      <c r="D112" s="121" t="s">
        <v>128</v>
      </c>
      <c r="E112" s="121" t="s">
        <v>15</v>
      </c>
      <c r="F112" s="98" t="n">
        <v>0</v>
      </c>
      <c r="G112" s="122" t="s">
        <v>373</v>
      </c>
      <c r="H112" s="121" t="s">
        <v>374</v>
      </c>
      <c r="I112" s="99" t="n">
        <v>2032725</v>
      </c>
      <c r="J112" s="99" t="n">
        <v>2032725</v>
      </c>
      <c r="K112" s="99">
        <f>IF(C112="III",ROUND(J112*$R$2,0),IF(C112="P3K/III",ROUND(J112*$R$2,0),0))</f>
        <v>0</v>
      </c>
      <c r="L112" s="99">
        <f>IF(C112="IV",ROUND(J112*$R$3,0),0)</f>
        <v>0</v>
      </c>
      <c r="M112" s="99" t="n">
        <v>0</v>
      </c>
      <c r="N112" s="99" t="n">
        <v>0</v>
      </c>
      <c r="O112" s="99" t="n">
        <v>0</v>
      </c>
      <c r="P112" s="42">
        <f>I112-SUM(K112:O112)</f>
        <v>2032725</v>
      </c>
    </row>
    <row r="113" spans="1:16">
      <c r="A113" s="37" t="n">
        <v>113</v>
      </c>
      <c r="B113" s="97" t="s">
        <v>375</v>
      </c>
      <c r="C113" s="121" t="s">
        <v>120</v>
      </c>
      <c r="D113" s="121" t="s">
        <v>128</v>
      </c>
      <c r="E113" s="121" t="s">
        <v>15</v>
      </c>
      <c r="F113" s="98" t="n">
        <v>0</v>
      </c>
      <c r="G113" s="122" t="s">
        <v>20</v>
      </c>
      <c r="H113" s="121" t="s">
        <v>376</v>
      </c>
      <c r="I113" s="99" t="n">
        <v>1990669</v>
      </c>
      <c r="J113" s="99" t="n">
        <v>1990669</v>
      </c>
      <c r="K113" s="99">
        <f>IF(C113="III",ROUND(J113*$R$2,0),IF(C113="P3K/III",ROUND(J113*$R$2,0),0))</f>
        <v>0</v>
      </c>
      <c r="L113" s="99">
        <f>IF(C113="IV",ROUND(J113*$R$3,0),0)</f>
        <v>0</v>
      </c>
      <c r="M113" s="99" t="n">
        <v>0</v>
      </c>
      <c r="N113" s="99" t="n">
        <v>0</v>
      </c>
      <c r="O113" s="99" t="n">
        <v>0</v>
      </c>
      <c r="P113" s="42">
        <f>I113-SUM(K113:O113)</f>
        <v>1990669</v>
      </c>
    </row>
    <row r="114" spans="1:16">
      <c r="A114" s="37" t="n">
        <v>114</v>
      </c>
      <c r="B114" s="97" t="s">
        <v>377</v>
      </c>
      <c r="C114" s="121" t="s">
        <v>95</v>
      </c>
      <c r="D114" s="121" t="s">
        <v>128</v>
      </c>
      <c r="E114" s="121" t="s">
        <v>15</v>
      </c>
      <c r="F114" s="98" t="n">
        <v>0</v>
      </c>
      <c r="G114" s="122" t="s">
        <v>20</v>
      </c>
      <c r="H114" s="121" t="s">
        <v>378</v>
      </c>
      <c r="I114" s="99" t="n">
        <v>1969640</v>
      </c>
      <c r="J114" s="99" t="n">
        <v>1969640</v>
      </c>
      <c r="K114" s="99">
        <f>IF(C114="III",ROUND(J114*$R$2,0),IF(C114="P3K/III",ROUND(J114*$R$2,0),0))</f>
        <v>0</v>
      </c>
      <c r="L114" s="99">
        <f>IF(C114="IV",ROUND(J114*$R$3,0),0)</f>
        <v>0</v>
      </c>
      <c r="M114" s="99" t="n">
        <v>0</v>
      </c>
      <c r="N114" s="99" t="n">
        <v>0</v>
      </c>
      <c r="O114" s="99" t="n">
        <v>0</v>
      </c>
      <c r="P114" s="42">
        <f>I114-SUM(K114:O114)</f>
        <v>1969640</v>
      </c>
    </row>
    <row r="115" spans="1:16">
      <c r="A115" s="37" t="n">
        <v>115</v>
      </c>
      <c r="B115" s="97" t="s">
        <v>379</v>
      </c>
      <c r="C115" s="121" t="s">
        <v>120</v>
      </c>
      <c r="D115" s="121" t="s">
        <v>278</v>
      </c>
      <c r="E115" s="121" t="s">
        <v>16</v>
      </c>
      <c r="F115" s="98" t="n">
        <v>0</v>
      </c>
      <c r="G115" s="122" t="s">
        <v>380</v>
      </c>
      <c r="H115" s="121" t="s">
        <v>381</v>
      </c>
      <c r="I115" s="99" t="n">
        <v>1969640</v>
      </c>
      <c r="J115" s="99" t="n">
        <v>1969640</v>
      </c>
      <c r="K115" s="99">
        <f>IF(C115="III",ROUND(J115*$R$2,0),IF(C115="P3K/III",ROUND(J115*$R$2,0),0))</f>
        <v>0</v>
      </c>
      <c r="L115" s="99">
        <f>IF(C115="IV",ROUND(J115*$R$3,0),0)</f>
        <v>0</v>
      </c>
      <c r="M115" s="99" t="n">
        <v>0</v>
      </c>
      <c r="N115" s="99" t="n">
        <v>0</v>
      </c>
      <c r="O115" s="99" t="n">
        <v>0</v>
      </c>
      <c r="P115" s="42">
        <f>I115-SUM(K115:O115)</f>
        <v>1969640</v>
      </c>
    </row>
    <row r="116" spans="1:16">
      <c r="A116" s="37" t="n">
        <v>116</v>
      </c>
      <c r="B116" s="97" t="s">
        <v>382</v>
      </c>
      <c r="C116" s="121" t="s">
        <v>95</v>
      </c>
      <c r="D116" s="121" t="s">
        <v>137</v>
      </c>
      <c r="E116" s="121" t="s">
        <v>14</v>
      </c>
      <c r="F116" s="98" t="n">
        <v>0</v>
      </c>
      <c r="G116" s="122" t="s">
        <v>20</v>
      </c>
      <c r="H116" s="121" t="s">
        <v>383</v>
      </c>
      <c r="I116" s="99" t="n">
        <v>1969507</v>
      </c>
      <c r="J116" s="99" t="n">
        <v>1969507</v>
      </c>
      <c r="K116" s="99">
        <f>IF(C116="III",ROUND(J116*$R$2,0),IF(C116="P3K/III",ROUND(J116*$R$2,0),0))</f>
        <v>0</v>
      </c>
      <c r="L116" s="99">
        <f>IF(C116="IV",ROUND(J116*$R$3,0),0)</f>
        <v>0</v>
      </c>
      <c r="M116" s="99" t="n">
        <v>0</v>
      </c>
      <c r="N116" s="99" t="n">
        <v>0</v>
      </c>
      <c r="O116" s="99" t="n">
        <v>0</v>
      </c>
      <c r="P116" s="42">
        <f>I116-SUM(K116:O116)</f>
        <v>1969507</v>
      </c>
    </row>
    <row r="117" spans="1:16">
      <c r="A117" s="37" t="n">
        <v>117</v>
      </c>
      <c r="B117" s="97" t="s">
        <v>384</v>
      </c>
      <c r="C117" s="121" t="s">
        <v>95</v>
      </c>
      <c r="D117" s="121" t="s">
        <v>124</v>
      </c>
      <c r="E117" s="121" t="s">
        <v>15</v>
      </c>
      <c r="F117" s="98" t="n">
        <v>0</v>
      </c>
      <c r="G117" s="122" t="s">
        <v>20</v>
      </c>
      <c r="H117" s="121" t="s">
        <v>385</v>
      </c>
      <c r="I117" s="99" t="n">
        <v>317684</v>
      </c>
      <c r="J117" s="99" t="n">
        <v>317684</v>
      </c>
      <c r="K117" s="99">
        <f>IF(C117="III",ROUND(J117*$R$2,0),IF(C117="P3K/III",ROUND(J117*$R$2,0),0))</f>
        <v>0</v>
      </c>
      <c r="L117" s="99">
        <f>IF(C117="IV",ROUND(J117*$R$3,0),0)</f>
        <v>0</v>
      </c>
      <c r="M117" s="99" t="n">
        <v>0</v>
      </c>
      <c r="N117" s="99" t="n">
        <v>0</v>
      </c>
      <c r="O117" s="99" t="n">
        <v>0</v>
      </c>
      <c r="P117" s="42">
        <f>I117-SUM(K117:O117)</f>
        <v>317684</v>
      </c>
    </row>
    <row r="118" spans="1:16">
      <c r="A118" s="37" t="n">
        <v>118</v>
      </c>
      <c r="B118" s="97" t="s">
        <v>386</v>
      </c>
      <c r="C118" s="121" t="s">
        <v>95</v>
      </c>
      <c r="D118" s="121" t="s">
        <v>124</v>
      </c>
      <c r="E118" s="121" t="s">
        <v>15</v>
      </c>
      <c r="F118" s="98" t="n">
        <v>0</v>
      </c>
      <c r="G118" s="122" t="s">
        <v>20</v>
      </c>
      <c r="H118" s="121" t="s">
        <v>387</v>
      </c>
      <c r="I118" s="99" t="n">
        <v>826883</v>
      </c>
      <c r="J118" s="99" t="n">
        <v>826883</v>
      </c>
      <c r="K118" s="99">
        <f>IF(C118="III",ROUND(J118*$R$2,0),IF(C118="P3K/III",ROUND(J118*$R$2,0),0))</f>
        <v>0</v>
      </c>
      <c r="L118" s="99">
        <f>IF(C118="IV",ROUND(J118*$R$3,0),0)</f>
        <v>0</v>
      </c>
      <c r="M118" s="99" t="n">
        <v>0</v>
      </c>
      <c r="N118" s="99" t="n">
        <v>0</v>
      </c>
      <c r="O118" s="99" t="n">
        <v>0</v>
      </c>
      <c r="P118" s="42">
        <f>I118-SUM(K118:O118)</f>
        <v>826883</v>
      </c>
    </row>
    <row r="119" spans="1:16">
      <c r="A119" s="37" t="n">
        <v>119</v>
      </c>
      <c r="B119" s="97" t="s">
        <v>388</v>
      </c>
      <c r="C119" s="121" t="s">
        <v>95</v>
      </c>
      <c r="D119" s="121" t="s">
        <v>278</v>
      </c>
      <c r="E119" s="121" t="s">
        <v>16</v>
      </c>
      <c r="F119" s="98" t="n">
        <v>0</v>
      </c>
      <c r="G119" s="122" t="s">
        <v>389</v>
      </c>
      <c r="H119" s="121" t="s">
        <v>390</v>
      </c>
      <c r="I119" s="99" t="n">
        <v>1825428</v>
      </c>
      <c r="J119" s="99" t="n">
        <v>1825428</v>
      </c>
      <c r="K119" s="99">
        <f>IF(C119="III",ROUND(J119*$R$2,0),IF(C119="P3K/III",ROUND(J119*$R$2,0),0))</f>
        <v>0</v>
      </c>
      <c r="L119" s="99">
        <f>IF(C119="IV",ROUND(J119*$R$3,0),0)</f>
        <v>0</v>
      </c>
      <c r="M119" s="99" t="n">
        <v>0</v>
      </c>
      <c r="N119" s="99" t="n">
        <v>0</v>
      </c>
      <c r="O119" s="99" t="n">
        <v>0</v>
      </c>
      <c r="P119" s="42">
        <f>I119-SUM(K119:O119)</f>
        <v>1825428</v>
      </c>
    </row>
    <row r="120" spans="1:16">
      <c r="A120" s="37" t="n">
        <v>120</v>
      </c>
      <c r="B120" s="97" t="s">
        <v>391</v>
      </c>
      <c r="C120" s="121" t="s">
        <v>95</v>
      </c>
      <c r="D120" s="121" t="s">
        <v>128</v>
      </c>
      <c r="E120" s="121" t="s">
        <v>15</v>
      </c>
      <c r="F120" s="98" t="n">
        <v>0</v>
      </c>
      <c r="G120" s="122" t="s">
        <v>20</v>
      </c>
      <c r="H120" s="121" t="s">
        <v>392</v>
      </c>
      <c r="I120" s="99" t="n">
        <v>1825428</v>
      </c>
      <c r="J120" s="99" t="n">
        <v>1825428</v>
      </c>
      <c r="K120" s="99">
        <f>IF(C120="III",ROUND(J120*$R$2,0),IF(C120="P3K/III",ROUND(J120*$R$2,0),0))</f>
        <v>0</v>
      </c>
      <c r="L120" s="99">
        <f>IF(C120="IV",ROUND(J120*$R$3,0),0)</f>
        <v>0</v>
      </c>
      <c r="M120" s="99" t="n">
        <v>0</v>
      </c>
      <c r="N120" s="99" t="n">
        <v>0</v>
      </c>
      <c r="O120" s="99" t="n">
        <v>0</v>
      </c>
      <c r="P120" s="42">
        <f>I120-SUM(K120:O120)</f>
        <v>1825428</v>
      </c>
    </row>
    <row r="121" spans="1:16">
      <c r="A121" s="37" t="n">
        <v>121</v>
      </c>
      <c r="B121" s="97" t="s">
        <v>393</v>
      </c>
      <c r="C121" s="121" t="s">
        <v>95</v>
      </c>
      <c r="D121" s="121" t="s">
        <v>128</v>
      </c>
      <c r="E121" s="121" t="s">
        <v>15</v>
      </c>
      <c r="F121" s="98" t="n">
        <v>0</v>
      </c>
      <c r="G121" s="122" t="s">
        <v>394</v>
      </c>
      <c r="H121" s="121" t="s">
        <v>395</v>
      </c>
      <c r="I121" s="99" t="n">
        <v>2000490</v>
      </c>
      <c r="J121" s="99" t="n">
        <v>2000490</v>
      </c>
      <c r="K121" s="99">
        <f>IF(C121="III",ROUND(J121*$R$2,0),IF(C121="P3K/III",ROUND(J121*$R$2,0),0))</f>
        <v>0</v>
      </c>
      <c r="L121" s="99">
        <f>IF(C121="IV",ROUND(J121*$R$3,0),0)</f>
        <v>0</v>
      </c>
      <c r="M121" s="99" t="n">
        <v>0</v>
      </c>
      <c r="N121" s="99" t="n">
        <v>0</v>
      </c>
      <c r="O121" s="99" t="n">
        <v>0</v>
      </c>
      <c r="P121" s="42">
        <f>I121-SUM(K121:O121)</f>
        <v>2000490</v>
      </c>
    </row>
    <row r="122" spans="1:16">
      <c r="A122" s="37" t="n">
        <v>123</v>
      </c>
      <c r="B122" s="97" t="s">
        <v>396</v>
      </c>
      <c r="C122" s="121" t="s">
        <v>95</v>
      </c>
      <c r="D122" s="121" t="s">
        <v>124</v>
      </c>
      <c r="E122" s="121" t="s">
        <v>15</v>
      </c>
      <c r="F122" s="98" t="n">
        <v>0</v>
      </c>
      <c r="G122" s="122" t="s">
        <v>397</v>
      </c>
      <c r="H122" s="121" t="s">
        <v>398</v>
      </c>
      <c r="I122" s="99" t="n">
        <v>3105163</v>
      </c>
      <c r="J122" s="99" t="n">
        <v>3105163</v>
      </c>
      <c r="K122" s="99">
        <f>IF(C122="III",ROUND(J122*$R$2,0),IF(C122="P3K/III",ROUND(J122*$R$2,0),0))</f>
        <v>0</v>
      </c>
      <c r="L122" s="99">
        <f>IF(C122="IV",ROUND(J122*$R$3,0),0)</f>
        <v>0</v>
      </c>
      <c r="M122" s="99" t="n">
        <v>0</v>
      </c>
      <c r="N122" s="99" t="n">
        <v>0</v>
      </c>
      <c r="O122" s="99" t="n">
        <v>0</v>
      </c>
      <c r="P122" s="42">
        <f>I122-SUM(K122:O122)</f>
        <v>3105163</v>
      </c>
    </row>
    <row r="123" spans="1:16">
      <c r="A123" s="37" t="n">
        <v>124</v>
      </c>
      <c r="B123" s="97" t="s">
        <v>399</v>
      </c>
      <c r="C123" s="121" t="s">
        <v>95</v>
      </c>
      <c r="D123" s="121" t="s">
        <v>128</v>
      </c>
      <c r="E123" s="121" t="s">
        <v>15</v>
      </c>
      <c r="F123" s="98" t="n">
        <v>0</v>
      </c>
      <c r="G123" s="122" t="s">
        <v>20</v>
      </c>
      <c r="H123" s="121" t="s">
        <v>400</v>
      </c>
      <c r="I123" s="99" t="n">
        <v>1387775</v>
      </c>
      <c r="J123" s="99" t="n">
        <v>1387775</v>
      </c>
      <c r="K123" s="99">
        <f>IF(C123="III",ROUND(J123*$R$2,0),IF(C123="P3K/III",ROUND(J123*$R$2,0),0))</f>
        <v>0</v>
      </c>
      <c r="L123" s="99">
        <f>IF(C123="IV",ROUND(J123*$R$3,0),0)</f>
        <v>0</v>
      </c>
      <c r="M123" s="99" t="n">
        <v>0</v>
      </c>
      <c r="N123" s="99" t="n">
        <v>0</v>
      </c>
      <c r="O123" s="99" t="n">
        <v>0</v>
      </c>
      <c r="P123" s="42">
        <f>I123-SUM(K123:O123)</f>
        <v>1387775</v>
      </c>
    </row>
    <row r="124" spans="1:16">
      <c r="A124" s="37" t="n">
        <v>125</v>
      </c>
      <c r="B124" s="97" t="s">
        <v>401</v>
      </c>
      <c r="C124" s="121" t="s">
        <v>95</v>
      </c>
      <c r="D124" s="121" t="s">
        <v>128</v>
      </c>
      <c r="E124" s="121" t="s">
        <v>15</v>
      </c>
      <c r="F124" s="98" t="n">
        <v>0</v>
      </c>
      <c r="G124" s="122" t="s">
        <v>402</v>
      </c>
      <c r="H124" s="121" t="s">
        <v>403</v>
      </c>
      <c r="I124" s="99" t="n">
        <v>1969640</v>
      </c>
      <c r="J124" s="99" t="n">
        <v>1969640</v>
      </c>
      <c r="K124" s="99">
        <f>IF(C124="III",ROUND(J124*$R$2,0),IF(C124="P3K/III",ROUND(J124*$R$2,0),0))</f>
        <v>0</v>
      </c>
      <c r="L124" s="99">
        <f>IF(C124="IV",ROUND(J124*$R$3,0),0)</f>
        <v>0</v>
      </c>
      <c r="M124" s="99" t="n">
        <v>0</v>
      </c>
      <c r="N124" s="99" t="n">
        <v>0</v>
      </c>
      <c r="O124" s="99" t="n">
        <v>0</v>
      </c>
      <c r="P124" s="42">
        <f>I124-SUM(K124:O124)</f>
        <v>1969640</v>
      </c>
    </row>
    <row r="125" spans="1:16">
      <c r="A125" s="37" t="n">
        <v>126</v>
      </c>
      <c r="B125" s="97" t="s">
        <v>404</v>
      </c>
      <c r="C125" s="121" t="s">
        <v>95</v>
      </c>
      <c r="D125" s="121" t="s">
        <v>124</v>
      </c>
      <c r="E125" s="121" t="s">
        <v>15</v>
      </c>
      <c r="F125" s="98" t="n">
        <v>0</v>
      </c>
      <c r="G125" s="122" t="s">
        <v>20</v>
      </c>
      <c r="H125" s="121" t="s">
        <v>405</v>
      </c>
      <c r="I125" s="99" t="n">
        <v>1825428</v>
      </c>
      <c r="J125" s="99" t="n">
        <v>1825428</v>
      </c>
      <c r="K125" s="99">
        <f>IF(C125="III",ROUND(J125*$R$2,0),IF(C125="P3K/III",ROUND(J125*$R$2,0),0))</f>
        <v>0</v>
      </c>
      <c r="L125" s="99">
        <f>IF(C125="IV",ROUND(J125*$R$3,0),0)</f>
        <v>0</v>
      </c>
      <c r="M125" s="99" t="n">
        <v>0</v>
      </c>
      <c r="N125" s="99" t="n">
        <v>0</v>
      </c>
      <c r="O125" s="99" t="n">
        <v>0</v>
      </c>
      <c r="P125" s="42">
        <f>I125-SUM(K125:O125)</f>
        <v>1825428</v>
      </c>
    </row>
    <row r="126" spans="1:16">
      <c r="A126" s="37" t="n">
        <v>127</v>
      </c>
      <c r="B126" s="97" t="s">
        <v>406</v>
      </c>
      <c r="C126" s="121" t="s">
        <v>95</v>
      </c>
      <c r="D126" s="121" t="s">
        <v>137</v>
      </c>
      <c r="E126" s="121" t="s">
        <v>14</v>
      </c>
      <c r="F126" s="98" t="n">
        <v>0</v>
      </c>
      <c r="G126" s="122" t="s">
        <v>20</v>
      </c>
      <c r="H126" s="121" t="s">
        <v>407</v>
      </c>
      <c r="I126" s="99" t="n">
        <v>2144875</v>
      </c>
      <c r="J126" s="99" t="n">
        <v>2144875</v>
      </c>
      <c r="K126" s="99">
        <f>IF(C126="III",ROUND(J126*$R$2,0),IF(C126="P3K/III",ROUND(J126*$R$2,0),0))</f>
        <v>0</v>
      </c>
      <c r="L126" s="99">
        <f>IF(C126="IV",ROUND(J126*$R$3,0),0)</f>
        <v>0</v>
      </c>
      <c r="M126" s="99" t="n">
        <v>0</v>
      </c>
      <c r="N126" s="99" t="n">
        <v>0</v>
      </c>
      <c r="O126" s="99" t="n">
        <v>0</v>
      </c>
      <c r="P126" s="42">
        <f>I126-SUM(K126:O126)</f>
        <v>2144875</v>
      </c>
    </row>
    <row r="127" spans="1:16">
      <c r="A127" s="37" t="n">
        <v>128</v>
      </c>
      <c r="B127" s="97" t="s">
        <v>408</v>
      </c>
      <c r="C127" s="121" t="s">
        <v>95</v>
      </c>
      <c r="D127" s="121" t="s">
        <v>137</v>
      </c>
      <c r="E127" s="121" t="s">
        <v>14</v>
      </c>
      <c r="F127" s="98" t="n">
        <v>0</v>
      </c>
      <c r="G127" s="122" t="s">
        <v>20</v>
      </c>
      <c r="H127" s="121" t="s">
        <v>409</v>
      </c>
      <c r="I127" s="99" t="n">
        <v>2000490</v>
      </c>
      <c r="J127" s="99" t="n">
        <v>2000490</v>
      </c>
      <c r="K127" s="99">
        <f>IF(C127="III",ROUND(J127*$R$2,0),IF(C127="P3K/III",ROUND(J127*$R$2,0),0))</f>
        <v>0</v>
      </c>
      <c r="L127" s="99">
        <f>IF(C127="IV",ROUND(J127*$R$3,0),0)</f>
        <v>0</v>
      </c>
      <c r="M127" s="99" t="n">
        <v>0</v>
      </c>
      <c r="N127" s="99" t="n">
        <v>0</v>
      </c>
      <c r="O127" s="99" t="n">
        <v>0</v>
      </c>
      <c r="P127" s="42">
        <f>I127-SUM(K127:O127)</f>
        <v>2000490</v>
      </c>
    </row>
    <row r="128" spans="1:16">
      <c r="A128" s="37" t="n">
        <v>129</v>
      </c>
      <c r="B128" s="97" t="s">
        <v>410</v>
      </c>
      <c r="C128" s="121" t="s">
        <v>95</v>
      </c>
      <c r="D128" s="121" t="s">
        <v>137</v>
      </c>
      <c r="E128" s="121" t="s">
        <v>14</v>
      </c>
      <c r="F128" s="98" t="n">
        <v>0</v>
      </c>
      <c r="G128" s="122" t="s">
        <v>20</v>
      </c>
      <c r="H128" s="121" t="s">
        <v>411</v>
      </c>
      <c r="I128" s="99" t="n">
        <v>1825428</v>
      </c>
      <c r="J128" s="99" t="n">
        <v>1825428</v>
      </c>
      <c r="K128" s="99">
        <f>IF(C128="III",ROUND(J128*$R$2,0),IF(C128="P3K/III",ROUND(J128*$R$2,0),0))</f>
        <v>0</v>
      </c>
      <c r="L128" s="99">
        <f>IF(C128="IV",ROUND(J128*$R$3,0),0)</f>
        <v>0</v>
      </c>
      <c r="M128" s="99" t="n">
        <v>0</v>
      </c>
      <c r="N128" s="99" t="n">
        <v>0</v>
      </c>
      <c r="O128" s="99" t="n">
        <v>0</v>
      </c>
      <c r="P128" s="42">
        <f>I128-SUM(K128:O128)</f>
        <v>1825428</v>
      </c>
    </row>
    <row r="129" spans="1:16">
      <c r="A129" s="37" t="n">
        <v>130</v>
      </c>
      <c r="B129" s="97" t="s">
        <v>412</v>
      </c>
      <c r="C129" s="121" t="s">
        <v>95</v>
      </c>
      <c r="D129" s="121" t="s">
        <v>128</v>
      </c>
      <c r="E129" s="121" t="s">
        <v>15</v>
      </c>
      <c r="F129" s="98" t="n">
        <v>0</v>
      </c>
      <c r="G129" s="122" t="s">
        <v>413</v>
      </c>
      <c r="H129" s="121" t="s">
        <v>414</v>
      </c>
      <c r="I129" s="99" t="n">
        <v>1619171</v>
      </c>
      <c r="J129" s="99" t="n">
        <v>1619171</v>
      </c>
      <c r="K129" s="99">
        <f>IF(C129="III",ROUND(J129*$R$2,0),IF(C129="P3K/III",ROUND(J129*$R$2,0),0))</f>
        <v>0</v>
      </c>
      <c r="L129" s="99">
        <f>IF(C129="IV",ROUND(J129*$R$3,0),0)</f>
        <v>0</v>
      </c>
      <c r="M129" s="99" t="n">
        <v>0</v>
      </c>
      <c r="N129" s="99" t="n">
        <v>0</v>
      </c>
      <c r="O129" s="99" t="n">
        <v>0</v>
      </c>
      <c r="P129" s="42">
        <f>I129-SUM(K129:O129)</f>
        <v>1619171</v>
      </c>
    </row>
    <row r="130" spans="1:16">
      <c r="A130" s="37" t="n">
        <v>131</v>
      </c>
      <c r="B130" s="97" t="s">
        <v>415</v>
      </c>
      <c r="C130" s="121" t="s">
        <v>95</v>
      </c>
      <c r="D130" s="121" t="s">
        <v>124</v>
      </c>
      <c r="E130" s="121" t="s">
        <v>15</v>
      </c>
      <c r="F130" s="98" t="n">
        <v>0</v>
      </c>
      <c r="G130" s="122" t="s">
        <v>20</v>
      </c>
      <c r="H130" s="121" t="s">
        <v>416</v>
      </c>
      <c r="I130" s="99" t="n">
        <v>1200310</v>
      </c>
      <c r="J130" s="99" t="n">
        <v>1200310</v>
      </c>
      <c r="K130" s="99">
        <f>IF(C130="III",ROUND(J130*$R$2,0),IF(C130="P3K/III",ROUND(J130*$R$2,0),0))</f>
        <v>0</v>
      </c>
      <c r="L130" s="99">
        <f>IF(C130="IV",ROUND(J130*$R$3,0),0)</f>
        <v>0</v>
      </c>
      <c r="M130" s="99" t="n">
        <v>0</v>
      </c>
      <c r="N130" s="99" t="n">
        <v>0</v>
      </c>
      <c r="O130" s="99" t="n">
        <v>0</v>
      </c>
      <c r="P130" s="42">
        <f>I130-SUM(K130:O130)</f>
        <v>1200310</v>
      </c>
    </row>
    <row r="131" spans="1:16">
      <c r="A131" s="37" t="n">
        <v>132</v>
      </c>
      <c r="B131" s="97" t="s">
        <v>417</v>
      </c>
      <c r="C131" s="121" t="s">
        <v>19</v>
      </c>
      <c r="D131" s="121" t="s">
        <v>20</v>
      </c>
      <c r="E131" s="121" t="s">
        <v>21</v>
      </c>
      <c r="F131" s="121" t="s">
        <v>418</v>
      </c>
      <c r="G131" s="122" t="s">
        <v>20</v>
      </c>
      <c r="H131" s="121" t="s">
        <v>419</v>
      </c>
      <c r="I131" s="99" t="n">
        <v>31283842</v>
      </c>
      <c r="J131" s="99" t="n">
        <v>31283842</v>
      </c>
      <c r="K131" s="99">
        <f>IF(C131="III",ROUND(J131*$R$2,0),IF(C131="P3K/III",ROUND(J131*$R$2,0),0))</f>
        <v>0</v>
      </c>
      <c r="L131" s="99">
        <f>IF(C131="IV",ROUND(J131*$R$3,0),0)</f>
        <v>4692576</v>
      </c>
      <c r="M131" s="99" t="n">
        <v>0</v>
      </c>
      <c r="N131" s="99" t="n">
        <v>0</v>
      </c>
      <c r="O131" s="99" t="n">
        <v>0</v>
      </c>
      <c r="P131" s="42">
        <f>I131-SUM(K131:O131)</f>
        <v>26591266</v>
      </c>
    </row>
    <row r="132" spans="1:16">
      <c r="A132" s="37" t="n">
        <v>133</v>
      </c>
      <c r="B132" s="97" t="s">
        <v>420</v>
      </c>
      <c r="C132" s="121" t="s">
        <v>58</v>
      </c>
      <c r="D132" s="121" t="s">
        <v>20</v>
      </c>
      <c r="E132" s="121" t="s">
        <v>21</v>
      </c>
      <c r="F132" s="121" t="s">
        <v>421</v>
      </c>
      <c r="G132" s="122" t="s">
        <v>20</v>
      </c>
      <c r="H132" s="121" t="s">
        <v>422</v>
      </c>
      <c r="I132" s="99" t="n">
        <v>6574895</v>
      </c>
      <c r="J132" s="99" t="n">
        <v>6574895</v>
      </c>
      <c r="K132" s="99">
        <f>IF(C132="III",ROUND(J132*$R$2,0),IF(C132="P3K/III",ROUND(J132*$R$2,0),0))</f>
        <v>328745</v>
      </c>
      <c r="L132" s="99">
        <f>IF(C132="IV",ROUND(J132*$R$3,0),0)</f>
        <v>0</v>
      </c>
      <c r="M132" s="99" t="n">
        <v>0</v>
      </c>
      <c r="N132" s="99" t="n">
        <v>0</v>
      </c>
      <c r="O132" s="99" t="n">
        <v>0</v>
      </c>
      <c r="P132" s="42">
        <f>I132-SUM(K132:O132)</f>
        <v>6246150</v>
      </c>
    </row>
    <row r="133" spans="1:16">
      <c r="A133" s="37" t="n">
        <v>134</v>
      </c>
      <c r="B133" s="97" t="s">
        <v>423</v>
      </c>
      <c r="C133" s="121" t="s">
        <v>58</v>
      </c>
      <c r="D133" s="121" t="s">
        <v>20</v>
      </c>
      <c r="E133" s="121" t="s">
        <v>21</v>
      </c>
      <c r="F133" s="121" t="s">
        <v>424</v>
      </c>
      <c r="G133" s="122" t="s">
        <v>20</v>
      </c>
      <c r="H133" s="121" t="s">
        <v>425</v>
      </c>
      <c r="I133" s="99" t="n">
        <v>68414422</v>
      </c>
      <c r="J133" s="99" t="n">
        <v>68414422</v>
      </c>
      <c r="K133" s="99">
        <f>IF(C133="III",ROUND(J133*$R$2,0),IF(C133="P3K/III",ROUND(J133*$R$2,0),0))</f>
        <v>3420721</v>
      </c>
      <c r="L133" s="99">
        <f>IF(C133="IV",ROUND(J133*$R$3,0),0)</f>
        <v>0</v>
      </c>
      <c r="M133" s="99" t="n">
        <v>0</v>
      </c>
      <c r="N133" s="99" t="n">
        <v>0</v>
      </c>
      <c r="O133" s="99" t="n">
        <v>0</v>
      </c>
      <c r="P133" s="42">
        <f>I133-SUM(K133:O133)</f>
        <v>64993701</v>
      </c>
    </row>
    <row r="134" spans="1:16">
      <c r="A134" s="37" t="n">
        <v>135</v>
      </c>
      <c r="B134" s="97" t="s">
        <v>426</v>
      </c>
      <c r="C134" s="121" t="s">
        <v>58</v>
      </c>
      <c r="D134" s="121" t="s">
        <v>20</v>
      </c>
      <c r="E134" s="121" t="s">
        <v>21</v>
      </c>
      <c r="F134" s="121" t="s">
        <v>427</v>
      </c>
      <c r="G134" s="122" t="s">
        <v>428</v>
      </c>
      <c r="H134" s="121" t="s">
        <v>429</v>
      </c>
      <c r="I134" s="99" t="n">
        <v>66919272</v>
      </c>
      <c r="J134" s="99" t="n">
        <v>66919272</v>
      </c>
      <c r="K134" s="99">
        <f>IF(C134="III",ROUND(J134*$R$2,0),IF(C134="P3K/III",ROUND(J134*$R$2,0),0))</f>
        <v>3345964</v>
      </c>
      <c r="L134" s="99">
        <f>IF(C134="IV",ROUND(J134*$R$3,0),0)</f>
        <v>0</v>
      </c>
      <c r="M134" s="99" t="n">
        <v>0</v>
      </c>
      <c r="N134" s="99" t="n">
        <v>0</v>
      </c>
      <c r="O134" s="99" t="n">
        <v>0</v>
      </c>
      <c r="P134" s="42">
        <f>I134-SUM(K134:O134)</f>
        <v>63573308</v>
      </c>
    </row>
    <row r="135" spans="1:16">
      <c r="A135" s="37" t="n">
        <v>136</v>
      </c>
      <c r="B135" s="97" t="s">
        <v>430</v>
      </c>
      <c r="C135" s="121" t="s">
        <v>58</v>
      </c>
      <c r="D135" s="121" t="s">
        <v>20</v>
      </c>
      <c r="E135" s="121" t="s">
        <v>21</v>
      </c>
      <c r="F135" s="121" t="s">
        <v>431</v>
      </c>
      <c r="G135" s="122" t="s">
        <v>432</v>
      </c>
      <c r="H135" s="121" t="s">
        <v>433</v>
      </c>
      <c r="I135" s="99" t="n">
        <v>36671869</v>
      </c>
      <c r="J135" s="99" t="n">
        <v>36671869</v>
      </c>
      <c r="K135" s="99">
        <f>IF(C135="III",ROUND(J135*$R$2,0),IF(C135="P3K/III",ROUND(J135*$R$2,0),0))</f>
        <v>1833593</v>
      </c>
      <c r="L135" s="99">
        <f>IF(C135="IV",ROUND(J135*$R$3,0),0)</f>
        <v>0</v>
      </c>
      <c r="M135" s="99" t="n">
        <v>0</v>
      </c>
      <c r="N135" s="99" t="n">
        <v>0</v>
      </c>
      <c r="O135" s="99" t="n">
        <v>0</v>
      </c>
      <c r="P135" s="42">
        <f>I135-SUM(K135:O135)</f>
        <v>34838276</v>
      </c>
    </row>
    <row r="136" spans="1:16">
      <c r="A136" s="37" t="n">
        <v>137</v>
      </c>
      <c r="B136" s="97" t="s">
        <v>434</v>
      </c>
      <c r="C136" s="121" t="s">
        <v>58</v>
      </c>
      <c r="D136" s="121" t="s">
        <v>20</v>
      </c>
      <c r="E136" s="121" t="s">
        <v>21</v>
      </c>
      <c r="F136" s="121" t="s">
        <v>435</v>
      </c>
      <c r="G136" s="122" t="s">
        <v>436</v>
      </c>
      <c r="H136" s="121" t="s">
        <v>437</v>
      </c>
      <c r="I136" s="99" t="n">
        <v>22011828</v>
      </c>
      <c r="J136" s="99" t="n">
        <v>22011828</v>
      </c>
      <c r="K136" s="99">
        <f>IF(C136="III",ROUND(J136*$R$2,0),IF(C136="P3K/III",ROUND(J136*$R$2,0),0))</f>
        <v>1100591</v>
      </c>
      <c r="L136" s="99">
        <f>IF(C136="IV",ROUND(J136*$R$3,0),0)</f>
        <v>0</v>
      </c>
      <c r="M136" s="99" t="n">
        <v>0</v>
      </c>
      <c r="N136" s="99" t="n">
        <v>0</v>
      </c>
      <c r="O136" s="99" t="n">
        <v>0</v>
      </c>
      <c r="P136" s="42">
        <f>I136-SUM(K136:O136)</f>
        <v>20911237</v>
      </c>
    </row>
    <row r="137" spans="1:16">
      <c r="A137" s="37" t="n">
        <v>138</v>
      </c>
      <c r="B137" s="97" t="s">
        <v>438</v>
      </c>
      <c r="C137" s="121" t="s">
        <v>95</v>
      </c>
      <c r="D137" s="121" t="s">
        <v>137</v>
      </c>
      <c r="E137" s="121" t="s">
        <v>14</v>
      </c>
      <c r="F137" s="121" t="s">
        <v>439</v>
      </c>
      <c r="G137" s="122" t="s">
        <v>440</v>
      </c>
      <c r="H137" s="121" t="s">
        <v>441</v>
      </c>
      <c r="I137" s="99" t="n">
        <v>1261691</v>
      </c>
      <c r="J137" s="99" t="n">
        <v>1261691</v>
      </c>
      <c r="K137" s="99">
        <f>IF(C137="III",ROUND(J137*$R$2,0),IF(C137="P3K/III",ROUND(J137*$R$2,0),0))</f>
        <v>0</v>
      </c>
      <c r="L137" s="99">
        <f>IF(C137="IV",ROUND(J137*$R$3,0),0)</f>
        <v>0</v>
      </c>
      <c r="M137" s="99" t="n">
        <v>0</v>
      </c>
      <c r="N137" s="99" t="n">
        <v>0</v>
      </c>
      <c r="O137" s="99" t="n">
        <v>0</v>
      </c>
      <c r="P137" s="42">
        <f>I137-SUM(K137:O137)</f>
        <v>1261691</v>
      </c>
    </row>
    <row r="138" spans="1:16">
      <c r="A138" s="37" t="n">
        <v>139</v>
      </c>
      <c r="B138" s="97" t="s">
        <v>442</v>
      </c>
      <c r="C138" s="121" t="s">
        <v>131</v>
      </c>
      <c r="D138" s="121" t="s">
        <v>20</v>
      </c>
      <c r="E138" s="121" t="s">
        <v>21</v>
      </c>
      <c r="F138" s="121" t="s">
        <v>443</v>
      </c>
      <c r="G138" s="122" t="s">
        <v>444</v>
      </c>
      <c r="H138" s="121" t="s">
        <v>445</v>
      </c>
      <c r="I138" s="99" t="n">
        <v>31138232</v>
      </c>
      <c r="J138" s="99" t="n">
        <v>31138232</v>
      </c>
      <c r="K138" s="99">
        <f>IF(C138="III",ROUND(J138*$R$2,0),IF(C138="P3K/III",ROUND(J138*$R$2,0),0))</f>
        <v>1556912</v>
      </c>
      <c r="L138" s="99">
        <f>IF(C138="IV",ROUND(J138*$R$3,0),0)</f>
        <v>0</v>
      </c>
      <c r="M138" s="99" t="n">
        <v>0</v>
      </c>
      <c r="N138" s="99" t="n">
        <v>0</v>
      </c>
      <c r="O138" s="99" t="n">
        <v>0</v>
      </c>
      <c r="P138" s="42">
        <f>I138-SUM(K138:O138)</f>
        <v>29581320</v>
      </c>
    </row>
    <row r="139" spans="1:16">
      <c r="A139" s="37" t="n">
        <v>140</v>
      </c>
      <c r="B139" s="97" t="s">
        <v>446</v>
      </c>
      <c r="C139" s="121" t="s">
        <v>58</v>
      </c>
      <c r="D139" s="121" t="s">
        <v>20</v>
      </c>
      <c r="E139" s="121" t="s">
        <v>21</v>
      </c>
      <c r="F139" s="121" t="s">
        <v>447</v>
      </c>
      <c r="G139" s="122" t="s">
        <v>448</v>
      </c>
      <c r="H139" s="121" t="s">
        <v>449</v>
      </c>
      <c r="I139" s="99" t="n">
        <v>33760787</v>
      </c>
      <c r="J139" s="99" t="n">
        <v>33760787</v>
      </c>
      <c r="K139" s="99">
        <f>IF(C139="III",ROUND(J139*$R$2,0),IF(C139="P3K/III",ROUND(J139*$R$2,0),0))</f>
        <v>1688039</v>
      </c>
      <c r="L139" s="99">
        <f>IF(C139="IV",ROUND(J139*$R$3,0),0)</f>
        <v>0</v>
      </c>
      <c r="M139" s="99" t="n">
        <v>0</v>
      </c>
      <c r="N139" s="99" t="n">
        <v>0</v>
      </c>
      <c r="O139" s="99" t="n">
        <v>0</v>
      </c>
      <c r="P139" s="42">
        <f>I139-SUM(K139:O139)</f>
        <v>32072748</v>
      </c>
    </row>
    <row r="140" spans="1:16">
      <c r="A140" s="37" t="n">
        <v>141</v>
      </c>
      <c r="B140" s="97" t="s">
        <v>450</v>
      </c>
      <c r="C140" s="121" t="s">
        <v>131</v>
      </c>
      <c r="D140" s="98" t="n">
        <v>0</v>
      </c>
      <c r="E140" s="121" t="s">
        <v>21</v>
      </c>
      <c r="F140" s="121" t="s">
        <v>22</v>
      </c>
      <c r="G140" s="40" t="n">
        <v>0</v>
      </c>
      <c r="H140" s="121" t="s">
        <v>451</v>
      </c>
      <c r="I140" s="99" t="n">
        <v>14731051</v>
      </c>
      <c r="J140" s="99" t="n">
        <v>14731051</v>
      </c>
      <c r="K140" s="99">
        <f>IF(C140="III",ROUND(J140*$R$2,0),IF(C140="P3K/III",ROUND(J140*$R$2,0),0))</f>
        <v>736553</v>
      </c>
      <c r="L140" s="99">
        <f>IF(C140="IV",ROUND(J140*$R$3,0),0)</f>
        <v>0</v>
      </c>
      <c r="M140" s="99" t="n">
        <v>0</v>
      </c>
      <c r="N140" s="99" t="n">
        <v>0</v>
      </c>
      <c r="O140" s="99" t="n">
        <v>0</v>
      </c>
      <c r="P140" s="42">
        <f>I140-SUM(K140:O140)</f>
        <v>13994498</v>
      </c>
    </row>
    <row r="141" spans="1:16">
      <c r="A141" s="37" t="n">
        <v>142</v>
      </c>
      <c r="B141" s="97" t="s">
        <v>452</v>
      </c>
      <c r="C141" s="121" t="s">
        <v>19</v>
      </c>
      <c r="D141" s="121" t="s">
        <v>20</v>
      </c>
      <c r="E141" s="121" t="s">
        <v>21</v>
      </c>
      <c r="F141" s="121" t="s">
        <v>453</v>
      </c>
      <c r="G141" s="40" t="n">
        <v>0</v>
      </c>
      <c r="H141" s="121" t="s">
        <v>454</v>
      </c>
      <c r="I141" s="99" t="n">
        <v>5144123</v>
      </c>
      <c r="J141" s="99" t="n">
        <v>5144123</v>
      </c>
      <c r="K141" s="99">
        <f>IF(C141="III",ROUND(J141*$R$2,0),IF(C141="P3K/III",ROUND(J141*$R$2,0),0))</f>
        <v>0</v>
      </c>
      <c r="L141" s="99">
        <f>IF(C141="IV",ROUND(J141*$R$3,0),0)</f>
        <v>771618</v>
      </c>
      <c r="M141" s="99" t="n">
        <v>0</v>
      </c>
      <c r="N141" s="99" t="n">
        <v>0</v>
      </c>
      <c r="O141" s="99" t="n">
        <v>0</v>
      </c>
      <c r="P141" s="42">
        <f>I141-SUM(K141:O141)</f>
        <v>4372505</v>
      </c>
    </row>
    <row r="142" spans="1:16">
      <c r="A142" s="37" t="n">
        <v>143</v>
      </c>
      <c r="B142" s="97" t="s">
        <v>455</v>
      </c>
      <c r="C142" s="121" t="s">
        <v>19</v>
      </c>
      <c r="D142" s="121" t="s">
        <v>20</v>
      </c>
      <c r="E142" s="121" t="s">
        <v>21</v>
      </c>
      <c r="F142" s="121" t="s">
        <v>456</v>
      </c>
      <c r="G142" s="40" t="n">
        <v>0</v>
      </c>
      <c r="H142" s="121" t="s">
        <v>457</v>
      </c>
      <c r="I142" s="99" t="n">
        <v>5909608</v>
      </c>
      <c r="J142" s="99" t="n">
        <v>5909608</v>
      </c>
      <c r="K142" s="99">
        <f>IF(C142="III",ROUND(J142*$R$2,0),IF(C142="P3K/III",ROUND(J142*$R$2,0),0))</f>
        <v>0</v>
      </c>
      <c r="L142" s="99">
        <f>IF(C142="IV",ROUND(J142*$R$3,0),0)</f>
        <v>886441</v>
      </c>
      <c r="M142" s="99" t="n">
        <v>0</v>
      </c>
      <c r="N142" s="99" t="n">
        <v>0</v>
      </c>
      <c r="O142" s="99" t="n">
        <v>0</v>
      </c>
      <c r="P142" s="42">
        <f>I142-SUM(K142:O142)</f>
        <v>5023167</v>
      </c>
    </row>
    <row r="143" spans="1:16">
      <c r="A143" s="37" t="n">
        <v>144</v>
      </c>
      <c r="B143" s="97" t="s">
        <v>458</v>
      </c>
      <c r="C143" s="121" t="s">
        <v>58</v>
      </c>
      <c r="D143" s="121" t="s">
        <v>20</v>
      </c>
      <c r="E143" s="121" t="s">
        <v>21</v>
      </c>
      <c r="F143" s="121" t="s">
        <v>459</v>
      </c>
      <c r="G143" s="40" t="n">
        <v>0</v>
      </c>
      <c r="H143" s="121" t="s">
        <v>460</v>
      </c>
      <c r="I143" s="99" t="n">
        <v>3821774</v>
      </c>
      <c r="J143" s="99" t="n">
        <v>3821774</v>
      </c>
      <c r="K143" s="99">
        <f>IF(C143="III",ROUND(J143*$R$2,0),IF(C143="P3K/III",ROUND(J143*$R$2,0),0))</f>
        <v>191089</v>
      </c>
      <c r="L143" s="99">
        <f>IF(C143="IV",ROUND(J143*$R$3,0),0)</f>
        <v>0</v>
      </c>
      <c r="M143" s="99" t="n">
        <v>0</v>
      </c>
      <c r="N143" s="99" t="n">
        <v>0</v>
      </c>
      <c r="O143" s="99" t="n">
        <v>0</v>
      </c>
      <c r="P143" s="42">
        <f>I143-SUM(K143:O143)</f>
        <v>3630685</v>
      </c>
    </row>
    <row r="144" spans="1:16">
      <c r="A144" s="37" t="n">
        <v>145</v>
      </c>
      <c r="B144" s="97" t="s">
        <v>461</v>
      </c>
      <c r="C144" s="121" t="s">
        <v>58</v>
      </c>
      <c r="D144" s="121" t="s">
        <v>20</v>
      </c>
      <c r="E144" s="121" t="s">
        <v>21</v>
      </c>
      <c r="F144" s="121" t="s">
        <v>462</v>
      </c>
      <c r="G144" s="122" t="s">
        <v>463</v>
      </c>
      <c r="H144" s="121" t="s">
        <v>464</v>
      </c>
      <c r="I144" s="99" t="n">
        <v>4359097</v>
      </c>
      <c r="J144" s="99" t="n">
        <v>4359097</v>
      </c>
      <c r="K144" s="99">
        <f>IF(C144="III",ROUND(J144*$R$2,0),IF(C144="P3K/III",ROUND(J144*$R$2,0),0))</f>
        <v>217955</v>
      </c>
      <c r="L144" s="99">
        <f>IF(C144="IV",ROUND(J144*$R$3,0),0)</f>
        <v>0</v>
      </c>
      <c r="M144" s="99" t="n">
        <v>0</v>
      </c>
      <c r="N144" s="99" t="n">
        <v>0</v>
      </c>
      <c r="O144" s="99" t="n">
        <v>0</v>
      </c>
      <c r="P144" s="42">
        <f>I144-SUM(K144:O144)</f>
        <v>4141142</v>
      </c>
    </row>
    <row r="145" spans="1:16">
      <c r="A145" s="37" t="n">
        <v>146</v>
      </c>
      <c r="B145" s="97" t="s">
        <v>465</v>
      </c>
      <c r="C145" s="121" t="s">
        <v>111</v>
      </c>
      <c r="D145" s="121" t="s">
        <v>20</v>
      </c>
      <c r="E145" s="121" t="s">
        <v>21</v>
      </c>
      <c r="F145" s="121" t="s">
        <v>466</v>
      </c>
      <c r="G145" s="40" t="n">
        <v>0</v>
      </c>
      <c r="H145" s="121" t="s">
        <v>467</v>
      </c>
      <c r="I145" s="99" t="n">
        <v>4569863</v>
      </c>
      <c r="J145" s="99" t="n">
        <v>4569863</v>
      </c>
      <c r="K145" s="99">
        <f>IF(C145="III",ROUND(J145*$R$2,0),IF(C145="P3K/III",ROUND(J145*$R$2,0),0))</f>
        <v>0</v>
      </c>
      <c r="L145" s="99">
        <f>IF(C145="IV",ROUND(J145*$R$3,0),0)</f>
        <v>0</v>
      </c>
      <c r="M145" s="99" t="n">
        <v>0</v>
      </c>
      <c r="N145" s="99" t="n">
        <v>0</v>
      </c>
      <c r="O145" s="99" t="n">
        <v>0</v>
      </c>
      <c r="P145" s="42">
        <f>I145-SUM(K145:O145)</f>
        <v>4569863</v>
      </c>
    </row>
    <row r="146" spans="1:16">
      <c r="A146" s="37" t="n">
        <v>147</v>
      </c>
      <c r="B146" s="97" t="s">
        <v>468</v>
      </c>
      <c r="C146" s="121" t="s">
        <v>58</v>
      </c>
      <c r="D146" s="121" t="s">
        <v>20</v>
      </c>
      <c r="E146" s="121" t="s">
        <v>21</v>
      </c>
      <c r="F146" s="121" t="s">
        <v>469</v>
      </c>
      <c r="G146" s="40" t="n">
        <v>0</v>
      </c>
      <c r="H146" s="121" t="s">
        <v>470</v>
      </c>
      <c r="I146" s="99" t="n">
        <v>2593477</v>
      </c>
      <c r="J146" s="99" t="n">
        <v>2593477</v>
      </c>
      <c r="K146" s="99">
        <f>IF(C146="III",ROUND(J146*$R$2,0),IF(C146="P3K/III",ROUND(J146*$R$2,0),0))</f>
        <v>129674</v>
      </c>
      <c r="L146" s="99">
        <f>IF(C146="IV",ROUND(J146*$R$3,0),0)</f>
        <v>0</v>
      </c>
      <c r="M146" s="99" t="n">
        <v>0</v>
      </c>
      <c r="N146" s="99" t="n">
        <v>0</v>
      </c>
      <c r="O146" s="99" t="n">
        <v>0</v>
      </c>
      <c r="P146" s="42">
        <f>I146-SUM(K146:O146)</f>
        <v>2463803</v>
      </c>
    </row>
    <row r="147" spans="1:16">
      <c r="A147" s="37" t="n">
        <v>148</v>
      </c>
      <c r="B147" s="97" t="s">
        <v>471</v>
      </c>
      <c r="C147" s="121" t="s">
        <v>58</v>
      </c>
      <c r="D147" s="121" t="s">
        <v>20</v>
      </c>
      <c r="E147" s="121" t="s">
        <v>21</v>
      </c>
      <c r="F147" s="121" t="s">
        <v>472</v>
      </c>
      <c r="G147" s="40" t="n">
        <v>0</v>
      </c>
      <c r="H147" s="121" t="s">
        <v>473</v>
      </c>
      <c r="I147" s="99" t="n">
        <v>2000490</v>
      </c>
      <c r="J147" s="99" t="n">
        <v>2000490</v>
      </c>
      <c r="K147" s="99">
        <f>IF(C147="III",ROUND(J147*$R$2,0),IF(C147="P3K/III",ROUND(J147*$R$2,0),0))</f>
        <v>100025</v>
      </c>
      <c r="L147" s="99">
        <f>IF(C147="IV",ROUND(J147*$R$3,0),0)</f>
        <v>0</v>
      </c>
      <c r="M147" s="99" t="n">
        <v>0</v>
      </c>
      <c r="N147" s="99" t="n">
        <v>0</v>
      </c>
      <c r="O147" s="99" t="n">
        <v>0</v>
      </c>
      <c r="P147" s="42">
        <f>I147-SUM(K147:O147)</f>
        <v>1900465</v>
      </c>
    </row>
    <row r="148" spans="1:16">
      <c r="A148" s="37" t="n">
        <v>149</v>
      </c>
      <c r="B148" s="97" t="s">
        <v>474</v>
      </c>
      <c r="C148" s="121" t="s">
        <v>95</v>
      </c>
      <c r="D148" s="121" t="s">
        <v>124</v>
      </c>
      <c r="E148" s="121" t="s">
        <v>15</v>
      </c>
      <c r="F148" s="98" t="n">
        <v>0</v>
      </c>
      <c r="G148" s="122" t="s">
        <v>463</v>
      </c>
      <c r="H148" s="121" t="s">
        <v>475</v>
      </c>
      <c r="I148" s="99" t="n">
        <v>2116838</v>
      </c>
      <c r="J148" s="99" t="n">
        <v>2116838</v>
      </c>
      <c r="K148" s="99">
        <f>IF(C148="III",ROUND(J148*$R$2,0),IF(C148="P3K/III",ROUND(J148*$R$2,0),0))</f>
        <v>0</v>
      </c>
      <c r="L148" s="99">
        <f>IF(C148="IV",ROUND(J148*$R$3,0),0)</f>
        <v>0</v>
      </c>
      <c r="M148" s="99" t="n">
        <v>0</v>
      </c>
      <c r="N148" s="99" t="n">
        <v>0</v>
      </c>
      <c r="O148" s="99" t="n">
        <v>0</v>
      </c>
      <c r="P148" s="42">
        <f>I148-SUM(K148:O148)</f>
        <v>2116838</v>
      </c>
    </row>
    <row r="149" spans="1:16">
      <c r="A149" s="37" t="n">
        <v>150</v>
      </c>
      <c r="B149" s="97" t="s">
        <v>476</v>
      </c>
      <c r="C149" s="121" t="s">
        <v>95</v>
      </c>
      <c r="D149" s="121" t="s">
        <v>124</v>
      </c>
      <c r="E149" s="121" t="s">
        <v>15</v>
      </c>
      <c r="F149" s="98" t="n">
        <v>0</v>
      </c>
      <c r="G149" s="122" t="s">
        <v>463</v>
      </c>
      <c r="H149" s="121" t="s">
        <v>477</v>
      </c>
      <c r="I149" s="99" t="n">
        <v>2000490</v>
      </c>
      <c r="J149" s="99" t="n">
        <v>2000490</v>
      </c>
      <c r="K149" s="99">
        <f>IF(C149="III",ROUND(J149*$R$2,0),IF(C149="P3K/III",ROUND(J149*$R$2,0),0))</f>
        <v>0</v>
      </c>
      <c r="L149" s="99">
        <f>IF(C149="IV",ROUND(J149*$R$3,0),0)</f>
        <v>0</v>
      </c>
      <c r="M149" s="99" t="n">
        <v>0</v>
      </c>
      <c r="N149" s="99" t="n">
        <v>0</v>
      </c>
      <c r="O149" s="99" t="n">
        <v>0</v>
      </c>
      <c r="P149" s="42">
        <f>I149-SUM(K149:O149)</f>
        <v>2000490</v>
      </c>
    </row>
    <row r="150" spans="1:16">
      <c r="A150" s="37" t="n">
        <v>151</v>
      </c>
      <c r="B150" s="97" t="s">
        <v>478</v>
      </c>
      <c r="C150" s="121" t="s">
        <v>120</v>
      </c>
      <c r="D150" s="121" t="s">
        <v>278</v>
      </c>
      <c r="E150" s="121" t="s">
        <v>16</v>
      </c>
      <c r="F150" s="98" t="n">
        <v>0</v>
      </c>
      <c r="G150" s="40" t="n">
        <v>0</v>
      </c>
      <c r="H150" s="121" t="s">
        <v>479</v>
      </c>
      <c r="I150" s="99" t="n">
        <v>2000490</v>
      </c>
      <c r="J150" s="99" t="n">
        <v>2000490</v>
      </c>
      <c r="K150" s="99">
        <f>IF(C150="III",ROUND(J150*$R$2,0),IF(C150="P3K/III",ROUND(J150*$R$2,0),0))</f>
        <v>0</v>
      </c>
      <c r="L150" s="99">
        <f>IF(C150="IV",ROUND(J150*$R$3,0),0)</f>
        <v>0</v>
      </c>
      <c r="M150" s="99" t="n">
        <v>0</v>
      </c>
      <c r="N150" s="99" t="n">
        <v>0</v>
      </c>
      <c r="O150" s="99" t="n">
        <v>0</v>
      </c>
      <c r="P150" s="42">
        <f>I150-SUM(K150:O150)</f>
        <v>2000490</v>
      </c>
    </row>
    <row r="151" spans="1:16">
      <c r="A151" s="37" t="n">
        <v>152</v>
      </c>
      <c r="B151" s="97" t="s">
        <v>480</v>
      </c>
      <c r="C151" s="121" t="s">
        <v>95</v>
      </c>
      <c r="D151" s="121" t="s">
        <v>124</v>
      </c>
      <c r="E151" s="121" t="s">
        <v>15</v>
      </c>
      <c r="F151" s="98" t="n">
        <v>0</v>
      </c>
      <c r="G151" s="40" t="n">
        <v>0</v>
      </c>
      <c r="H151" s="121" t="s">
        <v>481</v>
      </c>
      <c r="I151" s="99" t="n">
        <v>2000490</v>
      </c>
      <c r="J151" s="99" t="n">
        <v>2000490</v>
      </c>
      <c r="K151" s="99">
        <f>IF(C151="III",ROUND(J151*$R$2,0),IF(C151="P3K/III",ROUND(J151*$R$2,0),0))</f>
        <v>0</v>
      </c>
      <c r="L151" s="99">
        <f>IF(C151="IV",ROUND(J151*$R$3,0),0)</f>
        <v>0</v>
      </c>
      <c r="M151" s="99" t="n">
        <v>0</v>
      </c>
      <c r="N151" s="99" t="n">
        <v>0</v>
      </c>
      <c r="O151" s="99" t="n">
        <v>0</v>
      </c>
      <c r="P151" s="42">
        <f>I151-SUM(K151:O151)</f>
        <v>2000490</v>
      </c>
    </row>
    <row r="152" spans="1:16">
      <c r="A152" s="37" t="n">
        <v>153</v>
      </c>
      <c r="B152" s="97" t="s">
        <v>482</v>
      </c>
      <c r="C152" s="121" t="s">
        <v>120</v>
      </c>
      <c r="D152" s="121" t="s">
        <v>278</v>
      </c>
      <c r="E152" s="121" t="s">
        <v>16</v>
      </c>
      <c r="F152" s="98" t="n">
        <v>0</v>
      </c>
      <c r="G152" s="40" t="n">
        <v>0</v>
      </c>
      <c r="H152" s="121" t="s">
        <v>483</v>
      </c>
      <c r="I152" s="99" t="n">
        <v>2350612</v>
      </c>
      <c r="J152" s="99" t="n">
        <v>2350612</v>
      </c>
      <c r="K152" s="99">
        <f>IF(C152="III",ROUND(J152*$R$2,0),IF(C152="P3K/III",ROUND(J152*$R$2,0),0))</f>
        <v>0</v>
      </c>
      <c r="L152" s="99">
        <f>IF(C152="IV",ROUND(J152*$R$3,0),0)</f>
        <v>0</v>
      </c>
      <c r="M152" s="99" t="n">
        <v>0</v>
      </c>
      <c r="N152" s="99" t="n">
        <v>0</v>
      </c>
      <c r="O152" s="99" t="n">
        <v>0</v>
      </c>
      <c r="P152" s="42">
        <f>I152-SUM(K152:O152)</f>
        <v>2350612</v>
      </c>
    </row>
    <row r="153" spans="1:16">
      <c r="A153" s="37" t="n">
        <v>154</v>
      </c>
      <c r="B153" s="97" t="s">
        <v>484</v>
      </c>
      <c r="C153" s="121" t="s">
        <v>120</v>
      </c>
      <c r="D153" s="121" t="s">
        <v>128</v>
      </c>
      <c r="E153" s="121" t="s">
        <v>15</v>
      </c>
      <c r="F153" s="98" t="n">
        <v>0</v>
      </c>
      <c r="G153" s="40" t="n">
        <v>1</v>
      </c>
      <c r="H153" s="121" t="s">
        <v>485</v>
      </c>
      <c r="I153" s="99" t="n">
        <v>2350612</v>
      </c>
      <c r="J153" s="99" t="n">
        <v>2350612</v>
      </c>
      <c r="K153" s="99">
        <f>IF(C153="III",ROUND(J153*$R$2,0),IF(C153="P3K/III",ROUND(J153*$R$2,0),0))</f>
        <v>0</v>
      </c>
      <c r="L153" s="99">
        <f>IF(C153="IV",ROUND(J153*$R$3,0),0)</f>
        <v>0</v>
      </c>
      <c r="M153" s="99" t="n">
        <v>0</v>
      </c>
      <c r="N153" s="99" t="n">
        <v>0</v>
      </c>
      <c r="O153" s="99" t="n">
        <v>0</v>
      </c>
      <c r="P153" s="42">
        <f>I153-SUM(K153:O153)</f>
        <v>2350612</v>
      </c>
    </row>
    <row r="154" spans="1:16">
      <c r="A154" s="37" t="n">
        <v>155</v>
      </c>
      <c r="B154" s="97" t="s">
        <v>486</v>
      </c>
      <c r="C154" s="121" t="s">
        <v>111</v>
      </c>
      <c r="D154" s="121" t="s">
        <v>20</v>
      </c>
      <c r="E154" s="121" t="s">
        <v>21</v>
      </c>
      <c r="F154" s="121" t="s">
        <v>487</v>
      </c>
      <c r="G154" s="40" t="n">
        <v>0</v>
      </c>
      <c r="H154" s="121" t="s">
        <v>488</v>
      </c>
      <c r="I154" s="99" t="n">
        <v>2350612</v>
      </c>
      <c r="J154" s="99" t="n">
        <v>2350612</v>
      </c>
      <c r="K154" s="99">
        <f>IF(C154="III",ROUND(J154*$R$2,0),IF(C154="P3K/III",ROUND(J154*$R$2,0),0))</f>
        <v>0</v>
      </c>
      <c r="L154" s="99">
        <f>IF(C154="IV",ROUND(J154*$R$3,0),0)</f>
        <v>0</v>
      </c>
      <c r="M154" s="99" t="n">
        <v>0</v>
      </c>
      <c r="N154" s="99" t="n">
        <v>0</v>
      </c>
      <c r="O154" s="99" t="n">
        <v>0</v>
      </c>
      <c r="P154" s="42">
        <f>I154-SUM(K154:O154)</f>
        <v>2350612</v>
      </c>
    </row>
    <row r="155" spans="1:16">
      <c r="A155" s="37" t="n">
        <v>156</v>
      </c>
      <c r="B155" s="97" t="s">
        <v>489</v>
      </c>
      <c r="C155" s="121" t="s">
        <v>58</v>
      </c>
      <c r="D155" s="121" t="s">
        <v>20</v>
      </c>
      <c r="E155" s="121" t="s">
        <v>21</v>
      </c>
      <c r="F155" s="121" t="s">
        <v>490</v>
      </c>
      <c r="G155" s="40" t="n">
        <v>0</v>
      </c>
      <c r="H155" s="121" t="s">
        <v>491</v>
      </c>
      <c r="I155" s="99" t="n">
        <v>2350612</v>
      </c>
      <c r="J155" s="99" t="n">
        <v>2350612</v>
      </c>
      <c r="K155" s="99">
        <f>IF(C155="III",ROUND(J155*$R$2,0),IF(C155="P3K/III",ROUND(J155*$R$2,0),0))</f>
        <v>117531</v>
      </c>
      <c r="L155" s="99">
        <f>IF(C155="IV",ROUND(J155*$R$3,0),0)</f>
        <v>0</v>
      </c>
      <c r="M155" s="99" t="n">
        <v>0</v>
      </c>
      <c r="N155" s="99" t="n">
        <v>0</v>
      </c>
      <c r="O155" s="99" t="n">
        <v>0</v>
      </c>
      <c r="P155" s="42">
        <f>I155-SUM(K155:O155)</f>
        <v>2233081</v>
      </c>
    </row>
    <row r="156" spans="1:16">
      <c r="A156" s="37" t="n">
        <v>157</v>
      </c>
      <c r="B156" s="97" t="s">
        <v>492</v>
      </c>
      <c r="C156" s="121" t="s">
        <v>58</v>
      </c>
      <c r="D156" s="121" t="s">
        <v>20</v>
      </c>
      <c r="E156" s="121" t="s">
        <v>21</v>
      </c>
      <c r="F156" s="121" t="s">
        <v>493</v>
      </c>
      <c r="G156" s="40" t="n">
        <v>0</v>
      </c>
      <c r="H156" s="121" t="s">
        <v>494</v>
      </c>
      <c r="I156" s="99" t="n">
        <v>2000490</v>
      </c>
      <c r="J156" s="99" t="n">
        <v>2000490</v>
      </c>
      <c r="K156" s="99">
        <f>IF(C156="III",ROUND(J156*$R$2,0),IF(C156="P3K/III",ROUND(J156*$R$2,0),0))</f>
        <v>100025</v>
      </c>
      <c r="L156" s="99">
        <f>IF(C156="IV",ROUND(J156*$R$3,0),0)</f>
        <v>0</v>
      </c>
      <c r="M156" s="99" t="n">
        <v>0</v>
      </c>
      <c r="N156" s="99" t="n">
        <v>0</v>
      </c>
      <c r="O156" s="99" t="n">
        <v>0</v>
      </c>
      <c r="P156" s="42">
        <f>I156-SUM(K156:O156)</f>
        <v>1900465</v>
      </c>
    </row>
    <row r="157" spans="1:16">
      <c r="A157" s="37" t="n">
        <v>158</v>
      </c>
      <c r="B157" s="97" t="s">
        <v>495</v>
      </c>
      <c r="C157" s="121" t="s">
        <v>120</v>
      </c>
      <c r="D157" s="121" t="s">
        <v>121</v>
      </c>
      <c r="E157" s="121" t="s">
        <v>14</v>
      </c>
      <c r="F157" s="98" t="n">
        <v>0</v>
      </c>
      <c r="G157" s="40" t="n">
        <v>0</v>
      </c>
      <c r="H157" s="121" t="s">
        <v>496</v>
      </c>
      <c r="I157" s="99" t="n">
        <v>1825428</v>
      </c>
      <c r="J157" s="99" t="n">
        <v>1825428</v>
      </c>
      <c r="K157" s="99">
        <f>IF(C157="III",ROUND(J157*$R$2,0),IF(C157="P3K/III",ROUND(J157*$R$2,0),0))</f>
        <v>0</v>
      </c>
      <c r="L157" s="99">
        <f>IF(C157="IV",ROUND(J157*$R$3,0),0)</f>
        <v>0</v>
      </c>
      <c r="M157" s="99" t="n">
        <v>0</v>
      </c>
      <c r="N157" s="99" t="n">
        <v>0</v>
      </c>
      <c r="O157" s="99" t="n">
        <v>0</v>
      </c>
      <c r="P157" s="42">
        <f>I157-SUM(K157:O157)</f>
        <v>1825428</v>
      </c>
    </row>
    <row r="158" spans="1:16">
      <c r="A158" s="37" t="n">
        <v>159</v>
      </c>
      <c r="B158" s="97" t="s">
        <v>497</v>
      </c>
      <c r="C158" s="121" t="s">
        <v>111</v>
      </c>
      <c r="D158" s="121" t="s">
        <v>20</v>
      </c>
      <c r="E158" s="121" t="s">
        <v>21</v>
      </c>
      <c r="F158" s="121" t="s">
        <v>498</v>
      </c>
      <c r="G158" s="122" t="s">
        <v>499</v>
      </c>
      <c r="H158" s="121" t="s">
        <v>500</v>
      </c>
      <c r="I158" s="99" t="n">
        <v>2000490</v>
      </c>
      <c r="J158" s="99" t="n">
        <v>2000490</v>
      </c>
      <c r="K158" s="99">
        <f>IF(C158="III",ROUND(J158*$R$2,0),IF(C158="P3K/III",ROUND(J158*$R$2,0),0))</f>
        <v>0</v>
      </c>
      <c r="L158" s="99">
        <f>IF(C158="IV",ROUND(J158*$R$3,0),0)</f>
        <v>0</v>
      </c>
      <c r="M158" s="99" t="n">
        <v>0</v>
      </c>
      <c r="N158" s="99" t="n">
        <v>0</v>
      </c>
      <c r="O158" s="99" t="n">
        <v>0</v>
      </c>
      <c r="P158" s="42">
        <f>I158-SUM(K158:O158)</f>
        <v>2000490</v>
      </c>
    </row>
    <row r="159" spans="1:16">
      <c r="A159" s="37" t="n">
        <v>160</v>
      </c>
      <c r="B159" s="97" t="s">
        <v>501</v>
      </c>
      <c r="C159" s="121" t="s">
        <v>111</v>
      </c>
      <c r="D159" s="121" t="s">
        <v>20</v>
      </c>
      <c r="E159" s="121" t="s">
        <v>21</v>
      </c>
      <c r="F159" s="121" t="s">
        <v>502</v>
      </c>
      <c r="G159" s="40" t="n">
        <v>0</v>
      </c>
      <c r="H159" s="121" t="s">
        <v>503</v>
      </c>
      <c r="I159" s="99" t="n">
        <v>3021050</v>
      </c>
      <c r="J159" s="99" t="n">
        <v>3021050</v>
      </c>
      <c r="K159" s="99">
        <f>IF(C159="III",ROUND(J159*$R$2,0),IF(C159="P3K/III",ROUND(J159*$R$2,0),0))</f>
        <v>0</v>
      </c>
      <c r="L159" s="99">
        <f>IF(C159="IV",ROUND(J159*$R$3,0),0)</f>
        <v>0</v>
      </c>
      <c r="M159" s="99" t="n">
        <v>0</v>
      </c>
      <c r="N159" s="99" t="n">
        <v>0</v>
      </c>
      <c r="O159" s="99" t="n">
        <v>0</v>
      </c>
      <c r="P159" s="42">
        <f>I159-SUM(K159:O159)</f>
        <v>3021050</v>
      </c>
    </row>
    <row r="160" spans="1:16">
      <c r="A160" s="37" t="n">
        <v>161</v>
      </c>
      <c r="B160" s="97" t="s">
        <v>504</v>
      </c>
      <c r="C160" s="121" t="s">
        <v>58</v>
      </c>
      <c r="D160" s="121" t="s">
        <v>20</v>
      </c>
      <c r="E160" s="121" t="s">
        <v>21</v>
      </c>
      <c r="F160" s="121" t="s">
        <v>505</v>
      </c>
      <c r="G160" s="40" t="n">
        <v>0</v>
      </c>
      <c r="H160" s="121" t="s">
        <v>506</v>
      </c>
      <c r="I160" s="99" t="n">
        <v>1825428</v>
      </c>
      <c r="J160" s="99" t="n">
        <v>1825428</v>
      </c>
      <c r="K160" s="99">
        <f>IF(C160="III",ROUND(J160*$R$2,0),IF(C160="P3K/III",ROUND(J160*$R$2,0),0))</f>
        <v>91271</v>
      </c>
      <c r="L160" s="99">
        <f>IF(C160="IV",ROUND(J160*$R$3,0),0)</f>
        <v>0</v>
      </c>
      <c r="M160" s="99" t="n">
        <v>0</v>
      </c>
      <c r="N160" s="99" t="n">
        <v>0</v>
      </c>
      <c r="O160" s="99" t="n">
        <v>0</v>
      </c>
      <c r="P160" s="42">
        <f>I160-SUM(K160:O160)</f>
        <v>1734157</v>
      </c>
    </row>
    <row r="161" spans="1:16">
      <c r="A161" s="37" t="n">
        <v>162</v>
      </c>
      <c r="B161" s="97" t="s">
        <v>507</v>
      </c>
      <c r="C161" s="121" t="s">
        <v>111</v>
      </c>
      <c r="D161" s="121" t="s">
        <v>20</v>
      </c>
      <c r="E161" s="121" t="s">
        <v>21</v>
      </c>
      <c r="F161" s="121" t="s">
        <v>508</v>
      </c>
      <c r="G161" s="40" t="n">
        <v>0</v>
      </c>
      <c r="H161" s="121" t="s">
        <v>509</v>
      </c>
      <c r="I161" s="99" t="n">
        <v>2050635</v>
      </c>
      <c r="J161" s="99" t="n">
        <v>2050635</v>
      </c>
      <c r="K161" s="99">
        <f>IF(C161="III",ROUND(J161*$R$2,0),IF(C161="P3K/III",ROUND(J161*$R$2,0),0))</f>
        <v>0</v>
      </c>
      <c r="L161" s="99">
        <f>IF(C161="IV",ROUND(J161*$R$3,0),0)</f>
        <v>0</v>
      </c>
      <c r="M161" s="99" t="n">
        <v>0</v>
      </c>
      <c r="N161" s="99" t="n">
        <v>0</v>
      </c>
      <c r="O161" s="99" t="n">
        <v>0</v>
      </c>
      <c r="P161" s="42">
        <f>I161-SUM(K161:O161)</f>
        <v>2050635</v>
      </c>
    </row>
    <row r="162" spans="1:16">
      <c r="A162" s="37" t="n">
        <v>163</v>
      </c>
      <c r="B162" s="97" t="s">
        <v>510</v>
      </c>
      <c r="C162" s="121" t="s">
        <v>95</v>
      </c>
      <c r="D162" s="121" t="s">
        <v>137</v>
      </c>
      <c r="E162" s="121" t="s">
        <v>14</v>
      </c>
      <c r="F162" s="98" t="n">
        <v>0</v>
      </c>
      <c r="G162" s="40" t="n">
        <v>0</v>
      </c>
      <c r="H162" s="121" t="s">
        <v>511</v>
      </c>
      <c r="I162" s="99" t="n">
        <v>2000490</v>
      </c>
      <c r="J162" s="99" t="n">
        <v>2000490</v>
      </c>
      <c r="K162" s="99">
        <f>IF(C162="III",ROUND(J162*$R$2,0),IF(C162="P3K/III",ROUND(J162*$R$2,0),0))</f>
        <v>0</v>
      </c>
      <c r="L162" s="99">
        <f>IF(C162="IV",ROUND(J162*$R$3,0),0)</f>
        <v>0</v>
      </c>
      <c r="M162" s="99" t="n">
        <v>0</v>
      </c>
      <c r="N162" s="99" t="n">
        <v>0</v>
      </c>
      <c r="O162" s="99" t="n">
        <v>0</v>
      </c>
      <c r="P162" s="42">
        <f>I162-SUM(K162:O162)</f>
        <v>2000490</v>
      </c>
    </row>
    <row r="163" spans="1:16">
      <c r="A163" s="37" t="n">
        <v>164</v>
      </c>
      <c r="B163" s="97" t="s">
        <v>512</v>
      </c>
      <c r="C163" s="121" t="s">
        <v>111</v>
      </c>
      <c r="D163" s="121" t="s">
        <v>20</v>
      </c>
      <c r="E163" s="121" t="s">
        <v>21</v>
      </c>
      <c r="F163" s="121" t="s">
        <v>513</v>
      </c>
      <c r="G163" s="40" t="n">
        <v>0</v>
      </c>
      <c r="H163" s="121" t="s">
        <v>514</v>
      </c>
      <c r="I163" s="99" t="n">
        <v>2050635</v>
      </c>
      <c r="J163" s="99" t="n">
        <v>2050635</v>
      </c>
      <c r="K163" s="99">
        <f>IF(C163="III",ROUND(J163*$R$2,0),IF(C163="P3K/III",ROUND(J163*$R$2,0),0))</f>
        <v>0</v>
      </c>
      <c r="L163" s="99">
        <f>IF(C163="IV",ROUND(J163*$R$3,0),0)</f>
        <v>0</v>
      </c>
      <c r="M163" s="99" t="n">
        <v>0</v>
      </c>
      <c r="N163" s="99" t="n">
        <v>0</v>
      </c>
      <c r="O163" s="99" t="n">
        <v>0</v>
      </c>
      <c r="P163" s="42">
        <f>I163-SUM(K163:O163)</f>
        <v>2050635</v>
      </c>
    </row>
    <row r="164" spans="1:16">
      <c r="A164" s="37" t="n">
        <v>165</v>
      </c>
      <c r="B164" s="97" t="s">
        <v>515</v>
      </c>
      <c r="C164" s="121" t="s">
        <v>111</v>
      </c>
      <c r="D164" s="121" t="s">
        <v>20</v>
      </c>
      <c r="E164" s="121" t="s">
        <v>21</v>
      </c>
      <c r="F164" s="121" t="s">
        <v>516</v>
      </c>
      <c r="G164" s="40" t="n">
        <v>0</v>
      </c>
      <c r="H164" s="121" t="s">
        <v>517</v>
      </c>
      <c r="I164" s="99" t="n">
        <v>2050635</v>
      </c>
      <c r="J164" s="99" t="n">
        <v>2050635</v>
      </c>
      <c r="K164" s="99">
        <f>IF(C164="III",ROUND(J164*$R$2,0),IF(C164="P3K/III",ROUND(J164*$R$2,0),0))</f>
        <v>0</v>
      </c>
      <c r="L164" s="99">
        <f>IF(C164="IV",ROUND(J164*$R$3,0),0)</f>
        <v>0</v>
      </c>
      <c r="M164" s="99" t="n">
        <v>0</v>
      </c>
      <c r="N164" s="99" t="n">
        <v>0</v>
      </c>
      <c r="O164" s="99" t="n">
        <v>0</v>
      </c>
      <c r="P164" s="42">
        <f>I164-SUM(K164:O164)</f>
        <v>2050635</v>
      </c>
    </row>
    <row r="165" spans="1:16">
      <c r="A165" s="37" t="n">
        <v>166</v>
      </c>
      <c r="B165" s="97" t="s">
        <v>518</v>
      </c>
      <c r="C165" s="121" t="s">
        <v>95</v>
      </c>
      <c r="D165" s="121" t="s">
        <v>128</v>
      </c>
      <c r="E165" s="121" t="s">
        <v>15</v>
      </c>
      <c r="F165" s="98" t="n">
        <v>0</v>
      </c>
      <c r="G165" s="122" t="s">
        <v>519</v>
      </c>
      <c r="H165" s="121" t="s">
        <v>520</v>
      </c>
      <c r="I165" s="99" t="n">
        <v>1825428</v>
      </c>
      <c r="J165" s="99" t="n">
        <v>1825428</v>
      </c>
      <c r="K165" s="99">
        <f>IF(C165="III",ROUND(J165*$R$2,0),IF(C165="P3K/III",ROUND(J165*$R$2,0),0))</f>
        <v>0</v>
      </c>
      <c r="L165" s="99">
        <f>IF(C165="IV",ROUND(J165*$R$3,0),0)</f>
        <v>0</v>
      </c>
      <c r="M165" s="99" t="n">
        <v>0</v>
      </c>
      <c r="N165" s="99" t="n">
        <v>0</v>
      </c>
      <c r="O165" s="99" t="n">
        <v>0</v>
      </c>
      <c r="P165" s="42">
        <f>I165-SUM(K165:O165)</f>
        <v>1825428</v>
      </c>
    </row>
    <row r="166" spans="1:16">
      <c r="A166" s="37" t="n">
        <v>167</v>
      </c>
      <c r="B166" s="97" t="s">
        <v>521</v>
      </c>
      <c r="C166" s="121" t="s">
        <v>120</v>
      </c>
      <c r="D166" s="121" t="s">
        <v>278</v>
      </c>
      <c r="E166" s="121" t="s">
        <v>16</v>
      </c>
      <c r="F166" s="98" t="n">
        <v>0</v>
      </c>
      <c r="G166" s="122" t="s">
        <v>522</v>
      </c>
      <c r="H166" s="121" t="s">
        <v>523</v>
      </c>
      <c r="I166" s="99" t="n">
        <v>1387775</v>
      </c>
      <c r="J166" s="99" t="n">
        <v>1387775</v>
      </c>
      <c r="K166" s="99">
        <f>IF(C166="III",ROUND(J166*$R$2,0),IF(C166="P3K/III",ROUND(J166*$R$2,0),0))</f>
        <v>0</v>
      </c>
      <c r="L166" s="99">
        <f>IF(C166="IV",ROUND(J166*$R$3,0),0)</f>
        <v>0</v>
      </c>
      <c r="M166" s="99" t="n">
        <v>0</v>
      </c>
      <c r="N166" s="99" t="n">
        <v>0</v>
      </c>
      <c r="O166" s="99" t="n">
        <v>0</v>
      </c>
      <c r="P166" s="42">
        <f>I166-SUM(K166:O166)</f>
        <v>1387775</v>
      </c>
    </row>
    <row r="167" spans="1:16">
      <c r="A167" s="37" t="n">
        <v>168</v>
      </c>
      <c r="B167" s="97" t="s">
        <v>524</v>
      </c>
      <c r="C167" s="121" t="s">
        <v>120</v>
      </c>
      <c r="D167" s="121" t="s">
        <v>124</v>
      </c>
      <c r="E167" s="121" t="s">
        <v>15</v>
      </c>
      <c r="F167" s="98" t="n">
        <v>0</v>
      </c>
      <c r="G167" s="40" t="n">
        <v>0</v>
      </c>
      <c r="H167" s="121" t="s">
        <v>525</v>
      </c>
      <c r="I167" s="99" t="n">
        <v>1387775</v>
      </c>
      <c r="J167" s="99" t="n">
        <v>1387775</v>
      </c>
      <c r="K167" s="99">
        <f>IF(C167="III",ROUND(J167*$R$2,0),IF(C167="P3K/III",ROUND(J167*$R$2,0),0))</f>
        <v>0</v>
      </c>
      <c r="L167" s="99">
        <f>IF(C167="IV",ROUND(J167*$R$3,0),0)</f>
        <v>0</v>
      </c>
      <c r="M167" s="99" t="n">
        <v>0</v>
      </c>
      <c r="N167" s="99" t="n">
        <v>0</v>
      </c>
      <c r="O167" s="99" t="n">
        <v>0</v>
      </c>
      <c r="P167" s="42">
        <f>I167-SUM(K167:O167)</f>
        <v>1387775</v>
      </c>
    </row>
    <row r="168" spans="1:16">
      <c r="A168" s="37" t="n">
        <v>169</v>
      </c>
      <c r="B168" s="97" t="s">
        <v>526</v>
      </c>
      <c r="C168" s="121" t="s">
        <v>95</v>
      </c>
      <c r="D168" s="121" t="s">
        <v>124</v>
      </c>
      <c r="E168" s="121" t="s">
        <v>15</v>
      </c>
      <c r="F168" s="98" t="n">
        <v>0</v>
      </c>
      <c r="G168" s="122" t="s">
        <v>527</v>
      </c>
      <c r="H168" s="121" t="s">
        <v>528</v>
      </c>
      <c r="I168" s="99" t="n">
        <v>1387775</v>
      </c>
      <c r="J168" s="99" t="n">
        <v>1387775</v>
      </c>
      <c r="K168" s="99">
        <f>IF(C168="III",ROUND(J168*$R$2,0),IF(C168="P3K/III",ROUND(J168*$R$2,0),0))</f>
        <v>0</v>
      </c>
      <c r="L168" s="99">
        <f>IF(C168="IV",ROUND(J168*$R$3,0),0)</f>
        <v>0</v>
      </c>
      <c r="M168" s="99" t="n">
        <v>0</v>
      </c>
      <c r="N168" s="99" t="n">
        <v>0</v>
      </c>
      <c r="O168" s="99" t="n">
        <v>0</v>
      </c>
      <c r="P168" s="42">
        <f>I168-SUM(K168:O168)</f>
        <v>1387775</v>
      </c>
    </row>
    <row r="169" spans="1:16">
      <c r="A169" s="37" t="n">
        <v>170</v>
      </c>
      <c r="B169" s="97" t="s">
        <v>529</v>
      </c>
      <c r="C169" s="121" t="s">
        <v>120</v>
      </c>
      <c r="D169" s="121" t="s">
        <v>128</v>
      </c>
      <c r="E169" s="121" t="s">
        <v>15</v>
      </c>
      <c r="F169" s="98" t="n">
        <v>0</v>
      </c>
      <c r="G169" s="40" t="n">
        <v>0</v>
      </c>
      <c r="H169" s="121" t="s">
        <v>530</v>
      </c>
      <c r="I169" s="99" t="n">
        <v>1825428</v>
      </c>
      <c r="J169" s="99" t="n">
        <v>1825428</v>
      </c>
      <c r="K169" s="99">
        <f>IF(C169="III",ROUND(J169*$R$2,0),IF(C169="P3K/III",ROUND(J169*$R$2,0),0))</f>
        <v>0</v>
      </c>
      <c r="L169" s="99">
        <f>IF(C169="IV",ROUND(J169*$R$3,0),0)</f>
        <v>0</v>
      </c>
      <c r="M169" s="99" t="n">
        <v>0</v>
      </c>
      <c r="N169" s="99" t="n">
        <v>0</v>
      </c>
      <c r="O169" s="99" t="n">
        <v>0</v>
      </c>
      <c r="P169" s="42">
        <f>I169-SUM(K169:O169)</f>
        <v>1825428</v>
      </c>
    </row>
    <row r="170" spans="1:16">
      <c r="A170" s="37" t="n">
        <v>171</v>
      </c>
      <c r="B170" s="97" t="s">
        <v>531</v>
      </c>
      <c r="C170" s="121" t="s">
        <v>95</v>
      </c>
      <c r="D170" s="121" t="s">
        <v>128</v>
      </c>
      <c r="E170" s="121" t="s">
        <v>15</v>
      </c>
      <c r="F170" s="98" t="n">
        <v>0</v>
      </c>
      <c r="G170" s="40" t="n">
        <v>0</v>
      </c>
      <c r="H170" s="121" t="s">
        <v>532</v>
      </c>
      <c r="I170" s="99" t="n">
        <v>1825428</v>
      </c>
      <c r="J170" s="99" t="n">
        <v>1825428</v>
      </c>
      <c r="K170" s="99">
        <f>IF(C170="III",ROUND(J170*$R$2,0),IF(C170="P3K/III",ROUND(J170*$R$2,0),0))</f>
        <v>0</v>
      </c>
      <c r="L170" s="99">
        <f>IF(C170="IV",ROUND(J170*$R$3,0),0)</f>
        <v>0</v>
      </c>
      <c r="M170" s="99" t="n">
        <v>0</v>
      </c>
      <c r="N170" s="99" t="n">
        <v>0</v>
      </c>
      <c r="O170" s="99" t="n">
        <v>0</v>
      </c>
      <c r="P170" s="42">
        <f>I170-SUM(K170:O170)</f>
        <v>1825428</v>
      </c>
    </row>
    <row r="171" spans="1:16">
      <c r="A171" s="37" t="n">
        <v>172</v>
      </c>
      <c r="B171" s="97" t="s">
        <v>533</v>
      </c>
      <c r="C171" s="121" t="s">
        <v>95</v>
      </c>
      <c r="D171" s="121" t="s">
        <v>124</v>
      </c>
      <c r="E171" s="121" t="s">
        <v>15</v>
      </c>
      <c r="F171" s="98" t="n">
        <v>0</v>
      </c>
      <c r="G171" s="122" t="s">
        <v>534</v>
      </c>
      <c r="H171" s="121" t="s">
        <v>535</v>
      </c>
      <c r="I171" s="99" t="n">
        <v>1475306</v>
      </c>
      <c r="J171" s="99" t="n">
        <v>1475306</v>
      </c>
      <c r="K171" s="99">
        <f>IF(C171="III",ROUND(J171*$R$2,0),IF(C171="P3K/III",ROUND(J171*$R$2,0),0))</f>
        <v>0</v>
      </c>
      <c r="L171" s="99">
        <f>IF(C171="IV",ROUND(J171*$R$3,0),0)</f>
        <v>0</v>
      </c>
      <c r="M171" s="99" t="n">
        <v>0</v>
      </c>
      <c r="N171" s="99" t="n">
        <v>0</v>
      </c>
      <c r="O171" s="99" t="n">
        <v>0</v>
      </c>
      <c r="P171" s="42">
        <f>I171-SUM(K171:O171)</f>
        <v>1475306</v>
      </c>
    </row>
    <row r="172" spans="1:16">
      <c r="A172" s="37" t="n">
        <v>173</v>
      </c>
      <c r="B172" s="97" t="s">
        <v>536</v>
      </c>
      <c r="C172" s="121" t="s">
        <v>95</v>
      </c>
      <c r="D172" s="121" t="s">
        <v>121</v>
      </c>
      <c r="E172" s="121" t="s">
        <v>14</v>
      </c>
      <c r="F172" s="98" t="n">
        <v>0</v>
      </c>
      <c r="G172" s="122" t="s">
        <v>537</v>
      </c>
      <c r="H172" s="121" t="s">
        <v>538</v>
      </c>
      <c r="I172" s="99" t="n">
        <v>1825428</v>
      </c>
      <c r="J172" s="99" t="n">
        <v>1825428</v>
      </c>
      <c r="K172" s="99">
        <f>IF(C172="III",ROUND(J172*$R$2,0),IF(C172="P3K/III",ROUND(J172*$R$2,0),0))</f>
        <v>0</v>
      </c>
      <c r="L172" s="99">
        <f>IF(C172="IV",ROUND(J172*$R$3,0),0)</f>
        <v>0</v>
      </c>
      <c r="M172" s="99" t="n">
        <v>0</v>
      </c>
      <c r="N172" s="99" t="n">
        <v>0</v>
      </c>
      <c r="O172" s="99" t="n">
        <v>0</v>
      </c>
      <c r="P172" s="42">
        <f>I172-SUM(K172:O172)</f>
        <v>1825428</v>
      </c>
    </row>
    <row r="173" spans="1:16">
      <c r="A173" s="37" t="n">
        <v>174</v>
      </c>
      <c r="B173" s="97" t="s">
        <v>539</v>
      </c>
      <c r="C173" s="121" t="s">
        <v>58</v>
      </c>
      <c r="D173" s="121" t="s">
        <v>20</v>
      </c>
      <c r="E173" s="121" t="s">
        <v>21</v>
      </c>
      <c r="F173" s="121" t="s">
        <v>540</v>
      </c>
      <c r="G173" s="122" t="s">
        <v>541</v>
      </c>
      <c r="H173" s="121" t="s">
        <v>542</v>
      </c>
      <c r="I173" s="99" t="n">
        <v>1825428</v>
      </c>
      <c r="J173" s="99" t="n">
        <v>1825428</v>
      </c>
      <c r="K173" s="99">
        <f>IF(C173="III",ROUND(J173*$R$2,0),IF(C173="P3K/III",ROUND(J173*$R$2,0),0))</f>
        <v>91271</v>
      </c>
      <c r="L173" s="99">
        <f>IF(C173="IV",ROUND(J173*$R$3,0),0)</f>
        <v>0</v>
      </c>
      <c r="M173" s="99" t="n">
        <v>0</v>
      </c>
      <c r="N173" s="99" t="n">
        <v>0</v>
      </c>
      <c r="O173" s="99" t="n">
        <v>0</v>
      </c>
      <c r="P173" s="42">
        <f>I173-SUM(K173:O173)</f>
        <v>1734157</v>
      </c>
    </row>
    <row r="174" spans="1:16">
      <c r="A174" s="37" t="n">
        <v>175</v>
      </c>
      <c r="B174" s="97" t="s">
        <v>543</v>
      </c>
      <c r="C174" s="121" t="s">
        <v>58</v>
      </c>
      <c r="D174" s="121" t="s">
        <v>20</v>
      </c>
      <c r="E174" s="121" t="s">
        <v>21</v>
      </c>
      <c r="F174" s="121" t="s">
        <v>544</v>
      </c>
      <c r="G174" s="40" t="n">
        <v>0</v>
      </c>
      <c r="H174" s="121" t="s">
        <v>545</v>
      </c>
      <c r="I174" s="99" t="n">
        <v>1475306</v>
      </c>
      <c r="J174" s="99" t="n">
        <v>1475306</v>
      </c>
      <c r="K174" s="99">
        <f>IF(C174="III",ROUND(J174*$R$2,0),IF(C174="P3K/III",ROUND(J174*$R$2,0),0))</f>
        <v>73765</v>
      </c>
      <c r="L174" s="99">
        <f>IF(C174="IV",ROUND(J174*$R$3,0),0)</f>
        <v>0</v>
      </c>
      <c r="M174" s="99" t="n">
        <v>0</v>
      </c>
      <c r="N174" s="99" t="n">
        <v>0</v>
      </c>
      <c r="O174" s="99" t="n">
        <v>0</v>
      </c>
      <c r="P174" s="42">
        <f>I174-SUM(K174:O174)</f>
        <v>1401541</v>
      </c>
    </row>
    <row r="175" spans="1:16">
      <c r="A175" s="37" t="n">
        <v>176</v>
      </c>
      <c r="B175" s="97" t="s">
        <v>546</v>
      </c>
      <c r="C175" s="121" t="s">
        <v>120</v>
      </c>
      <c r="D175" s="121" t="s">
        <v>124</v>
      </c>
      <c r="E175" s="121" t="s">
        <v>15</v>
      </c>
      <c r="F175" s="98" t="n">
        <v>0</v>
      </c>
      <c r="G175" s="40" t="n">
        <v>0</v>
      </c>
      <c r="H175" s="121" t="s">
        <v>547</v>
      </c>
      <c r="I175" s="99" t="n">
        <v>1475306</v>
      </c>
      <c r="J175" s="99" t="n">
        <v>1475306</v>
      </c>
      <c r="K175" s="99">
        <f>IF(C175="III",ROUND(J175*$R$2,0),IF(C175="P3K/III",ROUND(J175*$R$2,0),0))</f>
        <v>0</v>
      </c>
      <c r="L175" s="99">
        <f>IF(C175="IV",ROUND(J175*$R$3,0),0)</f>
        <v>0</v>
      </c>
      <c r="M175" s="99" t="n">
        <v>0</v>
      </c>
      <c r="N175" s="99" t="n">
        <v>0</v>
      </c>
      <c r="O175" s="99" t="n">
        <v>0</v>
      </c>
      <c r="P175" s="42">
        <f>I175-SUM(K175:O175)</f>
        <v>1475306</v>
      </c>
    </row>
    <row r="176" spans="1:16">
      <c r="A176" s="37" t="n">
        <v>178</v>
      </c>
      <c r="B176" s="97" t="s">
        <v>548</v>
      </c>
      <c r="C176" s="121" t="s">
        <v>58</v>
      </c>
      <c r="D176" s="121" t="s">
        <v>20</v>
      </c>
      <c r="E176" s="121" t="s">
        <v>21</v>
      </c>
      <c r="F176" s="121" t="s">
        <v>549</v>
      </c>
      <c r="G176" s="40" t="n">
        <v>0</v>
      </c>
      <c r="H176" s="121" t="s">
        <v>550</v>
      </c>
      <c r="I176" s="99" t="n">
        <v>1763655</v>
      </c>
      <c r="J176" s="99" t="n">
        <v>1763655</v>
      </c>
      <c r="K176" s="99">
        <f>IF(C176="III",ROUND(J176*$R$2,0),IF(C176="P3K/III",ROUND(J176*$R$2,0),0))</f>
        <v>88183</v>
      </c>
      <c r="L176" s="99">
        <f>IF(C176="IV",ROUND(J176*$R$3,0),0)</f>
        <v>0</v>
      </c>
      <c r="M176" s="99" t="n">
        <v>0</v>
      </c>
      <c r="N176" s="99" t="n">
        <v>0</v>
      </c>
      <c r="O176" s="99" t="n">
        <v>0</v>
      </c>
      <c r="P176" s="42">
        <f>I176-SUM(K176:O176)</f>
        <v>1675472</v>
      </c>
    </row>
    <row r="177" spans="1:16">
      <c r="A177" s="37" t="n">
        <v>179</v>
      </c>
      <c r="B177" s="97" t="s">
        <v>551</v>
      </c>
      <c r="C177" s="121" t="s">
        <v>111</v>
      </c>
      <c r="D177" s="121" t="s">
        <v>20</v>
      </c>
      <c r="E177" s="121" t="s">
        <v>21</v>
      </c>
      <c r="F177" s="121" t="s">
        <v>552</v>
      </c>
      <c r="G177" s="122" t="s">
        <v>553</v>
      </c>
      <c r="H177" s="121" t="s">
        <v>554</v>
      </c>
      <c r="I177" s="99" t="n">
        <v>1825428</v>
      </c>
      <c r="J177" s="99" t="n">
        <v>1825428</v>
      </c>
      <c r="K177" s="99">
        <f>IF(C177="III",ROUND(J177*$R$2,0),IF(C177="P3K/III",ROUND(J177*$R$2,0),0))</f>
        <v>0</v>
      </c>
      <c r="L177" s="99">
        <f>IF(C177="IV",ROUND(J177*$R$3,0),0)</f>
        <v>0</v>
      </c>
      <c r="M177" s="99" t="n">
        <v>0</v>
      </c>
      <c r="N177" s="99" t="n">
        <v>0</v>
      </c>
      <c r="O177" s="99" t="n">
        <v>0</v>
      </c>
      <c r="P177" s="42">
        <f>I177-SUM(K177:O177)</f>
        <v>1825428</v>
      </c>
    </row>
    <row r="178" spans="1:16">
      <c r="A178" s="37" t="n">
        <v>180</v>
      </c>
      <c r="B178" s="97" t="s">
        <v>555</v>
      </c>
      <c r="C178" s="121" t="s">
        <v>58</v>
      </c>
      <c r="D178" s="121" t="s">
        <v>20</v>
      </c>
      <c r="E178" s="121" t="s">
        <v>21</v>
      </c>
      <c r="F178" s="121" t="s">
        <v>556</v>
      </c>
      <c r="G178" s="40" t="n">
        <v>0</v>
      </c>
      <c r="H178" s="121" t="s">
        <v>557</v>
      </c>
      <c r="I178" s="99" t="n">
        <v>1825428</v>
      </c>
      <c r="J178" s="99" t="n">
        <v>1825428</v>
      </c>
      <c r="K178" s="99">
        <f>IF(C178="III",ROUND(J178*$R$2,0),IF(C178="P3K/III",ROUND(J178*$R$2,0),0))</f>
        <v>91271</v>
      </c>
      <c r="L178" s="99">
        <f>IF(C178="IV",ROUND(J178*$R$3,0),0)</f>
        <v>0</v>
      </c>
      <c r="M178" s="99" t="n">
        <v>0</v>
      </c>
      <c r="N178" s="99" t="n">
        <v>0</v>
      </c>
      <c r="O178" s="99" t="n">
        <v>0</v>
      </c>
      <c r="P178" s="42">
        <f>I178-SUM(K178:O178)</f>
        <v>1734157</v>
      </c>
    </row>
    <row r="179" spans="1:16">
      <c r="A179" s="37" t="n">
        <v>181</v>
      </c>
      <c r="B179" s="97" t="s">
        <v>558</v>
      </c>
      <c r="C179" s="121" t="s">
        <v>120</v>
      </c>
      <c r="D179" s="121" t="s">
        <v>128</v>
      </c>
      <c r="E179" s="121" t="s">
        <v>15</v>
      </c>
      <c r="F179" s="98" t="n">
        <v>0</v>
      </c>
      <c r="G179" s="122" t="s">
        <v>559</v>
      </c>
      <c r="H179" s="121" t="s">
        <v>560</v>
      </c>
      <c r="I179" s="99" t="n">
        <v>1825428</v>
      </c>
      <c r="J179" s="99" t="n">
        <v>1825428</v>
      </c>
      <c r="K179" s="99">
        <f>IF(C179="III",ROUND(J179*$R$2,0),IF(C179="P3K/III",ROUND(J179*$R$2,0),0))</f>
        <v>0</v>
      </c>
      <c r="L179" s="99">
        <f>IF(C179="IV",ROUND(J179*$R$3,0),0)</f>
        <v>0</v>
      </c>
      <c r="M179" s="99" t="n">
        <v>0</v>
      </c>
      <c r="N179" s="99" t="n">
        <v>0</v>
      </c>
      <c r="O179" s="99" t="n">
        <v>0</v>
      </c>
      <c r="P179" s="42">
        <f>I179-SUM(K179:O179)</f>
        <v>1825428</v>
      </c>
    </row>
    <row r="180" spans="1:16">
      <c r="A180" s="37" t="n">
        <v>182</v>
      </c>
      <c r="B180" s="97" t="s">
        <v>561</v>
      </c>
      <c r="C180" s="121" t="s">
        <v>120</v>
      </c>
      <c r="D180" s="121" t="s">
        <v>137</v>
      </c>
      <c r="E180" s="121" t="s">
        <v>14</v>
      </c>
      <c r="F180" s="98" t="n">
        <v>0</v>
      </c>
      <c r="G180" s="40" t="n">
        <v>0</v>
      </c>
      <c r="H180" s="121" t="s">
        <v>562</v>
      </c>
      <c r="I180" s="99" t="n">
        <v>1825428</v>
      </c>
      <c r="J180" s="99" t="n">
        <v>1825428</v>
      </c>
      <c r="K180" s="99">
        <f>IF(C180="III",ROUND(J180*$R$2,0),IF(C180="P3K/III",ROUND(J180*$R$2,0),0))</f>
        <v>0</v>
      </c>
      <c r="L180" s="99">
        <f>IF(C180="IV",ROUND(J180*$R$3,0),0)</f>
        <v>0</v>
      </c>
      <c r="M180" s="99" t="n">
        <v>0</v>
      </c>
      <c r="N180" s="99" t="n">
        <v>0</v>
      </c>
      <c r="O180" s="99" t="n">
        <v>0</v>
      </c>
      <c r="P180" s="42">
        <f>I180-SUM(K180:O180)</f>
        <v>1825428</v>
      </c>
    </row>
    <row r="181" spans="1:16">
      <c r="A181" s="37" t="n">
        <v>183</v>
      </c>
      <c r="B181" s="97" t="s">
        <v>563</v>
      </c>
      <c r="C181" s="121" t="s">
        <v>120</v>
      </c>
      <c r="D181" s="121" t="s">
        <v>124</v>
      </c>
      <c r="E181" s="121" t="s">
        <v>15</v>
      </c>
      <c r="F181" s="98" t="n">
        <v>0</v>
      </c>
      <c r="G181" s="40" t="n">
        <v>0</v>
      </c>
      <c r="H181" s="121" t="s">
        <v>564</v>
      </c>
      <c r="I181" s="99" t="n">
        <v>1825428</v>
      </c>
      <c r="J181" s="99" t="n">
        <v>1825428</v>
      </c>
      <c r="K181" s="99">
        <f>IF(C181="III",ROUND(J181*$R$2,0),IF(C181="P3K/III",ROUND(J181*$R$2,0),0))</f>
        <v>0</v>
      </c>
      <c r="L181" s="99">
        <f>IF(C181="IV",ROUND(J181*$R$3,0),0)</f>
        <v>0</v>
      </c>
      <c r="M181" s="99" t="n">
        <v>0</v>
      </c>
      <c r="N181" s="99" t="n">
        <v>0</v>
      </c>
      <c r="O181" s="99" t="n">
        <v>0</v>
      </c>
      <c r="P181" s="42">
        <f>I181-SUM(K181:O181)</f>
        <v>1825428</v>
      </c>
    </row>
    <row r="182" spans="1:16">
      <c r="A182" s="37" t="n">
        <v>184</v>
      </c>
      <c r="B182" s="97" t="s">
        <v>565</v>
      </c>
      <c r="C182" s="121" t="s">
        <v>111</v>
      </c>
      <c r="D182" s="121" t="s">
        <v>20</v>
      </c>
      <c r="E182" s="121" t="s">
        <v>21</v>
      </c>
      <c r="F182" s="121" t="s">
        <v>566</v>
      </c>
      <c r="G182" s="40" t="n">
        <v>0</v>
      </c>
      <c r="H182" s="121" t="s">
        <v>567</v>
      </c>
      <c r="I182" s="99" t="n">
        <v>1825428</v>
      </c>
      <c r="J182" s="99" t="n">
        <v>1825428</v>
      </c>
      <c r="K182" s="99">
        <f>IF(C182="III",ROUND(J182*$R$2,0),IF(C182="P3K/III",ROUND(J182*$R$2,0),0))</f>
        <v>0</v>
      </c>
      <c r="L182" s="99">
        <f>IF(C182="IV",ROUND(J182*$R$3,0),0)</f>
        <v>0</v>
      </c>
      <c r="M182" s="99" t="n">
        <v>0</v>
      </c>
      <c r="N182" s="99" t="n">
        <v>0</v>
      </c>
      <c r="O182" s="99" t="n">
        <v>0</v>
      </c>
      <c r="P182" s="42">
        <f>I182-SUM(K182:O182)</f>
        <v>1825428</v>
      </c>
    </row>
    <row r="183" spans="1:16">
      <c r="A183" s="37" t="n">
        <v>185</v>
      </c>
      <c r="B183" s="97" t="s">
        <v>568</v>
      </c>
      <c r="C183" s="121" t="s">
        <v>95</v>
      </c>
      <c r="D183" s="121" t="s">
        <v>137</v>
      </c>
      <c r="E183" s="121" t="s">
        <v>14</v>
      </c>
      <c r="F183" s="98" t="n">
        <v>0</v>
      </c>
      <c r="G183" s="40" t="n">
        <v>0</v>
      </c>
      <c r="H183" s="121" t="s">
        <v>569</v>
      </c>
      <c r="I183" s="99" t="n">
        <v>1825428</v>
      </c>
      <c r="J183" s="99" t="n">
        <v>1825428</v>
      </c>
      <c r="K183" s="99">
        <f>IF(C183="III",ROUND(J183*$R$2,0),IF(C183="P3K/III",ROUND(J183*$R$2,0),0))</f>
        <v>0</v>
      </c>
      <c r="L183" s="99">
        <f>IF(C183="IV",ROUND(J183*$R$3,0),0)</f>
        <v>0</v>
      </c>
      <c r="M183" s="99" t="n">
        <v>0</v>
      </c>
      <c r="N183" s="99" t="n">
        <v>0</v>
      </c>
      <c r="O183" s="99" t="n">
        <v>0</v>
      </c>
      <c r="P183" s="42">
        <f>I183-SUM(K183:O183)</f>
        <v>1825428</v>
      </c>
    </row>
    <row r="184" spans="1:16">
      <c r="A184" s="37" t="n">
        <v>186</v>
      </c>
      <c r="B184" s="97" t="s">
        <v>570</v>
      </c>
      <c r="C184" s="121" t="s">
        <v>120</v>
      </c>
      <c r="D184" s="121" t="s">
        <v>124</v>
      </c>
      <c r="E184" s="121" t="s">
        <v>15</v>
      </c>
      <c r="F184" s="98" t="n">
        <v>0</v>
      </c>
      <c r="G184" s="40" t="n">
        <v>0</v>
      </c>
      <c r="H184" s="121" t="s">
        <v>571</v>
      </c>
      <c r="I184" s="99" t="n">
        <v>1825428</v>
      </c>
      <c r="J184" s="99" t="n">
        <v>1825428</v>
      </c>
      <c r="K184" s="99">
        <f>IF(C184="III",ROUND(J184*$R$2,0),IF(C184="P3K/III",ROUND(J184*$R$2,0),0))</f>
        <v>0</v>
      </c>
      <c r="L184" s="99">
        <f>IF(C184="IV",ROUND(J184*$R$3,0),0)</f>
        <v>0</v>
      </c>
      <c r="M184" s="99" t="n">
        <v>0</v>
      </c>
      <c r="N184" s="99" t="n">
        <v>0</v>
      </c>
      <c r="O184" s="99" t="n">
        <v>0</v>
      </c>
      <c r="P184" s="42">
        <f>I184-SUM(K184:O184)</f>
        <v>1825428</v>
      </c>
    </row>
    <row r="185" spans="1:16">
      <c r="A185" s="37" t="n">
        <v>187</v>
      </c>
      <c r="B185" s="97" t="s">
        <v>572</v>
      </c>
      <c r="C185" s="121" t="s">
        <v>120</v>
      </c>
      <c r="D185" s="121" t="s">
        <v>128</v>
      </c>
      <c r="E185" s="121" t="s">
        <v>15</v>
      </c>
      <c r="F185" s="98" t="n">
        <v>0</v>
      </c>
      <c r="G185" s="40" t="n">
        <v>0</v>
      </c>
      <c r="H185" s="121" t="s">
        <v>573</v>
      </c>
      <c r="I185" s="99" t="n">
        <v>1825428</v>
      </c>
      <c r="J185" s="99" t="n">
        <v>1825428</v>
      </c>
      <c r="K185" s="99">
        <f>IF(C185="III",ROUND(J185*$R$2,0),IF(C185="P3K/III",ROUND(J185*$R$2,0),0))</f>
        <v>0</v>
      </c>
      <c r="L185" s="99">
        <f>IF(C185="IV",ROUND(J185*$R$3,0),0)</f>
        <v>0</v>
      </c>
      <c r="M185" s="99" t="n">
        <v>0</v>
      </c>
      <c r="N185" s="99" t="n">
        <v>0</v>
      </c>
      <c r="O185" s="99" t="n">
        <v>0</v>
      </c>
      <c r="P185" s="42">
        <f>I185-SUM(K185:O185)</f>
        <v>1825428</v>
      </c>
    </row>
    <row r="186" spans="1:16">
      <c r="A186" s="37" t="n">
        <v>188</v>
      </c>
      <c r="B186" s="97" t="s">
        <v>574</v>
      </c>
      <c r="C186" s="121" t="s">
        <v>111</v>
      </c>
      <c r="D186" s="121" t="s">
        <v>20</v>
      </c>
      <c r="E186" s="121" t="s">
        <v>21</v>
      </c>
      <c r="F186" s="121" t="s">
        <v>575</v>
      </c>
      <c r="G186" s="40" t="n">
        <v>0</v>
      </c>
      <c r="H186" s="121" t="s">
        <v>576</v>
      </c>
      <c r="I186" s="99" t="n">
        <v>1825428</v>
      </c>
      <c r="J186" s="99" t="n">
        <v>1825428</v>
      </c>
      <c r="K186" s="99">
        <f>IF(C186="III",ROUND(J186*$R$2,0),IF(C186="P3K/III",ROUND(J186*$R$2,0),0))</f>
        <v>0</v>
      </c>
      <c r="L186" s="99">
        <f>IF(C186="IV",ROUND(J186*$R$3,0),0)</f>
        <v>0</v>
      </c>
      <c r="M186" s="99" t="n">
        <v>0</v>
      </c>
      <c r="N186" s="99" t="n">
        <v>0</v>
      </c>
      <c r="O186" s="99" t="n">
        <v>0</v>
      </c>
      <c r="P186" s="42">
        <f>I186-SUM(K186:O186)</f>
        <v>1825428</v>
      </c>
    </row>
    <row r="187" spans="1:16">
      <c r="A187" s="37" t="n">
        <v>189</v>
      </c>
      <c r="B187" s="97" t="s">
        <v>577</v>
      </c>
      <c r="C187" s="121" t="s">
        <v>95</v>
      </c>
      <c r="D187" s="121" t="s">
        <v>128</v>
      </c>
      <c r="E187" s="121" t="s">
        <v>15</v>
      </c>
      <c r="F187" s="98" t="n">
        <v>0</v>
      </c>
      <c r="G187" s="40" t="n">
        <v>0</v>
      </c>
      <c r="H187" s="121" t="s">
        <v>578</v>
      </c>
      <c r="I187" s="99" t="n">
        <v>1825428</v>
      </c>
      <c r="J187" s="99" t="n">
        <v>1825428</v>
      </c>
      <c r="K187" s="99">
        <f>IF(C187="III",ROUND(J187*$R$2,0),IF(C187="P3K/III",ROUND(J187*$R$2,0),0))</f>
        <v>0</v>
      </c>
      <c r="L187" s="99">
        <f>IF(C187="IV",ROUND(J187*$R$3,0),0)</f>
        <v>0</v>
      </c>
      <c r="M187" s="99" t="n">
        <v>0</v>
      </c>
      <c r="N187" s="99" t="n">
        <v>0</v>
      </c>
      <c r="O187" s="99" t="n">
        <v>0</v>
      </c>
      <c r="P187" s="42">
        <f>I187-SUM(K187:O187)</f>
        <v>1825428</v>
      </c>
    </row>
    <row r="188" spans="1:16">
      <c r="A188" s="37" t="n">
        <v>190</v>
      </c>
      <c r="B188" s="97" t="s">
        <v>579</v>
      </c>
      <c r="C188" s="121" t="s">
        <v>120</v>
      </c>
      <c r="D188" s="121" t="s">
        <v>128</v>
      </c>
      <c r="E188" s="121" t="s">
        <v>15</v>
      </c>
      <c r="F188" s="98" t="n">
        <v>0</v>
      </c>
      <c r="G188" s="122" t="s">
        <v>580</v>
      </c>
      <c r="H188" s="121" t="s">
        <v>581</v>
      </c>
      <c r="I188" s="99" t="n">
        <v>1825428</v>
      </c>
      <c r="J188" s="99" t="n">
        <v>1825428</v>
      </c>
      <c r="K188" s="99">
        <f>IF(C188="III",ROUND(J188*$R$2,0),IF(C188="P3K/III",ROUND(J188*$R$2,0),0))</f>
        <v>0</v>
      </c>
      <c r="L188" s="99">
        <f>IF(C188="IV",ROUND(J188*$R$3,0),0)</f>
        <v>0</v>
      </c>
      <c r="M188" s="99" t="n">
        <v>0</v>
      </c>
      <c r="N188" s="99" t="n">
        <v>0</v>
      </c>
      <c r="O188" s="99" t="n">
        <v>0</v>
      </c>
      <c r="P188" s="42">
        <f>I188-SUM(K188:O188)</f>
        <v>1825428</v>
      </c>
    </row>
    <row r="189" spans="1:16">
      <c r="A189" s="37" t="n">
        <v>191</v>
      </c>
      <c r="B189" s="97" t="s">
        <v>582</v>
      </c>
      <c r="C189" s="121" t="s">
        <v>95</v>
      </c>
      <c r="D189" s="121" t="s">
        <v>128</v>
      </c>
      <c r="E189" s="121" t="s">
        <v>15</v>
      </c>
      <c r="F189" s="98" t="n">
        <v>0</v>
      </c>
      <c r="G189" s="122" t="s">
        <v>583</v>
      </c>
      <c r="H189" s="121" t="s">
        <v>584</v>
      </c>
      <c r="I189" s="99" t="n">
        <v>1825428</v>
      </c>
      <c r="J189" s="99" t="n">
        <v>1825428</v>
      </c>
      <c r="K189" s="99">
        <f>IF(C189="III",ROUND(J189*$R$2,0),IF(C189="P3K/III",ROUND(J189*$R$2,0),0))</f>
        <v>0</v>
      </c>
      <c r="L189" s="99">
        <f>IF(C189="IV",ROUND(J189*$R$3,0),0)</f>
        <v>0</v>
      </c>
      <c r="M189" s="99" t="n">
        <v>0</v>
      </c>
      <c r="N189" s="99" t="n">
        <v>0</v>
      </c>
      <c r="O189" s="99" t="n">
        <v>0</v>
      </c>
      <c r="P189" s="42">
        <f>I189-SUM(K189:O189)</f>
        <v>1825428</v>
      </c>
    </row>
    <row r="190" spans="1:16">
      <c r="A190" s="37" t="n">
        <v>192</v>
      </c>
      <c r="B190" s="97" t="s">
        <v>585</v>
      </c>
      <c r="C190" s="121" t="s">
        <v>111</v>
      </c>
      <c r="D190" s="121" t="s">
        <v>20</v>
      </c>
      <c r="E190" s="121" t="s">
        <v>21</v>
      </c>
      <c r="F190" s="121" t="s">
        <v>586</v>
      </c>
      <c r="G190" s="122" t="s">
        <v>587</v>
      </c>
      <c r="H190" s="121" t="s">
        <v>588</v>
      </c>
      <c r="I190" s="99" t="n">
        <v>1913565</v>
      </c>
      <c r="J190" s="99" t="n">
        <v>1913565</v>
      </c>
      <c r="K190" s="99">
        <f>IF(C190="III",ROUND(J190*$R$2,0),IF(C190="P3K/III",ROUND(J190*$R$2,0),0))</f>
        <v>0</v>
      </c>
      <c r="L190" s="99">
        <f>IF(C190="IV",ROUND(J190*$R$3,0),0)</f>
        <v>0</v>
      </c>
      <c r="M190" s="99" t="n">
        <v>0</v>
      </c>
      <c r="N190" s="99" t="n">
        <v>0</v>
      </c>
      <c r="O190" s="99" t="n">
        <v>0</v>
      </c>
      <c r="P190" s="42">
        <f>I190-SUM(K190:O190)</f>
        <v>1913565</v>
      </c>
    </row>
    <row r="191" spans="1:16">
      <c r="A191" s="37" t="n">
        <v>193</v>
      </c>
      <c r="B191" s="97" t="s">
        <v>589</v>
      </c>
      <c r="C191" s="121" t="s">
        <v>120</v>
      </c>
      <c r="D191" s="121" t="s">
        <v>128</v>
      </c>
      <c r="E191" s="121" t="s">
        <v>15</v>
      </c>
      <c r="F191" s="98" t="n">
        <v>0</v>
      </c>
      <c r="G191" s="122" t="s">
        <v>590</v>
      </c>
      <c r="H191" s="121" t="s">
        <v>591</v>
      </c>
      <c r="I191" s="99" t="n">
        <v>1475306</v>
      </c>
      <c r="J191" s="99" t="n">
        <v>1475306</v>
      </c>
      <c r="K191" s="99">
        <f>IF(C191="III",ROUND(J191*$R$2,0),IF(C191="P3K/III",ROUND(J191*$R$2,0),0))</f>
        <v>0</v>
      </c>
      <c r="L191" s="99">
        <f>IF(C191="IV",ROUND(J191*$R$3,0),0)</f>
        <v>0</v>
      </c>
      <c r="M191" s="99" t="n">
        <v>0</v>
      </c>
      <c r="N191" s="99" t="n">
        <v>0</v>
      </c>
      <c r="O191" s="99" t="n">
        <v>0</v>
      </c>
      <c r="P191" s="42">
        <f>I191-SUM(K191:O191)</f>
        <v>1475306</v>
      </c>
    </row>
    <row r="192" spans="1:16">
      <c r="A192" s="37" t="n">
        <v>194</v>
      </c>
      <c r="B192" s="97" t="s">
        <v>592</v>
      </c>
      <c r="C192" s="121" t="s">
        <v>120</v>
      </c>
      <c r="D192" s="121" t="s">
        <v>128</v>
      </c>
      <c r="E192" s="121" t="s">
        <v>15</v>
      </c>
      <c r="F192" s="98" t="n">
        <v>0</v>
      </c>
      <c r="G192" s="122" t="s">
        <v>593</v>
      </c>
      <c r="H192" s="121" t="s">
        <v>594</v>
      </c>
      <c r="I192" s="99" t="n">
        <v>1475306</v>
      </c>
      <c r="J192" s="99" t="n">
        <v>1475306</v>
      </c>
      <c r="K192" s="99">
        <f>IF(C192="III",ROUND(J192*$R$2,0),IF(C192="P3K/III",ROUND(J192*$R$2,0),0))</f>
        <v>0</v>
      </c>
      <c r="L192" s="99">
        <f>IF(C192="IV",ROUND(J192*$R$3,0),0)</f>
        <v>0</v>
      </c>
      <c r="M192" s="99" t="n">
        <v>0</v>
      </c>
      <c r="N192" s="99" t="n">
        <v>0</v>
      </c>
      <c r="O192" s="99" t="n">
        <v>0</v>
      </c>
      <c r="P192" s="42">
        <f>I192-SUM(K192:O192)</f>
        <v>1475306</v>
      </c>
    </row>
    <row r="193" spans="1:16">
      <c r="A193" s="37" t="n">
        <v>195</v>
      </c>
      <c r="B193" s="97" t="s">
        <v>595</v>
      </c>
      <c r="C193" s="121" t="s">
        <v>95</v>
      </c>
      <c r="D193" s="121" t="s">
        <v>137</v>
      </c>
      <c r="E193" s="121" t="s">
        <v>14</v>
      </c>
      <c r="F193" s="98" t="n">
        <v>0</v>
      </c>
      <c r="G193" s="40" t="n">
        <v>0</v>
      </c>
      <c r="H193" s="121" t="s">
        <v>596</v>
      </c>
      <c r="I193" s="99" t="n">
        <v>1475306</v>
      </c>
      <c r="J193" s="99" t="n">
        <v>1475306</v>
      </c>
      <c r="K193" s="99">
        <f>IF(C193="III",ROUND(J193*$R$2,0),IF(C193="P3K/III",ROUND(J193*$R$2,0),0))</f>
        <v>0</v>
      </c>
      <c r="L193" s="99">
        <f>IF(C193="IV",ROUND(J193*$R$3,0),0)</f>
        <v>0</v>
      </c>
      <c r="M193" s="99" t="n">
        <v>0</v>
      </c>
      <c r="N193" s="99" t="n">
        <v>0</v>
      </c>
      <c r="O193" s="99" t="n">
        <v>0</v>
      </c>
      <c r="P193" s="42">
        <f>I193-SUM(K193:O193)</f>
        <v>1475306</v>
      </c>
    </row>
    <row r="194" spans="1:16">
      <c r="A194" s="37" t="n">
        <v>196</v>
      </c>
      <c r="B194" s="97" t="s">
        <v>597</v>
      </c>
      <c r="C194" s="121" t="s">
        <v>95</v>
      </c>
      <c r="D194" s="121" t="s">
        <v>128</v>
      </c>
      <c r="E194" s="121" t="s">
        <v>15</v>
      </c>
      <c r="F194" s="98" t="n">
        <v>0</v>
      </c>
      <c r="G194" s="40" t="n">
        <v>0</v>
      </c>
      <c r="H194" s="121" t="s">
        <v>598</v>
      </c>
      <c r="I194" s="99" t="n">
        <v>1475306</v>
      </c>
      <c r="J194" s="99" t="n">
        <v>1475306</v>
      </c>
      <c r="K194" s="99">
        <f>IF(C194="III",ROUND(J194*$R$2,0),IF(C194="P3K/III",ROUND(J194*$R$2,0),0))</f>
        <v>0</v>
      </c>
      <c r="L194" s="99">
        <f>IF(C194="IV",ROUND(J194*$R$3,0),0)</f>
        <v>0</v>
      </c>
      <c r="M194" s="99" t="n">
        <v>0</v>
      </c>
      <c r="N194" s="99" t="n">
        <v>0</v>
      </c>
      <c r="O194" s="99" t="n">
        <v>0</v>
      </c>
      <c r="P194" s="42">
        <f>I194-SUM(K194:O194)</f>
        <v>1475306</v>
      </c>
    </row>
    <row r="195" spans="1:16">
      <c r="A195" s="37" t="n">
        <v>197</v>
      </c>
      <c r="B195" s="97" t="s">
        <v>599</v>
      </c>
      <c r="C195" s="121" t="s">
        <v>111</v>
      </c>
      <c r="D195" s="121" t="s">
        <v>20</v>
      </c>
      <c r="E195" s="121" t="s">
        <v>21</v>
      </c>
      <c r="F195" s="121" t="s">
        <v>600</v>
      </c>
      <c r="G195" s="122" t="s">
        <v>601</v>
      </c>
      <c r="H195" s="121" t="s">
        <v>602</v>
      </c>
      <c r="I195" s="99" t="n">
        <v>1475306</v>
      </c>
      <c r="J195" s="99" t="n">
        <v>1475306</v>
      </c>
      <c r="K195" s="99">
        <f>IF(C195="III",ROUND(J195*$R$2,0),IF(C195="P3K/III",ROUND(J195*$R$2,0),0))</f>
        <v>0</v>
      </c>
      <c r="L195" s="99">
        <f>IF(C195="IV",ROUND(J195*$R$3,0),0)</f>
        <v>0</v>
      </c>
      <c r="M195" s="99" t="n">
        <v>0</v>
      </c>
      <c r="N195" s="99" t="n">
        <v>0</v>
      </c>
      <c r="O195" s="99" t="n">
        <v>0</v>
      </c>
      <c r="P195" s="42">
        <f>I195-SUM(K195:O195)</f>
        <v>1475306</v>
      </c>
    </row>
    <row r="196" spans="1:16">
      <c r="A196" s="37" t="n">
        <v>198</v>
      </c>
      <c r="B196" s="97" t="s">
        <v>603</v>
      </c>
      <c r="C196" s="121" t="s">
        <v>120</v>
      </c>
      <c r="D196" s="121" t="s">
        <v>124</v>
      </c>
      <c r="E196" s="121" t="s">
        <v>15</v>
      </c>
      <c r="F196" s="98" t="n">
        <v>0</v>
      </c>
      <c r="G196" s="40" t="n">
        <v>0</v>
      </c>
      <c r="H196" s="121" t="s">
        <v>604</v>
      </c>
      <c r="I196" s="99" t="n">
        <v>1387775</v>
      </c>
      <c r="J196" s="99" t="n">
        <v>1387775</v>
      </c>
      <c r="K196" s="99">
        <f>IF(C196="III",ROUND(J196*$R$2,0),IF(C196="P3K/III",ROUND(J196*$R$2,0),0))</f>
        <v>0</v>
      </c>
      <c r="L196" s="99">
        <f>IF(C196="IV",ROUND(J196*$R$3,0),0)</f>
        <v>0</v>
      </c>
      <c r="M196" s="99" t="n">
        <v>0</v>
      </c>
      <c r="N196" s="99" t="n">
        <v>0</v>
      </c>
      <c r="O196" s="99" t="n">
        <v>0</v>
      </c>
      <c r="P196" s="42">
        <f>I196-SUM(K196:O196)</f>
        <v>1387775</v>
      </c>
    </row>
    <row r="197" spans="1:16">
      <c r="A197" s="37" t="n">
        <v>199</v>
      </c>
      <c r="B197" s="97" t="s">
        <v>605</v>
      </c>
      <c r="C197" s="121" t="s">
        <v>95</v>
      </c>
      <c r="D197" s="121" t="s">
        <v>124</v>
      </c>
      <c r="E197" s="121" t="s">
        <v>15</v>
      </c>
      <c r="F197" s="98" t="n">
        <v>0</v>
      </c>
      <c r="G197" s="40" t="n">
        <v>0</v>
      </c>
      <c r="H197" s="121" t="s">
        <v>606</v>
      </c>
      <c r="I197" s="99" t="n">
        <v>1825428</v>
      </c>
      <c r="J197" s="99" t="n">
        <v>1825428</v>
      </c>
      <c r="K197" s="99">
        <f>IF(C197="III",ROUND(J197*$R$2,0),IF(C197="P3K/III",ROUND(J197*$R$2,0),0))</f>
        <v>0</v>
      </c>
      <c r="L197" s="99">
        <f>IF(C197="IV",ROUND(J197*$R$3,0),0)</f>
        <v>0</v>
      </c>
      <c r="M197" s="99" t="n">
        <v>0</v>
      </c>
      <c r="N197" s="99" t="n">
        <v>0</v>
      </c>
      <c r="O197" s="99" t="n">
        <v>0</v>
      </c>
      <c r="P197" s="42">
        <f>I197-SUM(K197:O197)</f>
        <v>1825428</v>
      </c>
    </row>
    <row r="198" spans="1:16">
      <c r="A198" s="37" t="n">
        <v>200</v>
      </c>
      <c r="B198" s="97" t="s">
        <v>607</v>
      </c>
      <c r="C198" s="121" t="s">
        <v>95</v>
      </c>
      <c r="D198" s="121" t="s">
        <v>137</v>
      </c>
      <c r="E198" s="121" t="s">
        <v>14</v>
      </c>
      <c r="F198" s="98" t="n">
        <v>0</v>
      </c>
      <c r="G198" s="40" t="n">
        <v>0</v>
      </c>
      <c r="H198" s="121" t="s">
        <v>608</v>
      </c>
      <c r="I198" s="99" t="n">
        <v>1200310</v>
      </c>
      <c r="J198" s="99" t="n">
        <v>1200310</v>
      </c>
      <c r="K198" s="99">
        <f>IF(C198="III",ROUND(J198*$R$2,0),IF(C198="P3K/III",ROUND(J198*$R$2,0),0))</f>
        <v>0</v>
      </c>
      <c r="L198" s="99">
        <f>IF(C198="IV",ROUND(J198*$R$3,0),0)</f>
        <v>0</v>
      </c>
      <c r="M198" s="99" t="n">
        <v>0</v>
      </c>
      <c r="N198" s="99" t="n">
        <v>0</v>
      </c>
      <c r="O198" s="99" t="n">
        <v>0</v>
      </c>
      <c r="P198" s="42">
        <f>I198-SUM(K198:O198)</f>
        <v>1200310</v>
      </c>
    </row>
    <row r="199" spans="1:16">
      <c r="A199" s="37" t="n">
        <v>201</v>
      </c>
      <c r="B199" s="97" t="s">
        <v>609</v>
      </c>
      <c r="C199" s="121" t="s">
        <v>95</v>
      </c>
      <c r="D199" s="121" t="s">
        <v>128</v>
      </c>
      <c r="E199" s="121" t="s">
        <v>15</v>
      </c>
      <c r="F199" s="98" t="n">
        <v>0</v>
      </c>
      <c r="G199" s="40" t="n">
        <v>0</v>
      </c>
      <c r="H199" s="121" t="s">
        <v>610</v>
      </c>
      <c r="I199" s="99" t="n">
        <v>1825428</v>
      </c>
      <c r="J199" s="99" t="n">
        <v>1825428</v>
      </c>
      <c r="K199" s="99">
        <f>IF(C199="III",ROUND(J199*$R$2,0),IF(C199="P3K/III",ROUND(J199*$R$2,0),0))</f>
        <v>0</v>
      </c>
      <c r="L199" s="99">
        <f>IF(C199="IV",ROUND(J199*$R$3,0),0)</f>
        <v>0</v>
      </c>
      <c r="M199" s="99" t="n">
        <v>0</v>
      </c>
      <c r="N199" s="99" t="n">
        <v>0</v>
      </c>
      <c r="O199" s="99" t="n">
        <v>0</v>
      </c>
      <c r="P199" s="42">
        <f>I199-SUM(K199:O199)</f>
        <v>1825428</v>
      </c>
    </row>
    <row r="200" spans="1:16">
      <c r="A200" s="37" t="n">
        <v>202</v>
      </c>
      <c r="B200" s="97" t="s">
        <v>611</v>
      </c>
      <c r="C200" s="121" t="s">
        <v>111</v>
      </c>
      <c r="D200" s="121" t="s">
        <v>20</v>
      </c>
      <c r="E200" s="121" t="s">
        <v>21</v>
      </c>
      <c r="F200" s="121" t="s">
        <v>612</v>
      </c>
      <c r="G200" s="40" t="n">
        <v>0</v>
      </c>
      <c r="H200" s="121" t="s">
        <v>613</v>
      </c>
      <c r="I200" s="99" t="n">
        <v>1125184</v>
      </c>
      <c r="J200" s="99" t="n">
        <v>1125184</v>
      </c>
      <c r="K200" s="99">
        <f>IF(C200="III",ROUND(J200*$R$2,0),IF(C200="P3K/III",ROUND(J200*$R$2,0),0))</f>
        <v>0</v>
      </c>
      <c r="L200" s="99">
        <f>IF(C200="IV",ROUND(J200*$R$3,0),0)</f>
        <v>0</v>
      </c>
      <c r="M200" s="99" t="n">
        <v>0</v>
      </c>
      <c r="N200" s="99" t="n">
        <v>0</v>
      </c>
      <c r="O200" s="99" t="n">
        <v>0</v>
      </c>
      <c r="P200" s="42">
        <f>I200-SUM(K200:O200)</f>
        <v>1125184</v>
      </c>
    </row>
    <row r="201" spans="1:16">
      <c r="A201" s="37" t="n">
        <v>203</v>
      </c>
      <c r="B201" s="97" t="s">
        <v>614</v>
      </c>
      <c r="C201" s="121" t="s">
        <v>58</v>
      </c>
      <c r="D201" s="121" t="s">
        <v>20</v>
      </c>
      <c r="E201" s="121" t="s">
        <v>21</v>
      </c>
      <c r="F201" s="121" t="s">
        <v>615</v>
      </c>
      <c r="G201" s="40" t="n">
        <v>0</v>
      </c>
      <c r="H201" s="121" t="s">
        <v>616</v>
      </c>
      <c r="I201" s="99" t="n">
        <v>1125184</v>
      </c>
      <c r="J201" s="99" t="n">
        <v>1125184</v>
      </c>
      <c r="K201" s="99">
        <f>IF(C201="III",ROUND(J201*$R$2,0),IF(C201="P3K/III",ROUND(J201*$R$2,0),0))</f>
        <v>56259</v>
      </c>
      <c r="L201" s="99">
        <f>IF(C201="IV",ROUND(J201*$R$3,0),0)</f>
        <v>0</v>
      </c>
      <c r="M201" s="99" t="n">
        <v>0</v>
      </c>
      <c r="N201" s="99" t="n">
        <v>0</v>
      </c>
      <c r="O201" s="99" t="n">
        <v>0</v>
      </c>
      <c r="P201" s="42">
        <f>I201-SUM(K201:O201)</f>
        <v>1068925</v>
      </c>
    </row>
    <row r="202" spans="1:16">
      <c r="A202" s="37" t="n">
        <v>204</v>
      </c>
      <c r="B202" s="97" t="s">
        <v>617</v>
      </c>
      <c r="C202" s="121" t="s">
        <v>58</v>
      </c>
      <c r="D202" s="121" t="s">
        <v>20</v>
      </c>
      <c r="E202" s="121" t="s">
        <v>21</v>
      </c>
      <c r="F202" s="121" t="s">
        <v>618</v>
      </c>
      <c r="G202" s="40" t="n">
        <v>0</v>
      </c>
      <c r="H202" s="121" t="s">
        <v>619</v>
      </c>
      <c r="I202" s="99" t="n">
        <v>3670679</v>
      </c>
      <c r="J202" s="99" t="n">
        <v>3670679</v>
      </c>
      <c r="K202" s="99">
        <f>IF(C202="III",ROUND(J202*$R$2,0),IF(C202="P3K/III",ROUND(J202*$R$2,0),0))</f>
        <v>183534</v>
      </c>
      <c r="L202" s="99">
        <f>IF(C202="IV",ROUND(J202*$R$3,0),0)</f>
        <v>0</v>
      </c>
      <c r="M202" s="99" t="n">
        <v>0</v>
      </c>
      <c r="N202" s="99" t="n">
        <v>0</v>
      </c>
      <c r="O202" s="99" t="n">
        <v>0</v>
      </c>
      <c r="P202" s="42">
        <f>I202-SUM(K202:O202)</f>
        <v>3487145</v>
      </c>
    </row>
    <row r="203" spans="1:16">
      <c r="A203" s="37" t="n">
        <v>205</v>
      </c>
      <c r="B203" s="97" t="s">
        <v>620</v>
      </c>
      <c r="C203" s="121" t="s">
        <v>58</v>
      </c>
      <c r="D203" s="121" t="s">
        <v>20</v>
      </c>
      <c r="E203" s="121" t="s">
        <v>21</v>
      </c>
      <c r="F203" s="121" t="s">
        <v>621</v>
      </c>
      <c r="G203" s="40" t="n">
        <v>0</v>
      </c>
      <c r="H203" s="121" t="s">
        <v>622</v>
      </c>
      <c r="I203" s="99" t="n">
        <v>1332467</v>
      </c>
      <c r="J203" s="99" t="n">
        <v>1332467</v>
      </c>
      <c r="K203" s="99">
        <f>IF(C203="III",ROUND(J203*$R$2,0),IF(C203="P3K/III",ROUND(J203*$R$2,0),0))</f>
        <v>66623</v>
      </c>
      <c r="L203" s="99">
        <f>IF(C203="IV",ROUND(J203*$R$3,0),0)</f>
        <v>0</v>
      </c>
      <c r="M203" s="99" t="n">
        <v>0</v>
      </c>
      <c r="N203" s="99" t="n">
        <v>0</v>
      </c>
      <c r="O203" s="99" t="n">
        <v>0</v>
      </c>
      <c r="P203" s="42">
        <f>I203-SUM(K203:O203)</f>
        <v>1265844</v>
      </c>
    </row>
    <row r="204" spans="1:16">
      <c r="A204" s="37" t="n">
        <v>206</v>
      </c>
      <c r="B204" s="97" t="s">
        <v>623</v>
      </c>
      <c r="C204" s="121" t="s">
        <v>58</v>
      </c>
      <c r="D204" s="121" t="s">
        <v>20</v>
      </c>
      <c r="E204" s="121" t="s">
        <v>21</v>
      </c>
      <c r="F204" s="121" t="s">
        <v>624</v>
      </c>
      <c r="G204" s="122" t="s">
        <v>625</v>
      </c>
      <c r="H204" s="121" t="s">
        <v>626</v>
      </c>
      <c r="I204" s="99" t="n">
        <v>3044123</v>
      </c>
      <c r="J204" s="99" t="n">
        <v>3044123</v>
      </c>
      <c r="K204" s="99">
        <f>IF(C204="III",ROUND(J204*$R$2,0),IF(C204="P3K/III",ROUND(J204*$R$2,0),0))</f>
        <v>152206</v>
      </c>
      <c r="L204" s="99">
        <f>IF(C204="IV",ROUND(J204*$R$3,0),0)</f>
        <v>0</v>
      </c>
      <c r="M204" s="99" t="n">
        <v>0</v>
      </c>
      <c r="N204" s="99" t="n">
        <v>0</v>
      </c>
      <c r="O204" s="99" t="n">
        <v>0</v>
      </c>
      <c r="P204" s="42">
        <f>I204-SUM(K204:O204)</f>
        <v>2891917</v>
      </c>
    </row>
    <row r="205" spans="1:16">
      <c r="A205" s="37" t="n">
        <v>207</v>
      </c>
      <c r="B205" s="97" t="s">
        <v>627</v>
      </c>
      <c r="C205" s="121" t="s">
        <v>58</v>
      </c>
      <c r="D205" s="121" t="s">
        <v>20</v>
      </c>
      <c r="E205" s="121" t="s">
        <v>21</v>
      </c>
      <c r="F205" s="121" t="s">
        <v>628</v>
      </c>
      <c r="G205" s="122" t="s">
        <v>629</v>
      </c>
      <c r="H205" s="121" t="s">
        <v>630</v>
      </c>
      <c r="I205" s="99" t="n">
        <v>3019933</v>
      </c>
      <c r="J205" s="99" t="n">
        <v>3019933</v>
      </c>
      <c r="K205" s="99">
        <f>IF(C205="III",ROUND(J205*$R$2,0),IF(C205="P3K/III",ROUND(J205*$R$2,0),0))</f>
        <v>150997</v>
      </c>
      <c r="L205" s="99">
        <f>IF(C205="IV",ROUND(J205*$R$3,0),0)</f>
        <v>0</v>
      </c>
      <c r="M205" s="99" t="n">
        <v>0</v>
      </c>
      <c r="N205" s="99" t="n">
        <v>0</v>
      </c>
      <c r="O205" s="99" t="n">
        <v>0</v>
      </c>
      <c r="P205" s="42">
        <f>I205-SUM(K205:O205)</f>
        <v>2868936</v>
      </c>
    </row>
    <row r="206" spans="1:16">
      <c r="A206" s="37" t="n">
        <v>208</v>
      </c>
      <c r="B206" s="97" t="s">
        <v>631</v>
      </c>
      <c r="C206" s="121" t="s">
        <v>58</v>
      </c>
      <c r="D206" s="121" t="s">
        <v>20</v>
      </c>
      <c r="E206" s="121" t="s">
        <v>21</v>
      </c>
      <c r="F206" s="121" t="s">
        <v>632</v>
      </c>
      <c r="G206" s="122" t="s">
        <v>633</v>
      </c>
      <c r="H206" s="121" t="s">
        <v>634</v>
      </c>
      <c r="I206" s="99" t="n">
        <v>3019933</v>
      </c>
      <c r="J206" s="99" t="n">
        <v>3019933</v>
      </c>
      <c r="K206" s="99">
        <f>IF(C206="III",ROUND(J206*$R$2,0),IF(C206="P3K/III",ROUND(J206*$R$2,0),0))</f>
        <v>150997</v>
      </c>
      <c r="L206" s="99">
        <f>IF(C206="IV",ROUND(J206*$R$3,0),0)</f>
        <v>0</v>
      </c>
      <c r="M206" s="99" t="n">
        <v>0</v>
      </c>
      <c r="N206" s="99" t="n">
        <v>0</v>
      </c>
      <c r="O206" s="99" t="n">
        <v>0</v>
      </c>
      <c r="P206" s="42">
        <f>I206-SUM(K206:O206)</f>
        <v>2868936</v>
      </c>
    </row>
    <row r="207" spans="1:16">
      <c r="A207" s="37" t="n">
        <v>209</v>
      </c>
      <c r="B207" s="97" t="s">
        <v>635</v>
      </c>
      <c r="C207" s="121" t="s">
        <v>58</v>
      </c>
      <c r="D207" s="121" t="s">
        <v>20</v>
      </c>
      <c r="E207" s="121" t="s">
        <v>21</v>
      </c>
      <c r="F207" s="121" t="s">
        <v>636</v>
      </c>
      <c r="G207" s="122" t="s">
        <v>637</v>
      </c>
      <c r="H207" s="121" t="s">
        <v>638</v>
      </c>
      <c r="I207" s="99" t="n">
        <v>2724795</v>
      </c>
      <c r="J207" s="99" t="n">
        <v>2724795</v>
      </c>
      <c r="K207" s="99">
        <f>IF(C207="III",ROUND(J207*$R$2,0),IF(C207="P3K/III",ROUND(J207*$R$2,0),0))</f>
        <v>136240</v>
      </c>
      <c r="L207" s="99">
        <f>IF(C207="IV",ROUND(J207*$R$3,0),0)</f>
        <v>0</v>
      </c>
      <c r="M207" s="99" t="n">
        <v>0</v>
      </c>
      <c r="N207" s="99" t="n">
        <v>0</v>
      </c>
      <c r="O207" s="99" t="n">
        <v>0</v>
      </c>
      <c r="P207" s="42">
        <f>I207-SUM(K207:O207)</f>
        <v>2588555</v>
      </c>
    </row>
    <row r="208" spans="1:16">
      <c r="A208" s="37" t="n">
        <v>210</v>
      </c>
      <c r="B208" s="97" t="s">
        <v>639</v>
      </c>
      <c r="C208" s="121" t="s">
        <v>58</v>
      </c>
      <c r="D208" s="121" t="s">
        <v>20</v>
      </c>
      <c r="E208" s="121" t="s">
        <v>21</v>
      </c>
      <c r="F208" s="121" t="s">
        <v>640</v>
      </c>
      <c r="G208" s="122" t="s">
        <v>641</v>
      </c>
      <c r="H208" s="121" t="s">
        <v>642</v>
      </c>
      <c r="I208" s="99" t="n">
        <v>2724795</v>
      </c>
      <c r="J208" s="99" t="n">
        <v>2724795</v>
      </c>
      <c r="K208" s="99">
        <f>IF(C208="III",ROUND(J208*$R$2,0),IF(C208="P3K/III",ROUND(J208*$R$2,0),0))</f>
        <v>136240</v>
      </c>
      <c r="L208" s="99">
        <f>IF(C208="IV",ROUND(J208*$R$3,0),0)</f>
        <v>0</v>
      </c>
      <c r="M208" s="99" t="n">
        <v>0</v>
      </c>
      <c r="N208" s="99" t="n">
        <v>0</v>
      </c>
      <c r="O208" s="99" t="n">
        <v>0</v>
      </c>
      <c r="P208" s="42">
        <f>I208-SUM(K208:O208)</f>
        <v>2588555</v>
      </c>
    </row>
    <row r="209" spans="1:16">
      <c r="A209" s="37" t="n">
        <v>211</v>
      </c>
      <c r="B209" s="97" t="s">
        <v>643</v>
      </c>
      <c r="C209" s="121" t="s">
        <v>58</v>
      </c>
      <c r="D209" s="121" t="s">
        <v>20</v>
      </c>
      <c r="E209" s="121" t="s">
        <v>21</v>
      </c>
      <c r="F209" s="121" t="s">
        <v>644</v>
      </c>
      <c r="G209" s="40" t="n">
        <v>0</v>
      </c>
      <c r="H209" s="121" t="s">
        <v>645</v>
      </c>
      <c r="I209" s="99" t="n">
        <v>2724795</v>
      </c>
      <c r="J209" s="99" t="n">
        <v>2724795</v>
      </c>
      <c r="K209" s="99">
        <f>IF(C209="III",ROUND(J209*$R$2,0),IF(C209="P3K/III",ROUND(J209*$R$2,0),0))</f>
        <v>136240</v>
      </c>
      <c r="L209" s="99">
        <f>IF(C209="IV",ROUND(J209*$R$3,0),0)</f>
        <v>0</v>
      </c>
      <c r="M209" s="99" t="n">
        <v>0</v>
      </c>
      <c r="N209" s="99" t="n">
        <v>0</v>
      </c>
      <c r="O209" s="99" t="n">
        <v>0</v>
      </c>
      <c r="P209" s="42">
        <f>I209-SUM(K209:O209)</f>
        <v>2588555</v>
      </c>
    </row>
    <row r="210" spans="1:16">
      <c r="A210" s="37" t="n">
        <v>212</v>
      </c>
      <c r="B210" s="97" t="s">
        <v>646</v>
      </c>
      <c r="C210" s="121" t="s">
        <v>283</v>
      </c>
      <c r="D210" s="121" t="s">
        <v>20</v>
      </c>
      <c r="E210" s="121" t="s">
        <v>21</v>
      </c>
      <c r="F210" s="98" t="n">
        <v>0</v>
      </c>
      <c r="G210" s="40" t="n">
        <v>0</v>
      </c>
      <c r="H210" s="121" t="s">
        <v>647</v>
      </c>
      <c r="I210" s="99" t="n">
        <v>2724795</v>
      </c>
      <c r="J210" s="99" t="n">
        <v>2724795</v>
      </c>
      <c r="K210" s="99">
        <f>IF(C210="III",ROUND(J210*$R$2,0),IF(C210="P3K/III",ROUND(J210*$R$2,0),0))</f>
        <v>0</v>
      </c>
      <c r="L210" s="99">
        <f>IF(C210="IV",ROUND(J210*$R$3,0),0)</f>
        <v>0</v>
      </c>
      <c r="M210" s="99" t="n">
        <v>0</v>
      </c>
      <c r="N210" s="99" t="n">
        <v>0</v>
      </c>
      <c r="O210" s="99" t="n">
        <v>0</v>
      </c>
      <c r="P210" s="42">
        <f>I210-SUM(K210:O210)</f>
        <v>2724795</v>
      </c>
    </row>
    <row r="211" spans="1:16">
      <c r="A211" s="37" t="n">
        <v>213</v>
      </c>
      <c r="B211" s="97" t="s">
        <v>648</v>
      </c>
      <c r="C211" s="121" t="s">
        <v>283</v>
      </c>
      <c r="D211" s="121" t="s">
        <v>20</v>
      </c>
      <c r="E211" s="121" t="s">
        <v>21</v>
      </c>
      <c r="F211" s="98" t="n">
        <v>0</v>
      </c>
      <c r="G211" s="40" t="n">
        <v>0</v>
      </c>
      <c r="H211" s="121" t="s">
        <v>649</v>
      </c>
      <c r="I211" s="99" t="n">
        <v>2724795</v>
      </c>
      <c r="J211" s="99" t="n">
        <v>2724795</v>
      </c>
      <c r="K211" s="99">
        <f>IF(C211="III",ROUND(J211*$R$2,0),IF(C211="P3K/III",ROUND(J211*$R$2,0),0))</f>
        <v>0</v>
      </c>
      <c r="L211" s="99">
        <f>IF(C211="IV",ROUND(J211*$R$3,0),0)</f>
        <v>0</v>
      </c>
      <c r="M211" s="99" t="n">
        <v>0</v>
      </c>
      <c r="N211" s="99" t="n">
        <v>0</v>
      </c>
      <c r="O211" s="99" t="n">
        <v>0</v>
      </c>
      <c r="P211" s="42">
        <f>I211-SUM(K211:O211)</f>
        <v>2724795</v>
      </c>
    </row>
    <row r="212" spans="1:16">
      <c r="A212" s="37" t="n">
        <v>214</v>
      </c>
      <c r="B212" s="97" t="s">
        <v>650</v>
      </c>
      <c r="C212" s="121" t="s">
        <v>283</v>
      </c>
      <c r="D212" s="121" t="s">
        <v>20</v>
      </c>
      <c r="E212" s="121" t="s">
        <v>21</v>
      </c>
      <c r="F212" s="98" t="n">
        <v>0</v>
      </c>
      <c r="G212" s="40" t="n">
        <v>0</v>
      </c>
      <c r="H212" s="121" t="s">
        <v>651</v>
      </c>
      <c r="I212" s="99" t="n">
        <v>2724795</v>
      </c>
      <c r="J212" s="99" t="n">
        <v>2724795</v>
      </c>
      <c r="K212" s="99">
        <f>IF(C212="III",ROUND(J212*$R$2,0),IF(C212="P3K/III",ROUND(J212*$R$2,0),0))</f>
        <v>0</v>
      </c>
      <c r="L212" s="99">
        <f>IF(C212="IV",ROUND(J212*$R$3,0),0)</f>
        <v>0</v>
      </c>
      <c r="M212" s="99" t="n">
        <v>0</v>
      </c>
      <c r="N212" s="99" t="n">
        <v>0</v>
      </c>
      <c r="O212" s="99" t="n">
        <v>0</v>
      </c>
      <c r="P212" s="42">
        <f>I212-SUM(K212:O212)</f>
        <v>2724795</v>
      </c>
    </row>
    <row r="213" spans="1:16">
      <c r="A213" s="37" t="n">
        <v>215</v>
      </c>
      <c r="B213" s="97" t="s">
        <v>652</v>
      </c>
      <c r="C213" s="121" t="s">
        <v>58</v>
      </c>
      <c r="D213" s="121" t="s">
        <v>20</v>
      </c>
      <c r="E213" s="121" t="s">
        <v>21</v>
      </c>
      <c r="F213" s="121" t="s">
        <v>653</v>
      </c>
      <c r="G213" s="40" t="n">
        <v>0</v>
      </c>
      <c r="H213" s="121" t="s">
        <v>654</v>
      </c>
      <c r="I213" s="99" t="n">
        <v>2748985</v>
      </c>
      <c r="J213" s="99" t="n">
        <v>2748985</v>
      </c>
      <c r="K213" s="99">
        <f>IF(C213="III",ROUND(J213*$R$2,0),IF(C213="P3K/III",ROUND(J213*$R$2,0),0))</f>
        <v>137449</v>
      </c>
      <c r="L213" s="99">
        <f>IF(C213="IV",ROUND(J213*$R$3,0),0)</f>
        <v>0</v>
      </c>
      <c r="M213" s="99" t="n">
        <v>0</v>
      </c>
      <c r="N213" s="99" t="n">
        <v>0</v>
      </c>
      <c r="O213" s="99" t="n">
        <v>0</v>
      </c>
      <c r="P213" s="42">
        <f>I213-SUM(K213:O213)</f>
        <v>2611536</v>
      </c>
    </row>
    <row r="214" spans="1:16">
      <c r="A214" s="37" t="n">
        <v>216</v>
      </c>
      <c r="B214" s="97" t="s">
        <v>655</v>
      </c>
      <c r="C214" s="121" t="s">
        <v>283</v>
      </c>
      <c r="D214" s="121" t="s">
        <v>20</v>
      </c>
      <c r="E214" s="121" t="s">
        <v>21</v>
      </c>
      <c r="F214" s="98" t="n">
        <v>0</v>
      </c>
      <c r="G214" s="40" t="n">
        <v>0</v>
      </c>
      <c r="H214" s="121" t="s">
        <v>656</v>
      </c>
      <c r="I214" s="99" t="n">
        <v>2518198</v>
      </c>
      <c r="J214" s="99" t="n">
        <v>2518198</v>
      </c>
      <c r="K214" s="99">
        <f>IF(C214="III",ROUND(J214*$R$2,0),IF(C214="P3K/III",ROUND(J214*$R$2,0),0))</f>
        <v>0</v>
      </c>
      <c r="L214" s="99">
        <f>IF(C214="IV",ROUND(J214*$R$3,0),0)</f>
        <v>0</v>
      </c>
      <c r="M214" s="99" t="n">
        <v>0</v>
      </c>
      <c r="N214" s="99" t="n">
        <v>0</v>
      </c>
      <c r="O214" s="99" t="n">
        <v>0</v>
      </c>
      <c r="P214" s="42">
        <f>I214-SUM(K214:O214)</f>
        <v>2518198</v>
      </c>
    </row>
    <row r="215" spans="1:16">
      <c r="A215" s="37" t="n">
        <v>217</v>
      </c>
      <c r="B215" s="97" t="s">
        <v>657</v>
      </c>
      <c r="C215" s="121" t="s">
        <v>283</v>
      </c>
      <c r="D215" s="121" t="s">
        <v>20</v>
      </c>
      <c r="E215" s="121" t="s">
        <v>21</v>
      </c>
      <c r="F215" s="98" t="n">
        <v>0</v>
      </c>
      <c r="G215" s="40" t="n">
        <v>0</v>
      </c>
      <c r="H215" s="121" t="s">
        <v>658</v>
      </c>
      <c r="I215" s="99" t="n">
        <v>2518198</v>
      </c>
      <c r="J215" s="99" t="n">
        <v>2518198</v>
      </c>
      <c r="K215" s="99">
        <f>IF(C215="III",ROUND(J215*$R$2,0),IF(C215="P3K/III",ROUND(J215*$R$2,0),0))</f>
        <v>0</v>
      </c>
      <c r="L215" s="99">
        <f>IF(C215="IV",ROUND(J215*$R$3,0),0)</f>
        <v>0</v>
      </c>
      <c r="M215" s="99" t="n">
        <v>0</v>
      </c>
      <c r="N215" s="99" t="n">
        <v>0</v>
      </c>
      <c r="O215" s="99" t="n">
        <v>0</v>
      </c>
      <c r="P215" s="42">
        <f>I215-SUM(K215:O215)</f>
        <v>2518198</v>
      </c>
    </row>
    <row r="216" spans="1:16">
      <c r="A216" s="37" t="n">
        <v>218</v>
      </c>
      <c r="B216" s="97" t="s">
        <v>659</v>
      </c>
      <c r="C216" s="121" t="s">
        <v>283</v>
      </c>
      <c r="D216" s="121" t="s">
        <v>20</v>
      </c>
      <c r="E216" s="121" t="s">
        <v>21</v>
      </c>
      <c r="F216" s="98" t="n">
        <v>0</v>
      </c>
      <c r="G216" s="40" t="n">
        <v>0</v>
      </c>
      <c r="H216" s="121" t="s">
        <v>660</v>
      </c>
      <c r="I216" s="99" t="n">
        <v>2518198</v>
      </c>
      <c r="J216" s="99" t="n">
        <v>2518198</v>
      </c>
      <c r="K216" s="99">
        <f>IF(C216="III",ROUND(J216*$R$2,0),IF(C216="P3K/III",ROUND(J216*$R$2,0),0))</f>
        <v>0</v>
      </c>
      <c r="L216" s="99">
        <f>IF(C216="IV",ROUND(J216*$R$3,0),0)</f>
        <v>0</v>
      </c>
      <c r="M216" s="99" t="n">
        <v>0</v>
      </c>
      <c r="N216" s="99" t="n">
        <v>0</v>
      </c>
      <c r="O216" s="99" t="n">
        <v>0</v>
      </c>
      <c r="P216" s="42">
        <f>I216-SUM(K216:O216)</f>
        <v>2518198</v>
      </c>
    </row>
    <row r="217" spans="1:16">
      <c r="A217" s="37" t="n">
        <v>219</v>
      </c>
      <c r="B217" s="97" t="s">
        <v>661</v>
      </c>
      <c r="C217" s="121" t="s">
        <v>283</v>
      </c>
      <c r="D217" s="121" t="s">
        <v>20</v>
      </c>
      <c r="E217" s="121" t="s">
        <v>21</v>
      </c>
      <c r="F217" s="98" t="n">
        <v>0</v>
      </c>
      <c r="G217" s="122" t="s">
        <v>662</v>
      </c>
      <c r="H217" s="121" t="s">
        <v>663</v>
      </c>
      <c r="I217" s="99" t="n">
        <v>2724795</v>
      </c>
      <c r="J217" s="99" t="n">
        <v>2724795</v>
      </c>
      <c r="K217" s="99">
        <f>IF(C217="III",ROUND(J217*$R$2,0),IF(C217="P3K/III",ROUND(J217*$R$2,0),0))</f>
        <v>0</v>
      </c>
      <c r="L217" s="99">
        <f>IF(C217="IV",ROUND(J217*$R$3,0),0)</f>
        <v>0</v>
      </c>
      <c r="M217" s="99" t="n">
        <v>0</v>
      </c>
      <c r="N217" s="99" t="n">
        <v>0</v>
      </c>
      <c r="O217" s="99" t="n">
        <v>0</v>
      </c>
      <c r="P217" s="42">
        <f>I217-SUM(K217:O217)</f>
        <v>2724795</v>
      </c>
    </row>
    <row r="218" spans="1:16">
      <c r="A218" s="37" t="n">
        <v>220</v>
      </c>
      <c r="B218" s="97" t="s">
        <v>664</v>
      </c>
      <c r="C218" s="121" t="s">
        <v>120</v>
      </c>
      <c r="D218" s="121" t="s">
        <v>124</v>
      </c>
      <c r="E218" s="121" t="s">
        <v>15</v>
      </c>
      <c r="F218" s="98" t="n">
        <v>0</v>
      </c>
      <c r="G218" s="40" t="n">
        <v>0</v>
      </c>
      <c r="H218" s="121" t="s">
        <v>665</v>
      </c>
      <c r="I218" s="99" t="n">
        <v>2518198</v>
      </c>
      <c r="J218" s="99" t="n">
        <v>2518198</v>
      </c>
      <c r="K218" s="99">
        <f>IF(C218="III",ROUND(J218*$R$2,0),IF(C218="P3K/III",ROUND(J218*$R$2,0),0))</f>
        <v>0</v>
      </c>
      <c r="L218" s="99">
        <f>IF(C218="IV",ROUND(J218*$R$3,0),0)</f>
        <v>0</v>
      </c>
      <c r="M218" s="99" t="n">
        <v>0</v>
      </c>
      <c r="N218" s="99" t="n">
        <v>0</v>
      </c>
      <c r="O218" s="99" t="n">
        <v>0</v>
      </c>
      <c r="P218" s="42">
        <f>I218-SUM(K218:O218)</f>
        <v>2518198</v>
      </c>
    </row>
    <row r="219" spans="1:16">
      <c r="A219" s="37" t="n">
        <v>221</v>
      </c>
      <c r="B219" s="97" t="s">
        <v>666</v>
      </c>
      <c r="C219" s="121" t="s">
        <v>283</v>
      </c>
      <c r="D219" s="121" t="s">
        <v>20</v>
      </c>
      <c r="E219" s="121" t="s">
        <v>21</v>
      </c>
      <c r="F219" s="98" t="n">
        <v>0</v>
      </c>
      <c r="G219" s="40" t="n">
        <v>0</v>
      </c>
      <c r="H219" s="121" t="s">
        <v>667</v>
      </c>
      <c r="I219" s="99" t="n">
        <v>2429657</v>
      </c>
      <c r="J219" s="99" t="n">
        <v>2429657</v>
      </c>
      <c r="K219" s="99">
        <f>IF(C219="III",ROUND(J219*$R$2,0),IF(C219="P3K/III",ROUND(J219*$R$2,0),0))</f>
        <v>0</v>
      </c>
      <c r="L219" s="99">
        <f>IF(C219="IV",ROUND(J219*$R$3,0),0)</f>
        <v>0</v>
      </c>
      <c r="M219" s="99" t="n">
        <v>0</v>
      </c>
      <c r="N219" s="99" t="n">
        <v>0</v>
      </c>
      <c r="O219" s="99" t="n">
        <v>0</v>
      </c>
      <c r="P219" s="42">
        <f>I219-SUM(K219:O219)</f>
        <v>2429657</v>
      </c>
    </row>
    <row r="220" spans="1:16">
      <c r="A220" s="37" t="n">
        <v>222</v>
      </c>
      <c r="B220" s="97" t="s">
        <v>668</v>
      </c>
      <c r="C220" s="121" t="s">
        <v>283</v>
      </c>
      <c r="D220" s="121" t="s">
        <v>20</v>
      </c>
      <c r="E220" s="121" t="s">
        <v>21</v>
      </c>
      <c r="F220" s="98" t="n">
        <v>0</v>
      </c>
      <c r="G220" s="40" t="n">
        <v>0</v>
      </c>
      <c r="H220" s="121" t="s">
        <v>669</v>
      </c>
      <c r="I220" s="99" t="n">
        <v>2115376</v>
      </c>
      <c r="J220" s="99" t="n">
        <v>2115376</v>
      </c>
      <c r="K220" s="99">
        <f>IF(C220="III",ROUND(J220*$R$2,0),IF(C220="P3K/III",ROUND(J220*$R$2,0),0))</f>
        <v>0</v>
      </c>
      <c r="L220" s="99">
        <f>IF(C220="IV",ROUND(J220*$R$3,0),0)</f>
        <v>0</v>
      </c>
      <c r="M220" s="99" t="n">
        <v>0</v>
      </c>
      <c r="N220" s="99" t="n">
        <v>0</v>
      </c>
      <c r="O220" s="99" t="n">
        <v>0</v>
      </c>
      <c r="P220" s="42">
        <f>I220-SUM(K220:O220)</f>
        <v>2115376</v>
      </c>
    </row>
    <row r="221" spans="1:16">
      <c r="A221" s="37" t="n">
        <v>224</v>
      </c>
      <c r="B221" s="97" t="s">
        <v>670</v>
      </c>
      <c r="C221" s="121" t="s">
        <v>131</v>
      </c>
      <c r="D221" s="121" t="s">
        <v>20</v>
      </c>
      <c r="E221" s="121" t="s">
        <v>21</v>
      </c>
      <c r="F221" s="121" t="s">
        <v>671</v>
      </c>
      <c r="G221" s="40" t="n">
        <v>0</v>
      </c>
      <c r="H221" s="121" t="s">
        <v>672</v>
      </c>
      <c r="I221" s="99" t="n">
        <v>2074234</v>
      </c>
      <c r="J221" s="99" t="n">
        <v>2074234</v>
      </c>
      <c r="K221" s="99">
        <f>IF(C221="III",ROUND(J221*$R$2,0),IF(C221="P3K/III",ROUND(J221*$R$2,0),0))</f>
        <v>103712</v>
      </c>
      <c r="L221" s="99">
        <f>IF(C221="IV",ROUND(J221*$R$3,0),0)</f>
        <v>0</v>
      </c>
      <c r="M221" s="99" t="n">
        <v>0</v>
      </c>
      <c r="N221" s="99" t="n">
        <v>0</v>
      </c>
      <c r="O221" s="99" t="n">
        <v>0</v>
      </c>
      <c r="P221" s="42">
        <f>I221-SUM(K221:O221)</f>
        <v>1970522</v>
      </c>
    </row>
    <row r="222" spans="1:16">
      <c r="A222" s="37" t="n">
        <v>225</v>
      </c>
      <c r="B222" s="97" t="s">
        <v>673</v>
      </c>
      <c r="C222" s="121" t="s">
        <v>283</v>
      </c>
      <c r="D222" s="121" t="s">
        <v>20</v>
      </c>
      <c r="E222" s="121" t="s">
        <v>21</v>
      </c>
      <c r="F222" s="98" t="n">
        <v>0</v>
      </c>
      <c r="G222" s="40" t="n">
        <v>0</v>
      </c>
      <c r="H222" s="121" t="s">
        <v>674</v>
      </c>
      <c r="I222" s="99" t="n">
        <v>2429657</v>
      </c>
      <c r="J222" s="99" t="n">
        <v>2429657</v>
      </c>
      <c r="K222" s="99">
        <f>IF(C222="III",ROUND(J222*$R$2,0),IF(C222="P3K/III",ROUND(J222*$R$2,0),0))</f>
        <v>0</v>
      </c>
      <c r="L222" s="99">
        <f>IF(C222="IV",ROUND(J222*$R$3,0),0)</f>
        <v>0</v>
      </c>
      <c r="M222" s="99" t="n">
        <v>0</v>
      </c>
      <c r="N222" s="99" t="n">
        <v>0</v>
      </c>
      <c r="O222" s="99" t="n">
        <v>0</v>
      </c>
      <c r="P222" s="42">
        <f>I222-SUM(K222:O222)</f>
        <v>2429657</v>
      </c>
    </row>
    <row r="223" spans="1:16">
      <c r="A223" s="37" t="n">
        <v>226</v>
      </c>
      <c r="B223" s="97" t="s">
        <v>675</v>
      </c>
      <c r="C223" s="121" t="s">
        <v>283</v>
      </c>
      <c r="D223" s="121" t="s">
        <v>20</v>
      </c>
      <c r="E223" s="121" t="s">
        <v>21</v>
      </c>
      <c r="F223" s="98" t="n">
        <v>0</v>
      </c>
      <c r="G223" s="40" t="n">
        <v>0</v>
      </c>
      <c r="H223" s="121" t="s">
        <v>676</v>
      </c>
      <c r="I223" s="99" t="n">
        <v>266083</v>
      </c>
      <c r="J223" s="99" t="n">
        <v>266083</v>
      </c>
      <c r="K223" s="99">
        <f>IF(C223="III",ROUND(J223*$R$2,0),IF(C223="P3K/III",ROUND(J223*$R$2,0),0))</f>
        <v>0</v>
      </c>
      <c r="L223" s="99">
        <f>IF(C223="IV",ROUND(J223*$R$3,0),0)</f>
        <v>0</v>
      </c>
      <c r="M223" s="99" t="n">
        <v>0</v>
      </c>
      <c r="N223" s="99" t="n">
        <v>0</v>
      </c>
      <c r="O223" s="99" t="n">
        <v>0</v>
      </c>
      <c r="P223" s="42">
        <f>I223-SUM(K223:O223)</f>
        <v>266083</v>
      </c>
    </row>
    <row r="224" spans="1:16">
      <c r="A224" s="37" t="n">
        <v>227</v>
      </c>
      <c r="B224" s="97" t="s">
        <v>677</v>
      </c>
      <c r="C224" s="121" t="s">
        <v>120</v>
      </c>
      <c r="D224" s="121" t="s">
        <v>128</v>
      </c>
      <c r="E224" s="121" t="s">
        <v>15</v>
      </c>
      <c r="F224" s="98" t="n">
        <v>0</v>
      </c>
      <c r="G224" s="40" t="n">
        <v>0</v>
      </c>
      <c r="H224" s="121" t="s">
        <v>678</v>
      </c>
      <c r="I224" s="99" t="n">
        <v>2453847</v>
      </c>
      <c r="J224" s="99" t="n">
        <v>2453847</v>
      </c>
      <c r="K224" s="99">
        <f>IF(C224="III",ROUND(J224*$R$2,0),IF(C224="P3K/III",ROUND(J224*$R$2,0),0))</f>
        <v>0</v>
      </c>
      <c r="L224" s="99">
        <f>IF(C224="IV",ROUND(J224*$R$3,0),0)</f>
        <v>0</v>
      </c>
      <c r="M224" s="99" t="n">
        <v>0</v>
      </c>
      <c r="N224" s="99" t="n">
        <v>0</v>
      </c>
      <c r="O224" s="99" t="n">
        <v>0</v>
      </c>
      <c r="P224" s="42">
        <f>I224-SUM(K224:O224)</f>
        <v>2453847</v>
      </c>
    </row>
    <row r="225" spans="1:16">
      <c r="A225" s="37" t="n">
        <v>229</v>
      </c>
      <c r="B225" s="97" t="s">
        <v>679</v>
      </c>
      <c r="C225" s="121" t="s">
        <v>283</v>
      </c>
      <c r="D225" s="121" t="s">
        <v>20</v>
      </c>
      <c r="E225" s="121" t="s">
        <v>21</v>
      </c>
      <c r="F225" s="98" t="n">
        <v>0</v>
      </c>
      <c r="G225" s="40" t="n">
        <v>0</v>
      </c>
      <c r="H225" s="121" t="s">
        <v>680</v>
      </c>
      <c r="I225" s="99" t="n">
        <v>2874686</v>
      </c>
      <c r="J225" s="99" t="n">
        <v>2874686</v>
      </c>
      <c r="K225" s="99">
        <f>IF(C225="III",ROUND(J225*$R$2,0),IF(C225="P3K/III",ROUND(J225*$R$2,0),0))</f>
        <v>0</v>
      </c>
      <c r="L225" s="99">
        <f>IF(C225="IV",ROUND(J225*$R$3,0),0)</f>
        <v>0</v>
      </c>
      <c r="M225" s="99" t="n">
        <v>0</v>
      </c>
      <c r="N225" s="99" t="n">
        <v>0</v>
      </c>
      <c r="O225" s="99" t="n">
        <v>0</v>
      </c>
      <c r="P225" s="42">
        <f>I225-SUM(K225:O225)</f>
        <v>2874686</v>
      </c>
    </row>
    <row r="226" spans="1:16">
      <c r="A226" s="37" t="n">
        <v>230</v>
      </c>
      <c r="B226" s="97" t="s">
        <v>681</v>
      </c>
      <c r="C226" s="121" t="s">
        <v>283</v>
      </c>
      <c r="D226" s="121" t="s">
        <v>20</v>
      </c>
      <c r="E226" s="121" t="s">
        <v>21</v>
      </c>
      <c r="F226" s="98" t="n">
        <v>0</v>
      </c>
      <c r="G226" s="122" t="s">
        <v>682</v>
      </c>
      <c r="H226" s="121" t="s">
        <v>683</v>
      </c>
      <c r="I226" s="99" t="n">
        <v>2050044</v>
      </c>
      <c r="J226" s="99" t="n">
        <v>2050044</v>
      </c>
      <c r="K226" s="99">
        <f>IF(C226="III",ROUND(J226*$R$2,0),IF(C226="P3K/III",ROUND(J226*$R$2,0),0))</f>
        <v>0</v>
      </c>
      <c r="L226" s="99">
        <f>IF(C226="IV",ROUND(J226*$R$3,0),0)</f>
        <v>0</v>
      </c>
      <c r="M226" s="99" t="n">
        <v>0</v>
      </c>
      <c r="N226" s="99" t="n">
        <v>0</v>
      </c>
      <c r="O226" s="99" t="n">
        <v>0</v>
      </c>
      <c r="P226" s="42">
        <f>I226-SUM(K226:O226)</f>
        <v>2050044</v>
      </c>
    </row>
    <row r="227" spans="1:16">
      <c r="A227" s="37" t="n">
        <v>231</v>
      </c>
      <c r="B227" s="97" t="s">
        <v>684</v>
      </c>
      <c r="C227" s="121" t="s">
        <v>131</v>
      </c>
      <c r="D227" s="121" t="s">
        <v>20</v>
      </c>
      <c r="E227" s="121" t="s">
        <v>21</v>
      </c>
      <c r="F227" s="98" t="n">
        <v>0</v>
      </c>
      <c r="G227" s="122" t="s">
        <v>685</v>
      </c>
      <c r="H227" s="121" t="s">
        <v>686</v>
      </c>
      <c r="I227" s="99" t="n">
        <v>2453847</v>
      </c>
      <c r="J227" s="99" t="n">
        <v>2453847</v>
      </c>
      <c r="K227" s="99">
        <f>IF(C227="III",ROUND(J227*$R$2,0),IF(C227="P3K/III",ROUND(J227*$R$2,0),0))</f>
        <v>122692</v>
      </c>
      <c r="L227" s="99">
        <f>IF(C227="IV",ROUND(J227*$R$3,0),0)</f>
        <v>0</v>
      </c>
      <c r="M227" s="99" t="n">
        <v>0</v>
      </c>
      <c r="N227" s="99" t="n">
        <v>0</v>
      </c>
      <c r="O227" s="99" t="n">
        <v>0</v>
      </c>
      <c r="P227" s="42">
        <f>I227-SUM(K227:O227)</f>
        <v>2331155</v>
      </c>
    </row>
    <row r="228" spans="1:16">
      <c r="A228" s="37" t="n">
        <v>232</v>
      </c>
      <c r="B228" s="97" t="s">
        <v>687</v>
      </c>
      <c r="C228" s="121" t="s">
        <v>19</v>
      </c>
      <c r="D228" s="121" t="s">
        <v>20</v>
      </c>
      <c r="E228" s="121" t="s">
        <v>21</v>
      </c>
      <c r="F228" s="121" t="s">
        <v>688</v>
      </c>
      <c r="G228" s="40" t="n">
        <v>0</v>
      </c>
      <c r="H228" s="121" t="s">
        <v>689</v>
      </c>
      <c r="I228" s="99" t="n">
        <v>4913293</v>
      </c>
      <c r="J228" s="99" t="n">
        <v>4913293</v>
      </c>
      <c r="K228" s="99">
        <f>IF(C228="III",ROUND(J228*$R$2,0),IF(C228="P3K/III",ROUND(J228*$R$2,0),0))</f>
        <v>0</v>
      </c>
      <c r="L228" s="99">
        <f>IF(C228="IV",ROUND(J228*$R$3,0),0)</f>
        <v>736994</v>
      </c>
      <c r="M228" s="99" t="n">
        <v>0</v>
      </c>
      <c r="N228" s="99" t="n">
        <v>0</v>
      </c>
      <c r="O228" s="99" t="n">
        <v>0</v>
      </c>
      <c r="P228" s="42">
        <f>I228-SUM(K228:O228)</f>
        <v>4176299</v>
      </c>
    </row>
    <row r="229" spans="1:16">
      <c r="A229" s="37" t="n">
        <v>233</v>
      </c>
      <c r="B229" s="97" t="s">
        <v>690</v>
      </c>
      <c r="C229" s="121" t="s">
        <v>58</v>
      </c>
      <c r="D229" s="121" t="s">
        <v>20</v>
      </c>
      <c r="E229" s="121" t="s">
        <v>21</v>
      </c>
      <c r="F229" s="121" t="s">
        <v>691</v>
      </c>
      <c r="G229" s="40" t="n">
        <v>0</v>
      </c>
      <c r="H229" s="121" t="s">
        <v>692</v>
      </c>
      <c r="I229" s="99" t="n">
        <v>4166824</v>
      </c>
      <c r="J229" s="99" t="n">
        <v>4166824</v>
      </c>
      <c r="K229" s="99">
        <f>IF(C229="III",ROUND(J229*$R$2,0),IF(C229="P3K/III",ROUND(J229*$R$2,0),0))</f>
        <v>208341</v>
      </c>
      <c r="L229" s="99">
        <f>IF(C229="IV",ROUND(J229*$R$3,0),0)</f>
        <v>0</v>
      </c>
      <c r="M229" s="99" t="n">
        <v>0</v>
      </c>
      <c r="N229" s="99" t="n">
        <v>0</v>
      </c>
      <c r="O229" s="99" t="n">
        <v>0</v>
      </c>
      <c r="P229" s="42">
        <f>I229-SUM(K229:O229)</f>
        <v>3958483</v>
      </c>
    </row>
    <row r="230" spans="1:16">
      <c r="A230" s="37" t="n">
        <v>234</v>
      </c>
      <c r="B230" s="97" t="s">
        <v>693</v>
      </c>
      <c r="C230" s="121" t="s">
        <v>58</v>
      </c>
      <c r="D230" s="121" t="s">
        <v>20</v>
      </c>
      <c r="E230" s="121" t="s">
        <v>21</v>
      </c>
      <c r="F230" s="121" t="s">
        <v>694</v>
      </c>
      <c r="G230" s="40" t="n">
        <v>0</v>
      </c>
      <c r="H230" s="121" t="s">
        <v>695</v>
      </c>
      <c r="I230" s="99" t="n">
        <v>3356360</v>
      </c>
      <c r="J230" s="99" t="n">
        <v>3356360</v>
      </c>
      <c r="K230" s="99">
        <f>IF(C230="III",ROUND(J230*$R$2,0),IF(C230="P3K/III",ROUND(J230*$R$2,0),0))</f>
        <v>167818</v>
      </c>
      <c r="L230" s="99">
        <f>IF(C230="IV",ROUND(J230*$R$3,0),0)</f>
        <v>0</v>
      </c>
      <c r="M230" s="99" t="n">
        <v>0</v>
      </c>
      <c r="N230" s="99" t="n">
        <v>0</v>
      </c>
      <c r="O230" s="99" t="n">
        <v>0</v>
      </c>
      <c r="P230" s="42">
        <f>I230-SUM(K230:O230)</f>
        <v>3188542</v>
      </c>
    </row>
    <row r="231" spans="1:16">
      <c r="A231" s="37" t="n">
        <v>235</v>
      </c>
      <c r="B231" s="97" t="s">
        <v>696</v>
      </c>
      <c r="C231" s="121" t="s">
        <v>283</v>
      </c>
      <c r="D231" s="121" t="s">
        <v>20</v>
      </c>
      <c r="E231" s="121" t="s">
        <v>21</v>
      </c>
      <c r="F231" s="98" t="n">
        <v>0</v>
      </c>
      <c r="G231" s="40" t="n">
        <v>0</v>
      </c>
      <c r="H231" s="121" t="s">
        <v>697</v>
      </c>
      <c r="I231" s="99" t="n">
        <v>2949368</v>
      </c>
      <c r="J231" s="99" t="n">
        <v>2949368</v>
      </c>
      <c r="K231" s="99">
        <f>IF(C231="III",ROUND(J231*$R$2,0),IF(C231="P3K/III",ROUND(J231*$R$2,0),0))</f>
        <v>0</v>
      </c>
      <c r="L231" s="99">
        <f>IF(C231="IV",ROUND(J231*$R$3,0),0)</f>
        <v>0</v>
      </c>
      <c r="M231" s="99" t="n">
        <v>0</v>
      </c>
      <c r="N231" s="99" t="n">
        <v>0</v>
      </c>
      <c r="O231" s="99" t="n">
        <v>0</v>
      </c>
      <c r="P231" s="42">
        <f>I231-SUM(K231:O231)</f>
        <v>2949368</v>
      </c>
    </row>
    <row r="232" spans="1:16">
      <c r="A232" s="37" t="n">
        <v>236</v>
      </c>
      <c r="B232" s="97" t="s">
        <v>698</v>
      </c>
      <c r="C232" s="121" t="s">
        <v>131</v>
      </c>
      <c r="D232" s="121" t="s">
        <v>20</v>
      </c>
      <c r="E232" s="121" t="s">
        <v>21</v>
      </c>
      <c r="F232" s="121" t="s">
        <v>699</v>
      </c>
      <c r="G232" s="40" t="n">
        <v>0</v>
      </c>
      <c r="H232" s="121" t="s">
        <v>700</v>
      </c>
      <c r="I232" s="99" t="n">
        <v>3320062</v>
      </c>
      <c r="J232" s="99" t="n">
        <v>3320062</v>
      </c>
      <c r="K232" s="99">
        <f>IF(C232="III",ROUND(J232*$R$2,0),IF(C232="P3K/III",ROUND(J232*$R$2,0),0))</f>
        <v>166003</v>
      </c>
      <c r="L232" s="99">
        <f>IF(C232="IV",ROUND(J232*$R$3,0),0)</f>
        <v>0</v>
      </c>
      <c r="M232" s="99" t="n">
        <v>0</v>
      </c>
      <c r="N232" s="99" t="n">
        <v>0</v>
      </c>
      <c r="O232" s="99" t="n">
        <v>0</v>
      </c>
      <c r="P232" s="42">
        <f>I232-SUM(K232:O232)</f>
        <v>3154059</v>
      </c>
    </row>
    <row r="233" spans="1:16">
      <c r="A233" s="37" t="n">
        <v>237</v>
      </c>
      <c r="B233" s="97" t="s">
        <v>701</v>
      </c>
      <c r="C233" s="121" t="s">
        <v>283</v>
      </c>
      <c r="D233" s="121" t="s">
        <v>20</v>
      </c>
      <c r="E233" s="121" t="s">
        <v>21</v>
      </c>
      <c r="F233" s="98" t="n">
        <v>0</v>
      </c>
      <c r="G233" s="40" t="n">
        <v>0</v>
      </c>
      <c r="H233" s="121" t="s">
        <v>702</v>
      </c>
      <c r="I233" s="99" t="n">
        <v>2949368</v>
      </c>
      <c r="J233" s="99" t="n">
        <v>2949368</v>
      </c>
      <c r="K233" s="99">
        <f>IF(C233="III",ROUND(J233*$R$2,0),IF(C233="P3K/III",ROUND(J233*$R$2,0),0))</f>
        <v>0</v>
      </c>
      <c r="L233" s="99">
        <f>IF(C233="IV",ROUND(J233*$R$3,0),0)</f>
        <v>0</v>
      </c>
      <c r="M233" s="99" t="n">
        <v>0</v>
      </c>
      <c r="N233" s="99" t="n">
        <v>0</v>
      </c>
      <c r="O233" s="99" t="n">
        <v>0</v>
      </c>
      <c r="P233" s="42">
        <f>I233-SUM(K233:O233)</f>
        <v>2949368</v>
      </c>
    </row>
    <row r="234" spans="1:16">
      <c r="A234" s="37" t="n">
        <v>238</v>
      </c>
      <c r="B234" s="97" t="s">
        <v>703</v>
      </c>
      <c r="C234" s="121" t="s">
        <v>283</v>
      </c>
      <c r="D234" s="121" t="s">
        <v>20</v>
      </c>
      <c r="E234" s="121" t="s">
        <v>21</v>
      </c>
      <c r="F234" s="98" t="n">
        <v>0</v>
      </c>
      <c r="G234" s="40" t="n">
        <v>0</v>
      </c>
      <c r="H234" s="121" t="s">
        <v>704</v>
      </c>
      <c r="I234" s="99" t="n">
        <v>2050708</v>
      </c>
      <c r="J234" s="99" t="n">
        <v>2050708</v>
      </c>
      <c r="K234" s="99">
        <f>IF(C234="III",ROUND(J234*$R$2,0),IF(C234="P3K/III",ROUND(J234*$R$2,0),0))</f>
        <v>0</v>
      </c>
      <c r="L234" s="99">
        <f>IF(C234="IV",ROUND(J234*$R$3,0),0)</f>
        <v>0</v>
      </c>
      <c r="M234" s="99" t="n">
        <v>0</v>
      </c>
      <c r="N234" s="99" t="n">
        <v>0</v>
      </c>
      <c r="O234" s="99" t="n">
        <v>0</v>
      </c>
      <c r="P234" s="42">
        <f>I234-SUM(K234:O234)</f>
        <v>2050708</v>
      </c>
    </row>
    <row r="235" spans="1:16">
      <c r="A235" s="37" t="n">
        <v>239</v>
      </c>
      <c r="B235" s="97" t="s">
        <v>705</v>
      </c>
      <c r="C235" s="121" t="s">
        <v>111</v>
      </c>
      <c r="D235" s="121" t="s">
        <v>20</v>
      </c>
      <c r="E235" s="121" t="s">
        <v>21</v>
      </c>
      <c r="F235" s="121" t="s">
        <v>706</v>
      </c>
      <c r="G235" s="122" t="s">
        <v>707</v>
      </c>
      <c r="H235" s="121" t="s">
        <v>708</v>
      </c>
      <c r="I235" s="99" t="n">
        <v>2509598</v>
      </c>
      <c r="J235" s="99" t="n">
        <v>2509598</v>
      </c>
      <c r="K235" s="99">
        <f>IF(C235="III",ROUND(J235*$R$2,0),IF(C235="P3K/III",ROUND(J235*$R$2,0),0))</f>
        <v>0</v>
      </c>
      <c r="L235" s="99">
        <f>IF(C235="IV",ROUND(J235*$R$3,0),0)</f>
        <v>0</v>
      </c>
      <c r="M235" s="99" t="n">
        <v>0</v>
      </c>
      <c r="N235" s="99" t="n">
        <v>0</v>
      </c>
      <c r="O235" s="99" t="n">
        <v>0</v>
      </c>
      <c r="P235" s="42">
        <f>I235-SUM(K235:O235)</f>
        <v>2509598</v>
      </c>
    </row>
    <row r="236" spans="1:16">
      <c r="A236" s="37" t="n">
        <v>240</v>
      </c>
      <c r="B236" s="97" t="s">
        <v>709</v>
      </c>
      <c r="C236" s="121" t="s">
        <v>111</v>
      </c>
      <c r="D236" s="121" t="s">
        <v>20</v>
      </c>
      <c r="E236" s="121" t="s">
        <v>21</v>
      </c>
      <c r="F236" s="121" t="s">
        <v>710</v>
      </c>
      <c r="G236" s="40" t="n">
        <v>0</v>
      </c>
      <c r="H236" s="121" t="s">
        <v>711</v>
      </c>
      <c r="I236" s="99" t="n">
        <v>2509598</v>
      </c>
      <c r="J236" s="99" t="n">
        <v>2509598</v>
      </c>
      <c r="K236" s="99">
        <f>IF(C236="III",ROUND(J236*$R$2,0),IF(C236="P3K/III",ROUND(J236*$R$2,0),0))</f>
        <v>0</v>
      </c>
      <c r="L236" s="99">
        <f>IF(C236="IV",ROUND(J236*$R$3,0),0)</f>
        <v>0</v>
      </c>
      <c r="M236" s="99" t="n">
        <v>0</v>
      </c>
      <c r="N236" s="99" t="n">
        <v>0</v>
      </c>
      <c r="O236" s="99" t="n">
        <v>0</v>
      </c>
      <c r="P236" s="42">
        <f>I236-SUM(K236:O236)</f>
        <v>2509598</v>
      </c>
    </row>
    <row r="237" spans="1:16">
      <c r="A237" s="37" t="n">
        <v>241</v>
      </c>
      <c r="B237" s="97" t="s">
        <v>712</v>
      </c>
      <c r="C237" s="121" t="s">
        <v>111</v>
      </c>
      <c r="D237" s="121" t="s">
        <v>20</v>
      </c>
      <c r="E237" s="121" t="s">
        <v>21</v>
      </c>
      <c r="F237" s="121" t="s">
        <v>713</v>
      </c>
      <c r="G237" s="122" t="s">
        <v>20</v>
      </c>
      <c r="H237" s="121" t="s">
        <v>714</v>
      </c>
      <c r="I237" s="99" t="n">
        <v>2222791</v>
      </c>
      <c r="J237" s="99" t="n">
        <v>2222791</v>
      </c>
      <c r="K237" s="99">
        <f>IF(C237="III",ROUND(J237*$R$2,0),IF(C237="P3K/III",ROUND(J237*$R$2,0),0))</f>
        <v>0</v>
      </c>
      <c r="L237" s="99">
        <f>IF(C237="IV",ROUND(J237*$R$3,0),0)</f>
        <v>0</v>
      </c>
      <c r="M237" s="99" t="n">
        <v>0</v>
      </c>
      <c r="N237" s="99" t="n">
        <v>0</v>
      </c>
      <c r="O237" s="99" t="n">
        <v>0</v>
      </c>
      <c r="P237" s="42">
        <f>I237-SUM(K237:O237)</f>
        <v>2222791</v>
      </c>
    </row>
    <row r="238" spans="1:16">
      <c r="A238" s="37" t="n">
        <v>242</v>
      </c>
      <c r="B238" s="97" t="s">
        <v>715</v>
      </c>
      <c r="C238" s="121" t="s">
        <v>283</v>
      </c>
      <c r="D238" s="121" t="s">
        <v>20</v>
      </c>
      <c r="E238" s="121" t="s">
        <v>21</v>
      </c>
      <c r="F238" s="98" t="n">
        <v>0</v>
      </c>
      <c r="G238" s="40" t="n">
        <v>0</v>
      </c>
      <c r="H238" s="121" t="s">
        <v>716</v>
      </c>
      <c r="I238" s="99" t="n">
        <v>2509598</v>
      </c>
      <c r="J238" s="99" t="n">
        <v>2509598</v>
      </c>
      <c r="K238" s="99">
        <f>IF(C238="III",ROUND(J238*$R$2,0),IF(C238="P3K/III",ROUND(J238*$R$2,0),0))</f>
        <v>0</v>
      </c>
      <c r="L238" s="99">
        <f>IF(C238="IV",ROUND(J238*$R$3,0),0)</f>
        <v>0</v>
      </c>
      <c r="M238" s="99" t="n">
        <v>0</v>
      </c>
      <c r="N238" s="99" t="n">
        <v>0</v>
      </c>
      <c r="O238" s="99" t="n">
        <v>0</v>
      </c>
      <c r="P238" s="42">
        <f>I238-SUM(K238:O238)</f>
        <v>2509598</v>
      </c>
    </row>
    <row r="239" spans="1:16">
      <c r="A239" s="37" t="n">
        <v>243</v>
      </c>
      <c r="B239" s="97" t="s">
        <v>717</v>
      </c>
      <c r="C239" s="121" t="s">
        <v>283</v>
      </c>
      <c r="D239" s="121" t="s">
        <v>20</v>
      </c>
      <c r="E239" s="121" t="s">
        <v>21</v>
      </c>
      <c r="F239" s="98" t="n">
        <v>0</v>
      </c>
      <c r="G239" s="40" t="n">
        <v>0</v>
      </c>
      <c r="H239" s="121" t="s">
        <v>718</v>
      </c>
      <c r="I239" s="99" t="n">
        <v>2050708</v>
      </c>
      <c r="J239" s="99" t="n">
        <v>2050708</v>
      </c>
      <c r="K239" s="99">
        <f>IF(C239="III",ROUND(J239*$R$2,0),IF(C239="P3K/III",ROUND(J239*$R$2,0),0))</f>
        <v>0</v>
      </c>
      <c r="L239" s="99">
        <f>IF(C239="IV",ROUND(J239*$R$3,0),0)</f>
        <v>0</v>
      </c>
      <c r="M239" s="99" t="n">
        <v>0</v>
      </c>
      <c r="N239" s="99" t="n">
        <v>0</v>
      </c>
      <c r="O239" s="99" t="n">
        <v>0</v>
      </c>
      <c r="P239" s="42">
        <f>I239-SUM(K239:O239)</f>
        <v>2050708</v>
      </c>
    </row>
    <row r="240" spans="1:16">
      <c r="A240" s="37" t="n">
        <v>244</v>
      </c>
      <c r="B240" s="97" t="s">
        <v>719</v>
      </c>
      <c r="C240" s="121" t="s">
        <v>111</v>
      </c>
      <c r="D240" s="121" t="s">
        <v>20</v>
      </c>
      <c r="E240" s="121" t="s">
        <v>21</v>
      </c>
      <c r="F240" s="121" t="s">
        <v>720</v>
      </c>
      <c r="G240" s="40" t="n">
        <v>0</v>
      </c>
      <c r="H240" s="121" t="s">
        <v>721</v>
      </c>
      <c r="I240" s="99" t="n">
        <v>2394875</v>
      </c>
      <c r="J240" s="99" t="n">
        <v>2394875</v>
      </c>
      <c r="K240" s="99">
        <f>IF(C240="III",ROUND(J240*$R$2,0),IF(C240="P3K/III",ROUND(J240*$R$2,0),0))</f>
        <v>0</v>
      </c>
      <c r="L240" s="99">
        <f>IF(C240="IV",ROUND(J240*$R$3,0),0)</f>
        <v>0</v>
      </c>
      <c r="M240" s="99" t="n">
        <v>0</v>
      </c>
      <c r="N240" s="99" t="n">
        <v>0</v>
      </c>
      <c r="O240" s="99" t="n">
        <v>0</v>
      </c>
      <c r="P240" s="42">
        <f>I240-SUM(K240:O240)</f>
        <v>2394875</v>
      </c>
    </row>
    <row r="241" spans="1:16">
      <c r="A241" s="37" t="n">
        <v>245</v>
      </c>
      <c r="B241" s="97" t="s">
        <v>722</v>
      </c>
      <c r="C241" s="121" t="s">
        <v>283</v>
      </c>
      <c r="D241" s="121" t="s">
        <v>20</v>
      </c>
      <c r="E241" s="121" t="s">
        <v>21</v>
      </c>
      <c r="F241" s="98" t="n">
        <v>0</v>
      </c>
      <c r="G241" s="40" t="n">
        <v>0</v>
      </c>
      <c r="H241" s="121" t="s">
        <v>723</v>
      </c>
      <c r="I241" s="99" t="n">
        <v>1959203</v>
      </c>
      <c r="J241" s="99" t="n">
        <v>1959203</v>
      </c>
      <c r="K241" s="99">
        <f>IF(C241="III",ROUND(J241*$R$2,0),IF(C241="P3K/III",ROUND(J241*$R$2,0),0))</f>
        <v>0</v>
      </c>
      <c r="L241" s="99">
        <f>IF(C241="IV",ROUND(J241*$R$3,0),0)</f>
        <v>0</v>
      </c>
      <c r="M241" s="99" t="n">
        <v>0</v>
      </c>
      <c r="N241" s="99" t="n">
        <v>0</v>
      </c>
      <c r="O241" s="99" t="n">
        <v>0</v>
      </c>
      <c r="P241" s="42">
        <f>I241-SUM(K241:O241)</f>
        <v>1959203</v>
      </c>
    </row>
    <row r="242" spans="1:16">
      <c r="A242" s="37" t="n">
        <v>246</v>
      </c>
      <c r="B242" s="97" t="s">
        <v>724</v>
      </c>
      <c r="C242" s="121" t="s">
        <v>131</v>
      </c>
      <c r="D242" s="121" t="s">
        <v>20</v>
      </c>
      <c r="E242" s="121" t="s">
        <v>21</v>
      </c>
      <c r="F242" s="121" t="s">
        <v>725</v>
      </c>
      <c r="G242" s="40" t="n">
        <v>0</v>
      </c>
      <c r="H242" s="121" t="s">
        <v>726</v>
      </c>
      <c r="I242" s="99" t="n">
        <v>2049920</v>
      </c>
      <c r="J242" s="99" t="n">
        <v>2049920</v>
      </c>
      <c r="K242" s="99">
        <f>IF(C242="III",ROUND(J242*$R$2,0),IF(C242="P3K/III",ROUND(J242*$R$2,0),0))</f>
        <v>102496</v>
      </c>
      <c r="L242" s="99">
        <f>IF(C242="IV",ROUND(J242*$R$3,0),0)</f>
        <v>0</v>
      </c>
      <c r="M242" s="99" t="n">
        <v>0</v>
      </c>
      <c r="N242" s="99" t="n">
        <v>0</v>
      </c>
      <c r="O242" s="99" t="n">
        <v>0</v>
      </c>
      <c r="P242" s="42">
        <f>I242-SUM(K242:O242)</f>
        <v>1947424</v>
      </c>
    </row>
    <row r="243" spans="1:16">
      <c r="A243" s="37" t="n">
        <v>247</v>
      </c>
      <c r="B243" s="97" t="s">
        <v>727</v>
      </c>
      <c r="C243" s="121" t="s">
        <v>95</v>
      </c>
      <c r="D243" s="121" t="s">
        <v>124</v>
      </c>
      <c r="E243" s="121" t="s">
        <v>15</v>
      </c>
      <c r="F243" s="98" t="n">
        <v>0</v>
      </c>
      <c r="G243" s="40" t="n">
        <v>0</v>
      </c>
      <c r="H243" s="121" t="s">
        <v>728</v>
      </c>
      <c r="I243" s="99" t="n">
        <v>1154779</v>
      </c>
      <c r="J243" s="99" t="n">
        <v>1154779</v>
      </c>
      <c r="K243" s="99">
        <f>IF(C243="III",ROUND(J243*$R$2,0),IF(C243="P3K/III",ROUND(J243*$R$2,0),0))</f>
        <v>0</v>
      </c>
      <c r="L243" s="99">
        <f>IF(C243="IV",ROUND(J243*$R$3,0),0)</f>
        <v>0</v>
      </c>
      <c r="M243" s="99" t="n">
        <v>0</v>
      </c>
      <c r="N243" s="99" t="n">
        <v>0</v>
      </c>
      <c r="O243" s="99" t="n">
        <v>0</v>
      </c>
      <c r="P243" s="42">
        <f>I243-SUM(K243:O243)</f>
        <v>1154779</v>
      </c>
    </row>
    <row r="244" spans="1:16">
      <c r="A244" s="37" t="n">
        <v>248</v>
      </c>
      <c r="B244" s="97" t="s">
        <v>729</v>
      </c>
      <c r="C244" s="121" t="s">
        <v>95</v>
      </c>
      <c r="D244" s="121" t="s">
        <v>124</v>
      </c>
      <c r="E244" s="121" t="s">
        <v>15</v>
      </c>
      <c r="F244" s="98" t="n">
        <v>0</v>
      </c>
      <c r="G244" s="122" t="s">
        <v>730</v>
      </c>
      <c r="H244" s="121" t="s">
        <v>731</v>
      </c>
      <c r="I244" s="99" t="n">
        <v>1154779</v>
      </c>
      <c r="J244" s="99" t="n">
        <v>1154779</v>
      </c>
      <c r="K244" s="99">
        <f>IF(C244="III",ROUND(J244*$R$2,0),IF(C244="P3K/III",ROUND(J244*$R$2,0),0))</f>
        <v>0</v>
      </c>
      <c r="L244" s="99">
        <f>IF(C244="IV",ROUND(J244*$R$3,0),0)</f>
        <v>0</v>
      </c>
      <c r="M244" s="99" t="n">
        <v>0</v>
      </c>
      <c r="N244" s="99" t="n">
        <v>0</v>
      </c>
      <c r="O244" s="99" t="n">
        <v>0</v>
      </c>
      <c r="P244" s="42">
        <f>I244-SUM(K244:O244)</f>
        <v>1154779</v>
      </c>
    </row>
    <row r="245" spans="1:16">
      <c r="A245" s="37" t="n">
        <v>249</v>
      </c>
      <c r="B245" s="97" t="s">
        <v>732</v>
      </c>
      <c r="C245" s="121" t="s">
        <v>95</v>
      </c>
      <c r="D245" s="121" t="s">
        <v>121</v>
      </c>
      <c r="E245" s="121" t="s">
        <v>14</v>
      </c>
      <c r="F245" s="98" t="n">
        <v>0</v>
      </c>
      <c r="G245" s="122" t="s">
        <v>733</v>
      </c>
      <c r="H245" s="121" t="s">
        <v>734</v>
      </c>
      <c r="I245" s="99" t="n">
        <v>1154779</v>
      </c>
      <c r="J245" s="99" t="n">
        <v>1154779</v>
      </c>
      <c r="K245" s="99">
        <f>IF(C245="III",ROUND(J245*$R$2,0),IF(C245="P3K/III",ROUND(J245*$R$2,0),0))</f>
        <v>0</v>
      </c>
      <c r="L245" s="99">
        <f>IF(C245="IV",ROUND(J245*$R$3,0),0)</f>
        <v>0</v>
      </c>
      <c r="M245" s="99" t="n">
        <v>0</v>
      </c>
      <c r="N245" s="99" t="n">
        <v>0</v>
      </c>
      <c r="O245" s="99" t="n">
        <v>0</v>
      </c>
      <c r="P245" s="42">
        <f>I245-SUM(K245:O245)</f>
        <v>1154779</v>
      </c>
    </row>
    <row r="246" spans="1:16">
      <c r="A246" s="37" t="n">
        <v>250</v>
      </c>
      <c r="B246" s="97" t="s">
        <v>735</v>
      </c>
      <c r="C246" s="121" t="s">
        <v>95</v>
      </c>
      <c r="D246" s="121" t="s">
        <v>121</v>
      </c>
      <c r="E246" s="121" t="s">
        <v>14</v>
      </c>
      <c r="F246" s="98" t="n">
        <v>0</v>
      </c>
      <c r="G246" s="122" t="s">
        <v>736</v>
      </c>
      <c r="H246" s="121" t="s">
        <v>737</v>
      </c>
      <c r="I246" s="99" t="n">
        <v>1372510</v>
      </c>
      <c r="J246" s="99" t="n">
        <v>1372510</v>
      </c>
      <c r="K246" s="99">
        <f>IF(C246="III",ROUND(J246*$R$2,0),IF(C246="P3K/III",ROUND(J246*$R$2,0),0))</f>
        <v>0</v>
      </c>
      <c r="L246" s="99">
        <f>IF(C246="IV",ROUND(J246*$R$3,0),0)</f>
        <v>0</v>
      </c>
      <c r="M246" s="99" t="n">
        <v>0</v>
      </c>
      <c r="N246" s="99" t="n">
        <v>0</v>
      </c>
      <c r="O246" s="99" t="n">
        <v>0</v>
      </c>
      <c r="P246" s="42">
        <f>I246-SUM(K246:O246)</f>
        <v>1372510</v>
      </c>
    </row>
    <row r="247" spans="1:16">
      <c r="A247" s="37" t="n">
        <v>251</v>
      </c>
      <c r="B247" s="97" t="s">
        <v>738</v>
      </c>
      <c r="C247" s="121" t="s">
        <v>111</v>
      </c>
      <c r="D247" s="121" t="s">
        <v>124</v>
      </c>
      <c r="E247" s="121" t="s">
        <v>15</v>
      </c>
      <c r="F247" s="98" t="n">
        <v>0</v>
      </c>
      <c r="G247" s="122" t="s">
        <v>739</v>
      </c>
      <c r="H247" s="121" t="s">
        <v>740</v>
      </c>
      <c r="I247" s="99" t="n">
        <v>2190616</v>
      </c>
      <c r="J247" s="99" t="n">
        <v>2190616</v>
      </c>
      <c r="K247" s="99">
        <f>IF(C247="III",ROUND(J247*$R$2,0),IF(C247="P3K/III",ROUND(J247*$R$2,0),0))</f>
        <v>0</v>
      </c>
      <c r="L247" s="99">
        <f>IF(C247="IV",ROUND(J247*$R$3,0),0)</f>
        <v>0</v>
      </c>
      <c r="M247" s="99" t="n">
        <v>0</v>
      </c>
      <c r="N247" s="99" t="n">
        <v>0</v>
      </c>
      <c r="O247" s="99" t="n">
        <v>0</v>
      </c>
      <c r="P247" s="42">
        <f>I247-SUM(K247:O247)</f>
        <v>2190616</v>
      </c>
    </row>
    <row r="248" spans="1:16">
      <c r="A248" s="37" t="n">
        <v>252</v>
      </c>
      <c r="B248" s="97" t="s">
        <v>741</v>
      </c>
      <c r="C248" s="121" t="s">
        <v>95</v>
      </c>
      <c r="D248" s="121" t="s">
        <v>121</v>
      </c>
      <c r="E248" s="121" t="s">
        <v>14</v>
      </c>
      <c r="F248" s="98" t="n">
        <v>0</v>
      </c>
      <c r="G248" s="40" t="n">
        <v>0</v>
      </c>
      <c r="H248" s="121" t="s">
        <v>742</v>
      </c>
      <c r="I248" s="99" t="n">
        <v>1154779</v>
      </c>
      <c r="J248" s="99" t="n">
        <v>1154779</v>
      </c>
      <c r="K248" s="99">
        <f>IF(C248="III",ROUND(J248*$R$2,0),IF(C248="P3K/III",ROUND(J248*$R$2,0),0))</f>
        <v>0</v>
      </c>
      <c r="L248" s="99">
        <f>IF(C248="IV",ROUND(J248*$R$3,0),0)</f>
        <v>0</v>
      </c>
      <c r="M248" s="99" t="n">
        <v>0</v>
      </c>
      <c r="N248" s="99" t="n">
        <v>0</v>
      </c>
      <c r="O248" s="99" t="n">
        <v>0</v>
      </c>
      <c r="P248" s="42">
        <f>I248-SUM(K248:O248)</f>
        <v>1154779</v>
      </c>
    </row>
    <row r="249" spans="1:16">
      <c r="A249" s="37" t="n">
        <v>253</v>
      </c>
      <c r="B249" s="97" t="s">
        <v>743</v>
      </c>
      <c r="C249" s="121" t="s">
        <v>95</v>
      </c>
      <c r="D249" s="121" t="s">
        <v>121</v>
      </c>
      <c r="E249" s="121" t="s">
        <v>14</v>
      </c>
      <c r="F249" s="98" t="n">
        <v>0</v>
      </c>
      <c r="G249" s="40" t="n">
        <v>0</v>
      </c>
      <c r="H249" s="121" t="s">
        <v>744</v>
      </c>
      <c r="I249" s="99" t="n">
        <v>1372510</v>
      </c>
      <c r="J249" s="99" t="n">
        <v>1372510</v>
      </c>
      <c r="K249" s="99">
        <f>IF(C249="III",ROUND(J249*$R$2,0),IF(C249="P3K/III",ROUND(J249*$R$2,0),0))</f>
        <v>0</v>
      </c>
      <c r="L249" s="99">
        <f>IF(C249="IV",ROUND(J249*$R$3,0),0)</f>
        <v>0</v>
      </c>
      <c r="M249" s="99" t="n">
        <v>0</v>
      </c>
      <c r="N249" s="99" t="n">
        <v>0</v>
      </c>
      <c r="O249" s="99" t="n">
        <v>0</v>
      </c>
      <c r="P249" s="42">
        <f>I249-SUM(K249:O249)</f>
        <v>1372510</v>
      </c>
    </row>
    <row r="250" spans="1:16">
      <c r="A250" s="37" t="n">
        <v>254</v>
      </c>
      <c r="B250" s="97" t="s">
        <v>745</v>
      </c>
      <c r="C250" s="121" t="s">
        <v>58</v>
      </c>
      <c r="D250" s="121" t="s">
        <v>124</v>
      </c>
      <c r="E250" s="121" t="s">
        <v>15</v>
      </c>
      <c r="F250" s="98" t="n">
        <v>0</v>
      </c>
      <c r="G250" s="40" t="n">
        <v>0</v>
      </c>
      <c r="H250" s="98" t="n">
        <v>1612039000</v>
      </c>
      <c r="I250" s="99" t="n">
        <v>1353390</v>
      </c>
      <c r="J250" s="99" t="n">
        <v>1353390</v>
      </c>
      <c r="K250" s="99">
        <f>IF(C250="III",ROUND(J250*$R$2,0),IF(C250="P3K/III",ROUND(J250*$R$2,0),0))</f>
        <v>67670</v>
      </c>
      <c r="L250" s="99">
        <f>IF(C250="IV",ROUND(J250*$R$3,0),0)</f>
        <v>0</v>
      </c>
      <c r="M250" s="99" t="n">
        <v>0</v>
      </c>
      <c r="N250" s="99" t="n">
        <v>0</v>
      </c>
      <c r="O250" s="99" t="n">
        <v>0</v>
      </c>
      <c r="P250" s="42">
        <f>I250-SUM(K250:O250)</f>
        <v>1285720</v>
      </c>
    </row>
    <row r="251" spans="1:16">
      <c r="A251" s="37" t="n">
        <v>255</v>
      </c>
      <c r="B251" s="97" t="s">
        <v>746</v>
      </c>
      <c r="C251" s="121" t="s">
        <v>58</v>
      </c>
      <c r="D251" s="121" t="s">
        <v>20</v>
      </c>
      <c r="E251" s="121" t="s">
        <v>21</v>
      </c>
      <c r="F251" s="121" t="s">
        <v>747</v>
      </c>
      <c r="G251" s="40" t="n">
        <v>0</v>
      </c>
      <c r="H251" s="121" t="s">
        <v>748</v>
      </c>
      <c r="I251" s="99" t="n">
        <v>3043672</v>
      </c>
      <c r="J251" s="99" t="n">
        <v>3043672</v>
      </c>
      <c r="K251" s="99">
        <f>IF(C251="III",ROUND(J251*$R$2,0),IF(C251="P3K/III",ROUND(J251*$R$2,0),0))</f>
        <v>152184</v>
      </c>
      <c r="L251" s="99">
        <f>IF(C251="IV",ROUND(J251*$R$3,0),0)</f>
        <v>0</v>
      </c>
      <c r="M251" s="99" t="n">
        <v>0</v>
      </c>
      <c r="N251" s="99" t="n">
        <v>0</v>
      </c>
      <c r="O251" s="99" t="n">
        <v>0</v>
      </c>
      <c r="P251" s="42">
        <f>I251-SUM(K251:O251)</f>
        <v>2891488</v>
      </c>
    </row>
    <row r="252" spans="1:16">
      <c r="A252" s="37" t="n">
        <v>256</v>
      </c>
      <c r="B252" s="97" t="s">
        <v>749</v>
      </c>
      <c r="C252" s="121" t="s">
        <v>58</v>
      </c>
      <c r="D252" s="121" t="s">
        <v>20</v>
      </c>
      <c r="E252" s="121" t="s">
        <v>21</v>
      </c>
      <c r="F252" s="121" t="s">
        <v>750</v>
      </c>
      <c r="G252" s="122" t="s">
        <v>751</v>
      </c>
      <c r="H252" s="121" t="s">
        <v>752</v>
      </c>
      <c r="I252" s="99" t="n">
        <v>4029023</v>
      </c>
      <c r="J252" s="99" t="n">
        <v>4029023</v>
      </c>
      <c r="K252" s="99">
        <f>IF(C252="III",ROUND(J252*$R$2,0),IF(C252="P3K/III",ROUND(J252*$R$2,0),0))</f>
        <v>201451</v>
      </c>
      <c r="L252" s="99">
        <f>IF(C252="IV",ROUND(J252*$R$3,0),0)</f>
        <v>0</v>
      </c>
      <c r="M252" s="99" t="n">
        <v>0</v>
      </c>
      <c r="N252" s="99" t="n">
        <v>0</v>
      </c>
      <c r="O252" s="99" t="n">
        <v>0</v>
      </c>
      <c r="P252" s="42">
        <f>I252-SUM(K252:O252)</f>
        <v>3827572</v>
      </c>
    </row>
    <row r="253" spans="1:16">
      <c r="A253" s="37" t="n">
        <v>257</v>
      </c>
      <c r="B253" s="97" t="s">
        <v>753</v>
      </c>
      <c r="C253" s="121" t="s">
        <v>58</v>
      </c>
      <c r="D253" s="121" t="s">
        <v>20</v>
      </c>
      <c r="E253" s="121" t="s">
        <v>21</v>
      </c>
      <c r="F253" s="121" t="s">
        <v>754</v>
      </c>
      <c r="G253" s="122" t="s">
        <v>755</v>
      </c>
      <c r="H253" s="121" t="s">
        <v>756</v>
      </c>
      <c r="I253" s="99" t="n">
        <v>3168332</v>
      </c>
      <c r="J253" s="99" t="n">
        <v>3168332</v>
      </c>
      <c r="K253" s="99">
        <f>IF(C253="III",ROUND(J253*$R$2,0),IF(C253="P3K/III",ROUND(J253*$R$2,0),0))</f>
        <v>158417</v>
      </c>
      <c r="L253" s="99">
        <f>IF(C253="IV",ROUND(J253*$R$3,0),0)</f>
        <v>0</v>
      </c>
      <c r="M253" s="99" t="n">
        <v>0</v>
      </c>
      <c r="N253" s="99" t="n">
        <v>0</v>
      </c>
      <c r="O253" s="99" t="n">
        <v>0</v>
      </c>
      <c r="P253" s="42">
        <f>I253-SUM(K253:O253)</f>
        <v>3009915</v>
      </c>
    </row>
    <row r="254" spans="1:16">
      <c r="A254" s="37" t="n">
        <v>258</v>
      </c>
      <c r="B254" s="97" t="s">
        <v>757</v>
      </c>
      <c r="C254" s="121" t="s">
        <v>131</v>
      </c>
      <c r="D254" s="121" t="s">
        <v>20</v>
      </c>
      <c r="E254" s="121" t="s">
        <v>21</v>
      </c>
      <c r="F254" s="121" t="s">
        <v>758</v>
      </c>
      <c r="G254" s="40" t="n">
        <v>0</v>
      </c>
      <c r="H254" s="121" t="s">
        <v>759</v>
      </c>
      <c r="I254" s="99" t="n">
        <v>3216711</v>
      </c>
      <c r="J254" s="99" t="n">
        <v>3216711</v>
      </c>
      <c r="K254" s="99">
        <f>IF(C254="III",ROUND(J254*$R$2,0),IF(C254="P3K/III",ROUND(J254*$R$2,0),0))</f>
        <v>160836</v>
      </c>
      <c r="L254" s="99">
        <f>IF(C254="IV",ROUND(J254*$R$3,0),0)</f>
        <v>0</v>
      </c>
      <c r="M254" s="99" t="n">
        <v>0</v>
      </c>
      <c r="N254" s="99" t="n">
        <v>0</v>
      </c>
      <c r="O254" s="99" t="n">
        <v>0</v>
      </c>
      <c r="P254" s="42">
        <f>I254-SUM(K254:O254)</f>
        <v>3055875</v>
      </c>
    </row>
    <row r="255" spans="1:16">
      <c r="A255" s="37" t="n">
        <v>259</v>
      </c>
      <c r="B255" s="97" t="s">
        <v>760</v>
      </c>
      <c r="C255" s="121" t="s">
        <v>283</v>
      </c>
      <c r="D255" s="121" t="s">
        <v>20</v>
      </c>
      <c r="E255" s="121" t="s">
        <v>21</v>
      </c>
      <c r="F255" s="98" t="n">
        <v>0</v>
      </c>
      <c r="G255" s="122" t="s">
        <v>761</v>
      </c>
      <c r="H255" s="121" t="s">
        <v>762</v>
      </c>
      <c r="I255" s="99" t="n">
        <v>3046486</v>
      </c>
      <c r="J255" s="99" t="n">
        <v>3046486</v>
      </c>
      <c r="K255" s="99">
        <f>IF(C255="III",ROUND(J255*$R$2,0),IF(C255="P3K/III",ROUND(J255*$R$2,0),0))</f>
        <v>0</v>
      </c>
      <c r="L255" s="99">
        <f>IF(C255="IV",ROUND(J255*$R$3,0),0)</f>
        <v>0</v>
      </c>
      <c r="M255" s="99" t="n">
        <v>0</v>
      </c>
      <c r="N255" s="99" t="n">
        <v>0</v>
      </c>
      <c r="O255" s="99" t="n">
        <v>0</v>
      </c>
      <c r="P255" s="42">
        <f>I255-SUM(K255:O255)</f>
        <v>3046486</v>
      </c>
    </row>
    <row r="256" spans="1:16">
      <c r="A256" s="37" t="n">
        <v>260</v>
      </c>
      <c r="B256" s="97" t="s">
        <v>763</v>
      </c>
      <c r="C256" s="121" t="s">
        <v>283</v>
      </c>
      <c r="D256" s="121" t="s">
        <v>20</v>
      </c>
      <c r="E256" s="121" t="s">
        <v>21</v>
      </c>
      <c r="F256" s="98" t="n">
        <v>0</v>
      </c>
      <c r="G256" s="122" t="s">
        <v>764</v>
      </c>
      <c r="H256" s="121" t="s">
        <v>765</v>
      </c>
      <c r="I256" s="99" t="n">
        <v>3046486</v>
      </c>
      <c r="J256" s="99" t="n">
        <v>3046486</v>
      </c>
      <c r="K256" s="99">
        <f>IF(C256="III",ROUND(J256*$R$2,0),IF(C256="P3K/III",ROUND(J256*$R$2,0),0))</f>
        <v>0</v>
      </c>
      <c r="L256" s="99">
        <f>IF(C256="IV",ROUND(J256*$R$3,0),0)</f>
        <v>0</v>
      </c>
      <c r="M256" s="99" t="n">
        <v>0</v>
      </c>
      <c r="N256" s="99" t="n">
        <v>0</v>
      </c>
      <c r="O256" s="99" t="n">
        <v>0</v>
      </c>
      <c r="P256" s="42">
        <f>I256-SUM(K256:O256)</f>
        <v>3046486</v>
      </c>
    </row>
    <row r="257" spans="1:16">
      <c r="A257" s="37" t="n">
        <v>261</v>
      </c>
      <c r="B257" s="97" t="s">
        <v>766</v>
      </c>
      <c r="C257" s="121" t="s">
        <v>58</v>
      </c>
      <c r="D257" s="121" t="s">
        <v>20</v>
      </c>
      <c r="E257" s="121" t="s">
        <v>21</v>
      </c>
      <c r="F257" s="121" t="s">
        <v>767</v>
      </c>
      <c r="G257" s="40" t="n">
        <v>0</v>
      </c>
      <c r="H257" s="121" t="s">
        <v>768</v>
      </c>
      <c r="I257" s="99" t="n">
        <v>2483011</v>
      </c>
      <c r="J257" s="99" t="n">
        <v>2483011</v>
      </c>
      <c r="K257" s="99">
        <f>IF(C257="III",ROUND(J257*$R$2,0),IF(C257="P3K/III",ROUND(J257*$R$2,0),0))</f>
        <v>124151</v>
      </c>
      <c r="L257" s="99">
        <f>IF(C257="IV",ROUND(J257*$R$3,0),0)</f>
        <v>0</v>
      </c>
      <c r="M257" s="99" t="n">
        <v>0</v>
      </c>
      <c r="N257" s="99" t="n">
        <v>0</v>
      </c>
      <c r="O257" s="99" t="n">
        <v>0</v>
      </c>
      <c r="P257" s="42">
        <f>I257-SUM(K257:O257)</f>
        <v>2358860</v>
      </c>
    </row>
    <row r="258" spans="1:16">
      <c r="A258" s="37" t="n">
        <v>262</v>
      </c>
      <c r="B258" s="97" t="s">
        <v>769</v>
      </c>
      <c r="C258" s="121" t="s">
        <v>283</v>
      </c>
      <c r="D258" s="121" t="s">
        <v>20</v>
      </c>
      <c r="E258" s="121" t="s">
        <v>21</v>
      </c>
      <c r="F258" s="98" t="n">
        <v>0</v>
      </c>
      <c r="G258" s="40" t="n">
        <v>0</v>
      </c>
      <c r="H258" s="121" t="s">
        <v>770</v>
      </c>
      <c r="I258" s="99" t="n">
        <v>2762177</v>
      </c>
      <c r="J258" s="99" t="n">
        <v>2762177</v>
      </c>
      <c r="K258" s="99">
        <f>IF(C258="III",ROUND(J258*$R$2,0),IF(C258="P3K/III",ROUND(J258*$R$2,0),0))</f>
        <v>0</v>
      </c>
      <c r="L258" s="99">
        <f>IF(C258="IV",ROUND(J258*$R$3,0),0)</f>
        <v>0</v>
      </c>
      <c r="M258" s="99" t="n">
        <v>0</v>
      </c>
      <c r="N258" s="99" t="n">
        <v>0</v>
      </c>
      <c r="O258" s="99" t="n">
        <v>0</v>
      </c>
      <c r="P258" s="42">
        <f>I258-SUM(K258:O258)</f>
        <v>2762177</v>
      </c>
    </row>
    <row r="259" spans="1:16">
      <c r="A259" s="37" t="n">
        <v>263</v>
      </c>
      <c r="B259" s="97" t="s">
        <v>771</v>
      </c>
      <c r="C259" s="121" t="s">
        <v>283</v>
      </c>
      <c r="D259" s="121" t="s">
        <v>20</v>
      </c>
      <c r="E259" s="121" t="s">
        <v>21</v>
      </c>
      <c r="F259" s="98" t="n">
        <v>0</v>
      </c>
      <c r="G259" s="40" t="n">
        <v>0</v>
      </c>
      <c r="H259" s="121" t="s">
        <v>772</v>
      </c>
      <c r="I259" s="99" t="n">
        <v>2559099</v>
      </c>
      <c r="J259" s="99" t="n">
        <v>2559099</v>
      </c>
      <c r="K259" s="99">
        <f>IF(C259="III",ROUND(J259*$R$2,0),IF(C259="P3K/III",ROUND(J259*$R$2,0),0))</f>
        <v>0</v>
      </c>
      <c r="L259" s="99">
        <f>IF(C259="IV",ROUND(J259*$R$3,0),0)</f>
        <v>0</v>
      </c>
      <c r="M259" s="99" t="n">
        <v>0</v>
      </c>
      <c r="N259" s="99" t="n">
        <v>0</v>
      </c>
      <c r="O259" s="99" t="n">
        <v>0</v>
      </c>
      <c r="P259" s="42">
        <f>I259-SUM(K259:O259)</f>
        <v>2559099</v>
      </c>
    </row>
    <row r="260" spans="1:16">
      <c r="A260" s="37" t="n">
        <v>264</v>
      </c>
      <c r="B260" s="97" t="s">
        <v>773</v>
      </c>
      <c r="C260" s="121" t="s">
        <v>283</v>
      </c>
      <c r="D260" s="121" t="s">
        <v>20</v>
      </c>
      <c r="E260" s="121" t="s">
        <v>21</v>
      </c>
      <c r="F260" s="98" t="n">
        <v>0</v>
      </c>
      <c r="G260" s="40" t="n">
        <v>0</v>
      </c>
      <c r="H260" s="121" t="s">
        <v>774</v>
      </c>
      <c r="I260" s="99" t="n">
        <v>2559099</v>
      </c>
      <c r="J260" s="99" t="n">
        <v>2559099</v>
      </c>
      <c r="K260" s="99">
        <f>IF(C260="III",ROUND(J260*$R$2,0),IF(C260="P3K/III",ROUND(J260*$R$2,0),0))</f>
        <v>0</v>
      </c>
      <c r="L260" s="99">
        <f>IF(C260="IV",ROUND(J260*$R$3,0),0)</f>
        <v>0</v>
      </c>
      <c r="M260" s="99" t="n">
        <v>0</v>
      </c>
      <c r="N260" s="99" t="n">
        <v>0</v>
      </c>
      <c r="O260" s="99" t="n">
        <v>0</v>
      </c>
      <c r="P260" s="42">
        <f>I260-SUM(K260:O260)</f>
        <v>2559099</v>
      </c>
    </row>
    <row r="261" spans="1:16">
      <c r="A261" s="37" t="n">
        <v>265</v>
      </c>
      <c r="B261" s="97" t="s">
        <v>775</v>
      </c>
      <c r="C261" s="121" t="s">
        <v>95</v>
      </c>
      <c r="D261" s="121" t="s">
        <v>124</v>
      </c>
      <c r="E261" s="121" t="s">
        <v>15</v>
      </c>
      <c r="F261" s="98" t="n">
        <v>0</v>
      </c>
      <c r="G261" s="40" t="n">
        <v>0</v>
      </c>
      <c r="H261" s="121" t="s">
        <v>776</v>
      </c>
      <c r="I261" s="99" t="n">
        <v>2356021</v>
      </c>
      <c r="J261" s="99" t="n">
        <v>2356021</v>
      </c>
      <c r="K261" s="99">
        <f>IF(C261="III",ROUND(J261*$R$2,0),IF(C261="P3K/III",ROUND(J261*$R$2,0),0))</f>
        <v>0</v>
      </c>
      <c r="L261" s="99">
        <f>IF(C261="IV",ROUND(J261*$R$3,0),0)</f>
        <v>0</v>
      </c>
      <c r="M261" s="99" t="n">
        <v>0</v>
      </c>
      <c r="N261" s="99" t="n">
        <v>0</v>
      </c>
      <c r="O261" s="99" t="n">
        <v>0</v>
      </c>
      <c r="P261" s="42">
        <f>I261-SUM(K261:O261)</f>
        <v>2356021</v>
      </c>
    </row>
    <row r="262" spans="1:16">
      <c r="A262" s="37" t="n">
        <v>266</v>
      </c>
      <c r="B262" s="97" t="s">
        <v>777</v>
      </c>
      <c r="C262" s="121" t="s">
        <v>283</v>
      </c>
      <c r="D262" s="121" t="s">
        <v>20</v>
      </c>
      <c r="E262" s="121" t="s">
        <v>21</v>
      </c>
      <c r="F262" s="98" t="n">
        <v>0</v>
      </c>
      <c r="G262" s="40" t="n">
        <v>0</v>
      </c>
      <c r="H262" s="121" t="s">
        <v>778</v>
      </c>
      <c r="I262" s="99" t="n">
        <v>2762177</v>
      </c>
      <c r="J262" s="99" t="n">
        <v>2762177</v>
      </c>
      <c r="K262" s="99">
        <f>IF(C262="III",ROUND(J262*$R$2,0),IF(C262="P3K/III",ROUND(J262*$R$2,0),0))</f>
        <v>0</v>
      </c>
      <c r="L262" s="99">
        <f>IF(C262="IV",ROUND(J262*$R$3,0),0)</f>
        <v>0</v>
      </c>
      <c r="M262" s="99" t="n">
        <v>0</v>
      </c>
      <c r="N262" s="99" t="n">
        <v>0</v>
      </c>
      <c r="O262" s="99" t="n">
        <v>0</v>
      </c>
      <c r="P262" s="42">
        <f>I262-SUM(K262:O262)</f>
        <v>2762177</v>
      </c>
    </row>
    <row r="263" spans="1:16">
      <c r="A263" s="37" t="n">
        <v>267</v>
      </c>
      <c r="B263" s="97" t="s">
        <v>779</v>
      </c>
      <c r="C263" s="121" t="s">
        <v>95</v>
      </c>
      <c r="D263" s="121" t="s">
        <v>137</v>
      </c>
      <c r="E263" s="121" t="s">
        <v>14</v>
      </c>
      <c r="F263" s="98" t="n">
        <v>0</v>
      </c>
      <c r="G263" s="40" t="n">
        <v>0</v>
      </c>
      <c r="H263" s="121" t="s">
        <v>780</v>
      </c>
      <c r="I263" s="99" t="n">
        <v>2356021</v>
      </c>
      <c r="J263" s="99" t="n">
        <v>2356021</v>
      </c>
      <c r="K263" s="99">
        <f>IF(C263="III",ROUND(J263*$R$2,0),IF(C263="P3K/III",ROUND(J263*$R$2,0),0))</f>
        <v>0</v>
      </c>
      <c r="L263" s="99">
        <f>IF(C263="IV",ROUND(J263*$R$3,0),0)</f>
        <v>0</v>
      </c>
      <c r="M263" s="99" t="n">
        <v>0</v>
      </c>
      <c r="N263" s="99" t="n">
        <v>0</v>
      </c>
      <c r="O263" s="99" t="n">
        <v>0</v>
      </c>
      <c r="P263" s="42">
        <f>I263-SUM(K263:O263)</f>
        <v>2356021</v>
      </c>
    </row>
    <row r="264" spans="1:16">
      <c r="A264" s="37" t="n">
        <v>268</v>
      </c>
      <c r="B264" s="97" t="s">
        <v>781</v>
      </c>
      <c r="C264" s="121" t="s">
        <v>95</v>
      </c>
      <c r="D264" s="121" t="s">
        <v>137</v>
      </c>
      <c r="E264" s="121" t="s">
        <v>14</v>
      </c>
      <c r="F264" s="98" t="n">
        <v>0</v>
      </c>
      <c r="G264" s="40" t="n">
        <v>0</v>
      </c>
      <c r="H264" s="121" t="s">
        <v>782</v>
      </c>
      <c r="I264" s="99" t="n">
        <v>1381247</v>
      </c>
      <c r="J264" s="99" t="n">
        <v>1381247</v>
      </c>
      <c r="K264" s="99">
        <f>IF(C264="III",ROUND(J264*$R$2,0),IF(C264="P3K/III",ROUND(J264*$R$2,0),0))</f>
        <v>0</v>
      </c>
      <c r="L264" s="99">
        <f>IF(C264="IV",ROUND(J264*$R$3,0),0)</f>
        <v>0</v>
      </c>
      <c r="M264" s="99" t="n">
        <v>0</v>
      </c>
      <c r="N264" s="99" t="n">
        <v>0</v>
      </c>
      <c r="O264" s="99" t="n">
        <v>0</v>
      </c>
      <c r="P264" s="42">
        <f>I264-SUM(K264:O264)</f>
        <v>1381247</v>
      </c>
    </row>
    <row r="265" spans="1:16">
      <c r="A265" s="37" t="n">
        <v>269</v>
      </c>
      <c r="B265" s="97" t="s">
        <v>783</v>
      </c>
      <c r="C265" s="121" t="s">
        <v>58</v>
      </c>
      <c r="D265" s="121" t="s">
        <v>20</v>
      </c>
      <c r="E265" s="121" t="s">
        <v>21</v>
      </c>
      <c r="F265" s="121" t="s">
        <v>784</v>
      </c>
      <c r="G265" s="40" t="n">
        <v>0</v>
      </c>
      <c r="H265" s="121" t="s">
        <v>785</v>
      </c>
      <c r="I265" s="99" t="n">
        <v>3912474</v>
      </c>
      <c r="J265" s="99" t="n">
        <v>3912474</v>
      </c>
      <c r="K265" s="99">
        <f>IF(C265="III",ROUND(J265*$R$2,0),IF(C265="P3K/III",ROUND(J265*$R$2,0),0))</f>
        <v>195624</v>
      </c>
      <c r="L265" s="99">
        <f>IF(C265="IV",ROUND(J265*$R$3,0),0)</f>
        <v>0</v>
      </c>
      <c r="M265" s="99" t="n">
        <v>0</v>
      </c>
      <c r="N265" s="99" t="n">
        <v>0</v>
      </c>
      <c r="O265" s="99" t="n">
        <v>0</v>
      </c>
      <c r="P265" s="42">
        <f>I265-SUM(K265:O265)</f>
        <v>3716850</v>
      </c>
    </row>
    <row r="266" spans="1:16">
      <c r="A266" s="37" t="n">
        <v>270</v>
      </c>
      <c r="B266" s="97" t="s">
        <v>786</v>
      </c>
      <c r="C266" s="121" t="s">
        <v>58</v>
      </c>
      <c r="D266" s="121" t="s">
        <v>20</v>
      </c>
      <c r="E266" s="121" t="s">
        <v>21</v>
      </c>
      <c r="F266" s="121" t="s">
        <v>787</v>
      </c>
      <c r="G266" s="40" t="n">
        <v>0</v>
      </c>
      <c r="H266" s="121" t="s">
        <v>788</v>
      </c>
      <c r="I266" s="99" t="n">
        <v>3246023</v>
      </c>
      <c r="J266" s="99" t="n">
        <v>3246023</v>
      </c>
      <c r="K266" s="99">
        <f>IF(C266="III",ROUND(J266*$R$2,0),IF(C266="P3K/III",ROUND(J266*$R$2,0),0))</f>
        <v>162301</v>
      </c>
      <c r="L266" s="99">
        <f>IF(C266="IV",ROUND(J266*$R$3,0),0)</f>
        <v>0</v>
      </c>
      <c r="M266" s="99" t="n">
        <v>0</v>
      </c>
      <c r="N266" s="99" t="n">
        <v>0</v>
      </c>
      <c r="O266" s="99" t="n">
        <v>0</v>
      </c>
      <c r="P266" s="42">
        <f>I266-SUM(K266:O266)</f>
        <v>3083722</v>
      </c>
    </row>
    <row r="267" spans="1:16">
      <c r="A267" s="37" t="n">
        <v>271</v>
      </c>
      <c r="B267" s="97" t="s">
        <v>789</v>
      </c>
      <c r="C267" s="121" t="s">
        <v>58</v>
      </c>
      <c r="D267" s="121" t="s">
        <v>20</v>
      </c>
      <c r="E267" s="121" t="s">
        <v>21</v>
      </c>
      <c r="F267" s="121" t="s">
        <v>790</v>
      </c>
      <c r="G267" s="122" t="s">
        <v>791</v>
      </c>
      <c r="H267" s="121" t="s">
        <v>792</v>
      </c>
      <c r="I267" s="99" t="n">
        <v>3246023</v>
      </c>
      <c r="J267" s="99" t="n">
        <v>3246023</v>
      </c>
      <c r="K267" s="99">
        <f>IF(C267="III",ROUND(J267*$R$2,0),IF(C267="P3K/III",ROUND(J267*$R$2,0),0))</f>
        <v>162301</v>
      </c>
      <c r="L267" s="99">
        <f>IF(C267="IV",ROUND(J267*$R$3,0),0)</f>
        <v>0</v>
      </c>
      <c r="M267" s="99" t="n">
        <v>0</v>
      </c>
      <c r="N267" s="99" t="n">
        <v>0</v>
      </c>
      <c r="O267" s="99" t="n">
        <v>0</v>
      </c>
      <c r="P267" s="42">
        <f>I267-SUM(K267:O267)</f>
        <v>3083722</v>
      </c>
    </row>
    <row r="268" spans="1:16">
      <c r="A268" s="37" t="n">
        <v>272</v>
      </c>
      <c r="B268" s="97" t="s">
        <v>793</v>
      </c>
      <c r="C268" s="121" t="s">
        <v>58</v>
      </c>
      <c r="D268" s="121" t="s">
        <v>20</v>
      </c>
      <c r="E268" s="121" t="s">
        <v>21</v>
      </c>
      <c r="F268" s="121" t="s">
        <v>794</v>
      </c>
      <c r="G268" s="122" t="s">
        <v>795</v>
      </c>
      <c r="H268" s="121" t="s">
        <v>796</v>
      </c>
      <c r="I268" s="99" t="n">
        <v>2930939</v>
      </c>
      <c r="J268" s="99" t="n">
        <v>2930939</v>
      </c>
      <c r="K268" s="99">
        <f>IF(C268="III",ROUND(J268*$R$2,0),IF(C268="P3K/III",ROUND(J268*$R$2,0),0))</f>
        <v>146547</v>
      </c>
      <c r="L268" s="99">
        <f>IF(C268="IV",ROUND(J268*$R$3,0),0)</f>
        <v>0</v>
      </c>
      <c r="M268" s="99" t="n">
        <v>0</v>
      </c>
      <c r="N268" s="99" t="n">
        <v>0</v>
      </c>
      <c r="O268" s="99" t="n">
        <v>0</v>
      </c>
      <c r="P268" s="42">
        <f>I268-SUM(K268:O268)</f>
        <v>2784392</v>
      </c>
    </row>
    <row r="269" spans="1:16">
      <c r="A269" s="37" t="n">
        <v>273</v>
      </c>
      <c r="B269" s="97" t="s">
        <v>797</v>
      </c>
      <c r="C269" s="121" t="s">
        <v>111</v>
      </c>
      <c r="D269" s="121" t="s">
        <v>20</v>
      </c>
      <c r="E269" s="121" t="s">
        <v>21</v>
      </c>
      <c r="F269" s="121" t="s">
        <v>798</v>
      </c>
      <c r="G269" s="122" t="s">
        <v>799</v>
      </c>
      <c r="H269" s="121" t="s">
        <v>800</v>
      </c>
      <c r="I269" s="99" t="n">
        <v>2882560</v>
      </c>
      <c r="J269" s="99" t="n">
        <v>2882560</v>
      </c>
      <c r="K269" s="99">
        <f>IF(C269="III",ROUND(J269*$R$2,0),IF(C269="P3K/III",ROUND(J269*$R$2,0),0))</f>
        <v>0</v>
      </c>
      <c r="L269" s="99">
        <f>IF(C269="IV",ROUND(J269*$R$3,0),0)</f>
        <v>0</v>
      </c>
      <c r="M269" s="99" t="n">
        <v>0</v>
      </c>
      <c r="N269" s="99" t="n">
        <v>0</v>
      </c>
      <c r="O269" s="99" t="n">
        <v>0</v>
      </c>
      <c r="P269" s="42">
        <f>I269-SUM(K269:O269)</f>
        <v>2882560</v>
      </c>
    </row>
    <row r="270" spans="1:16">
      <c r="A270" s="37" t="n">
        <v>274</v>
      </c>
      <c r="B270" s="97" t="s">
        <v>801</v>
      </c>
      <c r="C270" s="121" t="s">
        <v>120</v>
      </c>
      <c r="D270" s="121" t="s">
        <v>137</v>
      </c>
      <c r="E270" s="121" t="s">
        <v>14</v>
      </c>
      <c r="F270" s="98" t="n">
        <v>0</v>
      </c>
      <c r="G270" s="40" t="n">
        <v>0</v>
      </c>
      <c r="H270" s="121" t="s">
        <v>802</v>
      </c>
      <c r="I270" s="99" t="n">
        <v>2930939</v>
      </c>
      <c r="J270" s="99" t="n">
        <v>2930939</v>
      </c>
      <c r="K270" s="99">
        <f>IF(C270="III",ROUND(J270*$R$2,0),IF(C270="P3K/III",ROUND(J270*$R$2,0),0))</f>
        <v>0</v>
      </c>
      <c r="L270" s="99">
        <f>IF(C270="IV",ROUND(J270*$R$3,0),0)</f>
        <v>0</v>
      </c>
      <c r="M270" s="99" t="n">
        <v>0</v>
      </c>
      <c r="N270" s="99" t="n">
        <v>0</v>
      </c>
      <c r="O270" s="99" t="n">
        <v>0</v>
      </c>
      <c r="P270" s="42">
        <f>I270-SUM(K270:O270)</f>
        <v>2930939</v>
      </c>
    </row>
    <row r="271" spans="1:16">
      <c r="A271" s="37" t="n">
        <v>275</v>
      </c>
      <c r="B271" s="97" t="s">
        <v>803</v>
      </c>
      <c r="C271" s="121" t="s">
        <v>283</v>
      </c>
      <c r="D271" s="121" t="s">
        <v>20</v>
      </c>
      <c r="E271" s="121" t="s">
        <v>21</v>
      </c>
      <c r="F271" s="98" t="n">
        <v>0</v>
      </c>
      <c r="G271" s="40" t="n">
        <v>0</v>
      </c>
      <c r="H271" s="121" t="s">
        <v>804</v>
      </c>
      <c r="I271" s="99" t="n">
        <v>2882560</v>
      </c>
      <c r="J271" s="99" t="n">
        <v>2882560</v>
      </c>
      <c r="K271" s="99">
        <f>IF(C271="III",ROUND(J271*$R$2,0),IF(C271="P3K/III",ROUND(J271*$R$2,0),0))</f>
        <v>0</v>
      </c>
      <c r="L271" s="99">
        <f>IF(C271="IV",ROUND(J271*$R$3,0),0)</f>
        <v>0</v>
      </c>
      <c r="M271" s="99" t="n">
        <v>0</v>
      </c>
      <c r="N271" s="99" t="n">
        <v>0</v>
      </c>
      <c r="O271" s="99" t="n">
        <v>0</v>
      </c>
      <c r="P271" s="42">
        <f>I271-SUM(K271:O271)</f>
        <v>2882560</v>
      </c>
    </row>
    <row r="272" spans="1:16">
      <c r="A272" s="37" t="n">
        <v>276</v>
      </c>
      <c r="B272" s="97" t="s">
        <v>805</v>
      </c>
      <c r="C272" s="121" t="s">
        <v>120</v>
      </c>
      <c r="D272" s="121" t="s">
        <v>278</v>
      </c>
      <c r="E272" s="121" t="s">
        <v>16</v>
      </c>
      <c r="F272" s="98" t="n">
        <v>0</v>
      </c>
      <c r="G272" s="122" t="s">
        <v>806</v>
      </c>
      <c r="H272" s="121" t="s">
        <v>807</v>
      </c>
      <c r="I272" s="99" t="n">
        <v>2882560</v>
      </c>
      <c r="J272" s="99" t="n">
        <v>2882560</v>
      </c>
      <c r="K272" s="99">
        <f>IF(C272="III",ROUND(J272*$R$2,0),IF(C272="P3K/III",ROUND(J272*$R$2,0),0))</f>
        <v>0</v>
      </c>
      <c r="L272" s="99">
        <f>IF(C272="IV",ROUND(J272*$R$3,0),0)</f>
        <v>0</v>
      </c>
      <c r="M272" s="99" t="n">
        <v>0</v>
      </c>
      <c r="N272" s="99" t="n">
        <v>0</v>
      </c>
      <c r="O272" s="99" t="n">
        <v>0</v>
      </c>
      <c r="P272" s="42">
        <f>I272-SUM(K272:O272)</f>
        <v>2882560</v>
      </c>
    </row>
    <row r="273" spans="1:16">
      <c r="A273" s="37" t="n">
        <v>277</v>
      </c>
      <c r="B273" s="97" t="s">
        <v>808</v>
      </c>
      <c r="C273" s="121" t="s">
        <v>283</v>
      </c>
      <c r="D273" s="121" t="s">
        <v>20</v>
      </c>
      <c r="E273" s="121" t="s">
        <v>21</v>
      </c>
      <c r="F273" s="98" t="n">
        <v>0</v>
      </c>
      <c r="G273" s="122" t="s">
        <v>809</v>
      </c>
      <c r="H273" s="121" t="s">
        <v>810</v>
      </c>
      <c r="I273" s="99" t="n">
        <v>2882560</v>
      </c>
      <c r="J273" s="99" t="n">
        <v>2882560</v>
      </c>
      <c r="K273" s="99">
        <f>IF(C273="III",ROUND(J273*$R$2,0),IF(C273="P3K/III",ROUND(J273*$R$2,0),0))</f>
        <v>0</v>
      </c>
      <c r="L273" s="99">
        <f>IF(C273="IV",ROUND(J273*$R$3,0),0)</f>
        <v>0</v>
      </c>
      <c r="M273" s="99" t="n">
        <v>0</v>
      </c>
      <c r="N273" s="99" t="n">
        <v>0</v>
      </c>
      <c r="O273" s="99" t="n">
        <v>0</v>
      </c>
      <c r="P273" s="42">
        <f>I273-SUM(K273:O273)</f>
        <v>2882560</v>
      </c>
    </row>
    <row r="274" spans="1:16">
      <c r="A274" s="37" t="n">
        <v>278</v>
      </c>
      <c r="B274" s="97" t="s">
        <v>811</v>
      </c>
      <c r="C274" s="121" t="s">
        <v>120</v>
      </c>
      <c r="D274" s="121" t="s">
        <v>128</v>
      </c>
      <c r="E274" s="121" t="s">
        <v>15</v>
      </c>
      <c r="F274" s="98" t="n">
        <v>0</v>
      </c>
      <c r="G274" s="40" t="n">
        <v>0</v>
      </c>
      <c r="H274" s="121" t="s">
        <v>812</v>
      </c>
      <c r="I274" s="99" t="n">
        <v>2615855</v>
      </c>
      <c r="J274" s="99" t="n">
        <v>2615855</v>
      </c>
      <c r="K274" s="99">
        <f>IF(C274="III",ROUND(J274*$R$2,0),IF(C274="P3K/III",ROUND(J274*$R$2,0),0))</f>
        <v>0</v>
      </c>
      <c r="L274" s="99">
        <f>IF(C274="IV",ROUND(J274*$R$3,0),0)</f>
        <v>0</v>
      </c>
      <c r="M274" s="99" t="n">
        <v>0</v>
      </c>
      <c r="N274" s="99" t="n">
        <v>0</v>
      </c>
      <c r="O274" s="99" t="n">
        <v>0</v>
      </c>
      <c r="P274" s="42">
        <f>I274-SUM(K274:O274)</f>
        <v>2615855</v>
      </c>
    </row>
    <row r="275" spans="1:16">
      <c r="A275" s="37" t="n">
        <v>279</v>
      </c>
      <c r="B275" s="97" t="s">
        <v>813</v>
      </c>
      <c r="C275" s="121" t="s">
        <v>95</v>
      </c>
      <c r="D275" s="121" t="s">
        <v>137</v>
      </c>
      <c r="E275" s="121" t="s">
        <v>14</v>
      </c>
      <c r="F275" s="98" t="n">
        <v>0</v>
      </c>
      <c r="G275" s="40" t="n">
        <v>0</v>
      </c>
      <c r="H275" s="121" t="s">
        <v>814</v>
      </c>
      <c r="I275" s="99" t="n">
        <v>2930939</v>
      </c>
      <c r="J275" s="99" t="n">
        <v>2930939</v>
      </c>
      <c r="K275" s="99">
        <f>IF(C275="III",ROUND(J275*$R$2,0),IF(C275="P3K/III",ROUND(J275*$R$2,0),0))</f>
        <v>0</v>
      </c>
      <c r="L275" s="99">
        <f>IF(C275="IV",ROUND(J275*$R$3,0),0)</f>
        <v>0</v>
      </c>
      <c r="M275" s="99" t="n">
        <v>0</v>
      </c>
      <c r="N275" s="99" t="n">
        <v>0</v>
      </c>
      <c r="O275" s="99" t="n">
        <v>0</v>
      </c>
      <c r="P275" s="42">
        <f>I275-SUM(K275:O275)</f>
        <v>2930939</v>
      </c>
    </row>
    <row r="276" spans="1:16">
      <c r="A276" s="37" t="n">
        <v>280</v>
      </c>
      <c r="B276" s="97" t="s">
        <v>815</v>
      </c>
      <c r="C276" s="121" t="s">
        <v>95</v>
      </c>
      <c r="D276" s="121" t="s">
        <v>137</v>
      </c>
      <c r="E276" s="121" t="s">
        <v>14</v>
      </c>
      <c r="F276" s="98" t="n">
        <v>0</v>
      </c>
      <c r="G276" s="122" t="s">
        <v>816</v>
      </c>
      <c r="H276" s="121" t="s">
        <v>817</v>
      </c>
      <c r="I276" s="99" t="n">
        <v>2567476</v>
      </c>
      <c r="J276" s="99" t="n">
        <v>2567476</v>
      </c>
      <c r="K276" s="99">
        <f>IF(C276="III",ROUND(J276*$R$2,0),IF(C276="P3K/III",ROUND(J276*$R$2,0),0))</f>
        <v>0</v>
      </c>
      <c r="L276" s="99">
        <f>IF(C276="IV",ROUND(J276*$R$3,0),0)</f>
        <v>0</v>
      </c>
      <c r="M276" s="99" t="n">
        <v>0</v>
      </c>
      <c r="N276" s="99" t="n">
        <v>0</v>
      </c>
      <c r="O276" s="99" t="n">
        <v>0</v>
      </c>
      <c r="P276" s="42">
        <f>I276-SUM(K276:O276)</f>
        <v>2567476</v>
      </c>
    </row>
    <row r="277" spans="1:16">
      <c r="A277" s="37" t="n">
        <v>281</v>
      </c>
      <c r="B277" s="97" t="s">
        <v>818</v>
      </c>
      <c r="C277" s="121" t="s">
        <v>58</v>
      </c>
      <c r="D277" s="121" t="s">
        <v>20</v>
      </c>
      <c r="E277" s="121" t="s">
        <v>21</v>
      </c>
      <c r="F277" s="121" t="s">
        <v>819</v>
      </c>
      <c r="G277" s="40" t="n">
        <v>0</v>
      </c>
      <c r="H277" s="121" t="s">
        <v>820</v>
      </c>
      <c r="I277" s="99" t="n">
        <v>2615855</v>
      </c>
      <c r="J277" s="99" t="n">
        <v>2615855</v>
      </c>
      <c r="K277" s="99">
        <f>IF(C277="III",ROUND(J277*$R$2,0),IF(C277="P3K/III",ROUND(J277*$R$2,0),0))</f>
        <v>130793</v>
      </c>
      <c r="L277" s="99">
        <f>IF(C277="IV",ROUND(J277*$R$3,0),0)</f>
        <v>0</v>
      </c>
      <c r="M277" s="99" t="n">
        <v>0</v>
      </c>
      <c r="N277" s="99" t="n">
        <v>0</v>
      </c>
      <c r="O277" s="99" t="n">
        <v>0</v>
      </c>
      <c r="P277" s="42">
        <f>I277-SUM(K277:O277)</f>
        <v>2485062</v>
      </c>
    </row>
    <row r="278" spans="1:16">
      <c r="A278" s="37" t="n">
        <v>282</v>
      </c>
      <c r="B278" s="97" t="s">
        <v>821</v>
      </c>
      <c r="C278" s="121" t="s">
        <v>95</v>
      </c>
      <c r="D278" s="121" t="s">
        <v>124</v>
      </c>
      <c r="E278" s="121" t="s">
        <v>15</v>
      </c>
      <c r="F278" s="98" t="n">
        <v>0</v>
      </c>
      <c r="G278" s="40" t="n">
        <v>0</v>
      </c>
      <c r="H278" s="121" t="s">
        <v>822</v>
      </c>
      <c r="I278" s="99" t="n">
        <v>2882560</v>
      </c>
      <c r="J278" s="99" t="n">
        <v>2882560</v>
      </c>
      <c r="K278" s="99">
        <f>IF(C278="III",ROUND(J278*$R$2,0),IF(C278="P3K/III",ROUND(J278*$R$2,0),0))</f>
        <v>0</v>
      </c>
      <c r="L278" s="99">
        <f>IF(C278="IV",ROUND(J278*$R$3,0),0)</f>
        <v>0</v>
      </c>
      <c r="M278" s="99" t="n">
        <v>0</v>
      </c>
      <c r="N278" s="99" t="n">
        <v>0</v>
      </c>
      <c r="O278" s="99" t="n">
        <v>0</v>
      </c>
      <c r="P278" s="42">
        <f>I278-SUM(K278:O278)</f>
        <v>2882560</v>
      </c>
    </row>
    <row r="279" spans="1:16">
      <c r="A279" s="37" t="n">
        <v>283</v>
      </c>
      <c r="B279" s="97" t="s">
        <v>823</v>
      </c>
      <c r="C279" s="121" t="s">
        <v>95</v>
      </c>
      <c r="D279" s="121" t="s">
        <v>137</v>
      </c>
      <c r="E279" s="121" t="s">
        <v>14</v>
      </c>
      <c r="F279" s="98" t="n">
        <v>0</v>
      </c>
      <c r="G279" s="40" t="n">
        <v>0</v>
      </c>
      <c r="H279" s="121" t="s">
        <v>824</v>
      </c>
      <c r="I279" s="99" t="n">
        <v>2300771</v>
      </c>
      <c r="J279" s="99" t="n">
        <v>2300771</v>
      </c>
      <c r="K279" s="99">
        <f>IF(C279="III",ROUND(J279*$R$2,0),IF(C279="P3K/III",ROUND(J279*$R$2,0),0))</f>
        <v>0</v>
      </c>
      <c r="L279" s="99">
        <f>IF(C279="IV",ROUND(J279*$R$3,0),0)</f>
        <v>0</v>
      </c>
      <c r="M279" s="99" t="n">
        <v>0</v>
      </c>
      <c r="N279" s="99" t="n">
        <v>0</v>
      </c>
      <c r="O279" s="99" t="n">
        <v>0</v>
      </c>
      <c r="P279" s="42">
        <f>I279-SUM(K279:O279)</f>
        <v>2300771</v>
      </c>
    </row>
    <row r="280" spans="1:16">
      <c r="A280" s="37" t="n">
        <v>284</v>
      </c>
      <c r="B280" s="97" t="s">
        <v>825</v>
      </c>
      <c r="C280" s="121" t="s">
        <v>95</v>
      </c>
      <c r="D280" s="121" t="s">
        <v>121</v>
      </c>
      <c r="E280" s="121" t="s">
        <v>14</v>
      </c>
      <c r="F280" s="98" t="n">
        <v>0</v>
      </c>
      <c r="G280" s="40" t="n">
        <v>0</v>
      </c>
      <c r="H280" s="121" t="s">
        <v>826</v>
      </c>
      <c r="I280" s="99" t="n">
        <v>2252392</v>
      </c>
      <c r="J280" s="99" t="n">
        <v>2252392</v>
      </c>
      <c r="K280" s="99">
        <f>IF(C280="III",ROUND(J280*$R$2,0),IF(C280="P3K/III",ROUND(J280*$R$2,0),0))</f>
        <v>0</v>
      </c>
      <c r="L280" s="99">
        <f>IF(C280="IV",ROUND(J280*$R$3,0),0)</f>
        <v>0</v>
      </c>
      <c r="M280" s="99" t="n">
        <v>0</v>
      </c>
      <c r="N280" s="99" t="n">
        <v>0</v>
      </c>
      <c r="O280" s="99" t="n">
        <v>0</v>
      </c>
      <c r="P280" s="42">
        <f>I280-SUM(K280:O280)</f>
        <v>2252392</v>
      </c>
    </row>
    <row r="281" spans="1:16">
      <c r="A281" s="37" t="n">
        <v>285</v>
      </c>
      <c r="B281" s="97" t="s">
        <v>827</v>
      </c>
      <c r="C281" s="121" t="s">
        <v>95</v>
      </c>
      <c r="D281" s="121" t="s">
        <v>128</v>
      </c>
      <c r="E281" s="121" t="s">
        <v>15</v>
      </c>
      <c r="F281" s="98" t="n">
        <v>0</v>
      </c>
      <c r="G281" s="40" t="n">
        <v>0</v>
      </c>
      <c r="H281" s="121" t="s">
        <v>828</v>
      </c>
      <c r="I281" s="99" t="n">
        <v>992056</v>
      </c>
      <c r="J281" s="99" t="n">
        <v>992056</v>
      </c>
      <c r="K281" s="99">
        <f>IF(C281="III",ROUND(J281*$R$2,0),IF(C281="P3K/III",ROUND(J281*$R$2,0),0))</f>
        <v>0</v>
      </c>
      <c r="L281" s="99">
        <f>IF(C281="IV",ROUND(J281*$R$3,0),0)</f>
        <v>0</v>
      </c>
      <c r="M281" s="99" t="n">
        <v>0</v>
      </c>
      <c r="N281" s="99" t="n">
        <v>0</v>
      </c>
      <c r="O281" s="99" t="n">
        <v>0</v>
      </c>
      <c r="P281" s="42">
        <f>I281-SUM(K281:O281)</f>
        <v>992056</v>
      </c>
    </row>
    <row r="282" spans="1:16">
      <c r="A282" s="37" t="n">
        <v>286</v>
      </c>
      <c r="B282" s="97" t="s">
        <v>829</v>
      </c>
      <c r="C282" s="121" t="s">
        <v>95</v>
      </c>
      <c r="D282" s="121" t="s">
        <v>124</v>
      </c>
      <c r="E282" s="121" t="s">
        <v>15</v>
      </c>
      <c r="F282" s="98" t="n">
        <v>0</v>
      </c>
      <c r="G282" s="122" t="s">
        <v>830</v>
      </c>
      <c r="H282" s="121" t="s">
        <v>831</v>
      </c>
      <c r="I282" s="99" t="n">
        <v>992056</v>
      </c>
      <c r="J282" s="99" t="n">
        <v>992056</v>
      </c>
      <c r="K282" s="99">
        <f>IF(C282="III",ROUND(J282*$R$2,0),IF(C282="P3K/III",ROUND(J282*$R$2,0),0))</f>
        <v>0</v>
      </c>
      <c r="L282" s="99">
        <f>IF(C282="IV",ROUND(J282*$R$3,0),0)</f>
        <v>0</v>
      </c>
      <c r="M282" s="99" t="n">
        <v>0</v>
      </c>
      <c r="N282" s="99" t="n">
        <v>0</v>
      </c>
      <c r="O282" s="99" t="n">
        <v>0</v>
      </c>
      <c r="P282" s="42">
        <f>I282-SUM(K282:O282)</f>
        <v>992056</v>
      </c>
    </row>
    <row r="283" spans="1:16">
      <c r="A283" s="37" t="n">
        <v>287</v>
      </c>
      <c r="B283" s="97" t="s">
        <v>832</v>
      </c>
      <c r="C283" s="121" t="s">
        <v>120</v>
      </c>
      <c r="D283" s="121" t="s">
        <v>278</v>
      </c>
      <c r="E283" s="121" t="s">
        <v>16</v>
      </c>
      <c r="F283" s="98" t="n">
        <v>0</v>
      </c>
      <c r="G283" s="122" t="s">
        <v>833</v>
      </c>
      <c r="H283" s="121" t="s">
        <v>834</v>
      </c>
      <c r="I283" s="99" t="n">
        <v>2190616</v>
      </c>
      <c r="J283" s="99" t="n">
        <v>2190616</v>
      </c>
      <c r="K283" s="99">
        <f>IF(C283="III",ROUND(J283*$R$2,0),IF(C283="P3K/III",ROUND(J283*$R$2,0),0))</f>
        <v>0</v>
      </c>
      <c r="L283" s="99">
        <f>IF(C283="IV",ROUND(J283*$R$3,0),0)</f>
        <v>0</v>
      </c>
      <c r="M283" s="99" t="n">
        <v>0</v>
      </c>
      <c r="N283" s="99" t="n">
        <v>0</v>
      </c>
      <c r="O283" s="99" t="n">
        <v>0</v>
      </c>
      <c r="P283" s="42">
        <f>I283-SUM(K283:O283)</f>
        <v>2190616</v>
      </c>
    </row>
    <row r="284" spans="1:16">
      <c r="A284" s="37" t="n">
        <v>288</v>
      </c>
      <c r="B284" s="97" t="s">
        <v>835</v>
      </c>
      <c r="C284" s="121" t="s">
        <v>95</v>
      </c>
      <c r="D284" s="121" t="s">
        <v>137</v>
      </c>
      <c r="E284" s="121" t="s">
        <v>14</v>
      </c>
      <c r="F284" s="98" t="n">
        <v>0</v>
      </c>
      <c r="G284" s="122" t="s">
        <v>836</v>
      </c>
      <c r="H284" s="121" t="s">
        <v>837</v>
      </c>
      <c r="I284" s="99" t="n">
        <v>1445319</v>
      </c>
      <c r="J284" s="99" t="n">
        <v>1445319</v>
      </c>
      <c r="K284" s="99">
        <f>IF(C284="III",ROUND(J284*$R$2,0),IF(C284="P3K/III",ROUND(J284*$R$2,0),0))</f>
        <v>0</v>
      </c>
      <c r="L284" s="99">
        <f>IF(C284="IV",ROUND(J284*$R$3,0),0)</f>
        <v>0</v>
      </c>
      <c r="M284" s="99" t="n">
        <v>0</v>
      </c>
      <c r="N284" s="99" t="n">
        <v>0</v>
      </c>
      <c r="O284" s="99" t="n">
        <v>0</v>
      </c>
      <c r="P284" s="42">
        <f>I284-SUM(K284:O284)</f>
        <v>1445319</v>
      </c>
    </row>
    <row r="285" spans="1:16">
      <c r="A285" s="37" t="n">
        <v>289</v>
      </c>
      <c r="B285" s="97" t="s">
        <v>838</v>
      </c>
      <c r="C285" s="121" t="s">
        <v>95</v>
      </c>
      <c r="D285" s="121" t="s">
        <v>121</v>
      </c>
      <c r="E285" s="121" t="s">
        <v>14</v>
      </c>
      <c r="F285" s="98" t="n">
        <v>0</v>
      </c>
      <c r="G285" s="40" t="n">
        <v>0</v>
      </c>
      <c r="H285" s="121" t="s">
        <v>839</v>
      </c>
      <c r="I285" s="99" t="n">
        <v>992056</v>
      </c>
      <c r="J285" s="99" t="n">
        <v>992056</v>
      </c>
      <c r="K285" s="99">
        <f>IF(C285="III",ROUND(J285*$R$2,0),IF(C285="P3K/III",ROUND(J285*$R$2,0),0))</f>
        <v>0</v>
      </c>
      <c r="L285" s="99">
        <f>IF(C285="IV",ROUND(J285*$R$3,0),0)</f>
        <v>0</v>
      </c>
      <c r="M285" s="99" t="n">
        <v>0</v>
      </c>
      <c r="N285" s="99" t="n">
        <v>0</v>
      </c>
      <c r="O285" s="99" t="n">
        <v>0</v>
      </c>
      <c r="P285" s="42">
        <f>I285-SUM(K285:O285)</f>
        <v>992056</v>
      </c>
    </row>
    <row r="286" spans="1:16">
      <c r="A286" s="37" t="n">
        <v>290</v>
      </c>
      <c r="B286" s="97" t="s">
        <v>840</v>
      </c>
      <c r="C286" s="121" t="s">
        <v>58</v>
      </c>
      <c r="D286" s="121" t="s">
        <v>20</v>
      </c>
      <c r="E286" s="121" t="s">
        <v>21</v>
      </c>
      <c r="F286" s="121" t="s">
        <v>841</v>
      </c>
      <c r="G286" s="40" t="n">
        <v>0</v>
      </c>
      <c r="H286" s="121" t="s">
        <v>842</v>
      </c>
      <c r="I286" s="99" t="n">
        <v>3573497</v>
      </c>
      <c r="J286" s="99" t="n">
        <v>3573497</v>
      </c>
      <c r="K286" s="99">
        <f>IF(C286="III",ROUND(J286*$R$2,0),IF(C286="P3K/III",ROUND(J286*$R$2,0),0))</f>
        <v>178675</v>
      </c>
      <c r="L286" s="99">
        <f>IF(C286="IV",ROUND(J286*$R$3,0),0)</f>
        <v>0</v>
      </c>
      <c r="M286" s="99" t="n">
        <v>0</v>
      </c>
      <c r="N286" s="99" t="n">
        <v>0</v>
      </c>
      <c r="O286" s="99" t="n">
        <v>0</v>
      </c>
      <c r="P286" s="42">
        <f>I286-SUM(K286:O286)</f>
        <v>3394822</v>
      </c>
    </row>
    <row r="287" spans="1:16">
      <c r="A287" s="37" t="n">
        <v>291</v>
      </c>
      <c r="B287" s="97" t="s">
        <v>843</v>
      </c>
      <c r="C287" s="121" t="s">
        <v>58</v>
      </c>
      <c r="D287" s="121" t="s">
        <v>20</v>
      </c>
      <c r="E287" s="121" t="s">
        <v>21</v>
      </c>
      <c r="F287" s="121" t="s">
        <v>844</v>
      </c>
      <c r="G287" s="122" t="s">
        <v>845</v>
      </c>
      <c r="H287" s="121" t="s">
        <v>846</v>
      </c>
      <c r="I287" s="99" t="n">
        <v>2926460</v>
      </c>
      <c r="J287" s="99" t="n">
        <v>2926460</v>
      </c>
      <c r="K287" s="99">
        <f>IF(C287="III",ROUND(J287*$R$2,0),IF(C287="P3K/III",ROUND(J287*$R$2,0),0))</f>
        <v>146323</v>
      </c>
      <c r="L287" s="99">
        <f>IF(C287="IV",ROUND(J287*$R$3,0),0)</f>
        <v>0</v>
      </c>
      <c r="M287" s="99" t="n">
        <v>0</v>
      </c>
      <c r="N287" s="99" t="n">
        <v>0</v>
      </c>
      <c r="O287" s="99" t="n">
        <v>0</v>
      </c>
      <c r="P287" s="42">
        <f>I287-SUM(K287:O287)</f>
        <v>2780137</v>
      </c>
    </row>
    <row r="288" spans="1:16">
      <c r="A288" s="37" t="n">
        <v>292</v>
      </c>
      <c r="B288" s="97" t="s">
        <v>847</v>
      </c>
      <c r="C288" s="121" t="s">
        <v>58</v>
      </c>
      <c r="D288" s="121" t="s">
        <v>20</v>
      </c>
      <c r="E288" s="121" t="s">
        <v>21</v>
      </c>
      <c r="F288" s="121" t="s">
        <v>848</v>
      </c>
      <c r="G288" s="122" t="s">
        <v>849</v>
      </c>
      <c r="H288" s="121" t="s">
        <v>850</v>
      </c>
      <c r="I288" s="99" t="n">
        <v>2645274</v>
      </c>
      <c r="J288" s="99" t="n">
        <v>2645274</v>
      </c>
      <c r="K288" s="99">
        <f>IF(C288="III",ROUND(J288*$R$2,0),IF(C288="P3K/III",ROUND(J288*$R$2,0),0))</f>
        <v>132264</v>
      </c>
      <c r="L288" s="99">
        <f>IF(C288="IV",ROUND(J288*$R$3,0),0)</f>
        <v>0</v>
      </c>
      <c r="M288" s="99" t="n">
        <v>0</v>
      </c>
      <c r="N288" s="99" t="n">
        <v>0</v>
      </c>
      <c r="O288" s="99" t="n">
        <v>0</v>
      </c>
      <c r="P288" s="42">
        <f>I288-SUM(K288:O288)</f>
        <v>2513010</v>
      </c>
    </row>
    <row r="289" spans="1:16">
      <c r="A289" s="37" t="n">
        <v>293</v>
      </c>
      <c r="B289" s="97" t="s">
        <v>851</v>
      </c>
      <c r="C289" s="121" t="s">
        <v>283</v>
      </c>
      <c r="D289" s="121" t="s">
        <v>20</v>
      </c>
      <c r="E289" s="121" t="s">
        <v>21</v>
      </c>
      <c r="F289" s="98" t="n">
        <v>0</v>
      </c>
      <c r="G289" s="122" t="s">
        <v>852</v>
      </c>
      <c r="H289" s="121" t="s">
        <v>853</v>
      </c>
      <c r="I289" s="99" t="n">
        <v>2645274</v>
      </c>
      <c r="J289" s="99" t="n">
        <v>2645274</v>
      </c>
      <c r="K289" s="99">
        <f>IF(C289="III",ROUND(J289*$R$2,0),IF(C289="P3K/III",ROUND(J289*$R$2,0),0))</f>
        <v>0</v>
      </c>
      <c r="L289" s="99">
        <f>IF(C289="IV",ROUND(J289*$R$3,0),0)</f>
        <v>0</v>
      </c>
      <c r="M289" s="99" t="n">
        <v>0</v>
      </c>
      <c r="N289" s="99" t="n">
        <v>0</v>
      </c>
      <c r="O289" s="99" t="n">
        <v>0</v>
      </c>
      <c r="P289" s="42">
        <f>I289-SUM(K289:O289)</f>
        <v>2645274</v>
      </c>
    </row>
    <row r="290" spans="1:16">
      <c r="A290" s="37" t="n">
        <v>294</v>
      </c>
      <c r="B290" s="97" t="s">
        <v>854</v>
      </c>
      <c r="C290" s="121" t="s">
        <v>283</v>
      </c>
      <c r="D290" s="121" t="s">
        <v>20</v>
      </c>
      <c r="E290" s="121" t="s">
        <v>21</v>
      </c>
      <c r="F290" s="98" t="n">
        <v>0</v>
      </c>
      <c r="G290" s="122" t="s">
        <v>855</v>
      </c>
      <c r="H290" s="121" t="s">
        <v>856</v>
      </c>
      <c r="I290" s="99" t="n">
        <v>2645274</v>
      </c>
      <c r="J290" s="99" t="n">
        <v>2645274</v>
      </c>
      <c r="K290" s="99">
        <f>IF(C290="III",ROUND(J290*$R$2,0),IF(C290="P3K/III",ROUND(J290*$R$2,0),0))</f>
        <v>0</v>
      </c>
      <c r="L290" s="99">
        <f>IF(C290="IV",ROUND(J290*$R$3,0),0)</f>
        <v>0</v>
      </c>
      <c r="M290" s="99" t="n">
        <v>0</v>
      </c>
      <c r="N290" s="99" t="n">
        <v>0</v>
      </c>
      <c r="O290" s="99" t="n">
        <v>0</v>
      </c>
      <c r="P290" s="42">
        <f>I290-SUM(K290:O290)</f>
        <v>2645274</v>
      </c>
    </row>
    <row r="291" spans="1:16">
      <c r="A291" s="37" t="n">
        <v>295</v>
      </c>
      <c r="B291" s="97" t="s">
        <v>857</v>
      </c>
      <c r="C291" s="121" t="s">
        <v>120</v>
      </c>
      <c r="D291" s="121" t="s">
        <v>137</v>
      </c>
      <c r="E291" s="121" t="s">
        <v>14</v>
      </c>
      <c r="F291" s="98" t="n">
        <v>0</v>
      </c>
      <c r="G291" s="122" t="s">
        <v>858</v>
      </c>
      <c r="H291" s="121" t="s">
        <v>859</v>
      </c>
      <c r="I291" s="99" t="n">
        <v>2645274</v>
      </c>
      <c r="J291" s="99" t="n">
        <v>2645274</v>
      </c>
      <c r="K291" s="99">
        <f>IF(C291="III",ROUND(J291*$R$2,0),IF(C291="P3K/III",ROUND(J291*$R$2,0),0))</f>
        <v>0</v>
      </c>
      <c r="L291" s="99">
        <f>IF(C291="IV",ROUND(J291*$R$3,0),0)</f>
        <v>0</v>
      </c>
      <c r="M291" s="99" t="n">
        <v>0</v>
      </c>
      <c r="N291" s="99" t="n">
        <v>0</v>
      </c>
      <c r="O291" s="99" t="n">
        <v>0</v>
      </c>
      <c r="P291" s="42">
        <f>I291-SUM(K291:O291)</f>
        <v>2645274</v>
      </c>
    </row>
    <row r="292" spans="1:16">
      <c r="A292" s="37" t="n">
        <v>296</v>
      </c>
      <c r="B292" s="97" t="s">
        <v>860</v>
      </c>
      <c r="C292" s="121" t="s">
        <v>283</v>
      </c>
      <c r="D292" s="121" t="s">
        <v>20</v>
      </c>
      <c r="E292" s="121" t="s">
        <v>21</v>
      </c>
      <c r="F292" s="98" t="n">
        <v>0</v>
      </c>
      <c r="G292" s="40" t="n">
        <v>0</v>
      </c>
      <c r="H292" s="121" t="s">
        <v>861</v>
      </c>
      <c r="I292" s="99" t="n">
        <v>2082902</v>
      </c>
      <c r="J292" s="99" t="n">
        <v>2082902</v>
      </c>
      <c r="K292" s="99">
        <f>IF(C292="III",ROUND(J292*$R$2,0),IF(C292="P3K/III",ROUND(J292*$R$2,0),0))</f>
        <v>0</v>
      </c>
      <c r="L292" s="99">
        <f>IF(C292="IV",ROUND(J292*$R$3,0),0)</f>
        <v>0</v>
      </c>
      <c r="M292" s="99" t="n">
        <v>0</v>
      </c>
      <c r="N292" s="99" t="n">
        <v>0</v>
      </c>
      <c r="O292" s="99" t="n">
        <v>0</v>
      </c>
      <c r="P292" s="42">
        <f>I292-SUM(K292:O292)</f>
        <v>2082902</v>
      </c>
    </row>
    <row r="293" spans="1:16">
      <c r="A293" s="37" t="n">
        <v>297</v>
      </c>
      <c r="B293" s="97" t="s">
        <v>862</v>
      </c>
      <c r="C293" s="121" t="s">
        <v>283</v>
      </c>
      <c r="D293" s="121" t="s">
        <v>20</v>
      </c>
      <c r="E293" s="121" t="s">
        <v>21</v>
      </c>
      <c r="F293" s="98" t="n">
        <v>0</v>
      </c>
      <c r="G293" s="40" t="n">
        <v>0</v>
      </c>
      <c r="H293" s="121" t="s">
        <v>863</v>
      </c>
      <c r="I293" s="99" t="n">
        <v>2082902</v>
      </c>
      <c r="J293" s="99" t="n">
        <v>2082902</v>
      </c>
      <c r="K293" s="99">
        <f>IF(C293="III",ROUND(J293*$R$2,0),IF(C293="P3K/III",ROUND(J293*$R$2,0),0))</f>
        <v>0</v>
      </c>
      <c r="L293" s="99">
        <f>IF(C293="IV",ROUND(J293*$R$3,0),0)</f>
        <v>0</v>
      </c>
      <c r="M293" s="99" t="n">
        <v>0</v>
      </c>
      <c r="N293" s="99" t="n">
        <v>0</v>
      </c>
      <c r="O293" s="99" t="n">
        <v>0</v>
      </c>
      <c r="P293" s="42">
        <f>I293-SUM(K293:O293)</f>
        <v>2082902</v>
      </c>
    </row>
    <row r="294" spans="1:16">
      <c r="A294" s="37" t="n">
        <v>298</v>
      </c>
      <c r="B294" s="97" t="s">
        <v>864</v>
      </c>
      <c r="C294" s="121" t="s">
        <v>120</v>
      </c>
      <c r="D294" s="121" t="s">
        <v>278</v>
      </c>
      <c r="E294" s="121" t="s">
        <v>16</v>
      </c>
      <c r="F294" s="98" t="n">
        <v>0</v>
      </c>
      <c r="G294" s="40" t="n">
        <v>0</v>
      </c>
      <c r="H294" s="121" t="s">
        <v>865</v>
      </c>
      <c r="I294" s="99" t="n">
        <v>2429466</v>
      </c>
      <c r="J294" s="99" t="n">
        <v>2429466</v>
      </c>
      <c r="K294" s="99">
        <f>IF(C294="III",ROUND(J294*$R$2,0),IF(C294="P3K/III",ROUND(J294*$R$2,0),0))</f>
        <v>0</v>
      </c>
      <c r="L294" s="99">
        <f>IF(C294="IV",ROUND(J294*$R$3,0),0)</f>
        <v>0</v>
      </c>
      <c r="M294" s="99" t="n">
        <v>0</v>
      </c>
      <c r="N294" s="99" t="n">
        <v>0</v>
      </c>
      <c r="O294" s="99" t="n">
        <v>0</v>
      </c>
      <c r="P294" s="42">
        <f>I294-SUM(K294:O294)</f>
        <v>2429466</v>
      </c>
    </row>
    <row r="295" spans="1:16">
      <c r="A295" s="37" t="n">
        <v>299</v>
      </c>
      <c r="B295" s="97" t="s">
        <v>866</v>
      </c>
      <c r="C295" s="121" t="s">
        <v>283</v>
      </c>
      <c r="D295" s="121" t="s">
        <v>20</v>
      </c>
      <c r="E295" s="121" t="s">
        <v>21</v>
      </c>
      <c r="F295" s="98" t="n">
        <v>0</v>
      </c>
      <c r="G295" s="40" t="n">
        <v>0</v>
      </c>
      <c r="H295" s="121" t="s">
        <v>867</v>
      </c>
      <c r="I295" s="99" t="n">
        <v>2082902</v>
      </c>
      <c r="J295" s="99" t="n">
        <v>2082902</v>
      </c>
      <c r="K295" s="99">
        <f>IF(C295="III",ROUND(J295*$R$2,0),IF(C295="P3K/III",ROUND(J295*$R$2,0),0))</f>
        <v>0</v>
      </c>
      <c r="L295" s="99">
        <f>IF(C295="IV",ROUND(J295*$R$3,0),0)</f>
        <v>0</v>
      </c>
      <c r="M295" s="99" t="n">
        <v>0</v>
      </c>
      <c r="N295" s="99" t="n">
        <v>0</v>
      </c>
      <c r="O295" s="99" t="n">
        <v>0</v>
      </c>
      <c r="P295" s="42">
        <f>I295-SUM(K295:O295)</f>
        <v>2082902</v>
      </c>
    </row>
    <row r="296" spans="1:16">
      <c r="A296" s="37" t="n">
        <v>300</v>
      </c>
      <c r="B296" s="97" t="s">
        <v>868</v>
      </c>
      <c r="C296" s="121" t="s">
        <v>283</v>
      </c>
      <c r="D296" s="121" t="s">
        <v>20</v>
      </c>
      <c r="E296" s="121" t="s">
        <v>21</v>
      </c>
      <c r="F296" s="98" t="n">
        <v>0</v>
      </c>
      <c r="G296" s="40" t="n">
        <v>0</v>
      </c>
      <c r="H296" s="121" t="s">
        <v>869</v>
      </c>
      <c r="I296" s="99" t="n">
        <v>2082902</v>
      </c>
      <c r="J296" s="99" t="n">
        <v>2082902</v>
      </c>
      <c r="K296" s="99">
        <f>IF(C296="III",ROUND(J296*$R$2,0),IF(C296="P3K/III",ROUND(J296*$R$2,0),0))</f>
        <v>0</v>
      </c>
      <c r="L296" s="99">
        <f>IF(C296="IV",ROUND(J296*$R$3,0),0)</f>
        <v>0</v>
      </c>
      <c r="M296" s="99" t="n">
        <v>0</v>
      </c>
      <c r="N296" s="99" t="n">
        <v>0</v>
      </c>
      <c r="O296" s="99" t="n">
        <v>0</v>
      </c>
      <c r="P296" s="42">
        <f>I296-SUM(K296:O296)</f>
        <v>2082902</v>
      </c>
    </row>
    <row r="297" spans="1:16">
      <c r="A297" s="37" t="n">
        <v>301</v>
      </c>
      <c r="B297" s="97" t="s">
        <v>870</v>
      </c>
      <c r="C297" s="121" t="s">
        <v>131</v>
      </c>
      <c r="D297" s="121" t="s">
        <v>20</v>
      </c>
      <c r="E297" s="121" t="s">
        <v>21</v>
      </c>
      <c r="F297" s="121" t="s">
        <v>871</v>
      </c>
      <c r="G297" s="40" t="n">
        <v>0</v>
      </c>
      <c r="H297" s="121" t="s">
        <v>872</v>
      </c>
      <c r="I297" s="99" t="n">
        <v>1376009</v>
      </c>
      <c r="J297" s="99" t="n">
        <v>1376009</v>
      </c>
      <c r="K297" s="99">
        <f>IF(C297="III",ROUND(J297*$R$2,0),IF(C297="P3K/III",ROUND(J297*$R$2,0),0))</f>
        <v>68800</v>
      </c>
      <c r="L297" s="99">
        <f>IF(C297="IV",ROUND(J297*$R$3,0),0)</f>
        <v>0</v>
      </c>
      <c r="M297" s="99" t="n">
        <v>0</v>
      </c>
      <c r="N297" s="99" t="n">
        <v>0</v>
      </c>
      <c r="O297" s="99" t="n">
        <v>0</v>
      </c>
      <c r="P297" s="42">
        <f>I297-SUM(K297:O297)</f>
        <v>1307209</v>
      </c>
    </row>
    <row r="298" spans="1:16">
      <c r="A298" s="37" t="n">
        <v>302</v>
      </c>
      <c r="B298" s="97" t="s">
        <v>873</v>
      </c>
      <c r="C298" s="121" t="s">
        <v>95</v>
      </c>
      <c r="D298" s="121" t="s">
        <v>124</v>
      </c>
      <c r="E298" s="121" t="s">
        <v>15</v>
      </c>
      <c r="F298" s="98" t="n">
        <v>0</v>
      </c>
      <c r="G298" s="46" t="n">
        <v>0</v>
      </c>
      <c r="H298" s="121" t="s">
        <v>874</v>
      </c>
      <c r="I298" s="99" t="n">
        <v>1017853</v>
      </c>
      <c r="J298" s="99" t="n">
        <v>1017853</v>
      </c>
      <c r="K298" s="99">
        <f>IF(C298="III",ROUND(J298*$R$2,0),IF(C298="P3K/III",ROUND(J298*$R$2,0),0))</f>
        <v>0</v>
      </c>
      <c r="L298" s="99">
        <f>IF(C298="IV",ROUND(J298*$R$3,0),0)</f>
        <v>0</v>
      </c>
      <c r="M298" s="99" t="n">
        <v>0</v>
      </c>
      <c r="N298" s="99" t="n">
        <v>0</v>
      </c>
      <c r="O298" s="99" t="n">
        <v>0</v>
      </c>
      <c r="P298" s="42">
        <f>I298-SUM(K298:O298)</f>
        <v>1017853</v>
      </c>
    </row>
    <row r="299" spans="1:16">
      <c r="A299" s="37" t="n">
        <v>303</v>
      </c>
      <c r="B299" s="97" t="s">
        <v>875</v>
      </c>
      <c r="C299" s="121" t="s">
        <v>58</v>
      </c>
      <c r="D299" s="121" t="s">
        <v>20</v>
      </c>
      <c r="E299" s="121" t="s">
        <v>21</v>
      </c>
      <c r="F299" s="121" t="s">
        <v>876</v>
      </c>
      <c r="G299" s="40" t="n">
        <v>0</v>
      </c>
      <c r="H299" s="121" t="s">
        <v>877</v>
      </c>
      <c r="I299" s="99" t="n">
        <v>1400198</v>
      </c>
      <c r="J299" s="99" t="n">
        <v>1400198</v>
      </c>
      <c r="K299" s="99">
        <f>IF(C299="III",ROUND(J299*$R$2,0),IF(C299="P3K/III",ROUND(J299*$R$2,0),0))</f>
        <v>70010</v>
      </c>
      <c r="L299" s="99">
        <f>IF(C299="IV",ROUND(J299*$R$3,0),0)</f>
        <v>0</v>
      </c>
      <c r="M299" s="99" t="n">
        <v>0</v>
      </c>
      <c r="N299" s="99" t="n">
        <v>0</v>
      </c>
      <c r="O299" s="99" t="n">
        <v>0</v>
      </c>
      <c r="P299" s="42">
        <f>I299-SUM(K299:O299)</f>
        <v>1330188</v>
      </c>
    </row>
    <row r="300" spans="1:16">
      <c r="A300" s="37" t="n">
        <v>304</v>
      </c>
      <c r="B300" s="97" t="s">
        <v>878</v>
      </c>
      <c r="C300" s="121" t="s">
        <v>120</v>
      </c>
      <c r="D300" s="121" t="s">
        <v>124</v>
      </c>
      <c r="E300" s="121" t="s">
        <v>15</v>
      </c>
      <c r="F300" s="98" t="n">
        <v>0</v>
      </c>
      <c r="G300" s="122" t="s">
        <v>879</v>
      </c>
      <c r="H300" s="121" t="s">
        <v>880</v>
      </c>
      <c r="I300" s="99" t="n">
        <v>2252574</v>
      </c>
      <c r="J300" s="99" t="n">
        <v>2252574</v>
      </c>
      <c r="K300" s="99">
        <f>IF(C300="III",ROUND(J300*$R$2,0),IF(C300="P3K/III",ROUND(J300*$R$2,0),0))</f>
        <v>0</v>
      </c>
      <c r="L300" s="99">
        <f>IF(C300="IV",ROUND(J300*$R$3,0),0)</f>
        <v>0</v>
      </c>
      <c r="M300" s="99" t="n">
        <v>0</v>
      </c>
      <c r="N300" s="99" t="n">
        <v>0</v>
      </c>
      <c r="O300" s="99" t="n">
        <v>0</v>
      </c>
      <c r="P300" s="42">
        <f>I300-SUM(K300:O300)</f>
        <v>2252574</v>
      </c>
    </row>
    <row r="301" spans="1:16">
      <c r="A301" s="37" t="n">
        <v>305</v>
      </c>
      <c r="B301" s="97" t="s">
        <v>881</v>
      </c>
      <c r="C301" s="121" t="s">
        <v>95</v>
      </c>
      <c r="D301" s="121" t="s">
        <v>121</v>
      </c>
      <c r="E301" s="121" t="s">
        <v>14</v>
      </c>
      <c r="F301" s="98" t="n">
        <v>0</v>
      </c>
      <c r="G301" s="122" t="s">
        <v>882</v>
      </c>
      <c r="H301" s="121" t="s">
        <v>883</v>
      </c>
      <c r="I301" s="99" t="n">
        <v>1351819</v>
      </c>
      <c r="J301" s="99" t="n">
        <v>1351819</v>
      </c>
      <c r="K301" s="99">
        <f>IF(C301="III",ROUND(J301*$R$2,0),IF(C301="P3K/III",ROUND(J301*$R$2,0),0))</f>
        <v>0</v>
      </c>
      <c r="L301" s="99">
        <f>IF(C301="IV",ROUND(J301*$R$3,0),0)</f>
        <v>0</v>
      </c>
      <c r="M301" s="99" t="n">
        <v>0</v>
      </c>
      <c r="N301" s="99" t="n">
        <v>0</v>
      </c>
      <c r="O301" s="99" t="n">
        <v>0</v>
      </c>
      <c r="P301" s="42">
        <f>I301-SUM(K301:O301)</f>
        <v>1351819</v>
      </c>
    </row>
    <row r="302" spans="1:16">
      <c r="A302" s="37" t="n">
        <v>306</v>
      </c>
      <c r="B302" s="97" t="s">
        <v>884</v>
      </c>
      <c r="C302" s="121" t="s">
        <v>95</v>
      </c>
      <c r="D302" s="121" t="s">
        <v>121</v>
      </c>
      <c r="E302" s="121" t="s">
        <v>14</v>
      </c>
      <c r="F302" s="98" t="n">
        <v>0</v>
      </c>
      <c r="G302" s="122" t="s">
        <v>885</v>
      </c>
      <c r="H302" s="121" t="s">
        <v>886</v>
      </c>
      <c r="I302" s="99" t="n">
        <v>1374461</v>
      </c>
      <c r="J302" s="99" t="n">
        <v>1374461</v>
      </c>
      <c r="K302" s="99">
        <f>IF(C302="III",ROUND(J302*$R$2,0),IF(C302="P3K/III",ROUND(J302*$R$2,0),0))</f>
        <v>0</v>
      </c>
      <c r="L302" s="99">
        <f>IF(C302="IV",ROUND(J302*$R$3,0),0)</f>
        <v>0</v>
      </c>
      <c r="M302" s="99" t="n">
        <v>0</v>
      </c>
      <c r="N302" s="99" t="n">
        <v>0</v>
      </c>
      <c r="O302" s="99" t="n">
        <v>0</v>
      </c>
      <c r="P302" s="42">
        <f>I302-SUM(K302:O302)</f>
        <v>1374461</v>
      </c>
    </row>
    <row r="303" spans="1:16">
      <c r="A303" s="37" t="n">
        <v>307</v>
      </c>
      <c r="B303" s="97" t="s">
        <v>887</v>
      </c>
      <c r="C303" s="121" t="s">
        <v>95</v>
      </c>
      <c r="D303" s="121" t="s">
        <v>128</v>
      </c>
      <c r="E303" s="121" t="s">
        <v>15</v>
      </c>
      <c r="F303" s="98" t="n">
        <v>0</v>
      </c>
      <c r="G303" s="40" t="n">
        <v>0</v>
      </c>
      <c r="H303" s="121" t="s">
        <v>888</v>
      </c>
      <c r="I303" s="99" t="n">
        <v>1400198</v>
      </c>
      <c r="J303" s="99" t="n">
        <v>1400198</v>
      </c>
      <c r="K303" s="99">
        <f>IF(C303="III",ROUND(J303*$R$2,0),IF(C303="P3K/III",ROUND(J303*$R$2,0),0))</f>
        <v>0</v>
      </c>
      <c r="L303" s="99">
        <f>IF(C303="IV",ROUND(J303*$R$3,0),0)</f>
        <v>0</v>
      </c>
      <c r="M303" s="99" t="n">
        <v>0</v>
      </c>
      <c r="N303" s="99" t="n">
        <v>0</v>
      </c>
      <c r="O303" s="99" t="n">
        <v>0</v>
      </c>
      <c r="P303" s="42">
        <f>I303-SUM(K303:O303)</f>
        <v>1400198</v>
      </c>
    </row>
    <row r="304" spans="1:16">
      <c r="A304" s="37" t="n">
        <v>308</v>
      </c>
      <c r="B304" s="97" t="s">
        <v>889</v>
      </c>
      <c r="C304" s="121" t="s">
        <v>95</v>
      </c>
      <c r="D304" s="121" t="s">
        <v>128</v>
      </c>
      <c r="E304" s="121" t="s">
        <v>15</v>
      </c>
      <c r="F304" s="98" t="n">
        <v>0</v>
      </c>
      <c r="G304" s="40" t="n">
        <v>0</v>
      </c>
      <c r="H304" s="98" t="n">
        <v>1903024115</v>
      </c>
      <c r="I304" s="99" t="n">
        <v>1493698</v>
      </c>
      <c r="J304" s="99" t="n">
        <v>1493698</v>
      </c>
      <c r="K304" s="99">
        <f>IF(C304="III",ROUND(J304*$R$2,0),IF(C304="P3K/III",ROUND(J304*$R$2,0),0))</f>
        <v>0</v>
      </c>
      <c r="L304" s="99">
        <f>IF(C304="IV",ROUND(J304*$R$3,0),0)</f>
        <v>0</v>
      </c>
      <c r="M304" s="99" t="n">
        <v>0</v>
      </c>
      <c r="N304" s="99" t="n">
        <v>0</v>
      </c>
      <c r="O304" s="99" t="n">
        <v>0</v>
      </c>
      <c r="P304" s="42">
        <f>I304-SUM(K304:O304)</f>
        <v>1493698</v>
      </c>
    </row>
    <row r="305" spans="1:16">
      <c r="A305" s="37" t="n">
        <v>310</v>
      </c>
      <c r="B305" s="97" t="s">
        <v>890</v>
      </c>
      <c r="C305" s="121" t="s">
        <v>58</v>
      </c>
      <c r="D305" s="121" t="s">
        <v>20</v>
      </c>
      <c r="E305" s="121" t="s">
        <v>21</v>
      </c>
      <c r="F305" s="121" t="s">
        <v>891</v>
      </c>
      <c r="G305" s="122" t="s">
        <v>892</v>
      </c>
      <c r="H305" s="121" t="s">
        <v>893</v>
      </c>
      <c r="I305" s="99" t="n">
        <v>3749713</v>
      </c>
      <c r="J305" s="99" t="n">
        <v>3749713</v>
      </c>
      <c r="K305" s="99">
        <f>IF(C305="III",ROUND(J305*$R$2,0),IF(C305="P3K/III",ROUND(J305*$R$2,0),0))</f>
        <v>187486</v>
      </c>
      <c r="L305" s="99">
        <f>IF(C305="IV",ROUND(J305*$R$3,0),0)</f>
        <v>0</v>
      </c>
      <c r="M305" s="99" t="n">
        <v>0</v>
      </c>
      <c r="N305" s="99" t="n">
        <v>0</v>
      </c>
      <c r="O305" s="99" t="n">
        <v>0</v>
      </c>
      <c r="P305" s="42">
        <f>I305-SUM(K305:O305)</f>
        <v>3562227</v>
      </c>
    </row>
    <row r="306" spans="1:16">
      <c r="A306" s="37" t="n">
        <v>311</v>
      </c>
      <c r="B306" s="97" t="s">
        <v>894</v>
      </c>
      <c r="C306" s="121" t="s">
        <v>58</v>
      </c>
      <c r="D306" s="121" t="s">
        <v>20</v>
      </c>
      <c r="E306" s="121" t="s">
        <v>21</v>
      </c>
      <c r="F306" s="121" t="s">
        <v>895</v>
      </c>
      <c r="G306" s="40" t="n">
        <v>0</v>
      </c>
      <c r="H306" s="121" t="s">
        <v>896</v>
      </c>
      <c r="I306" s="99" t="n">
        <v>3856968</v>
      </c>
      <c r="J306" s="99" t="n">
        <v>3856968</v>
      </c>
      <c r="K306" s="99">
        <f>IF(C306="III",ROUND(J306*$R$2,0),IF(C306="P3K/III",ROUND(J306*$R$2,0),0))</f>
        <v>192848</v>
      </c>
      <c r="L306" s="99">
        <f>IF(C306="IV",ROUND(J306*$R$3,0),0)</f>
        <v>0</v>
      </c>
      <c r="M306" s="99" t="n">
        <v>0</v>
      </c>
      <c r="N306" s="99" t="n">
        <v>0</v>
      </c>
      <c r="O306" s="99" t="n">
        <v>0</v>
      </c>
      <c r="P306" s="42">
        <f>I306-SUM(K306:O306)</f>
        <v>3664120</v>
      </c>
    </row>
    <row r="307" spans="1:16">
      <c r="A307" s="37" t="n">
        <v>312</v>
      </c>
      <c r="B307" s="97" t="s">
        <v>897</v>
      </c>
      <c r="C307" s="121" t="s">
        <v>58</v>
      </c>
      <c r="D307" s="121" t="s">
        <v>20</v>
      </c>
      <c r="E307" s="121" t="s">
        <v>21</v>
      </c>
      <c r="F307" s="121" t="s">
        <v>898</v>
      </c>
      <c r="G307" s="122" t="s">
        <v>899</v>
      </c>
      <c r="H307" s="121" t="s">
        <v>900</v>
      </c>
      <c r="I307" s="99" t="n">
        <v>2910284</v>
      </c>
      <c r="J307" s="99" t="n">
        <v>2910284</v>
      </c>
      <c r="K307" s="99">
        <f>IF(C307="III",ROUND(J307*$R$2,0),IF(C307="P3K/III",ROUND(J307*$R$2,0),0))</f>
        <v>145514</v>
      </c>
      <c r="L307" s="99">
        <f>IF(C307="IV",ROUND(J307*$R$3,0),0)</f>
        <v>0</v>
      </c>
      <c r="M307" s="99" t="n">
        <v>0</v>
      </c>
      <c r="N307" s="99" t="n">
        <v>0</v>
      </c>
      <c r="O307" s="99" t="n">
        <v>0</v>
      </c>
      <c r="P307" s="42">
        <f>I307-SUM(K307:O307)</f>
        <v>2764770</v>
      </c>
    </row>
    <row r="308" spans="1:16">
      <c r="A308" s="37" t="n">
        <v>313</v>
      </c>
      <c r="B308" s="97" t="s">
        <v>901</v>
      </c>
      <c r="C308" s="121" t="s">
        <v>111</v>
      </c>
      <c r="D308" s="121" t="s">
        <v>20</v>
      </c>
      <c r="E308" s="121" t="s">
        <v>21</v>
      </c>
      <c r="F308" s="121" t="s">
        <v>902</v>
      </c>
      <c r="G308" s="40" t="n">
        <v>0</v>
      </c>
      <c r="H308" s="121" t="s">
        <v>903</v>
      </c>
      <c r="I308" s="99" t="n">
        <v>2429466</v>
      </c>
      <c r="J308" s="99" t="n">
        <v>2429466</v>
      </c>
      <c r="K308" s="99">
        <f>IF(C308="III",ROUND(J308*$R$2,0),IF(C308="P3K/III",ROUND(J308*$R$2,0),0))</f>
        <v>0</v>
      </c>
      <c r="L308" s="99">
        <f>IF(C308="IV",ROUND(J308*$R$3,0),0)</f>
        <v>0</v>
      </c>
      <c r="M308" s="99" t="n">
        <v>0</v>
      </c>
      <c r="N308" s="99" t="n">
        <v>0</v>
      </c>
      <c r="O308" s="99" t="n">
        <v>0</v>
      </c>
      <c r="P308" s="42">
        <f>I308-SUM(K308:O308)</f>
        <v>2429466</v>
      </c>
    </row>
    <row r="309" spans="1:16">
      <c r="A309" s="37" t="n">
        <v>314</v>
      </c>
      <c r="B309" s="97" t="s">
        <v>904</v>
      </c>
      <c r="C309" s="121" t="s">
        <v>283</v>
      </c>
      <c r="D309" s="121" t="s">
        <v>20</v>
      </c>
      <c r="E309" s="121" t="s">
        <v>21</v>
      </c>
      <c r="F309" s="98" t="n">
        <v>0</v>
      </c>
      <c r="G309" s="40" t="n">
        <v>0</v>
      </c>
      <c r="H309" s="121" t="s">
        <v>905</v>
      </c>
      <c r="I309" s="99" t="n">
        <v>2788583</v>
      </c>
      <c r="J309" s="99" t="n">
        <v>2788583</v>
      </c>
      <c r="K309" s="99">
        <f>IF(C309="III",ROUND(J309*$R$2,0),IF(C309="P3K/III",ROUND(J309*$R$2,0),0))</f>
        <v>0</v>
      </c>
      <c r="L309" s="99">
        <f>IF(C309="IV",ROUND(J309*$R$3,0),0)</f>
        <v>0</v>
      </c>
      <c r="M309" s="99" t="n">
        <v>0</v>
      </c>
      <c r="N309" s="99" t="n">
        <v>0</v>
      </c>
      <c r="O309" s="99" t="n">
        <v>0</v>
      </c>
      <c r="P309" s="42">
        <f>I309-SUM(K309:O309)</f>
        <v>2788583</v>
      </c>
    </row>
    <row r="310" spans="1:16">
      <c r="A310" s="37" t="n">
        <v>315</v>
      </c>
      <c r="B310" s="97" t="s">
        <v>906</v>
      </c>
      <c r="C310" s="121" t="s">
        <v>283</v>
      </c>
      <c r="D310" s="121" t="s">
        <v>20</v>
      </c>
      <c r="E310" s="121" t="s">
        <v>21</v>
      </c>
      <c r="F310" s="98" t="n">
        <v>0</v>
      </c>
      <c r="G310" s="40" t="n">
        <v>0</v>
      </c>
      <c r="H310" s="121" t="s">
        <v>907</v>
      </c>
      <c r="I310" s="99" t="n">
        <v>3092834</v>
      </c>
      <c r="J310" s="99" t="n">
        <v>3092834</v>
      </c>
      <c r="K310" s="99">
        <f>IF(C310="III",ROUND(J310*$R$2,0),IF(C310="P3K/III",ROUND(J310*$R$2,0),0))</f>
        <v>0</v>
      </c>
      <c r="L310" s="99">
        <f>IF(C310="IV",ROUND(J310*$R$3,0),0)</f>
        <v>0</v>
      </c>
      <c r="M310" s="99" t="n">
        <v>0</v>
      </c>
      <c r="N310" s="99" t="n">
        <v>0</v>
      </c>
      <c r="O310" s="99" t="n">
        <v>0</v>
      </c>
      <c r="P310" s="42">
        <f>I310-SUM(K310:O310)</f>
        <v>3092834</v>
      </c>
    </row>
    <row r="311" spans="1:16">
      <c r="A311" s="37" t="n">
        <v>316</v>
      </c>
      <c r="B311" s="97" t="s">
        <v>908</v>
      </c>
      <c r="C311" s="121" t="s">
        <v>283</v>
      </c>
      <c r="D311" s="121" t="s">
        <v>20</v>
      </c>
      <c r="E311" s="121" t="s">
        <v>21</v>
      </c>
      <c r="F311" s="98" t="n">
        <v>0</v>
      </c>
      <c r="G311" s="122" t="s">
        <v>909</v>
      </c>
      <c r="H311" s="121" t="s">
        <v>910</v>
      </c>
      <c r="I311" s="99" t="n">
        <v>2788583</v>
      </c>
      <c r="J311" s="99" t="n">
        <v>2788583</v>
      </c>
      <c r="K311" s="99">
        <f>IF(C311="III",ROUND(J311*$R$2,0),IF(C311="P3K/III",ROUND(J311*$R$2,0),0))</f>
        <v>0</v>
      </c>
      <c r="L311" s="99">
        <f>IF(C311="IV",ROUND(J311*$R$3,0),0)</f>
        <v>0</v>
      </c>
      <c r="M311" s="99" t="n">
        <v>0</v>
      </c>
      <c r="N311" s="99" t="n">
        <v>0</v>
      </c>
      <c r="O311" s="99" t="n">
        <v>0</v>
      </c>
      <c r="P311" s="42">
        <f>I311-SUM(K311:O311)</f>
        <v>2788583</v>
      </c>
    </row>
    <row r="312" spans="1:16">
      <c r="A312" s="37" t="n">
        <v>317</v>
      </c>
      <c r="B312" s="97" t="s">
        <v>911</v>
      </c>
      <c r="C312" s="121" t="s">
        <v>283</v>
      </c>
      <c r="D312" s="121" t="s">
        <v>20</v>
      </c>
      <c r="E312" s="121" t="s">
        <v>21</v>
      </c>
      <c r="F312" s="98" t="n">
        <v>0</v>
      </c>
      <c r="G312" s="40" t="n">
        <v>0</v>
      </c>
      <c r="H312" s="121" t="s">
        <v>912</v>
      </c>
      <c r="I312" s="99" t="n">
        <v>2429466</v>
      </c>
      <c r="J312" s="99" t="n">
        <v>2429466</v>
      </c>
      <c r="K312" s="99">
        <f>IF(C312="III",ROUND(J312*$R$2,0),IF(C312="P3K/III",ROUND(J312*$R$2,0),0))</f>
        <v>0</v>
      </c>
      <c r="L312" s="99">
        <f>IF(C312="IV",ROUND(J312*$R$3,0),0)</f>
        <v>0</v>
      </c>
      <c r="M312" s="99" t="n">
        <v>0</v>
      </c>
      <c r="N312" s="99" t="n">
        <v>0</v>
      </c>
      <c r="O312" s="99" t="n">
        <v>0</v>
      </c>
      <c r="P312" s="42">
        <f>I312-SUM(K312:O312)</f>
        <v>2429466</v>
      </c>
    </row>
    <row r="313" spans="1:16">
      <c r="A313" s="37" t="n">
        <v>318</v>
      </c>
      <c r="B313" s="97" t="s">
        <v>913</v>
      </c>
      <c r="C313" s="121" t="s">
        <v>111</v>
      </c>
      <c r="D313" s="121" t="s">
        <v>20</v>
      </c>
      <c r="E313" s="121" t="s">
        <v>21</v>
      </c>
      <c r="F313" s="121" t="s">
        <v>914</v>
      </c>
      <c r="G313" s="40" t="n">
        <v>0</v>
      </c>
      <c r="H313" s="121" t="s">
        <v>915</v>
      </c>
      <c r="I313" s="99" t="n">
        <v>2606033</v>
      </c>
      <c r="J313" s="99" t="n">
        <v>2606033</v>
      </c>
      <c r="K313" s="99">
        <f>IF(C313="III",ROUND(J313*$R$2,0),IF(C313="P3K/III",ROUND(J313*$R$2,0),0))</f>
        <v>0</v>
      </c>
      <c r="L313" s="99">
        <f>IF(C313="IV",ROUND(J313*$R$3,0),0)</f>
        <v>0</v>
      </c>
      <c r="M313" s="99" t="n">
        <v>0</v>
      </c>
      <c r="N313" s="99" t="n">
        <v>0</v>
      </c>
      <c r="O313" s="99" t="n">
        <v>0</v>
      </c>
      <c r="P313" s="42">
        <f>I313-SUM(K313:O313)</f>
        <v>2606033</v>
      </c>
    </row>
    <row r="314" spans="1:16">
      <c r="A314" s="37" t="n">
        <v>319</v>
      </c>
      <c r="B314" s="97" t="s">
        <v>916</v>
      </c>
      <c r="C314" s="121" t="s">
        <v>111</v>
      </c>
      <c r="D314" s="121" t="s">
        <v>20</v>
      </c>
      <c r="E314" s="121" t="s">
        <v>21</v>
      </c>
      <c r="F314" s="121" t="s">
        <v>917</v>
      </c>
      <c r="G314" s="40" t="n">
        <v>0</v>
      </c>
      <c r="H314" s="121" t="s">
        <v>918</v>
      </c>
      <c r="I314" s="99" t="n">
        <v>2050044</v>
      </c>
      <c r="J314" s="99" t="n">
        <v>2050044</v>
      </c>
      <c r="K314" s="99">
        <f>IF(C314="III",ROUND(J314*$R$2,0),IF(C314="P3K/III",ROUND(J314*$R$2,0),0))</f>
        <v>0</v>
      </c>
      <c r="L314" s="99">
        <f>IF(C314="IV",ROUND(J314*$R$3,0),0)</f>
        <v>0</v>
      </c>
      <c r="M314" s="99" t="n">
        <v>0</v>
      </c>
      <c r="N314" s="99" t="n">
        <v>0</v>
      </c>
      <c r="O314" s="99" t="n">
        <v>0</v>
      </c>
      <c r="P314" s="42">
        <f>I314-SUM(K314:O314)</f>
        <v>2050044</v>
      </c>
    </row>
    <row r="315" spans="1:16">
      <c r="A315" s="37" t="n">
        <v>320</v>
      </c>
      <c r="B315" s="97" t="s">
        <v>919</v>
      </c>
      <c r="C315" s="121" t="s">
        <v>131</v>
      </c>
      <c r="D315" s="121" t="s">
        <v>20</v>
      </c>
      <c r="E315" s="121" t="s">
        <v>21</v>
      </c>
      <c r="F315" s="121" t="s">
        <v>920</v>
      </c>
      <c r="G315" s="40" t="n">
        <v>0</v>
      </c>
      <c r="H315" s="121" t="s">
        <v>921</v>
      </c>
      <c r="I315" s="99" t="n">
        <v>2477845</v>
      </c>
      <c r="J315" s="99" t="n">
        <v>2477845</v>
      </c>
      <c r="K315" s="99">
        <f>IF(C315="III",ROUND(J315*$R$2,0),IF(C315="P3K/III",ROUND(J315*$R$2,0),0))</f>
        <v>123892</v>
      </c>
      <c r="L315" s="99">
        <f>IF(C315="IV",ROUND(J315*$R$3,0),0)</f>
        <v>0</v>
      </c>
      <c r="M315" s="99" t="n">
        <v>0</v>
      </c>
      <c r="N315" s="99" t="n">
        <v>0</v>
      </c>
      <c r="O315" s="99" t="n">
        <v>0</v>
      </c>
      <c r="P315" s="42">
        <f>I315-SUM(K315:O315)</f>
        <v>2353953</v>
      </c>
    </row>
    <row r="316" spans="1:16">
      <c r="A316" s="37" t="n">
        <v>321</v>
      </c>
      <c r="B316" s="97" t="s">
        <v>922</v>
      </c>
      <c r="C316" s="121" t="s">
        <v>111</v>
      </c>
      <c r="D316" s="121" t="s">
        <v>20</v>
      </c>
      <c r="E316" s="121" t="s">
        <v>21</v>
      </c>
      <c r="F316" s="98" t="n">
        <v>0</v>
      </c>
      <c r="G316" s="122" t="s">
        <v>923</v>
      </c>
      <c r="H316" s="121" t="s">
        <v>924</v>
      </c>
      <c r="I316" s="99" t="n">
        <v>2788583</v>
      </c>
      <c r="J316" s="99" t="n">
        <v>2788583</v>
      </c>
      <c r="K316" s="99">
        <f>IF(C316="III",ROUND(J316*$R$2,0),IF(C316="P3K/III",ROUND(J316*$R$2,0),0))</f>
        <v>0</v>
      </c>
      <c r="L316" s="99">
        <f>IF(C316="IV",ROUND(J316*$R$3,0),0)</f>
        <v>0</v>
      </c>
      <c r="M316" s="99" t="n">
        <v>0</v>
      </c>
      <c r="N316" s="99" t="n">
        <v>0</v>
      </c>
      <c r="O316" s="99" t="n">
        <v>0</v>
      </c>
      <c r="P316" s="42">
        <f>I316-SUM(K316:O316)</f>
        <v>2788583</v>
      </c>
    </row>
    <row r="317" spans="1:16">
      <c r="A317" s="37" t="n">
        <v>322</v>
      </c>
      <c r="B317" s="97" t="s">
        <v>925</v>
      </c>
      <c r="C317" s="121" t="s">
        <v>95</v>
      </c>
      <c r="D317" s="121" t="s">
        <v>137</v>
      </c>
      <c r="E317" s="121" t="s">
        <v>14</v>
      </c>
      <c r="F317" s="98" t="n">
        <v>0</v>
      </c>
      <c r="G317" s="122" t="s">
        <v>926</v>
      </c>
      <c r="H317" s="121" t="s">
        <v>927</v>
      </c>
      <c r="I317" s="99" t="n">
        <v>2380587</v>
      </c>
      <c r="J317" s="99" t="n">
        <v>2380587</v>
      </c>
      <c r="K317" s="99">
        <f>IF(C317="III",ROUND(J317*$R$2,0),IF(C317="P3K/III",ROUND(J317*$R$2,0),0))</f>
        <v>0</v>
      </c>
      <c r="L317" s="99">
        <f>IF(C317="IV",ROUND(J317*$R$3,0),0)</f>
        <v>0</v>
      </c>
      <c r="M317" s="99" t="n">
        <v>0</v>
      </c>
      <c r="N317" s="99" t="n">
        <v>0</v>
      </c>
      <c r="O317" s="99" t="n">
        <v>0</v>
      </c>
      <c r="P317" s="42">
        <f>I317-SUM(K317:O317)</f>
        <v>2380587</v>
      </c>
    </row>
    <row r="318" spans="1:16">
      <c r="A318" s="37" t="n">
        <v>323</v>
      </c>
      <c r="B318" s="97" t="s">
        <v>928</v>
      </c>
      <c r="C318" s="121" t="s">
        <v>283</v>
      </c>
      <c r="D318" s="121" t="s">
        <v>20</v>
      </c>
      <c r="E318" s="121" t="s">
        <v>21</v>
      </c>
      <c r="F318" s="98" t="n">
        <v>0</v>
      </c>
      <c r="G318" s="122" t="s">
        <v>929</v>
      </c>
      <c r="H318" s="121" t="s">
        <v>930</v>
      </c>
      <c r="I318" s="99" t="n">
        <v>2606033</v>
      </c>
      <c r="J318" s="99" t="n">
        <v>2606033</v>
      </c>
      <c r="K318" s="99">
        <f>IF(C318="III",ROUND(J318*$R$2,0),IF(C318="P3K/III",ROUND(J318*$R$2,0),0))</f>
        <v>0</v>
      </c>
      <c r="L318" s="99">
        <f>IF(C318="IV",ROUND(J318*$R$3,0),0)</f>
        <v>0</v>
      </c>
      <c r="M318" s="99" t="n">
        <v>0</v>
      </c>
      <c r="N318" s="99" t="n">
        <v>0</v>
      </c>
      <c r="O318" s="99" t="n">
        <v>0</v>
      </c>
      <c r="P318" s="42">
        <f>I318-SUM(K318:O318)</f>
        <v>2606033</v>
      </c>
    </row>
    <row r="319" spans="1:16">
      <c r="A319" s="37" t="n">
        <v>324</v>
      </c>
      <c r="B319" s="97" t="s">
        <v>931</v>
      </c>
      <c r="C319" s="121" t="s">
        <v>120</v>
      </c>
      <c r="D319" s="121" t="s">
        <v>124</v>
      </c>
      <c r="E319" s="121" t="s">
        <v>15</v>
      </c>
      <c r="F319" s="98" t="n">
        <v>0</v>
      </c>
      <c r="G319" s="122" t="s">
        <v>932</v>
      </c>
      <c r="H319" s="121" t="s">
        <v>933</v>
      </c>
      <c r="I319" s="99" t="n">
        <v>2508523</v>
      </c>
      <c r="J319" s="99" t="n">
        <v>2508523</v>
      </c>
      <c r="K319" s="99">
        <f>IF(C319="III",ROUND(J319*$R$2,0),IF(C319="P3K/III",ROUND(J319*$R$2,0),0))</f>
        <v>0</v>
      </c>
      <c r="L319" s="99">
        <f>IF(C319="IV",ROUND(J319*$R$3,0),0)</f>
        <v>0</v>
      </c>
      <c r="M319" s="99" t="n">
        <v>0</v>
      </c>
      <c r="N319" s="99" t="n">
        <v>0</v>
      </c>
      <c r="O319" s="99" t="n">
        <v>0</v>
      </c>
      <c r="P319" s="42">
        <f>I319-SUM(K319:O319)</f>
        <v>2508523</v>
      </c>
    </row>
    <row r="320" spans="1:16">
      <c r="A320" s="37" t="n">
        <v>325</v>
      </c>
      <c r="B320" s="97" t="s">
        <v>934</v>
      </c>
      <c r="C320" s="121" t="s">
        <v>111</v>
      </c>
      <c r="D320" s="121" t="s">
        <v>20</v>
      </c>
      <c r="E320" s="121" t="s">
        <v>21</v>
      </c>
      <c r="F320" s="121" t="s">
        <v>935</v>
      </c>
      <c r="G320" s="122" t="s">
        <v>936</v>
      </c>
      <c r="H320" s="121" t="s">
        <v>937</v>
      </c>
      <c r="I320" s="99" t="n">
        <v>2606033</v>
      </c>
      <c r="J320" s="99" t="n">
        <v>2606033</v>
      </c>
      <c r="K320" s="99">
        <f>IF(C320="III",ROUND(J320*$R$2,0),IF(C320="P3K/III",ROUND(J320*$R$2,0),0))</f>
        <v>0</v>
      </c>
      <c r="L320" s="99">
        <f>IF(C320="IV",ROUND(J320*$R$3,0),0)</f>
        <v>0</v>
      </c>
      <c r="M320" s="99" t="n">
        <v>0</v>
      </c>
      <c r="N320" s="99" t="n">
        <v>0</v>
      </c>
      <c r="O320" s="99" t="n">
        <v>0</v>
      </c>
      <c r="P320" s="42">
        <f>I320-SUM(K320:O320)</f>
        <v>2606033</v>
      </c>
    </row>
    <row r="321" spans="1:16">
      <c r="A321" s="37" t="n">
        <v>326</v>
      </c>
      <c r="B321" s="97" t="s">
        <v>938</v>
      </c>
      <c r="C321" s="121" t="s">
        <v>283</v>
      </c>
      <c r="D321" s="121" t="s">
        <v>124</v>
      </c>
      <c r="E321" s="121" t="s">
        <v>15</v>
      </c>
      <c r="F321" s="98" t="n">
        <v>0</v>
      </c>
      <c r="G321" s="40" t="n">
        <v>0</v>
      </c>
      <c r="H321" s="121" t="s">
        <v>939</v>
      </c>
      <c r="I321" s="99" t="n">
        <v>2332208</v>
      </c>
      <c r="J321" s="99" t="n">
        <v>2332208</v>
      </c>
      <c r="K321" s="99">
        <f>IF(C321="III",ROUND(J321*$R$2,0),IF(C321="P3K/III",ROUND(J321*$R$2,0),0))</f>
        <v>0</v>
      </c>
      <c r="L321" s="99">
        <f>IF(C321="IV",ROUND(J321*$R$3,0),0)</f>
        <v>0</v>
      </c>
      <c r="M321" s="99" t="n">
        <v>0</v>
      </c>
      <c r="N321" s="99" t="n">
        <v>0</v>
      </c>
      <c r="O321" s="99" t="n">
        <v>0</v>
      </c>
      <c r="P321" s="42">
        <f>I321-SUM(K321:O321)</f>
        <v>2332208</v>
      </c>
    </row>
    <row r="322" spans="1:16">
      <c r="A322" s="37" t="n">
        <v>327</v>
      </c>
      <c r="B322" s="97" t="s">
        <v>940</v>
      </c>
      <c r="C322" s="121" t="s">
        <v>283</v>
      </c>
      <c r="D322" s="121" t="s">
        <v>128</v>
      </c>
      <c r="E322" s="121" t="s">
        <v>15</v>
      </c>
      <c r="F322" s="98" t="n">
        <v>0</v>
      </c>
      <c r="G322" s="40" t="n">
        <v>0</v>
      </c>
      <c r="H322" s="121" t="s">
        <v>941</v>
      </c>
      <c r="I322" s="99" t="n">
        <v>2332208</v>
      </c>
      <c r="J322" s="99" t="n">
        <v>2332208</v>
      </c>
      <c r="K322" s="99">
        <f>IF(C322="III",ROUND(J322*$R$2,0),IF(C322="P3K/III",ROUND(J322*$R$2,0),0))</f>
        <v>0</v>
      </c>
      <c r="L322" s="99">
        <f>IF(C322="IV",ROUND(J322*$R$3,0),0)</f>
        <v>0</v>
      </c>
      <c r="M322" s="99" t="n">
        <v>0</v>
      </c>
      <c r="N322" s="99" t="n">
        <v>0</v>
      </c>
      <c r="O322" s="99" t="n">
        <v>0</v>
      </c>
      <c r="P322" s="42">
        <f>I322-SUM(K322:O322)</f>
        <v>2332208</v>
      </c>
    </row>
    <row r="323" spans="1:16">
      <c r="A323" s="37" t="n">
        <v>328</v>
      </c>
      <c r="B323" s="97" t="s">
        <v>942</v>
      </c>
      <c r="C323" s="121" t="s">
        <v>120</v>
      </c>
      <c r="D323" s="121" t="s">
        <v>124</v>
      </c>
      <c r="E323" s="121" t="s">
        <v>15</v>
      </c>
      <c r="F323" s="98" t="n">
        <v>0</v>
      </c>
      <c r="G323" s="40" t="n">
        <v>0</v>
      </c>
      <c r="H323" s="121" t="s">
        <v>943</v>
      </c>
      <c r="I323" s="99" t="n">
        <v>1875832</v>
      </c>
      <c r="J323" s="99" t="n">
        <v>1875832</v>
      </c>
      <c r="K323" s="99">
        <f>IF(C323="III",ROUND(J323*$R$2,0),IF(C323="P3K/III",ROUND(J323*$R$2,0),0))</f>
        <v>0</v>
      </c>
      <c r="L323" s="99">
        <f>IF(C323="IV",ROUND(J323*$R$3,0),0)</f>
        <v>0</v>
      </c>
      <c r="M323" s="99" t="n">
        <v>0</v>
      </c>
      <c r="N323" s="99" t="n">
        <v>0</v>
      </c>
      <c r="O323" s="99" t="n">
        <v>0</v>
      </c>
      <c r="P323" s="42">
        <f>I323-SUM(K323:O323)</f>
        <v>1875832</v>
      </c>
    </row>
    <row r="324" spans="1:16">
      <c r="A324" s="37" t="n">
        <v>329</v>
      </c>
      <c r="B324" s="97" t="s">
        <v>944</v>
      </c>
      <c r="C324" s="121" t="s">
        <v>95</v>
      </c>
      <c r="D324" s="121" t="s">
        <v>137</v>
      </c>
      <c r="E324" s="121" t="s">
        <v>14</v>
      </c>
      <c r="F324" s="98" t="n">
        <v>0</v>
      </c>
      <c r="G324" s="40" t="n">
        <v>0</v>
      </c>
      <c r="H324" s="121" t="s">
        <v>945</v>
      </c>
      <c r="I324" s="99" t="n">
        <v>1820874</v>
      </c>
      <c r="J324" s="99" t="n">
        <v>1820874</v>
      </c>
      <c r="K324" s="99">
        <f>IF(C324="III",ROUND(J324*$R$2,0),IF(C324="P3K/III",ROUND(J324*$R$2,0),0))</f>
        <v>0</v>
      </c>
      <c r="L324" s="99">
        <f>IF(C324="IV",ROUND(J324*$R$3,0),0)</f>
        <v>0</v>
      </c>
      <c r="M324" s="99" t="n">
        <v>0</v>
      </c>
      <c r="N324" s="99" t="n">
        <v>0</v>
      </c>
      <c r="O324" s="99" t="n">
        <v>0</v>
      </c>
      <c r="P324" s="42">
        <f>I324-SUM(K324:O324)</f>
        <v>1820874</v>
      </c>
    </row>
    <row r="325" spans="1:16">
      <c r="A325" s="37" t="n">
        <v>330</v>
      </c>
      <c r="B325" s="97" t="s">
        <v>946</v>
      </c>
      <c r="C325" s="121" t="s">
        <v>95</v>
      </c>
      <c r="D325" s="121" t="s">
        <v>137</v>
      </c>
      <c r="E325" s="121" t="s">
        <v>14</v>
      </c>
      <c r="F325" s="98" t="n">
        <v>0</v>
      </c>
      <c r="G325" s="122" t="s">
        <v>947</v>
      </c>
      <c r="H325" s="121" t="s">
        <v>948</v>
      </c>
      <c r="I325" s="99" t="n">
        <v>1869253</v>
      </c>
      <c r="J325" s="99" t="n">
        <v>1869253</v>
      </c>
      <c r="K325" s="99">
        <f>IF(C325="III",ROUND(J325*$R$2,0),IF(C325="P3K/III",ROUND(J325*$R$2,0),0))</f>
        <v>0</v>
      </c>
      <c r="L325" s="99">
        <f>IF(C325="IV",ROUND(J325*$R$3,0),0)</f>
        <v>0</v>
      </c>
      <c r="M325" s="99" t="n">
        <v>0</v>
      </c>
      <c r="N325" s="99" t="n">
        <v>0</v>
      </c>
      <c r="O325" s="99" t="n">
        <v>0</v>
      </c>
      <c r="P325" s="42">
        <f>I325-SUM(K325:O325)</f>
        <v>1869253</v>
      </c>
    </row>
    <row r="326" spans="1:16">
      <c r="A326" s="37" t="n">
        <v>331</v>
      </c>
      <c r="B326" s="97" t="s">
        <v>949</v>
      </c>
      <c r="C326" s="121" t="s">
        <v>95</v>
      </c>
      <c r="D326" s="121" t="s">
        <v>128</v>
      </c>
      <c r="E326" s="121" t="s">
        <v>15</v>
      </c>
      <c r="F326" s="98" t="n">
        <v>0</v>
      </c>
      <c r="G326" s="40" t="n">
        <v>0</v>
      </c>
      <c r="H326" s="121" t="s">
        <v>950</v>
      </c>
      <c r="I326" s="99" t="n">
        <v>1820874</v>
      </c>
      <c r="J326" s="99" t="n">
        <v>1820874</v>
      </c>
      <c r="K326" s="99">
        <f>IF(C326="III",ROUND(J326*$R$2,0),IF(C326="P3K/III",ROUND(J326*$R$2,0),0))</f>
        <v>0</v>
      </c>
      <c r="L326" s="99">
        <f>IF(C326="IV",ROUND(J326*$R$3,0),0)</f>
        <v>0</v>
      </c>
      <c r="M326" s="99" t="n">
        <v>0</v>
      </c>
      <c r="N326" s="99" t="n">
        <v>0</v>
      </c>
      <c r="O326" s="99" t="n">
        <v>0</v>
      </c>
      <c r="P326" s="42">
        <f>I326-SUM(K326:O326)</f>
        <v>1820874</v>
      </c>
    </row>
    <row r="327" spans="1:16">
      <c r="A327" s="37" t="n">
        <v>332</v>
      </c>
      <c r="B327" s="97" t="s">
        <v>951</v>
      </c>
      <c r="C327" s="121" t="s">
        <v>95</v>
      </c>
      <c r="D327" s="121" t="s">
        <v>121</v>
      </c>
      <c r="E327" s="121" t="s">
        <v>14</v>
      </c>
      <c r="F327" s="98" t="n">
        <v>0</v>
      </c>
      <c r="G327" s="40" t="n">
        <v>0</v>
      </c>
      <c r="H327" s="121" t="s">
        <v>952</v>
      </c>
      <c r="I327" s="99" t="n">
        <v>1869253</v>
      </c>
      <c r="J327" s="99" t="n">
        <v>1869253</v>
      </c>
      <c r="K327" s="99">
        <f>IF(C327="III",ROUND(J327*$R$2,0),IF(C327="P3K/III",ROUND(J327*$R$2,0),0))</f>
        <v>0</v>
      </c>
      <c r="L327" s="99">
        <f>IF(C327="IV",ROUND(J327*$R$3,0),0)</f>
        <v>0</v>
      </c>
      <c r="M327" s="99" t="n">
        <v>0</v>
      </c>
      <c r="N327" s="99" t="n">
        <v>0</v>
      </c>
      <c r="O327" s="99" t="n">
        <v>0</v>
      </c>
      <c r="P327" s="42">
        <f>I327-SUM(K327:O327)</f>
        <v>1869253</v>
      </c>
    </row>
    <row r="328" spans="1:16">
      <c r="A328" s="37" t="n">
        <v>333</v>
      </c>
      <c r="B328" s="97" t="s">
        <v>953</v>
      </c>
      <c r="C328" s="121" t="s">
        <v>95</v>
      </c>
      <c r="D328" s="121" t="s">
        <v>121</v>
      </c>
      <c r="E328" s="121" t="s">
        <v>14</v>
      </c>
      <c r="F328" s="98" t="n">
        <v>0</v>
      </c>
      <c r="G328" s="40" t="n">
        <v>0</v>
      </c>
      <c r="H328" s="121" t="s">
        <v>954</v>
      </c>
      <c r="I328" s="99" t="n">
        <v>2531878</v>
      </c>
      <c r="J328" s="99" t="n">
        <v>2531878</v>
      </c>
      <c r="K328" s="99">
        <f>IF(C328="III",ROUND(J328*$R$2,0),IF(C328="P3K/III",ROUND(J328*$R$2,0),0))</f>
        <v>0</v>
      </c>
      <c r="L328" s="99">
        <f>IF(C328="IV",ROUND(J328*$R$3,0),0)</f>
        <v>0</v>
      </c>
      <c r="M328" s="99" t="n">
        <v>0</v>
      </c>
      <c r="N328" s="99" t="n">
        <v>0</v>
      </c>
      <c r="O328" s="99" t="n">
        <v>0</v>
      </c>
      <c r="P328" s="42">
        <f>I328-SUM(K328:O328)</f>
        <v>2531878</v>
      </c>
    </row>
    <row r="329" spans="1:16">
      <c r="A329" s="37" t="n">
        <v>334</v>
      </c>
      <c r="B329" s="97" t="s">
        <v>955</v>
      </c>
      <c r="C329" s="121" t="s">
        <v>58</v>
      </c>
      <c r="D329" s="121" t="s">
        <v>20</v>
      </c>
      <c r="E329" s="121" t="s">
        <v>21</v>
      </c>
      <c r="F329" s="121" t="s">
        <v>956</v>
      </c>
      <c r="G329" s="40" t="n">
        <v>0</v>
      </c>
      <c r="H329" s="121" t="s">
        <v>957</v>
      </c>
      <c r="I329" s="99" t="n">
        <v>3680279</v>
      </c>
      <c r="J329" s="99" t="n">
        <v>3680279</v>
      </c>
      <c r="K329" s="99">
        <f>IF(C329="III",ROUND(J329*$R$2,0),IF(C329="P3K/III",ROUND(J329*$R$2,0),0))</f>
        <v>184014</v>
      </c>
      <c r="L329" s="99">
        <f>IF(C329="IV",ROUND(J329*$R$3,0),0)</f>
        <v>0</v>
      </c>
      <c r="M329" s="99" t="n">
        <v>0</v>
      </c>
      <c r="N329" s="99" t="n">
        <v>0</v>
      </c>
      <c r="O329" s="99" t="n">
        <v>0</v>
      </c>
      <c r="P329" s="42">
        <f>I329-SUM(K329:O329)</f>
        <v>3496265</v>
      </c>
    </row>
    <row r="330" spans="1:16">
      <c r="A330" s="37" t="n">
        <v>335</v>
      </c>
      <c r="B330" s="97" t="s">
        <v>958</v>
      </c>
      <c r="C330" s="121" t="s">
        <v>58</v>
      </c>
      <c r="D330" s="121" t="s">
        <v>20</v>
      </c>
      <c r="E330" s="121" t="s">
        <v>21</v>
      </c>
      <c r="F330" s="121" t="s">
        <v>959</v>
      </c>
      <c r="G330" s="40" t="n">
        <v>0</v>
      </c>
      <c r="H330" s="121" t="s">
        <v>960</v>
      </c>
      <c r="I330" s="99" t="n">
        <v>2820017</v>
      </c>
      <c r="J330" s="99" t="n">
        <v>2820017</v>
      </c>
      <c r="K330" s="99">
        <f>IF(C330="III",ROUND(J330*$R$2,0),IF(C330="P3K/III",ROUND(J330*$R$2,0),0))</f>
        <v>141001</v>
      </c>
      <c r="L330" s="99">
        <f>IF(C330="IV",ROUND(J330*$R$3,0),0)</f>
        <v>0</v>
      </c>
      <c r="M330" s="99" t="n">
        <v>0</v>
      </c>
      <c r="N330" s="99" t="n">
        <v>0</v>
      </c>
      <c r="O330" s="99" t="n">
        <v>0</v>
      </c>
      <c r="P330" s="42">
        <f>I330-SUM(K330:O330)</f>
        <v>2679016</v>
      </c>
    </row>
    <row r="331" spans="1:16">
      <c r="A331" s="37" t="n">
        <v>336</v>
      </c>
      <c r="B331" s="97" t="s">
        <v>961</v>
      </c>
      <c r="C331" s="121" t="s">
        <v>283</v>
      </c>
      <c r="D331" s="121" t="s">
        <v>20</v>
      </c>
      <c r="E331" s="121" t="s">
        <v>21</v>
      </c>
      <c r="F331" s="98" t="n">
        <v>0</v>
      </c>
      <c r="G331" s="40" t="n">
        <v>0</v>
      </c>
      <c r="H331" s="121" t="s">
        <v>962</v>
      </c>
      <c r="I331" s="99" t="n">
        <v>2632464</v>
      </c>
      <c r="J331" s="99" t="n">
        <v>2632464</v>
      </c>
      <c r="K331" s="99">
        <f>IF(C331="III",ROUND(J331*$R$2,0),IF(C331="P3K/III",ROUND(J331*$R$2,0),0))</f>
        <v>0</v>
      </c>
      <c r="L331" s="99">
        <f>IF(C331="IV",ROUND(J331*$R$3,0),0)</f>
        <v>0</v>
      </c>
      <c r="M331" s="99" t="n">
        <v>0</v>
      </c>
      <c r="N331" s="99" t="n">
        <v>0</v>
      </c>
      <c r="O331" s="99" t="n">
        <v>0</v>
      </c>
      <c r="P331" s="42">
        <f>I331-SUM(K331:O331)</f>
        <v>2632464</v>
      </c>
    </row>
    <row r="332" spans="1:16">
      <c r="A332" s="37" t="n">
        <v>337</v>
      </c>
      <c r="B332" s="97" t="s">
        <v>963</v>
      </c>
      <c r="C332" s="121" t="s">
        <v>283</v>
      </c>
      <c r="D332" s="121" t="s">
        <v>20</v>
      </c>
      <c r="E332" s="121" t="s">
        <v>21</v>
      </c>
      <c r="F332" s="98" t="n">
        <v>0</v>
      </c>
      <c r="G332" s="40" t="n">
        <v>0</v>
      </c>
      <c r="H332" s="121" t="s">
        <v>964</v>
      </c>
      <c r="I332" s="99" t="n">
        <v>2632464</v>
      </c>
      <c r="J332" s="99" t="n">
        <v>2632464</v>
      </c>
      <c r="K332" s="99">
        <f>IF(C332="III",ROUND(J332*$R$2,0),IF(C332="P3K/III",ROUND(J332*$R$2,0),0))</f>
        <v>0</v>
      </c>
      <c r="L332" s="99">
        <f>IF(C332="IV",ROUND(J332*$R$3,0),0)</f>
        <v>0</v>
      </c>
      <c r="M332" s="99" t="n">
        <v>0</v>
      </c>
      <c r="N332" s="99" t="n">
        <v>0</v>
      </c>
      <c r="O332" s="99" t="n">
        <v>0</v>
      </c>
      <c r="P332" s="42">
        <f>I332-SUM(K332:O332)</f>
        <v>2632464</v>
      </c>
    </row>
    <row r="333" spans="1:16">
      <c r="A333" s="37" t="n">
        <v>338</v>
      </c>
      <c r="B333" s="97" t="s">
        <v>965</v>
      </c>
      <c r="C333" s="121" t="s">
        <v>58</v>
      </c>
      <c r="D333" s="121" t="s">
        <v>20</v>
      </c>
      <c r="E333" s="121" t="s">
        <v>21</v>
      </c>
      <c r="F333" s="121" t="s">
        <v>966</v>
      </c>
      <c r="G333" s="40" t="n">
        <v>0</v>
      </c>
      <c r="H333" s="121" t="s">
        <v>967</v>
      </c>
      <c r="I333" s="99" t="n">
        <v>2680843</v>
      </c>
      <c r="J333" s="99" t="n">
        <v>2680843</v>
      </c>
      <c r="K333" s="99">
        <f>IF(C333="III",ROUND(J333*$R$2,0),IF(C333="P3K/III",ROUND(J333*$R$2,0),0))</f>
        <v>134042</v>
      </c>
      <c r="L333" s="99">
        <f>IF(C333="IV",ROUND(J333*$R$3,0),0)</f>
        <v>0</v>
      </c>
      <c r="M333" s="99" t="n">
        <v>0</v>
      </c>
      <c r="N333" s="99" t="n">
        <v>0</v>
      </c>
      <c r="O333" s="99" t="n">
        <v>0</v>
      </c>
      <c r="P333" s="42">
        <f>I333-SUM(K333:O333)</f>
        <v>2546801</v>
      </c>
    </row>
    <row r="334" spans="1:16">
      <c r="A334" s="37" t="n">
        <v>339</v>
      </c>
      <c r="B334" s="97" t="s">
        <v>968</v>
      </c>
      <c r="C334" s="121" t="s">
        <v>58</v>
      </c>
      <c r="D334" s="121" t="s">
        <v>20</v>
      </c>
      <c r="E334" s="121" t="s">
        <v>21</v>
      </c>
      <c r="F334" s="121" t="s">
        <v>969</v>
      </c>
      <c r="G334" s="40" t="n">
        <v>0</v>
      </c>
      <c r="H334" s="121" t="s">
        <v>970</v>
      </c>
      <c r="I334" s="99" t="n">
        <v>2680843</v>
      </c>
      <c r="J334" s="99" t="n">
        <v>2680843</v>
      </c>
      <c r="K334" s="99">
        <f>IF(C334="III",ROUND(J334*$R$2,0),IF(C334="P3K/III",ROUND(J334*$R$2,0),0))</f>
        <v>134042</v>
      </c>
      <c r="L334" s="99">
        <f>IF(C334="IV",ROUND(J334*$R$3,0),0)</f>
        <v>0</v>
      </c>
      <c r="M334" s="99" t="n">
        <v>0</v>
      </c>
      <c r="N334" s="99" t="n">
        <v>0</v>
      </c>
      <c r="O334" s="99" t="n">
        <v>0</v>
      </c>
      <c r="P334" s="42">
        <f>I334-SUM(K334:O334)</f>
        <v>2546801</v>
      </c>
    </row>
    <row r="335" spans="1:16">
      <c r="A335" s="37" t="n">
        <v>340</v>
      </c>
      <c r="B335" s="97" t="s">
        <v>971</v>
      </c>
      <c r="C335" s="121" t="s">
        <v>131</v>
      </c>
      <c r="D335" s="121" t="s">
        <v>20</v>
      </c>
      <c r="E335" s="121" t="s">
        <v>21</v>
      </c>
      <c r="F335" s="121" t="s">
        <v>972</v>
      </c>
      <c r="G335" s="122" t="s">
        <v>973</v>
      </c>
      <c r="H335" s="121" t="s">
        <v>974</v>
      </c>
      <c r="I335" s="99" t="n">
        <v>2184673</v>
      </c>
      <c r="J335" s="99" t="n">
        <v>2184673</v>
      </c>
      <c r="K335" s="99">
        <f>IF(C335="III",ROUND(J335*$R$2,0),IF(C335="P3K/III",ROUND(J335*$R$2,0),0))</f>
        <v>109234</v>
      </c>
      <c r="L335" s="99">
        <f>IF(C335="IV",ROUND(J335*$R$3,0),0)</f>
        <v>0</v>
      </c>
      <c r="M335" s="99" t="n">
        <v>0</v>
      </c>
      <c r="N335" s="99" t="n">
        <v>0</v>
      </c>
      <c r="O335" s="99" t="n">
        <v>0</v>
      </c>
      <c r="P335" s="42">
        <f>I335-SUM(K335:O335)</f>
        <v>2075439</v>
      </c>
    </row>
    <row r="336" spans="1:16">
      <c r="A336" s="37" t="n">
        <v>341</v>
      </c>
      <c r="B336" s="97" t="s">
        <v>975</v>
      </c>
      <c r="C336" s="121" t="s">
        <v>95</v>
      </c>
      <c r="D336" s="121" t="s">
        <v>137</v>
      </c>
      <c r="E336" s="121" t="s">
        <v>14</v>
      </c>
      <c r="F336" s="98" t="n">
        <v>0</v>
      </c>
      <c r="G336" s="122" t="s">
        <v>976</v>
      </c>
      <c r="H336" s="121" t="s">
        <v>977</v>
      </c>
      <c r="I336" s="99" t="n">
        <v>1990362</v>
      </c>
      <c r="J336" s="99" t="n">
        <v>1990362</v>
      </c>
      <c r="K336" s="99">
        <f>IF(C336="III",ROUND(J336*$R$2,0),IF(C336="P3K/III",ROUND(J336*$R$2,0),0))</f>
        <v>0</v>
      </c>
      <c r="L336" s="99">
        <f>IF(C336="IV",ROUND(J336*$R$3,0),0)</f>
        <v>0</v>
      </c>
      <c r="M336" s="99" t="n">
        <v>0</v>
      </c>
      <c r="N336" s="99" t="n">
        <v>0</v>
      </c>
      <c r="O336" s="99" t="n">
        <v>0</v>
      </c>
      <c r="P336" s="42">
        <f>I336-SUM(K336:O336)</f>
        <v>1990362</v>
      </c>
    </row>
    <row r="337" spans="1:16">
      <c r="A337" s="37" t="n">
        <v>342</v>
      </c>
      <c r="B337" s="97" t="s">
        <v>978</v>
      </c>
      <c r="C337" s="121" t="s">
        <v>95</v>
      </c>
      <c r="D337" s="121" t="s">
        <v>278</v>
      </c>
      <c r="E337" s="121" t="s">
        <v>16</v>
      </c>
      <c r="F337" s="98" t="n">
        <v>0</v>
      </c>
      <c r="G337" s="122" t="s">
        <v>979</v>
      </c>
      <c r="H337" s="121" t="s">
        <v>980</v>
      </c>
      <c r="I337" s="99" t="n">
        <v>2190616</v>
      </c>
      <c r="J337" s="99" t="n">
        <v>2190616</v>
      </c>
      <c r="K337" s="99">
        <f>IF(C337="III",ROUND(J337*$R$2,0),IF(C337="P3K/III",ROUND(J337*$R$2,0),0))</f>
        <v>0</v>
      </c>
      <c r="L337" s="99">
        <f>IF(C337="IV",ROUND(J337*$R$3,0),0)</f>
        <v>0</v>
      </c>
      <c r="M337" s="99" t="n">
        <v>0</v>
      </c>
      <c r="N337" s="99" t="n">
        <v>0</v>
      </c>
      <c r="O337" s="99" t="n">
        <v>0</v>
      </c>
      <c r="P337" s="42">
        <f>I337-SUM(K337:O337)</f>
        <v>2190616</v>
      </c>
    </row>
    <row r="338" spans="1:16">
      <c r="A338" s="37" t="n">
        <v>343</v>
      </c>
      <c r="B338" s="97" t="s">
        <v>981</v>
      </c>
      <c r="C338" s="121" t="s">
        <v>95</v>
      </c>
      <c r="D338" s="121" t="s">
        <v>124</v>
      </c>
      <c r="E338" s="121" t="s">
        <v>15</v>
      </c>
      <c r="F338" s="98" t="n">
        <v>0</v>
      </c>
      <c r="G338" s="122" t="s">
        <v>982</v>
      </c>
      <c r="H338" s="121" t="s">
        <v>983</v>
      </c>
      <c r="I338" s="99" t="n">
        <v>1990362</v>
      </c>
      <c r="J338" s="99" t="n">
        <v>1990362</v>
      </c>
      <c r="K338" s="99">
        <f>IF(C338="III",ROUND(J338*$R$2,0),IF(C338="P3K/III",ROUND(J338*$R$2,0),0))</f>
        <v>0</v>
      </c>
      <c r="L338" s="99">
        <f>IF(C338="IV",ROUND(J338*$R$3,0),0)</f>
        <v>0</v>
      </c>
      <c r="M338" s="99" t="n">
        <v>0</v>
      </c>
      <c r="N338" s="99" t="n">
        <v>0</v>
      </c>
      <c r="O338" s="99" t="n">
        <v>0</v>
      </c>
      <c r="P338" s="42">
        <f>I338-SUM(K338:O338)</f>
        <v>1990362</v>
      </c>
    </row>
    <row r="339" spans="1:16">
      <c r="A339" s="37" t="n">
        <v>344</v>
      </c>
      <c r="B339" s="97" t="s">
        <v>984</v>
      </c>
      <c r="C339" s="121" t="s">
        <v>283</v>
      </c>
      <c r="D339" s="121" t="s">
        <v>20</v>
      </c>
      <c r="E339" s="121" t="s">
        <v>21</v>
      </c>
      <c r="F339" s="98" t="n">
        <v>0</v>
      </c>
      <c r="G339" s="40" t="n">
        <v>0</v>
      </c>
      <c r="H339" s="121" t="s">
        <v>985</v>
      </c>
      <c r="I339" s="99" t="n">
        <v>1990362</v>
      </c>
      <c r="J339" s="99" t="n">
        <v>1990362</v>
      </c>
      <c r="K339" s="99">
        <f>IF(C339="III",ROUND(J339*$R$2,0),IF(C339="P3K/III",ROUND(J339*$R$2,0),0))</f>
        <v>0</v>
      </c>
      <c r="L339" s="99">
        <f>IF(C339="IV",ROUND(J339*$R$3,0),0)</f>
        <v>0</v>
      </c>
      <c r="M339" s="99" t="n">
        <v>0</v>
      </c>
      <c r="N339" s="99" t="n">
        <v>0</v>
      </c>
      <c r="O339" s="99" t="n">
        <v>0</v>
      </c>
      <c r="P339" s="42">
        <f>I339-SUM(K339:O339)</f>
        <v>1990362</v>
      </c>
    </row>
    <row r="340" spans="1:16">
      <c r="A340" s="37" t="n">
        <v>345</v>
      </c>
      <c r="B340" s="97" t="s">
        <v>986</v>
      </c>
      <c r="C340" s="121" t="s">
        <v>95</v>
      </c>
      <c r="D340" s="121" t="s">
        <v>137</v>
      </c>
      <c r="E340" s="121" t="s">
        <v>14</v>
      </c>
      <c r="F340" s="98" t="n">
        <v>0</v>
      </c>
      <c r="G340" s="122" t="s">
        <v>987</v>
      </c>
      <c r="H340" s="121" t="s">
        <v>988</v>
      </c>
      <c r="I340" s="99" t="n">
        <v>1406633</v>
      </c>
      <c r="J340" s="99" t="n">
        <v>1406633</v>
      </c>
      <c r="K340" s="99">
        <f>IF(C340="III",ROUND(J340*$R$2,0),IF(C340="P3K/III",ROUND(J340*$R$2,0),0))</f>
        <v>0</v>
      </c>
      <c r="L340" s="99">
        <f>IF(C340="IV",ROUND(J340*$R$3,0),0)</f>
        <v>0</v>
      </c>
      <c r="M340" s="99" t="n">
        <v>0</v>
      </c>
      <c r="N340" s="99" t="n">
        <v>0</v>
      </c>
      <c r="O340" s="99" t="n">
        <v>0</v>
      </c>
      <c r="P340" s="42">
        <f>I340-SUM(K340:O340)</f>
        <v>1406633</v>
      </c>
    </row>
    <row r="341" spans="1:16">
      <c r="A341" s="37" t="n">
        <v>346</v>
      </c>
      <c r="B341" s="97" t="s">
        <v>989</v>
      </c>
      <c r="C341" s="121" t="s">
        <v>95</v>
      </c>
      <c r="D341" s="121" t="s">
        <v>124</v>
      </c>
      <c r="E341" s="121" t="s">
        <v>15</v>
      </c>
      <c r="F341" s="98" t="n">
        <v>0</v>
      </c>
      <c r="G341" s="122" t="s">
        <v>990</v>
      </c>
      <c r="H341" s="121" t="s">
        <v>991</v>
      </c>
      <c r="I341" s="99" t="n">
        <v>1406633</v>
      </c>
      <c r="J341" s="99" t="n">
        <v>1406633</v>
      </c>
      <c r="K341" s="99">
        <f>IF(C341="III",ROUND(J341*$R$2,0),IF(C341="P3K/III",ROUND(J341*$R$2,0),0))</f>
        <v>0</v>
      </c>
      <c r="L341" s="99">
        <f>IF(C341="IV",ROUND(J341*$R$3,0),0)</f>
        <v>0</v>
      </c>
      <c r="M341" s="99" t="n">
        <v>0</v>
      </c>
      <c r="N341" s="99" t="n">
        <v>0</v>
      </c>
      <c r="O341" s="99" t="n">
        <v>0</v>
      </c>
      <c r="P341" s="42">
        <f>I341-SUM(K341:O341)</f>
        <v>1406633</v>
      </c>
    </row>
    <row r="342" spans="1:16">
      <c r="A342" s="37" t="n">
        <v>347</v>
      </c>
      <c r="B342" s="97" t="s">
        <v>992</v>
      </c>
      <c r="C342" s="121" t="s">
        <v>95</v>
      </c>
      <c r="D342" s="121" t="s">
        <v>121</v>
      </c>
      <c r="E342" s="121" t="s">
        <v>14</v>
      </c>
      <c r="F342" s="98" t="n">
        <v>0</v>
      </c>
      <c r="G342" s="122" t="s">
        <v>993</v>
      </c>
      <c r="H342" s="121" t="s">
        <v>994</v>
      </c>
      <c r="I342" s="99" t="n">
        <v>2494407</v>
      </c>
      <c r="J342" s="99" t="n">
        <v>2494407</v>
      </c>
      <c r="K342" s="99">
        <f>IF(C342="III",ROUND(J342*$R$2,0),IF(C342="P3K/III",ROUND(J342*$R$2,0),0))</f>
        <v>0</v>
      </c>
      <c r="L342" s="99">
        <f>IF(C342="IV",ROUND(J342*$R$3,0),0)</f>
        <v>0</v>
      </c>
      <c r="M342" s="99" t="n">
        <v>0</v>
      </c>
      <c r="N342" s="99" t="n">
        <v>0</v>
      </c>
      <c r="O342" s="99" t="n">
        <v>0</v>
      </c>
      <c r="P342" s="42">
        <f>I342-SUM(K342:O342)</f>
        <v>2494407</v>
      </c>
    </row>
    <row r="343" spans="1:16">
      <c r="A343" s="37" t="n">
        <v>348</v>
      </c>
      <c r="B343" s="97" t="s">
        <v>995</v>
      </c>
      <c r="C343" s="121" t="s">
        <v>58</v>
      </c>
      <c r="D343" s="121" t="s">
        <v>20</v>
      </c>
      <c r="E343" s="121" t="s">
        <v>21</v>
      </c>
      <c r="F343" s="121" t="s">
        <v>996</v>
      </c>
      <c r="G343" s="122" t="s">
        <v>997</v>
      </c>
      <c r="H343" s="121" t="s">
        <v>998</v>
      </c>
      <c r="I343" s="99" t="n">
        <v>3814688</v>
      </c>
      <c r="J343" s="99" t="n">
        <v>3814688</v>
      </c>
      <c r="K343" s="99">
        <f>IF(C343="III",ROUND(J343*$R$2,0),IF(C343="P3K/III",ROUND(J343*$R$2,0),0))</f>
        <v>190734</v>
      </c>
      <c r="L343" s="99">
        <f>IF(C343="IV",ROUND(J343*$R$3,0),0)</f>
        <v>0</v>
      </c>
      <c r="M343" s="99" t="n">
        <v>0</v>
      </c>
      <c r="N343" s="99" t="n">
        <v>0</v>
      </c>
      <c r="O343" s="99" t="n">
        <v>0</v>
      </c>
      <c r="P343" s="42">
        <f>I343-SUM(K343:O343)</f>
        <v>3623954</v>
      </c>
    </row>
    <row r="344" spans="1:16">
      <c r="A344" s="37" t="n">
        <v>349</v>
      </c>
      <c r="B344" s="97" t="s">
        <v>999</v>
      </c>
      <c r="C344" s="121" t="s">
        <v>58</v>
      </c>
      <c r="D344" s="121" t="s">
        <v>20</v>
      </c>
      <c r="E344" s="121" t="s">
        <v>21</v>
      </c>
      <c r="F344" s="121" t="s">
        <v>1000</v>
      </c>
      <c r="G344" s="122" t="s">
        <v>1001</v>
      </c>
      <c r="H344" s="121" t="s">
        <v>1002</v>
      </c>
      <c r="I344" s="99" t="n">
        <v>3164165</v>
      </c>
      <c r="J344" s="99" t="n">
        <v>3164165</v>
      </c>
      <c r="K344" s="99">
        <f>IF(C344="III",ROUND(J344*$R$2,0),IF(C344="P3K/III",ROUND(J344*$R$2,0),0))</f>
        <v>158208</v>
      </c>
      <c r="L344" s="99">
        <f>IF(C344="IV",ROUND(J344*$R$3,0),0)</f>
        <v>0</v>
      </c>
      <c r="M344" s="99" t="n">
        <v>0</v>
      </c>
      <c r="N344" s="99" t="n">
        <v>0</v>
      </c>
      <c r="O344" s="99" t="n">
        <v>0</v>
      </c>
      <c r="P344" s="42">
        <f>I344-SUM(K344:O344)</f>
        <v>3005957</v>
      </c>
    </row>
    <row r="345" spans="1:16">
      <c r="A345" s="37" t="n">
        <v>350</v>
      </c>
      <c r="B345" s="97" t="s">
        <v>1003</v>
      </c>
      <c r="C345" s="121" t="s">
        <v>283</v>
      </c>
      <c r="D345" s="121" t="s">
        <v>20</v>
      </c>
      <c r="E345" s="121" t="s">
        <v>21</v>
      </c>
      <c r="F345" s="98" t="n">
        <v>0</v>
      </c>
      <c r="G345" s="122" t="s">
        <v>1004</v>
      </c>
      <c r="H345" s="121" t="s">
        <v>1005</v>
      </c>
      <c r="I345" s="99" t="n">
        <v>2808667</v>
      </c>
      <c r="J345" s="99" t="n">
        <v>2808667</v>
      </c>
      <c r="K345" s="99">
        <f>IF(C345="III",ROUND(J345*$R$2,0),IF(C345="P3K/III",ROUND(J345*$R$2,0),0))</f>
        <v>0</v>
      </c>
      <c r="L345" s="99">
        <f>IF(C345="IV",ROUND(J345*$R$3,0),0)</f>
        <v>0</v>
      </c>
      <c r="M345" s="99" t="n">
        <v>0</v>
      </c>
      <c r="N345" s="99" t="n">
        <v>0</v>
      </c>
      <c r="O345" s="99" t="n">
        <v>0</v>
      </c>
      <c r="P345" s="42">
        <f>I345-SUM(K345:O345)</f>
        <v>2808667</v>
      </c>
    </row>
    <row r="346" spans="1:16">
      <c r="A346" s="37" t="n">
        <v>351</v>
      </c>
      <c r="B346" s="97" t="s">
        <v>1006</v>
      </c>
      <c r="C346" s="121" t="s">
        <v>120</v>
      </c>
      <c r="D346" s="121" t="s">
        <v>128</v>
      </c>
      <c r="E346" s="121" t="s">
        <v>15</v>
      </c>
      <c r="F346" s="98" t="n">
        <v>0</v>
      </c>
      <c r="G346" s="122" t="s">
        <v>1007</v>
      </c>
      <c r="H346" s="121" t="s">
        <v>1008</v>
      </c>
      <c r="I346" s="99" t="n">
        <v>2857046</v>
      </c>
      <c r="J346" s="99" t="n">
        <v>2857046</v>
      </c>
      <c r="K346" s="99">
        <f>IF(C346="III",ROUND(J346*$R$2,0),IF(C346="P3K/III",ROUND(J346*$R$2,0),0))</f>
        <v>0</v>
      </c>
      <c r="L346" s="99">
        <f>IF(C346="IV",ROUND(J346*$R$3,0),0)</f>
        <v>0</v>
      </c>
      <c r="M346" s="99" t="n">
        <v>0</v>
      </c>
      <c r="N346" s="99" t="n">
        <v>0</v>
      </c>
      <c r="O346" s="99" t="n">
        <v>0</v>
      </c>
      <c r="P346" s="42">
        <f>I346-SUM(K346:O346)</f>
        <v>2857046</v>
      </c>
    </row>
    <row r="347" spans="1:16">
      <c r="A347" s="37" t="n">
        <v>352</v>
      </c>
      <c r="B347" s="97" t="s">
        <v>1009</v>
      </c>
      <c r="C347" s="121" t="s">
        <v>111</v>
      </c>
      <c r="D347" s="121" t="s">
        <v>20</v>
      </c>
      <c r="E347" s="121" t="s">
        <v>21</v>
      </c>
      <c r="F347" s="121" t="s">
        <v>1010</v>
      </c>
      <c r="G347" s="122" t="s">
        <v>1011</v>
      </c>
      <c r="H347" s="121" t="s">
        <v>1012</v>
      </c>
      <c r="I347" s="99" t="n">
        <v>2808667</v>
      </c>
      <c r="J347" s="99" t="n">
        <v>2808667</v>
      </c>
      <c r="K347" s="99">
        <f>IF(C347="III",ROUND(J347*$R$2,0),IF(C347="P3K/III",ROUND(J347*$R$2,0),0))</f>
        <v>0</v>
      </c>
      <c r="L347" s="99">
        <f>IF(C347="IV",ROUND(J347*$R$3,0),0)</f>
        <v>0</v>
      </c>
      <c r="M347" s="99" t="n">
        <v>0</v>
      </c>
      <c r="N347" s="99" t="n">
        <v>0</v>
      </c>
      <c r="O347" s="99" t="n">
        <v>0</v>
      </c>
      <c r="P347" s="42">
        <f>I347-SUM(K347:O347)</f>
        <v>2808667</v>
      </c>
    </row>
    <row r="348" spans="1:16">
      <c r="A348" s="37" t="n">
        <v>353</v>
      </c>
      <c r="B348" s="97" t="s">
        <v>1013</v>
      </c>
      <c r="C348" s="121" t="s">
        <v>111</v>
      </c>
      <c r="D348" s="121" t="s">
        <v>20</v>
      </c>
      <c r="E348" s="121" t="s">
        <v>21</v>
      </c>
      <c r="F348" s="121" t="s">
        <v>1014</v>
      </c>
      <c r="G348" s="122" t="s">
        <v>1015</v>
      </c>
      <c r="H348" s="121" t="s">
        <v>1016</v>
      </c>
      <c r="I348" s="99" t="n">
        <v>266083</v>
      </c>
      <c r="J348" s="99" t="n">
        <v>266083</v>
      </c>
      <c r="K348" s="99">
        <f>IF(C348="III",ROUND(J348*$R$2,0),IF(C348="P3K/III",ROUND(J348*$R$2,0),0))</f>
        <v>0</v>
      </c>
      <c r="L348" s="99">
        <f>IF(C348="IV",ROUND(J348*$R$3,0),0)</f>
        <v>0</v>
      </c>
      <c r="M348" s="99" t="n">
        <v>0</v>
      </c>
      <c r="N348" s="99" t="n">
        <v>0</v>
      </c>
      <c r="O348" s="99" t="n">
        <v>0</v>
      </c>
      <c r="P348" s="42">
        <f>I348-SUM(K348:O348)</f>
        <v>266083</v>
      </c>
    </row>
    <row r="349" spans="1:16">
      <c r="A349" s="37" t="n">
        <v>354</v>
      </c>
      <c r="B349" s="97" t="s">
        <v>1017</v>
      </c>
      <c r="C349" s="121" t="s">
        <v>111</v>
      </c>
      <c r="D349" s="121" t="s">
        <v>20</v>
      </c>
      <c r="E349" s="121" t="s">
        <v>21</v>
      </c>
      <c r="F349" s="121" t="s">
        <v>1018</v>
      </c>
      <c r="G349" s="40" t="n">
        <v>0</v>
      </c>
      <c r="H349" s="121" t="s">
        <v>1019</v>
      </c>
      <c r="I349" s="99" t="n">
        <v>2808667</v>
      </c>
      <c r="J349" s="99" t="n">
        <v>2808667</v>
      </c>
      <c r="K349" s="99">
        <f>IF(C349="III",ROUND(J349*$R$2,0),IF(C349="P3K/III",ROUND(J349*$R$2,0),0))</f>
        <v>0</v>
      </c>
      <c r="L349" s="99">
        <f>IF(C349="IV",ROUND(J349*$R$3,0),0)</f>
        <v>0</v>
      </c>
      <c r="M349" s="99" t="n">
        <v>0</v>
      </c>
      <c r="N349" s="99" t="n">
        <v>0</v>
      </c>
      <c r="O349" s="99" t="n">
        <v>0</v>
      </c>
      <c r="P349" s="42">
        <f>I349-SUM(K349:O349)</f>
        <v>2808667</v>
      </c>
    </row>
    <row r="350" spans="1:16">
      <c r="A350" s="37" t="n">
        <v>355</v>
      </c>
      <c r="B350" s="97" t="s">
        <v>1020</v>
      </c>
      <c r="C350" s="121" t="s">
        <v>111</v>
      </c>
      <c r="D350" s="121" t="s">
        <v>20</v>
      </c>
      <c r="E350" s="121" t="s">
        <v>21</v>
      </c>
      <c r="F350" s="121" t="s">
        <v>1021</v>
      </c>
      <c r="G350" s="40" t="n">
        <v>0</v>
      </c>
      <c r="H350" s="121" t="s">
        <v>1022</v>
      </c>
      <c r="I350" s="99" t="n">
        <v>2194428</v>
      </c>
      <c r="J350" s="99" t="n">
        <v>2194428</v>
      </c>
      <c r="K350" s="99">
        <f>IF(C350="III",ROUND(J350*$R$2,0),IF(C350="P3K/III",ROUND(J350*$R$2,0),0))</f>
        <v>0</v>
      </c>
      <c r="L350" s="99">
        <f>IF(C350="IV",ROUND(J350*$R$3,0),0)</f>
        <v>0</v>
      </c>
      <c r="M350" s="99" t="n">
        <v>0</v>
      </c>
      <c r="N350" s="99" t="n">
        <v>0</v>
      </c>
      <c r="O350" s="99" t="n">
        <v>0</v>
      </c>
      <c r="P350" s="42">
        <f>I350-SUM(K350:O350)</f>
        <v>2194428</v>
      </c>
    </row>
    <row r="351" spans="1:16">
      <c r="A351" s="37" t="n">
        <v>356</v>
      </c>
      <c r="B351" s="97" t="s">
        <v>1023</v>
      </c>
      <c r="C351" s="121" t="s">
        <v>111</v>
      </c>
      <c r="D351" s="121" t="s">
        <v>20</v>
      </c>
      <c r="E351" s="121" t="s">
        <v>21</v>
      </c>
      <c r="F351" s="121" t="s">
        <v>1024</v>
      </c>
      <c r="G351" s="40" t="n">
        <v>0</v>
      </c>
      <c r="H351" s="121" t="s">
        <v>1025</v>
      </c>
      <c r="I351" s="99" t="n">
        <v>2291076</v>
      </c>
      <c r="J351" s="99" t="n">
        <v>2291076</v>
      </c>
      <c r="K351" s="99">
        <f>IF(C351="III",ROUND(J351*$R$2,0),IF(C351="P3K/III",ROUND(J351*$R$2,0),0))</f>
        <v>0</v>
      </c>
      <c r="L351" s="99">
        <f>IF(C351="IV",ROUND(J351*$R$3,0),0)</f>
        <v>0</v>
      </c>
      <c r="M351" s="99" t="n">
        <v>0</v>
      </c>
      <c r="N351" s="99" t="n">
        <v>0</v>
      </c>
      <c r="O351" s="99" t="n">
        <v>0</v>
      </c>
      <c r="P351" s="42">
        <f>I351-SUM(K351:O351)</f>
        <v>2291076</v>
      </c>
    </row>
    <row r="352" spans="1:16">
      <c r="A352" s="37" t="n">
        <v>357</v>
      </c>
      <c r="B352" s="97" t="s">
        <v>1026</v>
      </c>
      <c r="C352" s="121" t="s">
        <v>283</v>
      </c>
      <c r="D352" s="121" t="s">
        <v>20</v>
      </c>
      <c r="E352" s="121" t="s">
        <v>21</v>
      </c>
      <c r="F352" s="98" t="n">
        <v>0</v>
      </c>
      <c r="G352" s="40" t="n">
        <v>0</v>
      </c>
      <c r="H352" s="121" t="s">
        <v>1027</v>
      </c>
      <c r="I352" s="99" t="n">
        <v>2194428</v>
      </c>
      <c r="J352" s="99" t="n">
        <v>2194428</v>
      </c>
      <c r="K352" s="99">
        <f>IF(C352="III",ROUND(J352*$R$2,0),IF(C352="P3K/III",ROUND(J352*$R$2,0),0))</f>
        <v>0</v>
      </c>
      <c r="L352" s="99">
        <f>IF(C352="IV",ROUND(J352*$R$3,0),0)</f>
        <v>0</v>
      </c>
      <c r="M352" s="99" t="n">
        <v>0</v>
      </c>
      <c r="N352" s="99" t="n">
        <v>0</v>
      </c>
      <c r="O352" s="99" t="n">
        <v>0</v>
      </c>
      <c r="P352" s="42">
        <f>I352-SUM(K352:O352)</f>
        <v>2194428</v>
      </c>
    </row>
    <row r="353" spans="1:16">
      <c r="A353" s="37" t="n">
        <v>358</v>
      </c>
      <c r="B353" s="97" t="s">
        <v>1028</v>
      </c>
      <c r="C353" s="121" t="s">
        <v>95</v>
      </c>
      <c r="D353" s="121" t="s">
        <v>124</v>
      </c>
      <c r="E353" s="121" t="s">
        <v>15</v>
      </c>
      <c r="F353" s="98" t="n">
        <v>0</v>
      </c>
      <c r="G353" s="40" t="n">
        <v>0</v>
      </c>
      <c r="H353" s="121" t="s">
        <v>1029</v>
      </c>
      <c r="I353" s="99" t="n">
        <v>2242807</v>
      </c>
      <c r="J353" s="99" t="n">
        <v>2242807</v>
      </c>
      <c r="K353" s="99">
        <f>IF(C353="III",ROUND(J353*$R$2,0),IF(C353="P3K/III",ROUND(J353*$R$2,0),0))</f>
        <v>0</v>
      </c>
      <c r="L353" s="99">
        <f>IF(C353="IV",ROUND(J353*$R$3,0),0)</f>
        <v>0</v>
      </c>
      <c r="M353" s="99" t="n">
        <v>0</v>
      </c>
      <c r="N353" s="99" t="n">
        <v>0</v>
      </c>
      <c r="O353" s="99" t="n">
        <v>0</v>
      </c>
      <c r="P353" s="42">
        <f>I353-SUM(K353:O353)</f>
        <v>2242807</v>
      </c>
    </row>
    <row r="354" spans="1:16">
      <c r="A354" s="37" t="n">
        <v>359</v>
      </c>
      <c r="B354" s="97" t="s">
        <v>1030</v>
      </c>
      <c r="C354" s="121" t="s">
        <v>95</v>
      </c>
      <c r="D354" s="121" t="s">
        <v>128</v>
      </c>
      <c r="E354" s="121" t="s">
        <v>15</v>
      </c>
      <c r="F354" s="98" t="n">
        <v>0</v>
      </c>
      <c r="G354" s="40" t="n">
        <v>0</v>
      </c>
      <c r="H354" s="121" t="s">
        <v>1031</v>
      </c>
      <c r="I354" s="99" t="n">
        <v>2242807</v>
      </c>
      <c r="J354" s="99" t="n">
        <v>2242807</v>
      </c>
      <c r="K354" s="99">
        <f>IF(C354="III",ROUND(J354*$R$2,0),IF(C354="P3K/III",ROUND(J354*$R$2,0),0))</f>
        <v>0</v>
      </c>
      <c r="L354" s="99">
        <f>IF(C354="IV",ROUND(J354*$R$3,0),0)</f>
        <v>0</v>
      </c>
      <c r="M354" s="99" t="n">
        <v>0</v>
      </c>
      <c r="N354" s="99" t="n">
        <v>0</v>
      </c>
      <c r="O354" s="99" t="n">
        <v>0</v>
      </c>
      <c r="P354" s="42">
        <f>I354-SUM(K354:O354)</f>
        <v>2242807</v>
      </c>
    </row>
    <row r="355" spans="1:16">
      <c r="A355" s="37" t="n">
        <v>360</v>
      </c>
      <c r="B355" s="97" t="s">
        <v>1032</v>
      </c>
      <c r="C355" s="121" t="s">
        <v>283</v>
      </c>
      <c r="D355" s="121" t="s">
        <v>20</v>
      </c>
      <c r="E355" s="121" t="s">
        <v>21</v>
      </c>
      <c r="F355" s="98" t="n">
        <v>0</v>
      </c>
      <c r="G355" s="40" t="n">
        <v>0</v>
      </c>
      <c r="H355" s="121" t="s">
        <v>1033</v>
      </c>
      <c r="I355" s="99" t="n">
        <v>1733748</v>
      </c>
      <c r="J355" s="99" t="n">
        <v>1733748</v>
      </c>
      <c r="K355" s="99">
        <f>IF(C355="III",ROUND(J355*$R$2,0),IF(C355="P3K/III",ROUND(J355*$R$2,0),0))</f>
        <v>0</v>
      </c>
      <c r="L355" s="99">
        <f>IF(C355="IV",ROUND(J355*$R$3,0),0)</f>
        <v>0</v>
      </c>
      <c r="M355" s="99" t="n">
        <v>0</v>
      </c>
      <c r="N355" s="99" t="n">
        <v>0</v>
      </c>
      <c r="O355" s="99" t="n">
        <v>0</v>
      </c>
      <c r="P355" s="42">
        <f>I355-SUM(K355:O355)</f>
        <v>1733748</v>
      </c>
    </row>
    <row r="356" spans="1:16">
      <c r="A356" s="37" t="n">
        <v>361</v>
      </c>
      <c r="B356" s="97" t="s">
        <v>1034</v>
      </c>
      <c r="C356" s="121" t="s">
        <v>95</v>
      </c>
      <c r="D356" s="121" t="s">
        <v>124</v>
      </c>
      <c r="E356" s="121" t="s">
        <v>15</v>
      </c>
      <c r="F356" s="98" t="n">
        <v>0</v>
      </c>
      <c r="G356" s="40" t="n">
        <v>0</v>
      </c>
      <c r="H356" s="121" t="s">
        <v>1035</v>
      </c>
      <c r="I356" s="99" t="n">
        <v>1395917</v>
      </c>
      <c r="J356" s="99" t="n">
        <v>1395917</v>
      </c>
      <c r="K356" s="99">
        <f>IF(C356="III",ROUND(J356*$R$2,0),IF(C356="P3K/III",ROUND(J356*$R$2,0),0))</f>
        <v>0</v>
      </c>
      <c r="L356" s="99">
        <f>IF(C356="IV",ROUND(J356*$R$3,0),0)</f>
        <v>0</v>
      </c>
      <c r="M356" s="99" t="n">
        <v>0</v>
      </c>
      <c r="N356" s="99" t="n">
        <v>0</v>
      </c>
      <c r="O356" s="99" t="n">
        <v>0</v>
      </c>
      <c r="P356" s="42">
        <f>I356-SUM(K356:O356)</f>
        <v>1395917</v>
      </c>
    </row>
    <row r="357" spans="1:16">
      <c r="A357" s="37" t="n">
        <v>362</v>
      </c>
      <c r="B357" s="97" t="s">
        <v>1036</v>
      </c>
      <c r="C357" s="121" t="s">
        <v>95</v>
      </c>
      <c r="D357" s="121" t="s">
        <v>121</v>
      </c>
      <c r="E357" s="121" t="s">
        <v>14</v>
      </c>
      <c r="F357" s="98" t="n">
        <v>0</v>
      </c>
      <c r="G357" s="40" t="n">
        <v>0</v>
      </c>
      <c r="H357" s="121" t="s">
        <v>1037</v>
      </c>
      <c r="I357" s="99" t="n">
        <v>1455012</v>
      </c>
      <c r="J357" s="99" t="n">
        <v>1455012</v>
      </c>
      <c r="K357" s="99">
        <f>IF(C357="III",ROUND(J357*$R$2,0),IF(C357="P3K/III",ROUND(J357*$R$2,0),0))</f>
        <v>0</v>
      </c>
      <c r="L357" s="99">
        <f>IF(C357="IV",ROUND(J357*$R$3,0),0)</f>
        <v>0</v>
      </c>
      <c r="M357" s="99" t="n">
        <v>0</v>
      </c>
      <c r="N357" s="99" t="n">
        <v>0</v>
      </c>
      <c r="O357" s="99" t="n">
        <v>0</v>
      </c>
      <c r="P357" s="42">
        <f>I357-SUM(K357:O357)</f>
        <v>1455012</v>
      </c>
    </row>
    <row r="358" spans="1:16">
      <c r="A358" s="37" t="n">
        <v>363</v>
      </c>
      <c r="B358" s="97" t="s">
        <v>1038</v>
      </c>
      <c r="C358" s="121" t="s">
        <v>95</v>
      </c>
      <c r="D358" s="121" t="s">
        <v>137</v>
      </c>
      <c r="E358" s="121" t="s">
        <v>14</v>
      </c>
      <c r="F358" s="98" t="n">
        <v>0</v>
      </c>
      <c r="G358" s="122" t="s">
        <v>1039</v>
      </c>
      <c r="H358" s="121" t="s">
        <v>1040</v>
      </c>
      <c r="I358" s="99" t="n">
        <v>1040435</v>
      </c>
      <c r="J358" s="99" t="n">
        <v>1040435</v>
      </c>
      <c r="K358" s="99">
        <f>IF(C358="III",ROUND(J358*$R$2,0),IF(C358="P3K/III",ROUND(J358*$R$2,0),0))</f>
        <v>0</v>
      </c>
      <c r="L358" s="99">
        <f>IF(C358="IV",ROUND(J358*$R$3,0),0)</f>
        <v>0</v>
      </c>
      <c r="M358" s="99" t="n">
        <v>0</v>
      </c>
      <c r="N358" s="99" t="n">
        <v>0</v>
      </c>
      <c r="O358" s="99" t="n">
        <v>0</v>
      </c>
      <c r="P358" s="42">
        <f>I358-SUM(K358:O358)</f>
        <v>1040435</v>
      </c>
    </row>
    <row r="359" spans="1:16">
      <c r="A359" s="37" t="n">
        <v>364</v>
      </c>
      <c r="B359" s="97" t="s">
        <v>1041</v>
      </c>
      <c r="C359" s="121" t="s">
        <v>58</v>
      </c>
      <c r="D359" s="121" t="s">
        <v>20</v>
      </c>
      <c r="E359" s="121" t="s">
        <v>21</v>
      </c>
      <c r="F359" s="121" t="s">
        <v>1042</v>
      </c>
      <c r="G359" s="122" t="s">
        <v>1043</v>
      </c>
      <c r="H359" s="121" t="s">
        <v>1044</v>
      </c>
      <c r="I359" s="99" t="n">
        <v>3702765</v>
      </c>
      <c r="J359" s="99" t="n">
        <v>3702765</v>
      </c>
      <c r="K359" s="99">
        <f>IF(C359="III",ROUND(J359*$R$2,0),IF(C359="P3K/III",ROUND(J359*$R$2,0),0))</f>
        <v>185138</v>
      </c>
      <c r="L359" s="99">
        <f>IF(C359="IV",ROUND(J359*$R$3,0),0)</f>
        <v>0</v>
      </c>
      <c r="M359" s="99" t="n">
        <v>0</v>
      </c>
      <c r="N359" s="99" t="n">
        <v>0</v>
      </c>
      <c r="O359" s="99" t="n">
        <v>0</v>
      </c>
      <c r="P359" s="42">
        <f>I359-SUM(K359:O359)</f>
        <v>3517627</v>
      </c>
    </row>
    <row r="360" spans="1:16">
      <c r="A360" s="37" t="n">
        <v>365</v>
      </c>
      <c r="B360" s="97" t="s">
        <v>1045</v>
      </c>
      <c r="C360" s="121" t="s">
        <v>58</v>
      </c>
      <c r="D360" s="121" t="s">
        <v>20</v>
      </c>
      <c r="E360" s="121" t="s">
        <v>21</v>
      </c>
      <c r="F360" s="121" t="s">
        <v>1046</v>
      </c>
      <c r="G360" s="122" t="s">
        <v>1047</v>
      </c>
      <c r="H360" s="121" t="s">
        <v>1048</v>
      </c>
      <c r="I360" s="99" t="n">
        <v>3054062</v>
      </c>
      <c r="J360" s="99" t="n">
        <v>3054062</v>
      </c>
      <c r="K360" s="99">
        <f>IF(C360="III",ROUND(J360*$R$2,0),IF(C360="P3K/III",ROUND(J360*$R$2,0),0))</f>
        <v>152703</v>
      </c>
      <c r="L360" s="99">
        <f>IF(C360="IV",ROUND(J360*$R$3,0),0)</f>
        <v>0</v>
      </c>
      <c r="M360" s="99" t="n">
        <v>0</v>
      </c>
      <c r="N360" s="99" t="n">
        <v>0</v>
      </c>
      <c r="O360" s="99" t="n">
        <v>0</v>
      </c>
      <c r="P360" s="42">
        <f>I360-SUM(K360:O360)</f>
        <v>2901359</v>
      </c>
    </row>
    <row r="361" spans="1:16">
      <c r="A361" s="37" t="n">
        <v>366</v>
      </c>
      <c r="B361" s="97" t="s">
        <v>1049</v>
      </c>
      <c r="C361" s="121" t="s">
        <v>283</v>
      </c>
      <c r="D361" s="121" t="s">
        <v>20</v>
      </c>
      <c r="E361" s="121" t="s">
        <v>21</v>
      </c>
      <c r="F361" s="98" t="n">
        <v>0</v>
      </c>
      <c r="G361" s="122" t="s">
        <v>1050</v>
      </c>
      <c r="H361" s="121" t="s">
        <v>1051</v>
      </c>
      <c r="I361" s="99" t="n">
        <v>2735759</v>
      </c>
      <c r="J361" s="99" t="n">
        <v>2735759</v>
      </c>
      <c r="K361" s="99">
        <f>IF(C361="III",ROUND(J361*$R$2,0),IF(C361="P3K/III",ROUND(J361*$R$2,0),0))</f>
        <v>0</v>
      </c>
      <c r="L361" s="99">
        <f>IF(C361="IV",ROUND(J361*$R$3,0),0)</f>
        <v>0</v>
      </c>
      <c r="M361" s="99" t="n">
        <v>0</v>
      </c>
      <c r="N361" s="99" t="n">
        <v>0</v>
      </c>
      <c r="O361" s="99" t="n">
        <v>0</v>
      </c>
      <c r="P361" s="42">
        <f>I361-SUM(K361:O361)</f>
        <v>2735759</v>
      </c>
    </row>
    <row r="362" spans="1:16">
      <c r="A362" s="37" t="n">
        <v>367</v>
      </c>
      <c r="B362" s="97" t="s">
        <v>1052</v>
      </c>
      <c r="C362" s="121" t="s">
        <v>283</v>
      </c>
      <c r="D362" s="121" t="s">
        <v>20</v>
      </c>
      <c r="E362" s="121" t="s">
        <v>21</v>
      </c>
      <c r="F362" s="98" t="n">
        <v>0</v>
      </c>
      <c r="G362" s="122" t="s">
        <v>1053</v>
      </c>
      <c r="H362" s="121" t="s">
        <v>1054</v>
      </c>
      <c r="I362" s="99" t="n">
        <v>2735759</v>
      </c>
      <c r="J362" s="99" t="n">
        <v>2735759</v>
      </c>
      <c r="K362" s="99">
        <f>IF(C362="III",ROUND(J362*$R$2,0),IF(C362="P3K/III",ROUND(J362*$R$2,0),0))</f>
        <v>0</v>
      </c>
      <c r="L362" s="99">
        <f>IF(C362="IV",ROUND(J362*$R$3,0),0)</f>
        <v>0</v>
      </c>
      <c r="M362" s="99" t="n">
        <v>0</v>
      </c>
      <c r="N362" s="99" t="n">
        <v>0</v>
      </c>
      <c r="O362" s="99" t="n">
        <v>0</v>
      </c>
      <c r="P362" s="42">
        <f>I362-SUM(K362:O362)</f>
        <v>2735759</v>
      </c>
    </row>
    <row r="363" spans="1:16">
      <c r="A363" s="37" t="n">
        <v>368</v>
      </c>
      <c r="B363" s="97" t="s">
        <v>1055</v>
      </c>
      <c r="C363" s="121" t="s">
        <v>111</v>
      </c>
      <c r="D363" s="121" t="s">
        <v>20</v>
      </c>
      <c r="E363" s="121" t="s">
        <v>21</v>
      </c>
      <c r="F363" s="121" t="s">
        <v>1056</v>
      </c>
      <c r="G363" s="122" t="s">
        <v>1057</v>
      </c>
      <c r="H363" s="121" t="s">
        <v>1058</v>
      </c>
      <c r="I363" s="99" t="n">
        <v>2735759</v>
      </c>
      <c r="J363" s="99" t="n">
        <v>2735759</v>
      </c>
      <c r="K363" s="99">
        <f>IF(C363="III",ROUND(J363*$R$2,0),IF(C363="P3K/III",ROUND(J363*$R$2,0),0))</f>
        <v>0</v>
      </c>
      <c r="L363" s="99">
        <f>IF(C363="IV",ROUND(J363*$R$3,0),0)</f>
        <v>0</v>
      </c>
      <c r="M363" s="99" t="n">
        <v>0</v>
      </c>
      <c r="N363" s="99" t="n">
        <v>0</v>
      </c>
      <c r="O363" s="99" t="n">
        <v>0</v>
      </c>
      <c r="P363" s="42">
        <f>I363-SUM(K363:O363)</f>
        <v>2735759</v>
      </c>
    </row>
    <row r="364" spans="1:16">
      <c r="A364" s="37" t="n">
        <v>369</v>
      </c>
      <c r="B364" s="97" t="s">
        <v>1059</v>
      </c>
      <c r="C364" s="121" t="s">
        <v>95</v>
      </c>
      <c r="D364" s="121" t="s">
        <v>124</v>
      </c>
      <c r="E364" s="121" t="s">
        <v>15</v>
      </c>
      <c r="F364" s="98" t="n">
        <v>0</v>
      </c>
      <c r="G364" s="122" t="s">
        <v>1060</v>
      </c>
      <c r="H364" s="121" t="s">
        <v>1061</v>
      </c>
      <c r="I364" s="99" t="n">
        <v>2195913</v>
      </c>
      <c r="J364" s="99" t="n">
        <v>2195913</v>
      </c>
      <c r="K364" s="99">
        <f>IF(C364="III",ROUND(J364*$R$2,0),IF(C364="P3K/III",ROUND(J364*$R$2,0),0))</f>
        <v>0</v>
      </c>
      <c r="L364" s="99">
        <f>IF(C364="IV",ROUND(J364*$R$3,0),0)</f>
        <v>0</v>
      </c>
      <c r="M364" s="99" t="n">
        <v>0</v>
      </c>
      <c r="N364" s="99" t="n">
        <v>0</v>
      </c>
      <c r="O364" s="99" t="n">
        <v>0</v>
      </c>
      <c r="P364" s="42">
        <f>I364-SUM(K364:O364)</f>
        <v>2195913</v>
      </c>
    </row>
    <row r="365" spans="1:16">
      <c r="A365" s="37" t="n">
        <v>370</v>
      </c>
      <c r="B365" s="97" t="s">
        <v>1062</v>
      </c>
      <c r="C365" s="121" t="s">
        <v>58</v>
      </c>
      <c r="D365" s="121" t="s">
        <v>20</v>
      </c>
      <c r="E365" s="121" t="s">
        <v>21</v>
      </c>
      <c r="F365" s="121" t="s">
        <v>1063</v>
      </c>
      <c r="G365" s="122" t="s">
        <v>1064</v>
      </c>
      <c r="H365" s="121" t="s">
        <v>1065</v>
      </c>
      <c r="I365" s="99" t="n">
        <v>2784138</v>
      </c>
      <c r="J365" s="99" t="n">
        <v>2784138</v>
      </c>
      <c r="K365" s="99">
        <f>IF(C365="III",ROUND(J365*$R$2,0),IF(C365="P3K/III",ROUND(J365*$R$2,0),0))</f>
        <v>139207</v>
      </c>
      <c r="L365" s="99">
        <f>IF(C365="IV",ROUND(J365*$R$3,0),0)</f>
        <v>0</v>
      </c>
      <c r="M365" s="99" t="n">
        <v>0</v>
      </c>
      <c r="N365" s="99" t="n">
        <v>0</v>
      </c>
      <c r="O365" s="99" t="n">
        <v>0</v>
      </c>
      <c r="P365" s="42">
        <f>I365-SUM(K365:O365)</f>
        <v>2644931</v>
      </c>
    </row>
    <row r="366" spans="1:16">
      <c r="A366" s="37" t="n">
        <v>371</v>
      </c>
      <c r="B366" s="97" t="s">
        <v>1066</v>
      </c>
      <c r="C366" s="121" t="s">
        <v>131</v>
      </c>
      <c r="D366" s="121" t="s">
        <v>20</v>
      </c>
      <c r="E366" s="121" t="s">
        <v>21</v>
      </c>
      <c r="F366" s="121" t="s">
        <v>1067</v>
      </c>
      <c r="G366" s="122" t="s">
        <v>1068</v>
      </c>
      <c r="H366" s="121" t="s">
        <v>1069</v>
      </c>
      <c r="I366" s="99" t="n">
        <v>2127052</v>
      </c>
      <c r="J366" s="99" t="n">
        <v>2127052</v>
      </c>
      <c r="K366" s="99">
        <f>IF(C366="III",ROUND(J366*$R$2,0),IF(C366="P3K/III",ROUND(J366*$R$2,0),0))</f>
        <v>106353</v>
      </c>
      <c r="L366" s="99">
        <f>IF(C366="IV",ROUND(J366*$R$3,0),0)</f>
        <v>0</v>
      </c>
      <c r="M366" s="99" t="n">
        <v>0</v>
      </c>
      <c r="N366" s="99" t="n">
        <v>0</v>
      </c>
      <c r="O366" s="99" t="n">
        <v>0</v>
      </c>
      <c r="P366" s="42">
        <f>I366-SUM(K366:O366)</f>
        <v>2020699</v>
      </c>
    </row>
    <row r="367" spans="1:16">
      <c r="A367" s="37" t="n">
        <v>372</v>
      </c>
      <c r="B367" s="97" t="s">
        <v>1070</v>
      </c>
      <c r="C367" s="121" t="s">
        <v>283</v>
      </c>
      <c r="D367" s="121" t="s">
        <v>20</v>
      </c>
      <c r="E367" s="121" t="s">
        <v>21</v>
      </c>
      <c r="F367" s="98" t="n">
        <v>0</v>
      </c>
      <c r="G367" s="40" t="n">
        <v>0</v>
      </c>
      <c r="H367" s="121" t="s">
        <v>1071</v>
      </c>
      <c r="I367" s="99" t="n">
        <v>2147534</v>
      </c>
      <c r="J367" s="99" t="n">
        <v>2147534</v>
      </c>
      <c r="K367" s="99">
        <f>IF(C367="III",ROUND(J367*$R$2,0),IF(C367="P3K/III",ROUND(J367*$R$2,0),0))</f>
        <v>0</v>
      </c>
      <c r="L367" s="99">
        <f>IF(C367="IV",ROUND(J367*$R$3,0),0)</f>
        <v>0</v>
      </c>
      <c r="M367" s="99" t="n">
        <v>0</v>
      </c>
      <c r="N367" s="99" t="n">
        <v>0</v>
      </c>
      <c r="O367" s="99" t="n">
        <v>0</v>
      </c>
      <c r="P367" s="42">
        <f>I367-SUM(K367:O367)</f>
        <v>2147534</v>
      </c>
    </row>
    <row r="368" spans="1:16">
      <c r="A368" s="37" t="n">
        <v>373</v>
      </c>
      <c r="B368" s="97" t="s">
        <v>1072</v>
      </c>
      <c r="C368" s="121" t="s">
        <v>95</v>
      </c>
      <c r="D368" s="121" t="s">
        <v>121</v>
      </c>
      <c r="E368" s="121" t="s">
        <v>14</v>
      </c>
      <c r="F368" s="98" t="n">
        <v>0</v>
      </c>
      <c r="G368" s="122" t="s">
        <v>1073</v>
      </c>
      <c r="H368" s="121" t="s">
        <v>1074</v>
      </c>
      <c r="I368" s="99" t="n">
        <v>284225</v>
      </c>
      <c r="J368" s="99" t="n">
        <v>284225</v>
      </c>
      <c r="K368" s="99">
        <f>IF(C368="III",ROUND(J368*$R$2,0),IF(C368="P3K/III",ROUND(J368*$R$2,0),0))</f>
        <v>0</v>
      </c>
      <c r="L368" s="99">
        <f>IF(C368="IV",ROUND(J368*$R$3,0),0)</f>
        <v>0</v>
      </c>
      <c r="M368" s="99" t="n">
        <v>0</v>
      </c>
      <c r="N368" s="99" t="n">
        <v>0</v>
      </c>
      <c r="O368" s="99" t="n">
        <v>0</v>
      </c>
      <c r="P368" s="42">
        <f>I368-SUM(K368:O368)</f>
        <v>284225</v>
      </c>
    </row>
    <row r="369" spans="1:16">
      <c r="A369" s="37" t="n">
        <v>374</v>
      </c>
      <c r="B369" s="97" t="s">
        <v>1075</v>
      </c>
      <c r="C369" s="121" t="s">
        <v>120</v>
      </c>
      <c r="D369" s="121" t="s">
        <v>124</v>
      </c>
      <c r="E369" s="121" t="s">
        <v>15</v>
      </c>
      <c r="F369" s="98" t="n">
        <v>0</v>
      </c>
      <c r="G369" s="40" t="n">
        <v>0</v>
      </c>
      <c r="H369" s="121" t="s">
        <v>1076</v>
      </c>
      <c r="I369" s="99" t="n">
        <v>2195913</v>
      </c>
      <c r="J369" s="99" t="n">
        <v>2195913</v>
      </c>
      <c r="K369" s="99">
        <f>IF(C369="III",ROUND(J369*$R$2,0),IF(C369="P3K/III",ROUND(J369*$R$2,0),0))</f>
        <v>0</v>
      </c>
      <c r="L369" s="99">
        <f>IF(C369="IV",ROUND(J369*$R$3,0),0)</f>
        <v>0</v>
      </c>
      <c r="M369" s="99" t="n">
        <v>0</v>
      </c>
      <c r="N369" s="99" t="n">
        <v>0</v>
      </c>
      <c r="O369" s="99" t="n">
        <v>0</v>
      </c>
      <c r="P369" s="42">
        <f>I369-SUM(K369:O369)</f>
        <v>2195913</v>
      </c>
    </row>
    <row r="370" spans="1:16">
      <c r="A370" s="37" t="n">
        <v>375</v>
      </c>
      <c r="B370" s="97" t="s">
        <v>1077</v>
      </c>
      <c r="C370" s="121" t="s">
        <v>95</v>
      </c>
      <c r="D370" s="121" t="s">
        <v>121</v>
      </c>
      <c r="E370" s="121" t="s">
        <v>14</v>
      </c>
      <c r="F370" s="98" t="n">
        <v>0</v>
      </c>
      <c r="G370" s="40" t="n">
        <v>0</v>
      </c>
      <c r="H370" s="121" t="s">
        <v>1078</v>
      </c>
      <c r="I370" s="99" t="n">
        <v>971084</v>
      </c>
      <c r="J370" s="99" t="n">
        <v>971084</v>
      </c>
      <c r="K370" s="99">
        <f>IF(C370="III",ROUND(J370*$R$2,0),IF(C370="P3K/III",ROUND(J370*$R$2,0),0))</f>
        <v>0</v>
      </c>
      <c r="L370" s="99">
        <f>IF(C370="IV",ROUND(J370*$R$3,0),0)</f>
        <v>0</v>
      </c>
      <c r="M370" s="99" t="n">
        <v>0</v>
      </c>
      <c r="N370" s="99" t="n">
        <v>0</v>
      </c>
      <c r="O370" s="99" t="n">
        <v>0</v>
      </c>
      <c r="P370" s="42">
        <f>I370-SUM(K370:O370)</f>
        <v>971084</v>
      </c>
    </row>
    <row r="371" spans="1:16">
      <c r="A371" s="37" t="n">
        <v>376</v>
      </c>
      <c r="B371" s="97" t="s">
        <v>1079</v>
      </c>
      <c r="C371" s="121" t="s">
        <v>95</v>
      </c>
      <c r="D371" s="121" t="s">
        <v>124</v>
      </c>
      <c r="E371" s="121" t="s">
        <v>15</v>
      </c>
      <c r="F371" s="98" t="n">
        <v>0</v>
      </c>
      <c r="G371" s="40" t="n">
        <v>0</v>
      </c>
      <c r="H371" s="121" t="s">
        <v>1080</v>
      </c>
      <c r="I371" s="99" t="n">
        <v>971084</v>
      </c>
      <c r="J371" s="99" t="n">
        <v>971084</v>
      </c>
      <c r="K371" s="99">
        <f>IF(C371="III",ROUND(J371*$R$2,0),IF(C371="P3K/III",ROUND(J371*$R$2,0),0))</f>
        <v>0</v>
      </c>
      <c r="L371" s="99">
        <f>IF(C371="IV",ROUND(J371*$R$3,0),0)</f>
        <v>0</v>
      </c>
      <c r="M371" s="99" t="n">
        <v>0</v>
      </c>
      <c r="N371" s="99" t="n">
        <v>0</v>
      </c>
      <c r="O371" s="99" t="n">
        <v>0</v>
      </c>
      <c r="P371" s="42">
        <f>I371-SUM(K371:O371)</f>
        <v>971084</v>
      </c>
    </row>
    <row r="372" spans="1:16">
      <c r="A372" s="37" t="n">
        <v>377</v>
      </c>
      <c r="B372" s="97" t="s">
        <v>1081</v>
      </c>
      <c r="C372" s="121" t="s">
        <v>95</v>
      </c>
      <c r="D372" s="121" t="s">
        <v>121</v>
      </c>
      <c r="E372" s="121" t="s">
        <v>14</v>
      </c>
      <c r="F372" s="98" t="n">
        <v>0</v>
      </c>
      <c r="G372" s="40" t="n">
        <v>0</v>
      </c>
      <c r="H372" s="121" t="s">
        <v>1082</v>
      </c>
      <c r="I372" s="99" t="n">
        <v>971084</v>
      </c>
      <c r="J372" s="99" t="n">
        <v>971084</v>
      </c>
      <c r="K372" s="99">
        <f>IF(C372="III",ROUND(J372*$R$2,0),IF(C372="P3K/III",ROUND(J372*$R$2,0),0))</f>
        <v>0</v>
      </c>
      <c r="L372" s="99">
        <f>IF(C372="IV",ROUND(J372*$R$3,0),0)</f>
        <v>0</v>
      </c>
      <c r="M372" s="99" t="n">
        <v>0</v>
      </c>
      <c r="N372" s="99" t="n">
        <v>0</v>
      </c>
      <c r="O372" s="99" t="n">
        <v>0</v>
      </c>
      <c r="P372" s="42">
        <f>I372-SUM(K372:O372)</f>
        <v>971084</v>
      </c>
    </row>
    <row r="373" spans="1:16">
      <c r="A373" s="37" t="n">
        <v>378</v>
      </c>
      <c r="B373" s="97" t="s">
        <v>1083</v>
      </c>
      <c r="C373" s="121" t="s">
        <v>95</v>
      </c>
      <c r="D373" s="121" t="s">
        <v>137</v>
      </c>
      <c r="E373" s="121" t="s">
        <v>14</v>
      </c>
      <c r="F373" s="98" t="n">
        <v>0</v>
      </c>
      <c r="G373" s="40" t="n">
        <v>0</v>
      </c>
      <c r="H373" s="121" t="s">
        <v>1084</v>
      </c>
      <c r="I373" s="99" t="n">
        <v>971084</v>
      </c>
      <c r="J373" s="99" t="n">
        <v>971084</v>
      </c>
      <c r="K373" s="99">
        <f>IF(C373="III",ROUND(J373*$R$2,0),IF(C373="P3K/III",ROUND(J373*$R$2,0),0))</f>
        <v>0</v>
      </c>
      <c r="L373" s="99">
        <f>IF(C373="IV",ROUND(J373*$R$3,0),0)</f>
        <v>0</v>
      </c>
      <c r="M373" s="99" t="n">
        <v>0</v>
      </c>
      <c r="N373" s="99" t="n">
        <v>0</v>
      </c>
      <c r="O373" s="99" t="n">
        <v>0</v>
      </c>
      <c r="P373" s="42">
        <f>I373-SUM(K373:O373)</f>
        <v>971084</v>
      </c>
    </row>
    <row r="374" spans="1:16">
      <c r="A374" s="37" t="n">
        <v>379</v>
      </c>
      <c r="B374" s="97" t="s">
        <v>1085</v>
      </c>
      <c r="C374" s="121" t="s">
        <v>95</v>
      </c>
      <c r="D374" s="121" t="s">
        <v>121</v>
      </c>
      <c r="E374" s="121" t="s">
        <v>14</v>
      </c>
      <c r="F374" s="98" t="n">
        <v>0</v>
      </c>
      <c r="G374" s="122" t="s">
        <v>1086</v>
      </c>
      <c r="H374" s="121" t="s">
        <v>1087</v>
      </c>
      <c r="I374" s="99" t="n">
        <v>1040435</v>
      </c>
      <c r="J374" s="99" t="n">
        <v>1040435</v>
      </c>
      <c r="K374" s="99">
        <f>IF(C374="III",ROUND(J374*$R$2,0),IF(C374="P3K/III",ROUND(J374*$R$2,0),0))</f>
        <v>0</v>
      </c>
      <c r="L374" s="99">
        <f>IF(C374="IV",ROUND(J374*$R$3,0),0)</f>
        <v>0</v>
      </c>
      <c r="M374" s="99" t="n">
        <v>0</v>
      </c>
      <c r="N374" s="99" t="n">
        <v>0</v>
      </c>
      <c r="O374" s="99" t="n">
        <v>0</v>
      </c>
      <c r="P374" s="42">
        <f>I374-SUM(K374:O374)</f>
        <v>1040435</v>
      </c>
    </row>
    <row r="375" spans="1:16">
      <c r="A375" s="37" t="n">
        <v>380</v>
      </c>
      <c r="B375" s="97" t="s">
        <v>1088</v>
      </c>
      <c r="C375" s="121" t="s">
        <v>58</v>
      </c>
      <c r="D375" s="121" t="s">
        <v>20</v>
      </c>
      <c r="E375" s="121" t="s">
        <v>21</v>
      </c>
      <c r="F375" s="121" t="s">
        <v>1089</v>
      </c>
      <c r="G375" s="122" t="s">
        <v>1090</v>
      </c>
      <c r="H375" s="121" t="s">
        <v>1091</v>
      </c>
      <c r="I375" s="99" t="n">
        <v>3889448</v>
      </c>
      <c r="J375" s="99" t="n">
        <v>3889448</v>
      </c>
      <c r="K375" s="99">
        <f>IF(C375="III",ROUND(J375*$R$2,0),IF(C375="P3K/III",ROUND(J375*$R$2,0),0))</f>
        <v>194472</v>
      </c>
      <c r="L375" s="99">
        <f>IF(C375="IV",ROUND(J375*$R$3,0),0)</f>
        <v>0</v>
      </c>
      <c r="M375" s="99" t="n">
        <v>0</v>
      </c>
      <c r="N375" s="99" t="n">
        <v>0</v>
      </c>
      <c r="O375" s="99" t="n">
        <v>0</v>
      </c>
      <c r="P375" s="42">
        <f>I375-SUM(K375:O375)</f>
        <v>3694976</v>
      </c>
    </row>
    <row r="376" spans="1:16">
      <c r="A376" s="37" t="n">
        <v>381</v>
      </c>
      <c r="B376" s="97" t="s">
        <v>1092</v>
      </c>
      <c r="C376" s="121" t="s">
        <v>58</v>
      </c>
      <c r="D376" s="121" t="s">
        <v>20</v>
      </c>
      <c r="E376" s="121" t="s">
        <v>21</v>
      </c>
      <c r="F376" s="121" t="s">
        <v>1093</v>
      </c>
      <c r="G376" s="122" t="s">
        <v>1094</v>
      </c>
      <c r="H376" s="121" t="s">
        <v>1095</v>
      </c>
      <c r="I376" s="99" t="n">
        <v>3223973</v>
      </c>
      <c r="J376" s="99" t="n">
        <v>3223973</v>
      </c>
      <c r="K376" s="99">
        <f>IF(C376="III",ROUND(J376*$R$2,0),IF(C376="P3K/III",ROUND(J376*$R$2,0),0))</f>
        <v>161199</v>
      </c>
      <c r="L376" s="99">
        <f>IF(C376="IV",ROUND(J376*$R$3,0),0)</f>
        <v>0</v>
      </c>
      <c r="M376" s="99" t="n">
        <v>0</v>
      </c>
      <c r="N376" s="99" t="n">
        <v>0</v>
      </c>
      <c r="O376" s="99" t="n">
        <v>0</v>
      </c>
      <c r="P376" s="42">
        <f>I376-SUM(K376:O376)</f>
        <v>3062774</v>
      </c>
    </row>
    <row r="377" spans="1:16">
      <c r="A377" s="37" t="n">
        <v>382</v>
      </c>
      <c r="B377" s="97" t="s">
        <v>1096</v>
      </c>
      <c r="C377" s="121" t="s">
        <v>58</v>
      </c>
      <c r="D377" s="121" t="s">
        <v>20</v>
      </c>
      <c r="E377" s="121" t="s">
        <v>21</v>
      </c>
      <c r="F377" s="121" t="s">
        <v>1097</v>
      </c>
      <c r="G377" s="122" t="s">
        <v>1098</v>
      </c>
      <c r="H377" s="121" t="s">
        <v>1099</v>
      </c>
      <c r="I377" s="99" t="n">
        <v>2914334</v>
      </c>
      <c r="J377" s="99" t="n">
        <v>2914334</v>
      </c>
      <c r="K377" s="99">
        <f>IF(C377="III",ROUND(J377*$R$2,0),IF(C377="P3K/III",ROUND(J377*$R$2,0),0))</f>
        <v>145717</v>
      </c>
      <c r="L377" s="99">
        <f>IF(C377="IV",ROUND(J377*$R$3,0),0)</f>
        <v>0</v>
      </c>
      <c r="M377" s="99" t="n">
        <v>0</v>
      </c>
      <c r="N377" s="99" t="n">
        <v>0</v>
      </c>
      <c r="O377" s="99" t="n">
        <v>0</v>
      </c>
      <c r="P377" s="42">
        <f>I377-SUM(K377:O377)</f>
        <v>2768617</v>
      </c>
    </row>
    <row r="378" spans="1:16">
      <c r="A378" s="37" t="n">
        <v>383</v>
      </c>
      <c r="B378" s="97" t="s">
        <v>1100</v>
      </c>
      <c r="C378" s="121" t="s">
        <v>58</v>
      </c>
      <c r="D378" s="121" t="s">
        <v>20</v>
      </c>
      <c r="E378" s="121" t="s">
        <v>21</v>
      </c>
      <c r="F378" s="121" t="s">
        <v>1101</v>
      </c>
      <c r="G378" s="122" t="s">
        <v>1102</v>
      </c>
      <c r="H378" s="121" t="s">
        <v>1103</v>
      </c>
      <c r="I378" s="99" t="n">
        <v>2909377</v>
      </c>
      <c r="J378" s="99" t="n">
        <v>2909377</v>
      </c>
      <c r="K378" s="99">
        <f>IF(C378="III",ROUND(J378*$R$2,0),IF(C378="P3K/III",ROUND(J378*$R$2,0),0))</f>
        <v>145469</v>
      </c>
      <c r="L378" s="99">
        <f>IF(C378="IV",ROUND(J378*$R$3,0),0)</f>
        <v>0</v>
      </c>
      <c r="M378" s="99" t="n">
        <v>0</v>
      </c>
      <c r="N378" s="99" t="n">
        <v>0</v>
      </c>
      <c r="O378" s="99" t="n">
        <v>0</v>
      </c>
      <c r="P378" s="42">
        <f>I378-SUM(K378:O378)</f>
        <v>2763908</v>
      </c>
    </row>
    <row r="379" spans="1:16">
      <c r="A379" s="37" t="n">
        <v>384</v>
      </c>
      <c r="B379" s="97" t="s">
        <v>1104</v>
      </c>
      <c r="C379" s="121" t="s">
        <v>283</v>
      </c>
      <c r="D379" s="121" t="s">
        <v>20</v>
      </c>
      <c r="E379" s="121" t="s">
        <v>21</v>
      </c>
      <c r="F379" s="98" t="n">
        <v>0</v>
      </c>
      <c r="G379" s="40" t="n">
        <v>0</v>
      </c>
      <c r="H379" s="121" t="s">
        <v>1105</v>
      </c>
      <c r="I379" s="99" t="n">
        <v>2860998</v>
      </c>
      <c r="J379" s="99" t="n">
        <v>2860998</v>
      </c>
      <c r="K379" s="99">
        <f>IF(C379="III",ROUND(J379*$R$2,0),IF(C379="P3K/III",ROUND(J379*$R$2,0),0))</f>
        <v>0</v>
      </c>
      <c r="L379" s="99">
        <f>IF(C379="IV",ROUND(J379*$R$3,0),0)</f>
        <v>0</v>
      </c>
      <c r="M379" s="99" t="n">
        <v>0</v>
      </c>
      <c r="N379" s="99" t="n">
        <v>0</v>
      </c>
      <c r="O379" s="99" t="n">
        <v>0</v>
      </c>
      <c r="P379" s="42">
        <f>I379-SUM(K379:O379)</f>
        <v>2860998</v>
      </c>
    </row>
    <row r="380" spans="1:16">
      <c r="A380" s="37" t="n">
        <v>385</v>
      </c>
      <c r="B380" s="97" t="s">
        <v>1106</v>
      </c>
      <c r="C380" s="121" t="s">
        <v>283</v>
      </c>
      <c r="D380" s="121" t="s">
        <v>20</v>
      </c>
      <c r="E380" s="121" t="s">
        <v>21</v>
      </c>
      <c r="F380" s="98" t="n">
        <v>0</v>
      </c>
      <c r="G380" s="40" t="n">
        <v>0</v>
      </c>
      <c r="H380" s="121" t="s">
        <v>1107</v>
      </c>
      <c r="I380" s="99" t="n">
        <v>2860998</v>
      </c>
      <c r="J380" s="99" t="n">
        <v>2860998</v>
      </c>
      <c r="K380" s="99">
        <f>IF(C380="III",ROUND(J380*$R$2,0),IF(C380="P3K/III",ROUND(J380*$R$2,0),0))</f>
        <v>0</v>
      </c>
      <c r="L380" s="99">
        <f>IF(C380="IV",ROUND(J380*$R$3,0),0)</f>
        <v>0</v>
      </c>
      <c r="M380" s="99" t="n">
        <v>0</v>
      </c>
      <c r="N380" s="99" t="n">
        <v>0</v>
      </c>
      <c r="O380" s="99" t="n">
        <v>0</v>
      </c>
      <c r="P380" s="42">
        <f>I380-SUM(K380:O380)</f>
        <v>2860998</v>
      </c>
    </row>
    <row r="381" spans="1:16">
      <c r="A381" s="37" t="n">
        <v>386</v>
      </c>
      <c r="B381" s="97" t="s">
        <v>1108</v>
      </c>
      <c r="C381" s="121" t="s">
        <v>95</v>
      </c>
      <c r="D381" s="121" t="s">
        <v>137</v>
      </c>
      <c r="E381" s="121" t="s">
        <v>14</v>
      </c>
      <c r="F381" s="98" t="n">
        <v>0</v>
      </c>
      <c r="G381" s="40" t="n">
        <v>0</v>
      </c>
      <c r="H381" s="121" t="s">
        <v>1109</v>
      </c>
      <c r="I381" s="99" t="n">
        <v>2546403</v>
      </c>
      <c r="J381" s="99" t="n">
        <v>2546403</v>
      </c>
      <c r="K381" s="99">
        <f>IF(C381="III",ROUND(J381*$R$2,0),IF(C381="P3K/III",ROUND(J381*$R$2,0),0))</f>
        <v>0</v>
      </c>
      <c r="L381" s="99">
        <f>IF(C381="IV",ROUND(J381*$R$3,0),0)</f>
        <v>0</v>
      </c>
      <c r="M381" s="99" t="n">
        <v>0</v>
      </c>
      <c r="N381" s="99" t="n">
        <v>0</v>
      </c>
      <c r="O381" s="99" t="n">
        <v>0</v>
      </c>
      <c r="P381" s="42">
        <f>I381-SUM(K381:O381)</f>
        <v>2546403</v>
      </c>
    </row>
    <row r="382" spans="1:16">
      <c r="A382" s="37" t="n">
        <v>387</v>
      </c>
      <c r="B382" s="97" t="s">
        <v>1110</v>
      </c>
      <c r="C382" s="121" t="s">
        <v>283</v>
      </c>
      <c r="D382" s="121" t="s">
        <v>20</v>
      </c>
      <c r="E382" s="121" t="s">
        <v>21</v>
      </c>
      <c r="F382" s="98" t="n">
        <v>0</v>
      </c>
      <c r="G382" s="40" t="n">
        <v>0</v>
      </c>
      <c r="H382" s="121" t="s">
        <v>1111</v>
      </c>
      <c r="I382" s="99" t="n">
        <v>2860998</v>
      </c>
      <c r="J382" s="99" t="n">
        <v>2860998</v>
      </c>
      <c r="K382" s="99">
        <f>IF(C382="III",ROUND(J382*$R$2,0),IF(C382="P3K/III",ROUND(J382*$R$2,0),0))</f>
        <v>0</v>
      </c>
      <c r="L382" s="99">
        <f>IF(C382="IV",ROUND(J382*$R$3,0),0)</f>
        <v>0</v>
      </c>
      <c r="M382" s="99" t="n">
        <v>0</v>
      </c>
      <c r="N382" s="99" t="n">
        <v>0</v>
      </c>
      <c r="O382" s="99" t="n">
        <v>0</v>
      </c>
      <c r="P382" s="42">
        <f>I382-SUM(K382:O382)</f>
        <v>2860998</v>
      </c>
    </row>
    <row r="383" spans="1:16">
      <c r="A383" s="37" t="n">
        <v>388</v>
      </c>
      <c r="B383" s="97" t="s">
        <v>1112</v>
      </c>
      <c r="C383" s="121" t="s">
        <v>131</v>
      </c>
      <c r="D383" s="121" t="s">
        <v>20</v>
      </c>
      <c r="E383" s="121" t="s">
        <v>21</v>
      </c>
      <c r="F383" s="121" t="s">
        <v>1113</v>
      </c>
      <c r="G383" s="122" t="s">
        <v>1114</v>
      </c>
      <c r="H383" s="121" t="s">
        <v>1115</v>
      </c>
      <c r="I383" s="99" t="n">
        <v>2238995</v>
      </c>
      <c r="J383" s="99" t="n">
        <v>2238995</v>
      </c>
      <c r="K383" s="99">
        <f>IF(C383="III",ROUND(J383*$R$2,0),IF(C383="P3K/III",ROUND(J383*$R$2,0),0))</f>
        <v>111950</v>
      </c>
      <c r="L383" s="99">
        <f>IF(C383="IV",ROUND(J383*$R$3,0),0)</f>
        <v>0</v>
      </c>
      <c r="M383" s="99" t="n">
        <v>0</v>
      </c>
      <c r="N383" s="99" t="n">
        <v>0</v>
      </c>
      <c r="O383" s="99" t="n">
        <v>0</v>
      </c>
      <c r="P383" s="42">
        <f>I383-SUM(K383:O383)</f>
        <v>2127045</v>
      </c>
    </row>
    <row r="384" spans="1:16">
      <c r="A384" s="37" t="n">
        <v>389</v>
      </c>
      <c r="B384" s="97" t="s">
        <v>1116</v>
      </c>
      <c r="C384" s="121" t="s">
        <v>283</v>
      </c>
      <c r="D384" s="121" t="s">
        <v>20</v>
      </c>
      <c r="E384" s="121" t="s">
        <v>21</v>
      </c>
      <c r="F384" s="98" t="n">
        <v>0</v>
      </c>
      <c r="G384" s="122" t="s">
        <v>1117</v>
      </c>
      <c r="H384" s="121" t="s">
        <v>1118</v>
      </c>
      <c r="I384" s="99" t="n">
        <v>2570593</v>
      </c>
      <c r="J384" s="99" t="n">
        <v>2570593</v>
      </c>
      <c r="K384" s="99">
        <f>IF(C384="III",ROUND(J384*$R$2,0),IF(C384="P3K/III",ROUND(J384*$R$2,0),0))</f>
        <v>0</v>
      </c>
      <c r="L384" s="99">
        <f>IF(C384="IV",ROUND(J384*$R$3,0),0)</f>
        <v>0</v>
      </c>
      <c r="M384" s="99" t="n">
        <v>0</v>
      </c>
      <c r="N384" s="99" t="n">
        <v>0</v>
      </c>
      <c r="O384" s="99" t="n">
        <v>0</v>
      </c>
      <c r="P384" s="42">
        <f>I384-SUM(K384:O384)</f>
        <v>2570593</v>
      </c>
    </row>
    <row r="385" spans="1:16">
      <c r="A385" s="37" t="n">
        <v>390</v>
      </c>
      <c r="B385" s="97" t="s">
        <v>1119</v>
      </c>
      <c r="C385" s="121" t="s">
        <v>283</v>
      </c>
      <c r="D385" s="121" t="s">
        <v>20</v>
      </c>
      <c r="E385" s="121" t="s">
        <v>21</v>
      </c>
      <c r="F385" s="98" t="n">
        <v>0</v>
      </c>
      <c r="G385" s="122" t="s">
        <v>1120</v>
      </c>
      <c r="H385" s="121" t="s">
        <v>1121</v>
      </c>
      <c r="I385" s="99" t="n">
        <v>2546403</v>
      </c>
      <c r="J385" s="99" t="n">
        <v>2546403</v>
      </c>
      <c r="K385" s="99">
        <f>IF(C385="III",ROUND(J385*$R$2,0),IF(C385="P3K/III",ROUND(J385*$R$2,0),0))</f>
        <v>0</v>
      </c>
      <c r="L385" s="99">
        <f>IF(C385="IV",ROUND(J385*$R$3,0),0)</f>
        <v>0</v>
      </c>
      <c r="M385" s="99" t="n">
        <v>0</v>
      </c>
      <c r="N385" s="99" t="n">
        <v>0</v>
      </c>
      <c r="O385" s="99" t="n">
        <v>0</v>
      </c>
      <c r="P385" s="42">
        <f>I385-SUM(K385:O385)</f>
        <v>2546403</v>
      </c>
    </row>
    <row r="386" spans="1:16">
      <c r="A386" s="37" t="n">
        <v>391</v>
      </c>
      <c r="B386" s="97" t="s">
        <v>1122</v>
      </c>
      <c r="C386" s="121" t="s">
        <v>283</v>
      </c>
      <c r="D386" s="121" t="s">
        <v>20</v>
      </c>
      <c r="E386" s="121" t="s">
        <v>21</v>
      </c>
      <c r="F386" s="98" t="n">
        <v>0</v>
      </c>
      <c r="G386" s="122" t="s">
        <v>1123</v>
      </c>
      <c r="H386" s="121" t="s">
        <v>1124</v>
      </c>
      <c r="I386" s="99" t="n">
        <v>2546403</v>
      </c>
      <c r="J386" s="99" t="n">
        <v>2546403</v>
      </c>
      <c r="K386" s="99">
        <f>IF(C386="III",ROUND(J386*$R$2,0),IF(C386="P3K/III",ROUND(J386*$R$2,0),0))</f>
        <v>0</v>
      </c>
      <c r="L386" s="99">
        <f>IF(C386="IV",ROUND(J386*$R$3,0),0)</f>
        <v>0</v>
      </c>
      <c r="M386" s="99" t="n">
        <v>0</v>
      </c>
      <c r="N386" s="99" t="n">
        <v>0</v>
      </c>
      <c r="O386" s="99" t="n">
        <v>0</v>
      </c>
      <c r="P386" s="42">
        <f>I386-SUM(K386:O386)</f>
        <v>2546403</v>
      </c>
    </row>
    <row r="387" spans="1:16">
      <c r="A387" s="37" t="n">
        <v>392</v>
      </c>
      <c r="B387" s="97" t="s">
        <v>1125</v>
      </c>
      <c r="C387" s="121" t="s">
        <v>120</v>
      </c>
      <c r="D387" s="121" t="s">
        <v>128</v>
      </c>
      <c r="E387" s="121" t="s">
        <v>15</v>
      </c>
      <c r="F387" s="98" t="n">
        <v>0</v>
      </c>
      <c r="G387" s="122" t="s">
        <v>1126</v>
      </c>
      <c r="H387" s="121" t="s">
        <v>1127</v>
      </c>
      <c r="I387" s="99" t="n">
        <v>2546403</v>
      </c>
      <c r="J387" s="99" t="n">
        <v>2546403</v>
      </c>
      <c r="K387" s="99">
        <f>IF(C387="III",ROUND(J387*$R$2,0),IF(C387="P3K/III",ROUND(J387*$R$2,0),0))</f>
        <v>0</v>
      </c>
      <c r="L387" s="99">
        <f>IF(C387="IV",ROUND(J387*$R$3,0),0)</f>
        <v>0</v>
      </c>
      <c r="M387" s="99" t="n">
        <v>0</v>
      </c>
      <c r="N387" s="99" t="n">
        <v>0</v>
      </c>
      <c r="O387" s="99" t="n">
        <v>0</v>
      </c>
      <c r="P387" s="42">
        <f>I387-SUM(K387:O387)</f>
        <v>2546403</v>
      </c>
    </row>
    <row r="388" spans="1:16">
      <c r="A388" s="37" t="n">
        <v>393</v>
      </c>
      <c r="B388" s="97" t="s">
        <v>1128</v>
      </c>
      <c r="C388" s="121" t="s">
        <v>95</v>
      </c>
      <c r="D388" s="121" t="s">
        <v>124</v>
      </c>
      <c r="E388" s="121" t="s">
        <v>15</v>
      </c>
      <c r="F388" s="98" t="n">
        <v>0</v>
      </c>
      <c r="G388" s="122" t="s">
        <v>1129</v>
      </c>
      <c r="H388" s="121" t="s">
        <v>1130</v>
      </c>
      <c r="I388" s="99" t="n">
        <v>1445319</v>
      </c>
      <c r="J388" s="99" t="n">
        <v>1445319</v>
      </c>
      <c r="K388" s="99">
        <f>IF(C388="III",ROUND(J388*$R$2,0),IF(C388="P3K/III",ROUND(J388*$R$2,0),0))</f>
        <v>0</v>
      </c>
      <c r="L388" s="99">
        <f>IF(C388="IV",ROUND(J388*$R$3,0),0)</f>
        <v>0</v>
      </c>
      <c r="M388" s="99" t="n">
        <v>0</v>
      </c>
      <c r="N388" s="99" t="n">
        <v>0</v>
      </c>
      <c r="O388" s="99" t="n">
        <v>0</v>
      </c>
      <c r="P388" s="42">
        <f>I388-SUM(K388:O388)</f>
        <v>1445319</v>
      </c>
    </row>
    <row r="389" spans="1:16">
      <c r="A389" s="37" t="n">
        <v>394</v>
      </c>
      <c r="B389" s="97" t="s">
        <v>1131</v>
      </c>
      <c r="C389" s="121" t="s">
        <v>95</v>
      </c>
      <c r="D389" s="121" t="s">
        <v>124</v>
      </c>
      <c r="E389" s="121" t="s">
        <v>15</v>
      </c>
      <c r="F389" s="98" t="n">
        <v>0</v>
      </c>
      <c r="G389" s="122" t="s">
        <v>1132</v>
      </c>
      <c r="H389" s="121" t="s">
        <v>1133</v>
      </c>
      <c r="I389" s="99" t="n">
        <v>1445319</v>
      </c>
      <c r="J389" s="99" t="n">
        <v>1445319</v>
      </c>
      <c r="K389" s="99">
        <f>IF(C389="III",ROUND(J389*$R$2,0),IF(C389="P3K/III",ROUND(J389*$R$2,0),0))</f>
        <v>0</v>
      </c>
      <c r="L389" s="99">
        <f>IF(C389="IV",ROUND(J389*$R$3,0),0)</f>
        <v>0</v>
      </c>
      <c r="M389" s="99" t="n">
        <v>0</v>
      </c>
      <c r="N389" s="99" t="n">
        <v>0</v>
      </c>
      <c r="O389" s="99" t="n">
        <v>0</v>
      </c>
      <c r="P389" s="42">
        <f>I389-SUM(K389:O389)</f>
        <v>1445319</v>
      </c>
    </row>
    <row r="390" spans="1:16">
      <c r="A390" s="37" t="n">
        <v>395</v>
      </c>
      <c r="B390" s="97" t="s">
        <v>1134</v>
      </c>
      <c r="C390" s="121" t="s">
        <v>95</v>
      </c>
      <c r="D390" s="121" t="s">
        <v>137</v>
      </c>
      <c r="E390" s="121" t="s">
        <v>14</v>
      </c>
      <c r="F390" s="98" t="n">
        <v>0</v>
      </c>
      <c r="G390" s="122" t="s">
        <v>1135</v>
      </c>
      <c r="H390" s="98" t="n">
        <v>1902013659</v>
      </c>
      <c r="I390" s="99" t="n">
        <v>2446028</v>
      </c>
      <c r="J390" s="99" t="n">
        <v>2446028</v>
      </c>
      <c r="K390" s="99">
        <f>IF(C390="III",ROUND(J390*$R$2,0),IF(C390="P3K/III",ROUND(J390*$R$2,0),0))</f>
        <v>0</v>
      </c>
      <c r="L390" s="99">
        <f>IF(C390="IV",ROUND(J390*$R$3,0),0)</f>
        <v>0</v>
      </c>
      <c r="M390" s="99" t="n">
        <v>0</v>
      </c>
      <c r="N390" s="99" t="n">
        <v>0</v>
      </c>
      <c r="O390" s="99" t="n">
        <v>0</v>
      </c>
      <c r="P390" s="42">
        <f>I390-SUM(K390:O390)</f>
        <v>2446028</v>
      </c>
    </row>
    <row r="391" spans="1:16">
      <c r="A391" s="37" t="n">
        <v>397</v>
      </c>
      <c r="B391" s="97" t="s">
        <v>1136</v>
      </c>
      <c r="C391" s="121" t="s">
        <v>58</v>
      </c>
      <c r="D391" s="121" t="s">
        <v>20</v>
      </c>
      <c r="E391" s="121" t="s">
        <v>21</v>
      </c>
      <c r="F391" s="121" t="s">
        <v>1137</v>
      </c>
      <c r="G391" s="40" t="n">
        <v>0</v>
      </c>
      <c r="H391" s="121" t="s">
        <v>1138</v>
      </c>
      <c r="I391" s="99" t="n">
        <v>4534723</v>
      </c>
      <c r="J391" s="99" t="n">
        <v>4534723</v>
      </c>
      <c r="K391" s="99">
        <f>IF(C391="III",ROUND(J391*$R$2,0),IF(C391="P3K/III",ROUND(J391*$R$2,0),0))</f>
        <v>226736</v>
      </c>
      <c r="L391" s="99">
        <f>IF(C391="IV",ROUND(J391*$R$3,0),0)</f>
        <v>0</v>
      </c>
      <c r="M391" s="99" t="n">
        <v>0</v>
      </c>
      <c r="N391" s="99" t="n">
        <v>0</v>
      </c>
      <c r="O391" s="99" t="n">
        <v>0</v>
      </c>
      <c r="P391" s="42">
        <f>I391-SUM(K391:O391)</f>
        <v>4307987</v>
      </c>
    </row>
    <row r="392" spans="1:16">
      <c r="A392" s="37" t="n">
        <v>398</v>
      </c>
      <c r="B392" s="97" t="s">
        <v>1139</v>
      </c>
      <c r="C392" s="121" t="s">
        <v>58</v>
      </c>
      <c r="D392" s="121" t="s">
        <v>20</v>
      </c>
      <c r="E392" s="121" t="s">
        <v>21</v>
      </c>
      <c r="F392" s="121" t="s">
        <v>1140</v>
      </c>
      <c r="G392" s="40" t="n">
        <v>0</v>
      </c>
      <c r="H392" s="121" t="s">
        <v>1141</v>
      </c>
      <c r="I392" s="99" t="n">
        <v>3754708</v>
      </c>
      <c r="J392" s="99" t="n">
        <v>3754708</v>
      </c>
      <c r="K392" s="99">
        <f>IF(C392="III",ROUND(J392*$R$2,0),IF(C392="P3K/III",ROUND(J392*$R$2,0),0))</f>
        <v>187735</v>
      </c>
      <c r="L392" s="99">
        <f>IF(C392="IV",ROUND(J392*$R$3,0),0)</f>
        <v>0</v>
      </c>
      <c r="M392" s="99" t="n">
        <v>0</v>
      </c>
      <c r="N392" s="99" t="n">
        <v>0</v>
      </c>
      <c r="O392" s="99" t="n">
        <v>0</v>
      </c>
      <c r="P392" s="42">
        <f>I392-SUM(K392:O392)</f>
        <v>3566973</v>
      </c>
    </row>
    <row r="393" spans="1:16">
      <c r="A393" s="37" t="n">
        <v>399</v>
      </c>
      <c r="B393" s="97" t="s">
        <v>1142</v>
      </c>
      <c r="C393" s="121" t="s">
        <v>58</v>
      </c>
      <c r="D393" s="121" t="s">
        <v>20</v>
      </c>
      <c r="E393" s="121" t="s">
        <v>21</v>
      </c>
      <c r="F393" s="121" t="s">
        <v>1143</v>
      </c>
      <c r="G393" s="40" t="n">
        <v>0</v>
      </c>
      <c r="H393" s="121" t="s">
        <v>1144</v>
      </c>
      <c r="I393" s="99" t="n">
        <v>2962596</v>
      </c>
      <c r="J393" s="99" t="n">
        <v>2962596</v>
      </c>
      <c r="K393" s="99">
        <f>IF(C393="III",ROUND(J393*$R$2,0),IF(C393="P3K/III",ROUND(J393*$R$2,0),0))</f>
        <v>148130</v>
      </c>
      <c r="L393" s="99">
        <f>IF(C393="IV",ROUND(J393*$R$3,0),0)</f>
        <v>0</v>
      </c>
      <c r="M393" s="99" t="n">
        <v>0</v>
      </c>
      <c r="N393" s="99" t="n">
        <v>0</v>
      </c>
      <c r="O393" s="99" t="n">
        <v>0</v>
      </c>
      <c r="P393" s="42">
        <f>I393-SUM(K393:O393)</f>
        <v>2814466</v>
      </c>
    </row>
    <row r="394" spans="1:16">
      <c r="A394" s="37" t="n">
        <v>400</v>
      </c>
      <c r="B394" s="97" t="s">
        <v>1145</v>
      </c>
      <c r="C394" s="121" t="s">
        <v>131</v>
      </c>
      <c r="D394" s="121" t="s">
        <v>20</v>
      </c>
      <c r="E394" s="121" t="s">
        <v>21</v>
      </c>
      <c r="F394" s="121" t="s">
        <v>1146</v>
      </c>
      <c r="G394" s="40" t="n">
        <v>0</v>
      </c>
      <c r="H394" s="121" t="s">
        <v>1147</v>
      </c>
      <c r="I394" s="99" t="n">
        <v>2936602</v>
      </c>
      <c r="J394" s="99" t="n">
        <v>2936602</v>
      </c>
      <c r="K394" s="99">
        <f>IF(C394="III",ROUND(J394*$R$2,0),IF(C394="P3K/III",ROUND(J394*$R$2,0),0))</f>
        <v>146830</v>
      </c>
      <c r="L394" s="99">
        <f>IF(C394="IV",ROUND(J394*$R$3,0),0)</f>
        <v>0</v>
      </c>
      <c r="M394" s="99" t="n">
        <v>0</v>
      </c>
      <c r="N394" s="99" t="n">
        <v>0</v>
      </c>
      <c r="O394" s="99" t="n">
        <v>0</v>
      </c>
      <c r="P394" s="42">
        <f>I394-SUM(K394:O394)</f>
        <v>2789772</v>
      </c>
    </row>
    <row r="395" spans="1:16">
      <c r="A395" s="37" t="n">
        <v>401</v>
      </c>
      <c r="B395" s="97" t="s">
        <v>1148</v>
      </c>
      <c r="C395" s="121" t="s">
        <v>283</v>
      </c>
      <c r="D395" s="121" t="s">
        <v>20</v>
      </c>
      <c r="E395" s="121" t="s">
        <v>21</v>
      </c>
      <c r="F395" s="98" t="n">
        <v>0</v>
      </c>
      <c r="G395" s="40" t="n">
        <v>0</v>
      </c>
      <c r="H395" s="121" t="s">
        <v>1149</v>
      </c>
      <c r="I395" s="99" t="n">
        <v>2516357</v>
      </c>
      <c r="J395" s="99" t="n">
        <v>2516357</v>
      </c>
      <c r="K395" s="99">
        <f>IF(C395="III",ROUND(J395*$R$2,0),IF(C395="P3K/III",ROUND(J395*$R$2,0),0))</f>
        <v>0</v>
      </c>
      <c r="L395" s="99">
        <f>IF(C395="IV",ROUND(J395*$R$3,0),0)</f>
        <v>0</v>
      </c>
      <c r="M395" s="99" t="n">
        <v>0</v>
      </c>
      <c r="N395" s="99" t="n">
        <v>0</v>
      </c>
      <c r="O395" s="99" t="n">
        <v>0</v>
      </c>
      <c r="P395" s="42">
        <f>I395-SUM(K395:O395)</f>
        <v>2516357</v>
      </c>
    </row>
    <row r="396" spans="1:16">
      <c r="A396" s="37" t="n">
        <v>402</v>
      </c>
      <c r="B396" s="97" t="s">
        <v>1150</v>
      </c>
      <c r="C396" s="121" t="s">
        <v>283</v>
      </c>
      <c r="D396" s="121" t="s">
        <v>20</v>
      </c>
      <c r="E396" s="121" t="s">
        <v>21</v>
      </c>
      <c r="F396" s="98" t="n">
        <v>0</v>
      </c>
      <c r="G396" s="122" t="s">
        <v>1151</v>
      </c>
      <c r="H396" s="121" t="s">
        <v>1152</v>
      </c>
      <c r="I396" s="99" t="n">
        <v>2798975</v>
      </c>
      <c r="J396" s="99" t="n">
        <v>2798975</v>
      </c>
      <c r="K396" s="99">
        <f>IF(C396="III",ROUND(J396*$R$2,0),IF(C396="P3K/III",ROUND(J396*$R$2,0),0))</f>
        <v>0</v>
      </c>
      <c r="L396" s="99">
        <f>IF(C396="IV",ROUND(J396*$R$3,0),0)</f>
        <v>0</v>
      </c>
      <c r="M396" s="99" t="n">
        <v>0</v>
      </c>
      <c r="N396" s="99" t="n">
        <v>0</v>
      </c>
      <c r="O396" s="99" t="n">
        <v>0</v>
      </c>
      <c r="P396" s="42">
        <f>I396-SUM(K396:O396)</f>
        <v>2798975</v>
      </c>
    </row>
    <row r="397" spans="1:16">
      <c r="A397" s="37" t="n">
        <v>403</v>
      </c>
      <c r="B397" s="97" t="s">
        <v>1153</v>
      </c>
      <c r="C397" s="121" t="s">
        <v>131</v>
      </c>
      <c r="D397" s="121" t="s">
        <v>20</v>
      </c>
      <c r="E397" s="121" t="s">
        <v>21</v>
      </c>
      <c r="F397" s="121" t="s">
        <v>1154</v>
      </c>
      <c r="G397" s="40" t="n">
        <v>0</v>
      </c>
      <c r="H397" s="121" t="s">
        <v>1155</v>
      </c>
      <c r="I397" s="99" t="n">
        <v>2936602</v>
      </c>
      <c r="J397" s="99" t="n">
        <v>2936602</v>
      </c>
      <c r="K397" s="99">
        <f>IF(C397="III",ROUND(J397*$R$2,0),IF(C397="P3K/III",ROUND(J397*$R$2,0),0))</f>
        <v>146830</v>
      </c>
      <c r="L397" s="99">
        <f>IF(C397="IV",ROUND(J397*$R$3,0),0)</f>
        <v>0</v>
      </c>
      <c r="M397" s="99" t="n">
        <v>0</v>
      </c>
      <c r="N397" s="99" t="n">
        <v>0</v>
      </c>
      <c r="O397" s="99" t="n">
        <v>0</v>
      </c>
      <c r="P397" s="42">
        <f>I397-SUM(K397:O397)</f>
        <v>2789772</v>
      </c>
    </row>
    <row r="398" spans="1:16">
      <c r="A398" s="37" t="n">
        <v>404</v>
      </c>
      <c r="B398" s="97" t="s">
        <v>1156</v>
      </c>
      <c r="C398" s="121" t="s">
        <v>131</v>
      </c>
      <c r="D398" s="121" t="s">
        <v>20</v>
      </c>
      <c r="E398" s="121" t="s">
        <v>21</v>
      </c>
      <c r="F398" s="121" t="s">
        <v>1157</v>
      </c>
      <c r="G398" s="122" t="s">
        <v>1158</v>
      </c>
      <c r="H398" s="121" t="s">
        <v>1159</v>
      </c>
      <c r="I398" s="99" t="n">
        <v>2639109</v>
      </c>
      <c r="J398" s="99" t="n">
        <v>2639109</v>
      </c>
      <c r="K398" s="99">
        <f>IF(C398="III",ROUND(J398*$R$2,0),IF(C398="P3K/III",ROUND(J398*$R$2,0),0))</f>
        <v>131955</v>
      </c>
      <c r="L398" s="99">
        <f>IF(C398="IV",ROUND(J398*$R$3,0),0)</f>
        <v>0</v>
      </c>
      <c r="M398" s="99" t="n">
        <v>0</v>
      </c>
      <c r="N398" s="99" t="n">
        <v>0</v>
      </c>
      <c r="O398" s="99" t="n">
        <v>0</v>
      </c>
      <c r="P398" s="42">
        <f>I398-SUM(K398:O398)</f>
        <v>2507154</v>
      </c>
    </row>
    <row r="399" spans="1:16">
      <c r="A399" s="37" t="n">
        <v>405</v>
      </c>
      <c r="B399" s="97" t="s">
        <v>1160</v>
      </c>
      <c r="C399" s="121" t="s">
        <v>58</v>
      </c>
      <c r="D399" s="121" t="s">
        <v>20</v>
      </c>
      <c r="E399" s="121" t="s">
        <v>21</v>
      </c>
      <c r="F399" s="121" t="s">
        <v>1161</v>
      </c>
      <c r="G399" s="40" t="n">
        <v>0</v>
      </c>
      <c r="H399" s="121" t="s">
        <v>1162</v>
      </c>
      <c r="I399" s="99" t="n">
        <v>2639109</v>
      </c>
      <c r="J399" s="99" t="n">
        <v>2639109</v>
      </c>
      <c r="K399" s="99">
        <f>IF(C399="III",ROUND(J399*$R$2,0),IF(C399="P3K/III",ROUND(J399*$R$2,0),0))</f>
        <v>131955</v>
      </c>
      <c r="L399" s="99">
        <f>IF(C399="IV",ROUND(J399*$R$3,0),0)</f>
        <v>0</v>
      </c>
      <c r="M399" s="99" t="n">
        <v>0</v>
      </c>
      <c r="N399" s="99" t="n">
        <v>0</v>
      </c>
      <c r="O399" s="99" t="n">
        <v>0</v>
      </c>
      <c r="P399" s="42">
        <f>I399-SUM(K399:O399)</f>
        <v>2507154</v>
      </c>
    </row>
    <row r="400" spans="1:16">
      <c r="A400" s="37" t="n">
        <v>406</v>
      </c>
      <c r="B400" s="97" t="s">
        <v>1163</v>
      </c>
      <c r="C400" s="121" t="s">
        <v>111</v>
      </c>
      <c r="D400" s="121" t="s">
        <v>20</v>
      </c>
      <c r="E400" s="121" t="s">
        <v>21</v>
      </c>
      <c r="F400" s="121" t="s">
        <v>1164</v>
      </c>
      <c r="G400" s="40" t="n">
        <v>0</v>
      </c>
      <c r="H400" s="121" t="s">
        <v>1165</v>
      </c>
      <c r="I400" s="99" t="n">
        <v>2404797</v>
      </c>
      <c r="J400" s="99" t="n">
        <v>2404797</v>
      </c>
      <c r="K400" s="99">
        <f>IF(C400="III",ROUND(J400*$R$2,0),IF(C400="P3K/III",ROUND(J400*$R$2,0),0))</f>
        <v>0</v>
      </c>
      <c r="L400" s="99">
        <f>IF(C400="IV",ROUND(J400*$R$3,0),0)</f>
        <v>0</v>
      </c>
      <c r="M400" s="99" t="n">
        <v>0</v>
      </c>
      <c r="N400" s="99" t="n">
        <v>0</v>
      </c>
      <c r="O400" s="99" t="n">
        <v>0</v>
      </c>
      <c r="P400" s="42">
        <f>I400-SUM(K400:O400)</f>
        <v>2404797</v>
      </c>
    </row>
    <row r="401" spans="1:16">
      <c r="A401" s="37" t="n">
        <v>407</v>
      </c>
      <c r="B401" s="97" t="s">
        <v>1166</v>
      </c>
      <c r="C401" s="121" t="s">
        <v>58</v>
      </c>
      <c r="D401" s="121" t="s">
        <v>20</v>
      </c>
      <c r="E401" s="121" t="s">
        <v>21</v>
      </c>
      <c r="F401" s="121" t="s">
        <v>1167</v>
      </c>
      <c r="G401" s="40" t="n">
        <v>0</v>
      </c>
      <c r="H401" s="121" t="s">
        <v>1168</v>
      </c>
      <c r="I401" s="99" t="n">
        <v>2453176</v>
      </c>
      <c r="J401" s="99" t="n">
        <v>2453176</v>
      </c>
      <c r="K401" s="99">
        <f>IF(C401="III",ROUND(J401*$R$2,0),IF(C401="P3K/III",ROUND(J401*$R$2,0),0))</f>
        <v>122659</v>
      </c>
      <c r="L401" s="99">
        <f>IF(C401="IV",ROUND(J401*$R$3,0),0)</f>
        <v>0</v>
      </c>
      <c r="M401" s="99" t="n">
        <v>0</v>
      </c>
      <c r="N401" s="99" t="n">
        <v>0</v>
      </c>
      <c r="O401" s="99" t="n">
        <v>0</v>
      </c>
      <c r="P401" s="42">
        <f>I401-SUM(K401:O401)</f>
        <v>2330517</v>
      </c>
    </row>
    <row r="402" spans="1:16">
      <c r="A402" s="37" t="n">
        <v>408</v>
      </c>
      <c r="B402" s="97" t="s">
        <v>1169</v>
      </c>
      <c r="C402" s="121" t="s">
        <v>58</v>
      </c>
      <c r="D402" s="121" t="s">
        <v>20</v>
      </c>
      <c r="E402" s="121" t="s">
        <v>21</v>
      </c>
      <c r="F402" s="121" t="s">
        <v>1170</v>
      </c>
      <c r="G402" s="40" t="n">
        <v>0</v>
      </c>
      <c r="H402" s="121" t="s">
        <v>1171</v>
      </c>
      <c r="I402" s="99" t="n">
        <v>2453176</v>
      </c>
      <c r="J402" s="99" t="n">
        <v>2453176</v>
      </c>
      <c r="K402" s="99">
        <f>IF(C402="III",ROUND(J402*$R$2,0),IF(C402="P3K/III",ROUND(J402*$R$2,0),0))</f>
        <v>122659</v>
      </c>
      <c r="L402" s="99">
        <f>IF(C402="IV",ROUND(J402*$R$3,0),0)</f>
        <v>0</v>
      </c>
      <c r="M402" s="99" t="n">
        <v>0</v>
      </c>
      <c r="N402" s="99" t="n">
        <v>0</v>
      </c>
      <c r="O402" s="99" t="n">
        <v>0</v>
      </c>
      <c r="P402" s="42">
        <f>I402-SUM(K402:O402)</f>
        <v>2330517</v>
      </c>
    </row>
    <row r="403" spans="1:16">
      <c r="A403" s="37" t="n">
        <v>409</v>
      </c>
      <c r="B403" s="97" t="s">
        <v>1172</v>
      </c>
      <c r="C403" s="121" t="s">
        <v>131</v>
      </c>
      <c r="D403" s="121" t="s">
        <v>20</v>
      </c>
      <c r="E403" s="121" t="s">
        <v>21</v>
      </c>
      <c r="F403" s="121" t="s">
        <v>1173</v>
      </c>
      <c r="G403" s="122" t="s">
        <v>1174</v>
      </c>
      <c r="H403" s="121" t="s">
        <v>1175</v>
      </c>
      <c r="I403" s="99" t="n">
        <v>2192869</v>
      </c>
      <c r="J403" s="99" t="n">
        <v>2192869</v>
      </c>
      <c r="K403" s="99">
        <f>IF(C403="III",ROUND(J403*$R$2,0),IF(C403="P3K/III",ROUND(J403*$R$2,0),0))</f>
        <v>109643</v>
      </c>
      <c r="L403" s="99">
        <f>IF(C403="IV",ROUND(J403*$R$3,0),0)</f>
        <v>0</v>
      </c>
      <c r="M403" s="99" t="n">
        <v>0</v>
      </c>
      <c r="N403" s="99" t="n">
        <v>0</v>
      </c>
      <c r="O403" s="99" t="n">
        <v>0</v>
      </c>
      <c r="P403" s="42">
        <f>I403-SUM(K403:O403)</f>
        <v>2083226</v>
      </c>
    </row>
    <row r="404" spans="1:16">
      <c r="A404" s="37" t="n">
        <v>410</v>
      </c>
      <c r="B404" s="97" t="s">
        <v>1176</v>
      </c>
      <c r="C404" s="121" t="s">
        <v>131</v>
      </c>
      <c r="D404" s="121" t="s">
        <v>20</v>
      </c>
      <c r="E404" s="121" t="s">
        <v>21</v>
      </c>
      <c r="F404" s="121" t="s">
        <v>1177</v>
      </c>
      <c r="G404" s="40" t="n">
        <v>0</v>
      </c>
      <c r="H404" s="121" t="s">
        <v>1178</v>
      </c>
      <c r="I404" s="99" t="n">
        <v>2192869</v>
      </c>
      <c r="J404" s="99" t="n">
        <v>2192869</v>
      </c>
      <c r="K404" s="99">
        <f>IF(C404="III",ROUND(J404*$R$2,0),IF(C404="P3K/III",ROUND(J404*$R$2,0),0))</f>
        <v>109643</v>
      </c>
      <c r="L404" s="99">
        <f>IF(C404="IV",ROUND(J404*$R$3,0),0)</f>
        <v>0</v>
      </c>
      <c r="M404" s="99" t="n">
        <v>0</v>
      </c>
      <c r="N404" s="99" t="n">
        <v>0</v>
      </c>
      <c r="O404" s="99" t="n">
        <v>0</v>
      </c>
      <c r="P404" s="42">
        <f>I404-SUM(K404:O404)</f>
        <v>2083226</v>
      </c>
    </row>
    <row r="405" spans="1:16">
      <c r="A405" s="37" t="n">
        <v>411</v>
      </c>
      <c r="B405" s="97" t="s">
        <v>1179</v>
      </c>
      <c r="C405" s="121" t="s">
        <v>131</v>
      </c>
      <c r="D405" s="121" t="s">
        <v>20</v>
      </c>
      <c r="E405" s="121" t="s">
        <v>21</v>
      </c>
      <c r="F405" s="121" t="s">
        <v>1180</v>
      </c>
      <c r="G405" s="40" t="n">
        <v>0</v>
      </c>
      <c r="H405" s="121" t="s">
        <v>1181</v>
      </c>
      <c r="I405" s="99" t="n">
        <v>2192869</v>
      </c>
      <c r="J405" s="99" t="n">
        <v>2192869</v>
      </c>
      <c r="K405" s="99">
        <f>IF(C405="III",ROUND(J405*$R$2,0),IF(C405="P3K/III",ROUND(J405*$R$2,0),0))</f>
        <v>109643</v>
      </c>
      <c r="L405" s="99">
        <f>IF(C405="IV",ROUND(J405*$R$3,0),0)</f>
        <v>0</v>
      </c>
      <c r="M405" s="99" t="n">
        <v>0</v>
      </c>
      <c r="N405" s="99" t="n">
        <v>0</v>
      </c>
      <c r="O405" s="99" t="n">
        <v>0</v>
      </c>
      <c r="P405" s="42">
        <f>I405-SUM(K405:O405)</f>
        <v>2083226</v>
      </c>
    </row>
    <row r="406" spans="1:16">
      <c r="A406" s="37" t="n">
        <v>412</v>
      </c>
      <c r="B406" s="97" t="s">
        <v>1182</v>
      </c>
      <c r="C406" s="121" t="s">
        <v>283</v>
      </c>
      <c r="D406" s="121" t="s">
        <v>20</v>
      </c>
      <c r="E406" s="121" t="s">
        <v>21</v>
      </c>
      <c r="F406" s="98" t="n">
        <v>0</v>
      </c>
      <c r="G406" s="40" t="n">
        <v>0</v>
      </c>
      <c r="H406" s="121" t="s">
        <v>1183</v>
      </c>
      <c r="I406" s="99" t="n">
        <v>2084992</v>
      </c>
      <c r="J406" s="99" t="n">
        <v>2084992</v>
      </c>
      <c r="K406" s="99">
        <f>IF(C406="III",ROUND(J406*$R$2,0),IF(C406="P3K/III",ROUND(J406*$R$2,0),0))</f>
        <v>0</v>
      </c>
      <c r="L406" s="99">
        <f>IF(C406="IV",ROUND(J406*$R$3,0),0)</f>
        <v>0</v>
      </c>
      <c r="M406" s="99" t="n">
        <v>0</v>
      </c>
      <c r="N406" s="99" t="n">
        <v>0</v>
      </c>
      <c r="O406" s="99" t="n">
        <v>0</v>
      </c>
      <c r="P406" s="42">
        <f>I406-SUM(K406:O406)</f>
        <v>2084992</v>
      </c>
    </row>
    <row r="407" spans="1:16">
      <c r="A407" s="37" t="n">
        <v>413</v>
      </c>
      <c r="B407" s="97" t="s">
        <v>1184</v>
      </c>
      <c r="C407" s="121" t="s">
        <v>95</v>
      </c>
      <c r="D407" s="121" t="s">
        <v>124</v>
      </c>
      <c r="E407" s="121" t="s">
        <v>15</v>
      </c>
      <c r="F407" s="98" t="n">
        <v>0</v>
      </c>
      <c r="G407" s="40" t="n">
        <v>0</v>
      </c>
      <c r="H407" s="121" t="s">
        <v>1185</v>
      </c>
      <c r="I407" s="99" t="n">
        <v>1185075</v>
      </c>
      <c r="J407" s="99" t="n">
        <v>1185075</v>
      </c>
      <c r="K407" s="99">
        <f>IF(C407="III",ROUND(J407*$R$2,0),IF(C407="P3K/III",ROUND(J407*$R$2,0),0))</f>
        <v>0</v>
      </c>
      <c r="L407" s="99">
        <f>IF(C407="IV",ROUND(J407*$R$3,0),0)</f>
        <v>0</v>
      </c>
      <c r="M407" s="99" t="n">
        <v>0</v>
      </c>
      <c r="N407" s="99" t="n">
        <v>0</v>
      </c>
      <c r="O407" s="99" t="n">
        <v>0</v>
      </c>
      <c r="P407" s="42">
        <f>I407-SUM(K407:O407)</f>
        <v>1185075</v>
      </c>
    </row>
    <row r="408" spans="1:16">
      <c r="A408" s="37" t="n">
        <v>414</v>
      </c>
      <c r="B408" s="97" t="s">
        <v>1186</v>
      </c>
      <c r="C408" s="121" t="s">
        <v>95</v>
      </c>
      <c r="D408" s="121" t="s">
        <v>137</v>
      </c>
      <c r="E408" s="121" t="s">
        <v>14</v>
      </c>
      <c r="F408" s="98" t="n">
        <v>0</v>
      </c>
      <c r="G408" s="40" t="n">
        <v>0</v>
      </c>
      <c r="H408" s="121" t="s">
        <v>1187</v>
      </c>
      <c r="I408" s="99" t="n">
        <v>1185075</v>
      </c>
      <c r="J408" s="99" t="n">
        <v>1185075</v>
      </c>
      <c r="K408" s="99">
        <f>IF(C408="III",ROUND(J408*$R$2,0),IF(C408="P3K/III",ROUND(J408*$R$2,0),0))</f>
        <v>0</v>
      </c>
      <c r="L408" s="99">
        <f>IF(C408="IV",ROUND(J408*$R$3,0),0)</f>
        <v>0</v>
      </c>
      <c r="M408" s="99" t="n">
        <v>0</v>
      </c>
      <c r="N408" s="99" t="n">
        <v>0</v>
      </c>
      <c r="O408" s="99" t="n">
        <v>0</v>
      </c>
      <c r="P408" s="42">
        <f>I408-SUM(K408:O408)</f>
        <v>1185075</v>
      </c>
    </row>
    <row r="409" spans="1:16">
      <c r="A409" s="37" t="n">
        <v>415</v>
      </c>
      <c r="B409" s="97" t="s">
        <v>1188</v>
      </c>
      <c r="C409" s="121" t="s">
        <v>95</v>
      </c>
      <c r="D409" s="121" t="s">
        <v>121</v>
      </c>
      <c r="E409" s="121" t="s">
        <v>14</v>
      </c>
      <c r="F409" s="98" t="n">
        <v>0</v>
      </c>
      <c r="G409" s="40" t="n">
        <v>0</v>
      </c>
      <c r="H409" s="121" t="s">
        <v>1189</v>
      </c>
      <c r="I409" s="99" t="n">
        <v>1291200</v>
      </c>
      <c r="J409" s="99" t="n">
        <v>1291200</v>
      </c>
      <c r="K409" s="99">
        <f>IF(C409="III",ROUND(J409*$R$2,0),IF(C409="P3K/III",ROUND(J409*$R$2,0),0))</f>
        <v>0</v>
      </c>
      <c r="L409" s="99">
        <f>IF(C409="IV",ROUND(J409*$R$3,0),0)</f>
        <v>0</v>
      </c>
      <c r="M409" s="99" t="n">
        <v>0</v>
      </c>
      <c r="N409" s="99" t="n">
        <v>0</v>
      </c>
      <c r="O409" s="99" t="n">
        <v>0</v>
      </c>
      <c r="P409" s="42">
        <f>I409-SUM(K409:O409)</f>
        <v>1291200</v>
      </c>
    </row>
    <row r="410" spans="1:16">
      <c r="A410" s="37" t="n">
        <v>416</v>
      </c>
      <c r="B410" s="97" t="s">
        <v>1190</v>
      </c>
      <c r="C410" s="121" t="s">
        <v>95</v>
      </c>
      <c r="D410" s="121" t="s">
        <v>121</v>
      </c>
      <c r="E410" s="121" t="s">
        <v>14</v>
      </c>
      <c r="F410" s="98" t="n">
        <v>0</v>
      </c>
      <c r="G410" s="40" t="n">
        <v>0</v>
      </c>
      <c r="H410" s="121" t="s">
        <v>1191</v>
      </c>
      <c r="I410" s="99" t="n">
        <v>1291200</v>
      </c>
      <c r="J410" s="99" t="n">
        <v>1291200</v>
      </c>
      <c r="K410" s="99">
        <f>IF(C410="III",ROUND(J410*$R$2,0),IF(C410="P3K/III",ROUND(J410*$R$2,0),0))</f>
        <v>0</v>
      </c>
      <c r="L410" s="99">
        <f>IF(C410="IV",ROUND(J410*$R$3,0),0)</f>
        <v>0</v>
      </c>
      <c r="M410" s="99" t="n">
        <v>0</v>
      </c>
      <c r="N410" s="99" t="n">
        <v>0</v>
      </c>
      <c r="O410" s="99" t="n">
        <v>0</v>
      </c>
      <c r="P410" s="42">
        <f>I410-SUM(K410:O410)</f>
        <v>1291200</v>
      </c>
    </row>
    <row r="411" spans="1:16">
      <c r="A411" s="37" t="n">
        <v>417</v>
      </c>
      <c r="B411" s="97" t="s">
        <v>1192</v>
      </c>
      <c r="C411" s="121" t="s">
        <v>95</v>
      </c>
      <c r="D411" s="121" t="s">
        <v>121</v>
      </c>
      <c r="E411" s="121" t="s">
        <v>14</v>
      </c>
      <c r="F411" s="98" t="n">
        <v>0</v>
      </c>
      <c r="G411" s="40" t="n">
        <v>0</v>
      </c>
      <c r="H411" s="121" t="s">
        <v>1193</v>
      </c>
      <c r="I411" s="99" t="n">
        <v>1185075</v>
      </c>
      <c r="J411" s="99" t="n">
        <v>1185075</v>
      </c>
      <c r="K411" s="99">
        <f>IF(C411="III",ROUND(J411*$R$2,0),IF(C411="P3K/III",ROUND(J411*$R$2,0),0))</f>
        <v>0</v>
      </c>
      <c r="L411" s="99">
        <f>IF(C411="IV",ROUND(J411*$R$3,0),0)</f>
        <v>0</v>
      </c>
      <c r="M411" s="99" t="n">
        <v>0</v>
      </c>
      <c r="N411" s="99" t="n">
        <v>0</v>
      </c>
      <c r="O411" s="99" t="n">
        <v>0</v>
      </c>
      <c r="P411" s="42">
        <f>I411-SUM(K411:O411)</f>
        <v>1185075</v>
      </c>
    </row>
    <row r="412" spans="1:16">
      <c r="A412" s="37" t="n">
        <v>418</v>
      </c>
      <c r="B412" s="97" t="s">
        <v>1194</v>
      </c>
      <c r="C412" s="121" t="s">
        <v>95</v>
      </c>
      <c r="D412" s="121" t="s">
        <v>121</v>
      </c>
      <c r="E412" s="121" t="s">
        <v>14</v>
      </c>
      <c r="F412" s="98" t="n">
        <v>0</v>
      </c>
      <c r="G412" s="40" t="n">
        <v>0</v>
      </c>
      <c r="H412" s="121" t="s">
        <v>1195</v>
      </c>
      <c r="I412" s="99" t="n">
        <v>1339579</v>
      </c>
      <c r="J412" s="99" t="n">
        <v>1339579</v>
      </c>
      <c r="K412" s="99">
        <f>IF(C412="III",ROUND(J412*$R$2,0),IF(C412="P3K/III",ROUND(J412*$R$2,0),0))</f>
        <v>0</v>
      </c>
      <c r="L412" s="99">
        <f>IF(C412="IV",ROUND(J412*$R$3,0),0)</f>
        <v>0</v>
      </c>
      <c r="M412" s="99" t="n">
        <v>0</v>
      </c>
      <c r="N412" s="99" t="n">
        <v>0</v>
      </c>
      <c r="O412" s="99" t="n">
        <v>0</v>
      </c>
      <c r="P412" s="42">
        <f>I412-SUM(K412:O412)</f>
        <v>1339579</v>
      </c>
    </row>
    <row r="413" spans="1:16">
      <c r="A413" s="37" t="n">
        <v>419</v>
      </c>
      <c r="B413" s="97" t="s">
        <v>1196</v>
      </c>
      <c r="C413" s="121" t="s">
        <v>111</v>
      </c>
      <c r="D413" s="121" t="s">
        <v>20</v>
      </c>
      <c r="E413" s="121" t="s">
        <v>21</v>
      </c>
      <c r="F413" s="98" t="n">
        <v>0</v>
      </c>
      <c r="G413" s="40" t="n">
        <v>0</v>
      </c>
      <c r="H413" s="121" t="s">
        <v>1197</v>
      </c>
      <c r="I413" s="99" t="n">
        <v>2531878</v>
      </c>
      <c r="J413" s="99" t="n">
        <v>2531878</v>
      </c>
      <c r="K413" s="99">
        <f>IF(C413="III",ROUND(J413*$R$2,0),IF(C413="P3K/III",ROUND(J413*$R$2,0),0))</f>
        <v>0</v>
      </c>
      <c r="L413" s="99">
        <f>IF(C413="IV",ROUND(J413*$R$3,0),0)</f>
        <v>0</v>
      </c>
      <c r="M413" s="99" t="n">
        <v>0</v>
      </c>
      <c r="N413" s="99" t="n">
        <v>0</v>
      </c>
      <c r="O413" s="99" t="n">
        <v>0</v>
      </c>
      <c r="P413" s="42">
        <f>I413-SUM(K413:O413)</f>
        <v>2531878</v>
      </c>
    </row>
    <row r="414" spans="1:16">
      <c r="A414" s="37" t="n">
        <v>420</v>
      </c>
      <c r="B414" s="97" t="s">
        <v>1198</v>
      </c>
      <c r="C414" s="121" t="s">
        <v>19</v>
      </c>
      <c r="D414" s="121" t="s">
        <v>20</v>
      </c>
      <c r="E414" s="121" t="s">
        <v>21</v>
      </c>
      <c r="F414" s="121" t="s">
        <v>1199</v>
      </c>
      <c r="G414" s="40" t="n">
        <v>0</v>
      </c>
      <c r="H414" s="121" t="s">
        <v>1200</v>
      </c>
      <c r="I414" s="99" t="n">
        <v>4013290</v>
      </c>
      <c r="J414" s="99" t="n">
        <v>4013290</v>
      </c>
      <c r="K414" s="99">
        <f>IF(C414="III",ROUND(J414*$R$2,0),IF(C414="P3K/III",ROUND(J414*$R$2,0),0))</f>
        <v>0</v>
      </c>
      <c r="L414" s="99">
        <f>IF(C414="IV",ROUND(J414*$R$3,0),0)</f>
        <v>601994</v>
      </c>
      <c r="M414" s="99" t="n">
        <v>0</v>
      </c>
      <c r="N414" s="99" t="n">
        <v>0</v>
      </c>
      <c r="O414" s="99" t="n">
        <v>0</v>
      </c>
      <c r="P414" s="42">
        <f>I414-SUM(K414:O414)</f>
        <v>3411296</v>
      </c>
    </row>
    <row r="415" spans="1:16">
      <c r="A415" s="37" t="n">
        <v>421</v>
      </c>
      <c r="B415" s="97" t="s">
        <v>1201</v>
      </c>
      <c r="C415" s="121" t="s">
        <v>58</v>
      </c>
      <c r="D415" s="121" t="s">
        <v>20</v>
      </c>
      <c r="E415" s="121" t="s">
        <v>21</v>
      </c>
      <c r="F415" s="121" t="s">
        <v>1202</v>
      </c>
      <c r="G415" s="40" t="n">
        <v>0</v>
      </c>
      <c r="H415" s="121" t="s">
        <v>1203</v>
      </c>
      <c r="I415" s="99" t="n">
        <v>3289179</v>
      </c>
      <c r="J415" s="99" t="n">
        <v>3289179</v>
      </c>
      <c r="K415" s="99">
        <f>IF(C415="III",ROUND(J415*$R$2,0),IF(C415="P3K/III",ROUND(J415*$R$2,0),0))</f>
        <v>164459</v>
      </c>
      <c r="L415" s="99">
        <f>IF(C415="IV",ROUND(J415*$R$3,0),0)</f>
        <v>0</v>
      </c>
      <c r="M415" s="99" t="n">
        <v>0</v>
      </c>
      <c r="N415" s="99" t="n">
        <v>0</v>
      </c>
      <c r="O415" s="99" t="n">
        <v>0</v>
      </c>
      <c r="P415" s="42">
        <f>I415-SUM(K415:O415)</f>
        <v>3124720</v>
      </c>
    </row>
    <row r="416" spans="1:16">
      <c r="A416" s="37" t="n">
        <v>422</v>
      </c>
      <c r="B416" s="97" t="s">
        <v>1204</v>
      </c>
      <c r="C416" s="121" t="s">
        <v>58</v>
      </c>
      <c r="D416" s="121" t="s">
        <v>20</v>
      </c>
      <c r="E416" s="121" t="s">
        <v>21</v>
      </c>
      <c r="F416" s="121" t="s">
        <v>1205</v>
      </c>
      <c r="G416" s="40" t="n">
        <v>0</v>
      </c>
      <c r="H416" s="121" t="s">
        <v>1206</v>
      </c>
      <c r="I416" s="99" t="n">
        <v>1332467</v>
      </c>
      <c r="J416" s="99" t="n">
        <v>1332467</v>
      </c>
      <c r="K416" s="99">
        <f>IF(C416="III",ROUND(J416*$R$2,0),IF(C416="P3K/III",ROUND(J416*$R$2,0),0))</f>
        <v>66623</v>
      </c>
      <c r="L416" s="99">
        <f>IF(C416="IV",ROUND(J416*$R$3,0),0)</f>
        <v>0</v>
      </c>
      <c r="M416" s="99" t="n">
        <v>0</v>
      </c>
      <c r="N416" s="99" t="n">
        <v>0</v>
      </c>
      <c r="O416" s="99" t="n">
        <v>0</v>
      </c>
      <c r="P416" s="42">
        <f>I416-SUM(K416:O416)</f>
        <v>1265844</v>
      </c>
    </row>
    <row r="417" spans="1:16">
      <c r="A417" s="37" t="n">
        <v>423</v>
      </c>
      <c r="B417" s="97" t="s">
        <v>1207</v>
      </c>
      <c r="C417" s="121" t="s">
        <v>111</v>
      </c>
      <c r="D417" s="121" t="s">
        <v>20</v>
      </c>
      <c r="E417" s="121" t="s">
        <v>21</v>
      </c>
      <c r="F417" s="121" t="s">
        <v>1208</v>
      </c>
      <c r="G417" s="40" t="n">
        <v>0</v>
      </c>
      <c r="H417" s="121" t="s">
        <v>1209</v>
      </c>
      <c r="I417" s="99" t="n">
        <v>2969457</v>
      </c>
      <c r="J417" s="99" t="n">
        <v>2969457</v>
      </c>
      <c r="K417" s="99">
        <f>IF(C417="III",ROUND(J417*$R$2,0),IF(C417="P3K/III",ROUND(J417*$R$2,0),0))</f>
        <v>0</v>
      </c>
      <c r="L417" s="99">
        <f>IF(C417="IV",ROUND(J417*$R$3,0),0)</f>
        <v>0</v>
      </c>
      <c r="M417" s="99" t="n">
        <v>0</v>
      </c>
      <c r="N417" s="99" t="n">
        <v>0</v>
      </c>
      <c r="O417" s="99" t="n">
        <v>0</v>
      </c>
      <c r="P417" s="42">
        <f>I417-SUM(K417:O417)</f>
        <v>2969457</v>
      </c>
    </row>
    <row r="418" spans="1:16">
      <c r="A418" s="37" t="n">
        <v>424</v>
      </c>
      <c r="B418" s="97" t="s">
        <v>1210</v>
      </c>
      <c r="C418" s="121" t="s">
        <v>131</v>
      </c>
      <c r="D418" s="121" t="s">
        <v>20</v>
      </c>
      <c r="E418" s="121" t="s">
        <v>21</v>
      </c>
      <c r="F418" s="121" t="s">
        <v>1211</v>
      </c>
      <c r="G418" s="40" t="n">
        <v>0</v>
      </c>
      <c r="H418" s="121" t="s">
        <v>1212</v>
      </c>
      <c r="I418" s="99" t="n">
        <v>3017836</v>
      </c>
      <c r="J418" s="99" t="n">
        <v>3017836</v>
      </c>
      <c r="K418" s="99">
        <f>IF(C418="III",ROUND(J418*$R$2,0),IF(C418="P3K/III",ROUND(J418*$R$2,0),0))</f>
        <v>150892</v>
      </c>
      <c r="L418" s="99">
        <f>IF(C418="IV",ROUND(J418*$R$3,0),0)</f>
        <v>0</v>
      </c>
      <c r="M418" s="99" t="n">
        <v>0</v>
      </c>
      <c r="N418" s="99" t="n">
        <v>0</v>
      </c>
      <c r="O418" s="99" t="n">
        <v>0</v>
      </c>
      <c r="P418" s="42">
        <f>I418-SUM(K418:O418)</f>
        <v>2866944</v>
      </c>
    </row>
    <row r="419" spans="1:16">
      <c r="A419" s="37" t="n">
        <v>425</v>
      </c>
      <c r="B419" s="97" t="s">
        <v>1213</v>
      </c>
      <c r="C419" s="121" t="s">
        <v>283</v>
      </c>
      <c r="D419" s="121" t="s">
        <v>20</v>
      </c>
      <c r="E419" s="121" t="s">
        <v>21</v>
      </c>
      <c r="F419" s="121" t="s">
        <v>1214</v>
      </c>
      <c r="G419" s="40" t="n">
        <v>0</v>
      </c>
      <c r="H419" s="121" t="s">
        <v>1215</v>
      </c>
      <c r="I419" s="99" t="n">
        <v>2809595</v>
      </c>
      <c r="J419" s="99" t="n">
        <v>2809595</v>
      </c>
      <c r="K419" s="99">
        <f>IF(C419="III",ROUND(J419*$R$2,0),IF(C419="P3K/III",ROUND(J419*$R$2,0),0))</f>
        <v>0</v>
      </c>
      <c r="L419" s="99">
        <f>IF(C419="IV",ROUND(J419*$R$3,0),0)</f>
        <v>0</v>
      </c>
      <c r="M419" s="99" t="n">
        <v>0</v>
      </c>
      <c r="N419" s="99" t="n">
        <v>0</v>
      </c>
      <c r="O419" s="99" t="n">
        <v>0</v>
      </c>
      <c r="P419" s="42">
        <f>I419-SUM(K419:O419)</f>
        <v>2809595</v>
      </c>
    </row>
    <row r="420" spans="1:16">
      <c r="A420" s="37" t="n">
        <v>426</v>
      </c>
      <c r="B420" s="97" t="s">
        <v>1216</v>
      </c>
      <c r="C420" s="121" t="s">
        <v>111</v>
      </c>
      <c r="D420" s="121" t="s">
        <v>20</v>
      </c>
      <c r="E420" s="121" t="s">
        <v>21</v>
      </c>
      <c r="F420" s="121" t="s">
        <v>1217</v>
      </c>
      <c r="G420" s="40" t="n">
        <v>0</v>
      </c>
      <c r="H420" s="121" t="s">
        <v>1218</v>
      </c>
      <c r="I420" s="99" t="n">
        <v>2969457</v>
      </c>
      <c r="J420" s="99" t="n">
        <v>2969457</v>
      </c>
      <c r="K420" s="99">
        <f>IF(C420="III",ROUND(J420*$R$2,0),IF(C420="P3K/III",ROUND(J420*$R$2,0),0))</f>
        <v>0</v>
      </c>
      <c r="L420" s="99">
        <f>IF(C420="IV",ROUND(J420*$R$3,0),0)</f>
        <v>0</v>
      </c>
      <c r="M420" s="99" t="n">
        <v>0</v>
      </c>
      <c r="N420" s="99" t="n">
        <v>0</v>
      </c>
      <c r="O420" s="99" t="n">
        <v>0</v>
      </c>
      <c r="P420" s="42">
        <f>I420-SUM(K420:O420)</f>
        <v>2969457</v>
      </c>
    </row>
    <row r="421" spans="1:16">
      <c r="A421" s="37" t="n">
        <v>427</v>
      </c>
      <c r="B421" s="97" t="s">
        <v>1219</v>
      </c>
      <c r="C421" s="121" t="s">
        <v>111</v>
      </c>
      <c r="D421" s="121" t="s">
        <v>20</v>
      </c>
      <c r="E421" s="121" t="s">
        <v>21</v>
      </c>
      <c r="F421" s="121" t="s">
        <v>1220</v>
      </c>
      <c r="G421" s="40" t="n">
        <v>0</v>
      </c>
      <c r="H421" s="121" t="s">
        <v>1221</v>
      </c>
      <c r="I421" s="99" t="n">
        <v>2969457</v>
      </c>
      <c r="J421" s="99" t="n">
        <v>2969457</v>
      </c>
      <c r="K421" s="99">
        <f>IF(C421="III",ROUND(J421*$R$2,0),IF(C421="P3K/III",ROUND(J421*$R$2,0),0))</f>
        <v>0</v>
      </c>
      <c r="L421" s="99">
        <f>IF(C421="IV",ROUND(J421*$R$3,0),0)</f>
        <v>0</v>
      </c>
      <c r="M421" s="99" t="n">
        <v>0</v>
      </c>
      <c r="N421" s="99" t="n">
        <v>0</v>
      </c>
      <c r="O421" s="99" t="n">
        <v>0</v>
      </c>
      <c r="P421" s="42">
        <f>I421-SUM(K421:O421)</f>
        <v>2969457</v>
      </c>
    </row>
    <row r="422" spans="1:16">
      <c r="A422" s="37" t="n">
        <v>428</v>
      </c>
      <c r="B422" s="97" t="s">
        <v>1222</v>
      </c>
      <c r="C422" s="121" t="s">
        <v>111</v>
      </c>
      <c r="D422" s="121" t="s">
        <v>20</v>
      </c>
      <c r="E422" s="121" t="s">
        <v>21</v>
      </c>
      <c r="F422" s="121" t="s">
        <v>1223</v>
      </c>
      <c r="G422" s="40" t="n">
        <v>0</v>
      </c>
      <c r="H422" s="121" t="s">
        <v>1224</v>
      </c>
      <c r="I422" s="99" t="n">
        <v>2809595</v>
      </c>
      <c r="J422" s="99" t="n">
        <v>2809595</v>
      </c>
      <c r="K422" s="99">
        <f>IF(C422="III",ROUND(J422*$R$2,0),IF(C422="P3K/III",ROUND(J422*$R$2,0),0))</f>
        <v>0</v>
      </c>
      <c r="L422" s="99">
        <f>IF(C422="IV",ROUND(J422*$R$3,0),0)</f>
        <v>0</v>
      </c>
      <c r="M422" s="99" t="n">
        <v>0</v>
      </c>
      <c r="N422" s="99" t="n">
        <v>0</v>
      </c>
      <c r="O422" s="99" t="n">
        <v>0</v>
      </c>
      <c r="P422" s="42">
        <f>I422-SUM(K422:O422)</f>
        <v>2809595</v>
      </c>
    </row>
    <row r="423" spans="1:16">
      <c r="A423" s="37" t="n">
        <v>429</v>
      </c>
      <c r="B423" s="97" t="s">
        <v>1225</v>
      </c>
      <c r="C423" s="121" t="s">
        <v>283</v>
      </c>
      <c r="D423" s="121" t="s">
        <v>20</v>
      </c>
      <c r="E423" s="121" t="s">
        <v>21</v>
      </c>
      <c r="F423" s="98" t="n">
        <v>0</v>
      </c>
      <c r="G423" s="122" t="s">
        <v>1226</v>
      </c>
      <c r="H423" s="121" t="s">
        <v>1227</v>
      </c>
      <c r="I423" s="99" t="n">
        <v>2809595</v>
      </c>
      <c r="J423" s="99" t="n">
        <v>2809595</v>
      </c>
      <c r="K423" s="99">
        <f>IF(C423="III",ROUND(J423*$R$2,0),IF(C423="P3K/III",ROUND(J423*$R$2,0),0))</f>
        <v>0</v>
      </c>
      <c r="L423" s="99">
        <f>IF(C423="IV",ROUND(J423*$R$3,0),0)</f>
        <v>0</v>
      </c>
      <c r="M423" s="99" t="n">
        <v>0</v>
      </c>
      <c r="N423" s="99" t="n">
        <v>0</v>
      </c>
      <c r="O423" s="99" t="n">
        <v>0</v>
      </c>
      <c r="P423" s="42">
        <f>I423-SUM(K423:O423)</f>
        <v>2809595</v>
      </c>
    </row>
    <row r="424" spans="1:16">
      <c r="A424" s="37" t="n">
        <v>430</v>
      </c>
      <c r="B424" s="97" t="s">
        <v>1228</v>
      </c>
      <c r="C424" s="121" t="s">
        <v>58</v>
      </c>
      <c r="D424" s="121" t="s">
        <v>20</v>
      </c>
      <c r="E424" s="121" t="s">
        <v>21</v>
      </c>
      <c r="F424" s="121" t="s">
        <v>1229</v>
      </c>
      <c r="G424" s="122" t="s">
        <v>1230</v>
      </c>
      <c r="H424" s="121" t="s">
        <v>1231</v>
      </c>
      <c r="I424" s="99" t="n">
        <v>2857974</v>
      </c>
      <c r="J424" s="99" t="n">
        <v>2857974</v>
      </c>
      <c r="K424" s="99">
        <f>IF(C424="III",ROUND(J424*$R$2,0),IF(C424="P3K/III",ROUND(J424*$R$2,0),0))</f>
        <v>142899</v>
      </c>
      <c r="L424" s="99">
        <f>IF(C424="IV",ROUND(J424*$R$3,0),0)</f>
        <v>0</v>
      </c>
      <c r="M424" s="99" t="n">
        <v>0</v>
      </c>
      <c r="N424" s="99" t="n">
        <v>0</v>
      </c>
      <c r="O424" s="99" t="n">
        <v>0</v>
      </c>
      <c r="P424" s="42">
        <f>I424-SUM(K424:O424)</f>
        <v>2715075</v>
      </c>
    </row>
    <row r="425" spans="1:16">
      <c r="A425" s="37" t="n">
        <v>431</v>
      </c>
      <c r="B425" s="97" t="s">
        <v>1232</v>
      </c>
      <c r="C425" s="121" t="s">
        <v>95</v>
      </c>
      <c r="D425" s="121" t="s">
        <v>137</v>
      </c>
      <c r="E425" s="121" t="s">
        <v>14</v>
      </c>
      <c r="F425" s="98" t="n">
        <v>0</v>
      </c>
      <c r="G425" s="122" t="s">
        <v>1233</v>
      </c>
      <c r="H425" s="121" t="s">
        <v>1234</v>
      </c>
      <c r="I425" s="99" t="n">
        <v>1326082</v>
      </c>
      <c r="J425" s="99" t="n">
        <v>1326082</v>
      </c>
      <c r="K425" s="99">
        <f>IF(C425="III",ROUND(J425*$R$2,0),IF(C425="P3K/III",ROUND(J425*$R$2,0),0))</f>
        <v>0</v>
      </c>
      <c r="L425" s="99">
        <f>IF(C425="IV",ROUND(J425*$R$3,0),0)</f>
        <v>0</v>
      </c>
      <c r="M425" s="99" t="n">
        <v>0</v>
      </c>
      <c r="N425" s="99" t="n">
        <v>0</v>
      </c>
      <c r="O425" s="99" t="n">
        <v>0</v>
      </c>
      <c r="P425" s="42">
        <f>I425-SUM(K425:O425)</f>
        <v>1326082</v>
      </c>
    </row>
    <row r="426" spans="1:16">
      <c r="A426" s="37" t="n">
        <v>432</v>
      </c>
      <c r="B426" s="97" t="s">
        <v>1235</v>
      </c>
      <c r="C426" s="121" t="s">
        <v>95</v>
      </c>
      <c r="D426" s="121" t="s">
        <v>137</v>
      </c>
      <c r="E426" s="121" t="s">
        <v>14</v>
      </c>
      <c r="F426" s="98" t="n">
        <v>0</v>
      </c>
      <c r="G426" s="122" t="s">
        <v>1236</v>
      </c>
      <c r="H426" s="121" t="s">
        <v>1237</v>
      </c>
      <c r="I426" s="99" t="n">
        <v>1326082</v>
      </c>
      <c r="J426" s="99" t="n">
        <v>1326082</v>
      </c>
      <c r="K426" s="99">
        <f>IF(C426="III",ROUND(J426*$R$2,0),IF(C426="P3K/III",ROUND(J426*$R$2,0),0))</f>
        <v>0</v>
      </c>
      <c r="L426" s="99">
        <f>IF(C426="IV",ROUND(J426*$R$3,0),0)</f>
        <v>0</v>
      </c>
      <c r="M426" s="99" t="n">
        <v>0</v>
      </c>
      <c r="N426" s="99" t="n">
        <v>0</v>
      </c>
      <c r="O426" s="99" t="n">
        <v>0</v>
      </c>
      <c r="P426" s="42">
        <f>I426-SUM(K426:O426)</f>
        <v>1326082</v>
      </c>
    </row>
    <row r="427" spans="1:16">
      <c r="A427" s="37" t="n">
        <v>433</v>
      </c>
      <c r="B427" s="97" t="s">
        <v>1238</v>
      </c>
      <c r="C427" s="121" t="s">
        <v>95</v>
      </c>
      <c r="D427" s="121" t="s">
        <v>137</v>
      </c>
      <c r="E427" s="121" t="s">
        <v>14</v>
      </c>
      <c r="F427" s="98" t="n">
        <v>0</v>
      </c>
      <c r="G427" s="122" t="s">
        <v>1239</v>
      </c>
      <c r="H427" s="98" t="n">
        <v>1612080450</v>
      </c>
      <c r="I427" s="99" t="n">
        <v>1395917</v>
      </c>
      <c r="J427" s="99" t="n">
        <v>1395917</v>
      </c>
      <c r="K427" s="99">
        <f>IF(C427="III",ROUND(J427*$R$2,0),IF(C427="P3K/III",ROUND(J427*$R$2,0),0))</f>
        <v>0</v>
      </c>
      <c r="L427" s="99">
        <f>IF(C427="IV",ROUND(J427*$R$3,0),0)</f>
        <v>0</v>
      </c>
      <c r="M427" s="99" t="n">
        <v>0</v>
      </c>
      <c r="N427" s="99" t="n">
        <v>0</v>
      </c>
      <c r="O427" s="99" t="n">
        <v>0</v>
      </c>
      <c r="P427" s="42">
        <f>I427-SUM(K427:O427)</f>
        <v>1395917</v>
      </c>
    </row>
    <row r="428" spans="1:16">
      <c r="A428" s="37" t="n">
        <v>434</v>
      </c>
      <c r="B428" s="97" t="s">
        <v>1240</v>
      </c>
      <c r="C428" s="121" t="s">
        <v>95</v>
      </c>
      <c r="D428" s="121" t="s">
        <v>124</v>
      </c>
      <c r="E428" s="121" t="s">
        <v>15</v>
      </c>
      <c r="F428" s="98" t="n">
        <v>0</v>
      </c>
      <c r="G428" s="122" t="s">
        <v>1241</v>
      </c>
      <c r="H428" s="121" t="s">
        <v>1242</v>
      </c>
      <c r="I428" s="99" t="n">
        <v>1455012</v>
      </c>
      <c r="J428" s="99" t="n">
        <v>1455012</v>
      </c>
      <c r="K428" s="99">
        <f>IF(C428="III",ROUND(J428*$R$2,0),IF(C428="P3K/III",ROUND(J428*$R$2,0),0))</f>
        <v>0</v>
      </c>
      <c r="L428" s="99">
        <f>IF(C428="IV",ROUND(J428*$R$3,0),0)</f>
        <v>0</v>
      </c>
      <c r="M428" s="99" t="n">
        <v>0</v>
      </c>
      <c r="N428" s="99" t="n">
        <v>0</v>
      </c>
      <c r="O428" s="99" t="n">
        <v>0</v>
      </c>
      <c r="P428" s="42">
        <f>I428-SUM(K428:O428)</f>
        <v>1455012</v>
      </c>
    </row>
    <row r="429" spans="1:16">
      <c r="A429" s="37" t="n">
        <v>435</v>
      </c>
      <c r="B429" s="97" t="s">
        <v>1243</v>
      </c>
      <c r="C429" s="121" t="s">
        <v>95</v>
      </c>
      <c r="D429" s="121" t="s">
        <v>121</v>
      </c>
      <c r="E429" s="121" t="s">
        <v>14</v>
      </c>
      <c r="F429" s="98" t="n">
        <v>0</v>
      </c>
      <c r="G429" s="122" t="s">
        <v>1244</v>
      </c>
      <c r="H429" s="121" t="s">
        <v>1245</v>
      </c>
      <c r="I429" s="99" t="n">
        <v>1326082</v>
      </c>
      <c r="J429" s="99" t="n">
        <v>1326082</v>
      </c>
      <c r="K429" s="99">
        <f>IF(C429="III",ROUND(J429*$R$2,0),IF(C429="P3K/III",ROUND(J429*$R$2,0),0))</f>
        <v>0</v>
      </c>
      <c r="L429" s="99">
        <f>IF(C429="IV",ROUND(J429*$R$3,0),0)</f>
        <v>0</v>
      </c>
      <c r="M429" s="99" t="n">
        <v>0</v>
      </c>
      <c r="N429" s="99" t="n">
        <v>0</v>
      </c>
      <c r="O429" s="99" t="n">
        <v>0</v>
      </c>
      <c r="P429" s="42">
        <f>I429-SUM(K429:O429)</f>
        <v>1326082</v>
      </c>
    </row>
    <row r="430" spans="1:16">
      <c r="A430" s="37" t="n">
        <v>436</v>
      </c>
      <c r="B430" s="97" t="s">
        <v>1246</v>
      </c>
      <c r="C430" s="121" t="s">
        <v>58</v>
      </c>
      <c r="D430" s="121" t="s">
        <v>20</v>
      </c>
      <c r="E430" s="121" t="s">
        <v>21</v>
      </c>
      <c r="F430" s="121" t="s">
        <v>1247</v>
      </c>
      <c r="G430" s="122" t="s">
        <v>1248</v>
      </c>
      <c r="H430" s="121" t="s">
        <v>1249</v>
      </c>
      <c r="I430" s="99" t="n">
        <v>3780576</v>
      </c>
      <c r="J430" s="99" t="n">
        <v>3780576</v>
      </c>
      <c r="K430" s="99">
        <f>IF(C430="III",ROUND(J430*$R$2,0),IF(C430="P3K/III",ROUND(J430*$R$2,0),0))</f>
        <v>189029</v>
      </c>
      <c r="L430" s="99">
        <f>IF(C430="IV",ROUND(J430*$R$3,0),0)</f>
        <v>0</v>
      </c>
      <c r="M430" s="99" t="n">
        <v>0</v>
      </c>
      <c r="N430" s="99" t="n">
        <v>0</v>
      </c>
      <c r="O430" s="99" t="n">
        <v>0</v>
      </c>
      <c r="P430" s="42">
        <f>I430-SUM(K430:O430)</f>
        <v>3591547</v>
      </c>
    </row>
    <row r="431" spans="1:16">
      <c r="A431" s="37" t="n">
        <v>437</v>
      </c>
      <c r="B431" s="97" t="s">
        <v>1250</v>
      </c>
      <c r="C431" s="121" t="s">
        <v>58</v>
      </c>
      <c r="D431" s="121" t="s">
        <v>20</v>
      </c>
      <c r="E431" s="121" t="s">
        <v>21</v>
      </c>
      <c r="F431" s="121" t="s">
        <v>1251</v>
      </c>
      <c r="G431" s="122" t="s">
        <v>1252</v>
      </c>
      <c r="H431" s="121" t="s">
        <v>1253</v>
      </c>
      <c r="I431" s="99" t="n">
        <v>3132038</v>
      </c>
      <c r="J431" s="99" t="n">
        <v>3132038</v>
      </c>
      <c r="K431" s="99">
        <f>IF(C431="III",ROUND(J431*$R$2,0),IF(C431="P3K/III",ROUND(J431*$R$2,0),0))</f>
        <v>156602</v>
      </c>
      <c r="L431" s="99">
        <f>IF(C431="IV",ROUND(J431*$R$3,0),0)</f>
        <v>0</v>
      </c>
      <c r="M431" s="99" t="n">
        <v>0</v>
      </c>
      <c r="N431" s="99" t="n">
        <v>0</v>
      </c>
      <c r="O431" s="99" t="n">
        <v>0</v>
      </c>
      <c r="P431" s="42">
        <f>I431-SUM(K431:O431)</f>
        <v>2975436</v>
      </c>
    </row>
    <row r="432" spans="1:16">
      <c r="A432" s="37" t="n">
        <v>438</v>
      </c>
      <c r="B432" s="97" t="s">
        <v>1254</v>
      </c>
      <c r="C432" s="121" t="s">
        <v>58</v>
      </c>
      <c r="D432" s="121" t="s">
        <v>20</v>
      </c>
      <c r="E432" s="121" t="s">
        <v>21</v>
      </c>
      <c r="F432" s="121" t="s">
        <v>1255</v>
      </c>
      <c r="G432" s="122" t="s">
        <v>1256</v>
      </c>
      <c r="H432" s="121" t="s">
        <v>1257</v>
      </c>
      <c r="I432" s="99" t="n">
        <v>2831958</v>
      </c>
      <c r="J432" s="99" t="n">
        <v>2831958</v>
      </c>
      <c r="K432" s="99">
        <f>IF(C432="III",ROUND(J432*$R$2,0),IF(C432="P3K/III",ROUND(J432*$R$2,0),0))</f>
        <v>141598</v>
      </c>
      <c r="L432" s="99">
        <f>IF(C432="IV",ROUND(J432*$R$3,0),0)</f>
        <v>0</v>
      </c>
      <c r="M432" s="99" t="n">
        <v>0</v>
      </c>
      <c r="N432" s="99" t="n">
        <v>0</v>
      </c>
      <c r="O432" s="99" t="n">
        <v>0</v>
      </c>
      <c r="P432" s="42">
        <f>I432-SUM(K432:O432)</f>
        <v>2690360</v>
      </c>
    </row>
    <row r="433" spans="1:16">
      <c r="A433" s="37" t="n">
        <v>439</v>
      </c>
      <c r="B433" s="97" t="s">
        <v>1258</v>
      </c>
      <c r="C433" s="121" t="s">
        <v>111</v>
      </c>
      <c r="D433" s="121" t="s">
        <v>20</v>
      </c>
      <c r="E433" s="121" t="s">
        <v>21</v>
      </c>
      <c r="F433" s="121" t="s">
        <v>1259</v>
      </c>
      <c r="G433" s="122" t="s">
        <v>1260</v>
      </c>
      <c r="H433" s="121" t="s">
        <v>1261</v>
      </c>
      <c r="I433" s="99" t="n">
        <v>2136294</v>
      </c>
      <c r="J433" s="99" t="n">
        <v>2136294</v>
      </c>
      <c r="K433" s="99">
        <f>IF(C433="III",ROUND(J433*$R$2,0),IF(C433="P3K/III",ROUND(J433*$R$2,0),0))</f>
        <v>0</v>
      </c>
      <c r="L433" s="99">
        <f>IF(C433="IV",ROUND(J433*$R$3,0),0)</f>
        <v>0</v>
      </c>
      <c r="M433" s="99" t="n">
        <v>0</v>
      </c>
      <c r="N433" s="99" t="n">
        <v>0</v>
      </c>
      <c r="O433" s="99" t="n">
        <v>0</v>
      </c>
      <c r="P433" s="42">
        <f>I433-SUM(K433:O433)</f>
        <v>2136294</v>
      </c>
    </row>
    <row r="434" spans="1:16">
      <c r="A434" s="37" t="n">
        <v>440</v>
      </c>
      <c r="B434" s="97" t="s">
        <v>1262</v>
      </c>
      <c r="C434" s="121" t="s">
        <v>283</v>
      </c>
      <c r="D434" s="121" t="s">
        <v>20</v>
      </c>
      <c r="E434" s="121" t="s">
        <v>21</v>
      </c>
      <c r="F434" s="98" t="n">
        <v>0</v>
      </c>
      <c r="G434" s="40" t="n">
        <v>0</v>
      </c>
      <c r="H434" s="121" t="s">
        <v>1263</v>
      </c>
      <c r="I434" s="99" t="n">
        <v>2831958</v>
      </c>
      <c r="J434" s="99" t="n">
        <v>2831958</v>
      </c>
      <c r="K434" s="99">
        <f>IF(C434="III",ROUND(J434*$R$2,0),IF(C434="P3K/III",ROUND(J434*$R$2,0),0))</f>
        <v>0</v>
      </c>
      <c r="L434" s="99">
        <f>IF(C434="IV",ROUND(J434*$R$3,0),0)</f>
        <v>0</v>
      </c>
      <c r="M434" s="99" t="n">
        <v>0</v>
      </c>
      <c r="N434" s="99" t="n">
        <v>0</v>
      </c>
      <c r="O434" s="99" t="n">
        <v>0</v>
      </c>
      <c r="P434" s="42">
        <f>I434-SUM(K434:O434)</f>
        <v>2831958</v>
      </c>
    </row>
    <row r="435" spans="1:16">
      <c r="A435" s="37" t="n">
        <v>441</v>
      </c>
      <c r="B435" s="97" t="s">
        <v>1264</v>
      </c>
      <c r="C435" s="121" t="s">
        <v>111</v>
      </c>
      <c r="D435" s="121" t="s">
        <v>20</v>
      </c>
      <c r="E435" s="121" t="s">
        <v>21</v>
      </c>
      <c r="F435" s="121" t="s">
        <v>1265</v>
      </c>
      <c r="G435" s="40" t="n">
        <v>0</v>
      </c>
      <c r="H435" s="121" t="s">
        <v>1266</v>
      </c>
      <c r="I435" s="99" t="n">
        <v>1735899</v>
      </c>
      <c r="J435" s="99" t="n">
        <v>1735899</v>
      </c>
      <c r="K435" s="99">
        <f>IF(C435="III",ROUND(J435*$R$2,0),IF(C435="P3K/III",ROUND(J435*$R$2,0),0))</f>
        <v>0</v>
      </c>
      <c r="L435" s="99">
        <f>IF(C435="IV",ROUND(J435*$R$3,0),0)</f>
        <v>0</v>
      </c>
      <c r="M435" s="99" t="n">
        <v>0</v>
      </c>
      <c r="N435" s="99" t="n">
        <v>0</v>
      </c>
      <c r="O435" s="99" t="n">
        <v>0</v>
      </c>
      <c r="P435" s="42">
        <f>I435-SUM(K435:O435)</f>
        <v>1735899</v>
      </c>
    </row>
    <row r="436" spans="1:16">
      <c r="A436" s="37" t="n">
        <v>442</v>
      </c>
      <c r="B436" s="97" t="s">
        <v>1267</v>
      </c>
      <c r="C436" s="121" t="s">
        <v>111</v>
      </c>
      <c r="D436" s="121" t="s">
        <v>20</v>
      </c>
      <c r="E436" s="121" t="s">
        <v>21</v>
      </c>
      <c r="F436" s="121" t="s">
        <v>1268</v>
      </c>
      <c r="G436" s="40" t="n">
        <v>0</v>
      </c>
      <c r="H436" s="121" t="s">
        <v>1269</v>
      </c>
      <c r="I436" s="99" t="n">
        <v>2531878</v>
      </c>
      <c r="J436" s="99" t="n">
        <v>2531878</v>
      </c>
      <c r="K436" s="99">
        <f>IF(C436="III",ROUND(J436*$R$2,0),IF(C436="P3K/III",ROUND(J436*$R$2,0),0))</f>
        <v>0</v>
      </c>
      <c r="L436" s="99">
        <f>IF(C436="IV",ROUND(J436*$R$3,0),0)</f>
        <v>0</v>
      </c>
      <c r="M436" s="99" t="n">
        <v>0</v>
      </c>
      <c r="N436" s="99" t="n">
        <v>0</v>
      </c>
      <c r="O436" s="99" t="n">
        <v>0</v>
      </c>
      <c r="P436" s="42">
        <f>I436-SUM(K436:O436)</f>
        <v>2531878</v>
      </c>
    </row>
    <row r="437" spans="1:16">
      <c r="A437" s="37" t="n">
        <v>443</v>
      </c>
      <c r="B437" s="97" t="s">
        <v>1270</v>
      </c>
      <c r="C437" s="121" t="s">
        <v>283</v>
      </c>
      <c r="D437" s="121" t="s">
        <v>20</v>
      </c>
      <c r="E437" s="121" t="s">
        <v>21</v>
      </c>
      <c r="F437" s="98" t="n">
        <v>0</v>
      </c>
      <c r="G437" s="40" t="n">
        <v>0</v>
      </c>
      <c r="H437" s="121" t="s">
        <v>1271</v>
      </c>
      <c r="I437" s="99" t="n">
        <v>2531878</v>
      </c>
      <c r="J437" s="99" t="n">
        <v>2531878</v>
      </c>
      <c r="K437" s="99">
        <f>IF(C437="III",ROUND(J437*$R$2,0),IF(C437="P3K/III",ROUND(J437*$R$2,0),0))</f>
        <v>0</v>
      </c>
      <c r="L437" s="99">
        <f>IF(C437="IV",ROUND(J437*$R$3,0),0)</f>
        <v>0</v>
      </c>
      <c r="M437" s="99" t="n">
        <v>0</v>
      </c>
      <c r="N437" s="99" t="n">
        <v>0</v>
      </c>
      <c r="O437" s="99" t="n">
        <v>0</v>
      </c>
      <c r="P437" s="42">
        <f>I437-SUM(K437:O437)</f>
        <v>2531878</v>
      </c>
    </row>
    <row r="438" spans="1:16">
      <c r="A438" s="37" t="n">
        <v>444</v>
      </c>
      <c r="B438" s="97" t="s">
        <v>1272</v>
      </c>
      <c r="C438" s="121" t="s">
        <v>283</v>
      </c>
      <c r="D438" s="121" t="s">
        <v>20</v>
      </c>
      <c r="E438" s="121" t="s">
        <v>21</v>
      </c>
      <c r="F438" s="98" t="n">
        <v>0</v>
      </c>
      <c r="G438" s="40" t="n">
        <v>0</v>
      </c>
      <c r="H438" s="121" t="s">
        <v>1273</v>
      </c>
      <c r="I438" s="99" t="n">
        <v>2531878</v>
      </c>
      <c r="J438" s="99" t="n">
        <v>2531878</v>
      </c>
      <c r="K438" s="99">
        <f>IF(C438="III",ROUND(J438*$R$2,0),IF(C438="P3K/III",ROUND(J438*$R$2,0),0))</f>
        <v>0</v>
      </c>
      <c r="L438" s="99">
        <f>IF(C438="IV",ROUND(J438*$R$3,0),0)</f>
        <v>0</v>
      </c>
      <c r="M438" s="99" t="n">
        <v>0</v>
      </c>
      <c r="N438" s="99" t="n">
        <v>0</v>
      </c>
      <c r="O438" s="99" t="n">
        <v>0</v>
      </c>
      <c r="P438" s="42">
        <f>I438-SUM(K438:O438)</f>
        <v>2531878</v>
      </c>
    </row>
    <row r="439" spans="1:16">
      <c r="A439" s="37" t="n">
        <v>445</v>
      </c>
      <c r="B439" s="97" t="s">
        <v>1274</v>
      </c>
      <c r="C439" s="121" t="s">
        <v>283</v>
      </c>
      <c r="D439" s="121" t="s">
        <v>20</v>
      </c>
      <c r="E439" s="121" t="s">
        <v>21</v>
      </c>
      <c r="F439" s="98" t="n">
        <v>0</v>
      </c>
      <c r="G439" s="40" t="n">
        <v>0</v>
      </c>
      <c r="H439" s="121" t="s">
        <v>1275</v>
      </c>
      <c r="I439" s="99" t="n">
        <v>2831958</v>
      </c>
      <c r="J439" s="99" t="n">
        <v>2831958</v>
      </c>
      <c r="K439" s="99">
        <f>IF(C439="III",ROUND(J439*$R$2,0),IF(C439="P3K/III",ROUND(J439*$R$2,0),0))</f>
        <v>0</v>
      </c>
      <c r="L439" s="99">
        <f>IF(C439="IV",ROUND(J439*$R$3,0),0)</f>
        <v>0</v>
      </c>
      <c r="M439" s="99" t="n">
        <v>0</v>
      </c>
      <c r="N439" s="99" t="n">
        <v>0</v>
      </c>
      <c r="O439" s="99" t="n">
        <v>0</v>
      </c>
      <c r="P439" s="42">
        <f>I439-SUM(K439:O439)</f>
        <v>2831958</v>
      </c>
    </row>
    <row r="440" spans="1:16">
      <c r="A440" s="37" t="n">
        <v>446</v>
      </c>
      <c r="B440" s="97" t="s">
        <v>1276</v>
      </c>
      <c r="C440" s="121" t="s">
        <v>58</v>
      </c>
      <c r="D440" s="121" t="s">
        <v>20</v>
      </c>
      <c r="E440" s="121" t="s">
        <v>21</v>
      </c>
      <c r="F440" s="121" t="s">
        <v>1277</v>
      </c>
      <c r="G440" s="122" t="s">
        <v>1278</v>
      </c>
      <c r="H440" s="121" t="s">
        <v>1279</v>
      </c>
      <c r="I440" s="99" t="n">
        <v>5066355</v>
      </c>
      <c r="J440" s="99" t="n">
        <v>5066355</v>
      </c>
      <c r="K440" s="99">
        <f>IF(C440="III",ROUND(J440*$R$2,0),IF(C440="P3K/III",ROUND(J440*$R$2,0),0))</f>
        <v>253318</v>
      </c>
      <c r="L440" s="99">
        <f>IF(C440="IV",ROUND(J440*$R$3,0),0)</f>
        <v>0</v>
      </c>
      <c r="M440" s="99" t="n">
        <v>0</v>
      </c>
      <c r="N440" s="99" t="n">
        <v>0</v>
      </c>
      <c r="O440" s="99" t="n">
        <v>0</v>
      </c>
      <c r="P440" s="42">
        <f>I440-SUM(K440:O440)</f>
        <v>4813037</v>
      </c>
    </row>
    <row r="441" spans="1:16">
      <c r="A441" s="37" t="n">
        <v>447</v>
      </c>
      <c r="B441" s="97" t="s">
        <v>1280</v>
      </c>
      <c r="C441" s="121" t="s">
        <v>58</v>
      </c>
      <c r="D441" s="121" t="s">
        <v>20</v>
      </c>
      <c r="E441" s="121" t="s">
        <v>21</v>
      </c>
      <c r="F441" s="121" t="s">
        <v>1281</v>
      </c>
      <c r="G441" s="40" t="n">
        <v>0</v>
      </c>
      <c r="H441" s="121" t="s">
        <v>1282</v>
      </c>
      <c r="I441" s="99" t="n">
        <v>4589316</v>
      </c>
      <c r="J441" s="99" t="n">
        <v>4589316</v>
      </c>
      <c r="K441" s="99">
        <f>IF(C441="III",ROUND(J441*$R$2,0),IF(C441="P3K/III",ROUND(J441*$R$2,0),0))</f>
        <v>229466</v>
      </c>
      <c r="L441" s="99">
        <f>IF(C441="IV",ROUND(J441*$R$3,0),0)</f>
        <v>0</v>
      </c>
      <c r="M441" s="99" t="n">
        <v>0</v>
      </c>
      <c r="N441" s="99" t="n">
        <v>0</v>
      </c>
      <c r="O441" s="99" t="n">
        <v>0</v>
      </c>
      <c r="P441" s="42">
        <f>I441-SUM(K441:O441)</f>
        <v>4359850</v>
      </c>
    </row>
    <row r="442" spans="1:16">
      <c r="A442" s="37" t="n">
        <v>448</v>
      </c>
      <c r="B442" s="97" t="s">
        <v>1283</v>
      </c>
      <c r="C442" s="121" t="s">
        <v>58</v>
      </c>
      <c r="D442" s="121" t="s">
        <v>20</v>
      </c>
      <c r="E442" s="121" t="s">
        <v>21</v>
      </c>
      <c r="F442" s="121" t="s">
        <v>1284</v>
      </c>
      <c r="G442" s="40" t="n">
        <v>0</v>
      </c>
      <c r="H442" s="121" t="s">
        <v>1285</v>
      </c>
      <c r="I442" s="99" t="n">
        <v>4209038</v>
      </c>
      <c r="J442" s="99" t="n">
        <v>4209038</v>
      </c>
      <c r="K442" s="99">
        <f>IF(C442="III",ROUND(J442*$R$2,0),IF(C442="P3K/III",ROUND(J442*$R$2,0),0))</f>
        <v>210452</v>
      </c>
      <c r="L442" s="99">
        <f>IF(C442="IV",ROUND(J442*$R$3,0),0)</f>
        <v>0</v>
      </c>
      <c r="M442" s="99" t="n">
        <v>0</v>
      </c>
      <c r="N442" s="99" t="n">
        <v>0</v>
      </c>
      <c r="O442" s="99" t="n">
        <v>0</v>
      </c>
      <c r="P442" s="42">
        <f>I442-SUM(K442:O442)</f>
        <v>3998586</v>
      </c>
    </row>
    <row r="443" spans="1:16">
      <c r="A443" s="37" t="n">
        <v>449</v>
      </c>
      <c r="B443" s="97" t="s">
        <v>1286</v>
      </c>
      <c r="C443" s="121" t="s">
        <v>58</v>
      </c>
      <c r="D443" s="121" t="s">
        <v>20</v>
      </c>
      <c r="E443" s="121" t="s">
        <v>21</v>
      </c>
      <c r="F443" s="121" t="s">
        <v>1287</v>
      </c>
      <c r="G443" s="40" t="n">
        <v>0</v>
      </c>
      <c r="H443" s="121" t="s">
        <v>1288</v>
      </c>
      <c r="I443" s="99" t="n">
        <v>4160659</v>
      </c>
      <c r="J443" s="99" t="n">
        <v>4160659</v>
      </c>
      <c r="K443" s="99">
        <f>IF(C443="III",ROUND(J443*$R$2,0),IF(C443="P3K/III",ROUND(J443*$R$2,0),0))</f>
        <v>208033</v>
      </c>
      <c r="L443" s="99">
        <f>IF(C443="IV",ROUND(J443*$R$3,0),0)</f>
        <v>0</v>
      </c>
      <c r="M443" s="99" t="n">
        <v>0</v>
      </c>
      <c r="N443" s="99" t="n">
        <v>0</v>
      </c>
      <c r="O443" s="99" t="n">
        <v>0</v>
      </c>
      <c r="P443" s="42">
        <f>I443-SUM(K443:O443)</f>
        <v>3952626</v>
      </c>
    </row>
    <row r="444" spans="1:16">
      <c r="A444" s="37" t="n">
        <v>450</v>
      </c>
      <c r="B444" s="97" t="s">
        <v>1289</v>
      </c>
      <c r="C444" s="121" t="s">
        <v>58</v>
      </c>
      <c r="D444" s="121" t="s">
        <v>20</v>
      </c>
      <c r="E444" s="121" t="s">
        <v>21</v>
      </c>
      <c r="F444" s="121" t="s">
        <v>1290</v>
      </c>
      <c r="G444" s="122" t="s">
        <v>1291</v>
      </c>
      <c r="H444" s="121" t="s">
        <v>1292</v>
      </c>
      <c r="I444" s="99" t="n">
        <v>4160659</v>
      </c>
      <c r="J444" s="99" t="n">
        <v>4160659</v>
      </c>
      <c r="K444" s="99">
        <f>IF(C444="III",ROUND(J444*$R$2,0),IF(C444="P3K/III",ROUND(J444*$R$2,0),0))</f>
        <v>208033</v>
      </c>
      <c r="L444" s="99">
        <f>IF(C444="IV",ROUND(J444*$R$3,0),0)</f>
        <v>0</v>
      </c>
      <c r="M444" s="99" t="n">
        <v>0</v>
      </c>
      <c r="N444" s="99" t="n">
        <v>0</v>
      </c>
      <c r="O444" s="99" t="n">
        <v>0</v>
      </c>
      <c r="P444" s="42">
        <f>I444-SUM(K444:O444)</f>
        <v>3952626</v>
      </c>
    </row>
    <row r="445" spans="1:16">
      <c r="A445" s="37" t="n">
        <v>451</v>
      </c>
      <c r="B445" s="97" t="s">
        <v>1293</v>
      </c>
      <c r="C445" s="121" t="s">
        <v>58</v>
      </c>
      <c r="D445" s="121" t="s">
        <v>20</v>
      </c>
      <c r="E445" s="121" t="s">
        <v>21</v>
      </c>
      <c r="F445" s="121" t="s">
        <v>1294</v>
      </c>
      <c r="G445" s="40" t="n">
        <v>0</v>
      </c>
      <c r="H445" s="121" t="s">
        <v>1295</v>
      </c>
      <c r="I445" s="99" t="n">
        <v>3212500</v>
      </c>
      <c r="J445" s="99" t="n">
        <v>3212500</v>
      </c>
      <c r="K445" s="99">
        <f>IF(C445="III",ROUND(J445*$R$2,0),IF(C445="P3K/III",ROUND(J445*$R$2,0),0))</f>
        <v>160625</v>
      </c>
      <c r="L445" s="99">
        <f>IF(C445="IV",ROUND(J445*$R$3,0),0)</f>
        <v>0</v>
      </c>
      <c r="M445" s="99" t="n">
        <v>0</v>
      </c>
      <c r="N445" s="99" t="n">
        <v>0</v>
      </c>
      <c r="O445" s="99" t="n">
        <v>0</v>
      </c>
      <c r="P445" s="42">
        <f>I445-SUM(K445:O445)</f>
        <v>3051875</v>
      </c>
    </row>
    <row r="446" spans="1:16">
      <c r="A446" s="37" t="n">
        <v>452</v>
      </c>
      <c r="B446" s="97" t="s">
        <v>1296</v>
      </c>
      <c r="C446" s="121" t="s">
        <v>58</v>
      </c>
      <c r="D446" s="121" t="s">
        <v>20</v>
      </c>
      <c r="E446" s="121" t="s">
        <v>21</v>
      </c>
      <c r="F446" s="121" t="s">
        <v>1297</v>
      </c>
      <c r="G446" s="40" t="n">
        <v>0</v>
      </c>
      <c r="H446" s="121" t="s">
        <v>1298</v>
      </c>
      <c r="I446" s="99" t="n">
        <v>3756191</v>
      </c>
      <c r="J446" s="99" t="n">
        <v>3756191</v>
      </c>
      <c r="K446" s="99">
        <f>IF(C446="III",ROUND(J446*$R$2,0),IF(C446="P3K/III",ROUND(J446*$R$2,0),0))</f>
        <v>187810</v>
      </c>
      <c r="L446" s="99">
        <f>IF(C446="IV",ROUND(J446*$R$3,0),0)</f>
        <v>0</v>
      </c>
      <c r="M446" s="99" t="n">
        <v>0</v>
      </c>
      <c r="N446" s="99" t="n">
        <v>0</v>
      </c>
      <c r="O446" s="99" t="n">
        <v>0</v>
      </c>
      <c r="P446" s="42">
        <f>I446-SUM(K446:O446)</f>
        <v>3568381</v>
      </c>
    </row>
    <row r="447" spans="1:16">
      <c r="A447" s="37" t="n">
        <v>453</v>
      </c>
      <c r="B447" s="97" t="s">
        <v>1299</v>
      </c>
      <c r="C447" s="121" t="s">
        <v>58</v>
      </c>
      <c r="D447" s="121" t="s">
        <v>20</v>
      </c>
      <c r="E447" s="121" t="s">
        <v>21</v>
      </c>
      <c r="F447" s="121" t="s">
        <v>1300</v>
      </c>
      <c r="G447" s="122" t="s">
        <v>1301</v>
      </c>
      <c r="H447" s="121" t="s">
        <v>1302</v>
      </c>
      <c r="I447" s="99" t="n">
        <v>3756191</v>
      </c>
      <c r="J447" s="99" t="n">
        <v>3756191</v>
      </c>
      <c r="K447" s="99">
        <f>IF(C447="III",ROUND(J447*$R$2,0),IF(C447="P3K/III",ROUND(J447*$R$2,0),0))</f>
        <v>187810</v>
      </c>
      <c r="L447" s="99">
        <f>IF(C447="IV",ROUND(J447*$R$3,0),0)</f>
        <v>0</v>
      </c>
      <c r="M447" s="99" t="n">
        <v>0</v>
      </c>
      <c r="N447" s="99" t="n">
        <v>0</v>
      </c>
      <c r="O447" s="99" t="n">
        <v>0</v>
      </c>
      <c r="P447" s="42">
        <f>I447-SUM(K447:O447)</f>
        <v>3568381</v>
      </c>
    </row>
    <row r="448" spans="1:16">
      <c r="A448" s="37" t="n">
        <v>454</v>
      </c>
      <c r="B448" s="97" t="s">
        <v>1303</v>
      </c>
      <c r="C448" s="121" t="s">
        <v>120</v>
      </c>
      <c r="D448" s="121" t="s">
        <v>128</v>
      </c>
      <c r="E448" s="121" t="s">
        <v>15</v>
      </c>
      <c r="F448" s="98" t="n">
        <v>0</v>
      </c>
      <c r="G448" s="40" t="n">
        <v>0</v>
      </c>
      <c r="H448" s="121" t="s">
        <v>1304</v>
      </c>
      <c r="I448" s="99" t="n">
        <v>3780380</v>
      </c>
      <c r="J448" s="99" t="n">
        <v>3780380</v>
      </c>
      <c r="K448" s="99">
        <f>IF(C448="III",ROUND(J448*$R$2,0),IF(C448="P3K/III",ROUND(J448*$R$2,0),0))</f>
        <v>0</v>
      </c>
      <c r="L448" s="99">
        <f>IF(C448="IV",ROUND(J448*$R$3,0),0)</f>
        <v>0</v>
      </c>
      <c r="M448" s="99" t="n">
        <v>0</v>
      </c>
      <c r="N448" s="99" t="n">
        <v>0</v>
      </c>
      <c r="O448" s="99" t="n">
        <v>0</v>
      </c>
      <c r="P448" s="42">
        <f>I448-SUM(K448:O448)</f>
        <v>3780380</v>
      </c>
    </row>
    <row r="449" spans="1:16">
      <c r="A449" s="37" t="n">
        <v>455</v>
      </c>
      <c r="B449" s="97" t="s">
        <v>1305</v>
      </c>
      <c r="C449" s="121" t="s">
        <v>283</v>
      </c>
      <c r="D449" s="121" t="s">
        <v>20</v>
      </c>
      <c r="E449" s="121" t="s">
        <v>21</v>
      </c>
      <c r="F449" s="98" t="n">
        <v>0</v>
      </c>
      <c r="G449" s="122" t="s">
        <v>1306</v>
      </c>
      <c r="H449" s="121" t="s">
        <v>1307</v>
      </c>
      <c r="I449" s="99" t="n">
        <v>3732001</v>
      </c>
      <c r="J449" s="99" t="n">
        <v>3732001</v>
      </c>
      <c r="K449" s="99">
        <f>IF(C449="III",ROUND(J449*$R$2,0),IF(C449="P3K/III",ROUND(J449*$R$2,0),0))</f>
        <v>0</v>
      </c>
      <c r="L449" s="99">
        <f>IF(C449="IV",ROUND(J449*$R$3,0),0)</f>
        <v>0</v>
      </c>
      <c r="M449" s="99" t="n">
        <v>0</v>
      </c>
      <c r="N449" s="99" t="n">
        <v>0</v>
      </c>
      <c r="O449" s="99" t="n">
        <v>0</v>
      </c>
      <c r="P449" s="42">
        <f>I449-SUM(K449:O449)</f>
        <v>3732001</v>
      </c>
    </row>
    <row r="450" spans="1:16">
      <c r="A450" s="37" t="n">
        <v>456</v>
      </c>
      <c r="B450" s="97" t="s">
        <v>1308</v>
      </c>
      <c r="C450" s="121" t="s">
        <v>120</v>
      </c>
      <c r="D450" s="121" t="s">
        <v>278</v>
      </c>
      <c r="E450" s="121" t="s">
        <v>16</v>
      </c>
      <c r="F450" s="98" t="n">
        <v>0</v>
      </c>
      <c r="G450" s="122" t="s">
        <v>1309</v>
      </c>
      <c r="H450" s="121" t="s">
        <v>1310</v>
      </c>
      <c r="I450" s="99" t="n">
        <v>3780380</v>
      </c>
      <c r="J450" s="99" t="n">
        <v>3780380</v>
      </c>
      <c r="K450" s="99">
        <f>IF(C450="III",ROUND(J450*$R$2,0),IF(C450="P3K/III",ROUND(J450*$R$2,0),0))</f>
        <v>0</v>
      </c>
      <c r="L450" s="99">
        <f>IF(C450="IV",ROUND(J450*$R$3,0),0)</f>
        <v>0</v>
      </c>
      <c r="M450" s="99" t="n">
        <v>0</v>
      </c>
      <c r="N450" s="99" t="n">
        <v>0</v>
      </c>
      <c r="O450" s="99" t="n">
        <v>0</v>
      </c>
      <c r="P450" s="42">
        <f>I450-SUM(K450:O450)</f>
        <v>3780380</v>
      </c>
    </row>
    <row r="451" spans="1:16">
      <c r="A451" s="37" t="n">
        <v>457</v>
      </c>
      <c r="B451" s="97" t="s">
        <v>1311</v>
      </c>
      <c r="C451" s="121" t="s">
        <v>283</v>
      </c>
      <c r="D451" s="121" t="s">
        <v>20</v>
      </c>
      <c r="E451" s="121" t="s">
        <v>21</v>
      </c>
      <c r="F451" s="98" t="n">
        <v>0</v>
      </c>
      <c r="G451" s="122" t="s">
        <v>1312</v>
      </c>
      <c r="H451" s="121" t="s">
        <v>1313</v>
      </c>
      <c r="I451" s="99" t="n">
        <v>3732001</v>
      </c>
      <c r="J451" s="99" t="n">
        <v>3732001</v>
      </c>
      <c r="K451" s="99">
        <f>IF(C451="III",ROUND(J451*$R$2,0),IF(C451="P3K/III",ROUND(J451*$R$2,0),0))</f>
        <v>0</v>
      </c>
      <c r="L451" s="99">
        <f>IF(C451="IV",ROUND(J451*$R$3,0),0)</f>
        <v>0</v>
      </c>
      <c r="M451" s="99" t="n">
        <v>0</v>
      </c>
      <c r="N451" s="99" t="n">
        <v>0</v>
      </c>
      <c r="O451" s="99" t="n">
        <v>0</v>
      </c>
      <c r="P451" s="42">
        <f>I451-SUM(K451:O451)</f>
        <v>3732001</v>
      </c>
    </row>
    <row r="452" spans="1:16">
      <c r="A452" s="37" t="n">
        <v>458</v>
      </c>
      <c r="B452" s="97" t="s">
        <v>1314</v>
      </c>
      <c r="C452" s="121" t="s">
        <v>283</v>
      </c>
      <c r="D452" s="121" t="s">
        <v>20</v>
      </c>
      <c r="E452" s="121" t="s">
        <v>21</v>
      </c>
      <c r="F452" s="98" t="n">
        <v>0</v>
      </c>
      <c r="G452" s="122" t="s">
        <v>1315</v>
      </c>
      <c r="H452" s="121" t="s">
        <v>1316</v>
      </c>
      <c r="I452" s="99" t="n">
        <v>3732001</v>
      </c>
      <c r="J452" s="99" t="n">
        <v>3732001</v>
      </c>
      <c r="K452" s="99">
        <f>IF(C452="III",ROUND(J452*$R$2,0),IF(C452="P3K/III",ROUND(J452*$R$2,0),0))</f>
        <v>0</v>
      </c>
      <c r="L452" s="99">
        <f>IF(C452="IV",ROUND(J452*$R$3,0),0)</f>
        <v>0</v>
      </c>
      <c r="M452" s="99" t="n">
        <v>0</v>
      </c>
      <c r="N452" s="99" t="n">
        <v>0</v>
      </c>
      <c r="O452" s="99" t="n">
        <v>0</v>
      </c>
      <c r="P452" s="42">
        <f>I452-SUM(K452:O452)</f>
        <v>3732001</v>
      </c>
    </row>
    <row r="453" spans="1:16">
      <c r="A453" s="37" t="n">
        <v>459</v>
      </c>
      <c r="B453" s="97" t="s">
        <v>1317</v>
      </c>
      <c r="C453" s="121" t="s">
        <v>111</v>
      </c>
      <c r="D453" s="121" t="s">
        <v>20</v>
      </c>
      <c r="E453" s="121" t="s">
        <v>21</v>
      </c>
      <c r="F453" s="121" t="s">
        <v>1318</v>
      </c>
      <c r="G453" s="122" t="s">
        <v>1319</v>
      </c>
      <c r="H453" s="121" t="s">
        <v>1320</v>
      </c>
      <c r="I453" s="99" t="n">
        <v>3517672</v>
      </c>
      <c r="J453" s="99" t="n">
        <v>3517672</v>
      </c>
      <c r="K453" s="99">
        <f>IF(C453="III",ROUND(J453*$R$2,0),IF(C453="P3K/III",ROUND(J453*$R$2,0),0))</f>
        <v>0</v>
      </c>
      <c r="L453" s="99">
        <f>IF(C453="IV",ROUND(J453*$R$3,0),0)</f>
        <v>0</v>
      </c>
      <c r="M453" s="99" t="n">
        <v>0</v>
      </c>
      <c r="N453" s="99" t="n">
        <v>0</v>
      </c>
      <c r="O453" s="99" t="n">
        <v>0</v>
      </c>
      <c r="P453" s="42">
        <f>I453-SUM(K453:O453)</f>
        <v>3517672</v>
      </c>
    </row>
    <row r="454" spans="1:16">
      <c r="A454" s="37" t="n">
        <v>460</v>
      </c>
      <c r="B454" s="97" t="s">
        <v>1321</v>
      </c>
      <c r="C454" s="121" t="s">
        <v>283</v>
      </c>
      <c r="D454" s="121" t="s">
        <v>20</v>
      </c>
      <c r="E454" s="121" t="s">
        <v>21</v>
      </c>
      <c r="F454" s="98" t="n">
        <v>0</v>
      </c>
      <c r="G454" s="122" t="s">
        <v>1322</v>
      </c>
      <c r="H454" s="121" t="s">
        <v>1323</v>
      </c>
      <c r="I454" s="99" t="n">
        <v>3303344</v>
      </c>
      <c r="J454" s="99" t="n">
        <v>3303344</v>
      </c>
      <c r="K454" s="99">
        <f>IF(C454="III",ROUND(J454*$R$2,0),IF(C454="P3K/III",ROUND(J454*$R$2,0),0))</f>
        <v>0</v>
      </c>
      <c r="L454" s="99">
        <f>IF(C454="IV",ROUND(J454*$R$3,0),0)</f>
        <v>0</v>
      </c>
      <c r="M454" s="99" t="n">
        <v>0</v>
      </c>
      <c r="N454" s="99" t="n">
        <v>0</v>
      </c>
      <c r="O454" s="99" t="n">
        <v>0</v>
      </c>
      <c r="P454" s="42">
        <f>I454-SUM(K454:O454)</f>
        <v>3303344</v>
      </c>
    </row>
    <row r="455" spans="1:16">
      <c r="A455" s="37" t="n">
        <v>461</v>
      </c>
      <c r="B455" s="97" t="s">
        <v>1324</v>
      </c>
      <c r="C455" s="121" t="s">
        <v>111</v>
      </c>
      <c r="D455" s="121" t="s">
        <v>20</v>
      </c>
      <c r="E455" s="121" t="s">
        <v>21</v>
      </c>
      <c r="F455" s="121" t="s">
        <v>1325</v>
      </c>
      <c r="G455" s="122" t="s">
        <v>1326</v>
      </c>
      <c r="H455" s="121" t="s">
        <v>1327</v>
      </c>
      <c r="I455" s="99" t="n">
        <v>3517672</v>
      </c>
      <c r="J455" s="99" t="n">
        <v>3517672</v>
      </c>
      <c r="K455" s="99">
        <f>IF(C455="III",ROUND(J455*$R$2,0),IF(C455="P3K/III",ROUND(J455*$R$2,0),0))</f>
        <v>0</v>
      </c>
      <c r="L455" s="99">
        <f>IF(C455="IV",ROUND(J455*$R$3,0),0)</f>
        <v>0</v>
      </c>
      <c r="M455" s="99" t="n">
        <v>0</v>
      </c>
      <c r="N455" s="99" t="n">
        <v>0</v>
      </c>
      <c r="O455" s="99" t="n">
        <v>0</v>
      </c>
      <c r="P455" s="42">
        <f>I455-SUM(K455:O455)</f>
        <v>3517672</v>
      </c>
    </row>
    <row r="456" spans="1:16">
      <c r="A456" s="37" t="n">
        <v>462</v>
      </c>
      <c r="B456" s="97" t="s">
        <v>1328</v>
      </c>
      <c r="C456" s="121" t="s">
        <v>283</v>
      </c>
      <c r="D456" s="121" t="s">
        <v>20</v>
      </c>
      <c r="E456" s="121" t="s">
        <v>21</v>
      </c>
      <c r="F456" s="98" t="n">
        <v>0</v>
      </c>
      <c r="G456" s="40" t="n">
        <v>0</v>
      </c>
      <c r="H456" s="121" t="s">
        <v>1329</v>
      </c>
      <c r="I456" s="99" t="n">
        <v>3303344</v>
      </c>
      <c r="J456" s="99" t="n">
        <v>3303344</v>
      </c>
      <c r="K456" s="99">
        <f>IF(C456="III",ROUND(J456*$R$2,0),IF(C456="P3K/III",ROUND(J456*$R$2,0),0))</f>
        <v>0</v>
      </c>
      <c r="L456" s="99">
        <f>IF(C456="IV",ROUND(J456*$R$3,0),0)</f>
        <v>0</v>
      </c>
      <c r="M456" s="99" t="n">
        <v>0</v>
      </c>
      <c r="N456" s="99" t="n">
        <v>0</v>
      </c>
      <c r="O456" s="99" t="n">
        <v>0</v>
      </c>
      <c r="P456" s="42">
        <f>I456-SUM(K456:O456)</f>
        <v>3303344</v>
      </c>
    </row>
    <row r="457" spans="1:16">
      <c r="A457" s="37" t="n">
        <v>463</v>
      </c>
      <c r="B457" s="97" t="s">
        <v>1330</v>
      </c>
      <c r="C457" s="121" t="s">
        <v>283</v>
      </c>
      <c r="D457" s="121" t="s">
        <v>20</v>
      </c>
      <c r="E457" s="121" t="s">
        <v>21</v>
      </c>
      <c r="F457" s="98" t="n">
        <v>0</v>
      </c>
      <c r="G457" s="40" t="n">
        <v>0</v>
      </c>
      <c r="H457" s="121" t="s">
        <v>1331</v>
      </c>
      <c r="I457" s="99" t="n">
        <v>3517672</v>
      </c>
      <c r="J457" s="99" t="n">
        <v>3517672</v>
      </c>
      <c r="K457" s="99">
        <f>IF(C457="III",ROUND(J457*$R$2,0),IF(C457="P3K/III",ROUND(J457*$R$2,0),0))</f>
        <v>0</v>
      </c>
      <c r="L457" s="99">
        <f>IF(C457="IV",ROUND(J457*$R$3,0),0)</f>
        <v>0</v>
      </c>
      <c r="M457" s="99" t="n">
        <v>0</v>
      </c>
      <c r="N457" s="99" t="n">
        <v>0</v>
      </c>
      <c r="O457" s="99" t="n">
        <v>0</v>
      </c>
      <c r="P457" s="42">
        <f>I457-SUM(K457:O457)</f>
        <v>3517672</v>
      </c>
    </row>
    <row r="458" spans="1:16">
      <c r="A458" s="37" t="n">
        <v>464</v>
      </c>
      <c r="B458" s="97" t="s">
        <v>1332</v>
      </c>
      <c r="C458" s="121" t="s">
        <v>283</v>
      </c>
      <c r="D458" s="121" t="s">
        <v>20</v>
      </c>
      <c r="E458" s="121" t="s">
        <v>21</v>
      </c>
      <c r="F458" s="98" t="n">
        <v>0</v>
      </c>
      <c r="G458" s="40" t="n">
        <v>0</v>
      </c>
      <c r="H458" s="121" t="s">
        <v>1333</v>
      </c>
      <c r="I458" s="99" t="n">
        <v>3517672</v>
      </c>
      <c r="J458" s="99" t="n">
        <v>3517672</v>
      </c>
      <c r="K458" s="99">
        <f>IF(C458="III",ROUND(J458*$R$2,0),IF(C458="P3K/III",ROUND(J458*$R$2,0),0))</f>
        <v>0</v>
      </c>
      <c r="L458" s="99">
        <f>IF(C458="IV",ROUND(J458*$R$3,0),0)</f>
        <v>0</v>
      </c>
      <c r="M458" s="99" t="n">
        <v>0</v>
      </c>
      <c r="N458" s="99" t="n">
        <v>0</v>
      </c>
      <c r="O458" s="99" t="n">
        <v>0</v>
      </c>
      <c r="P458" s="42">
        <f>I458-SUM(K458:O458)</f>
        <v>3517672</v>
      </c>
    </row>
    <row r="459" spans="1:16">
      <c r="A459" s="37" t="n">
        <v>465</v>
      </c>
      <c r="B459" s="97" t="s">
        <v>1334</v>
      </c>
      <c r="C459" s="121" t="s">
        <v>283</v>
      </c>
      <c r="D459" s="121" t="s">
        <v>20</v>
      </c>
      <c r="E459" s="121" t="s">
        <v>21</v>
      </c>
      <c r="F459" s="98" t="n">
        <v>0</v>
      </c>
      <c r="G459" s="40" t="n">
        <v>0</v>
      </c>
      <c r="H459" s="121" t="s">
        <v>1335</v>
      </c>
      <c r="I459" s="99" t="n">
        <v>3517672</v>
      </c>
      <c r="J459" s="99" t="n">
        <v>3517672</v>
      </c>
      <c r="K459" s="99">
        <f>IF(C459="III",ROUND(J459*$R$2,0),IF(C459="P3K/III",ROUND(J459*$R$2,0),0))</f>
        <v>0</v>
      </c>
      <c r="L459" s="99">
        <f>IF(C459="IV",ROUND(J459*$R$3,0),0)</f>
        <v>0</v>
      </c>
      <c r="M459" s="99" t="n">
        <v>0</v>
      </c>
      <c r="N459" s="99" t="n">
        <v>0</v>
      </c>
      <c r="O459" s="99" t="n">
        <v>0</v>
      </c>
      <c r="P459" s="42">
        <f>I459-SUM(K459:O459)</f>
        <v>3517672</v>
      </c>
    </row>
    <row r="460" spans="1:16">
      <c r="A460" s="37" t="n">
        <v>466</v>
      </c>
      <c r="B460" s="97" t="s">
        <v>1336</v>
      </c>
      <c r="C460" s="121" t="s">
        <v>131</v>
      </c>
      <c r="D460" s="121" t="s">
        <v>20</v>
      </c>
      <c r="E460" s="121" t="s">
        <v>21</v>
      </c>
      <c r="F460" s="121" t="s">
        <v>1337</v>
      </c>
      <c r="G460" s="40" t="n">
        <v>0</v>
      </c>
      <c r="H460" s="121" t="s">
        <v>1338</v>
      </c>
      <c r="I460" s="99" t="n">
        <v>3566051</v>
      </c>
      <c r="J460" s="99" t="n">
        <v>3566051</v>
      </c>
      <c r="K460" s="99">
        <f>IF(C460="III",ROUND(J460*$R$2,0),IF(C460="P3K/III",ROUND(J460*$R$2,0),0))</f>
        <v>178303</v>
      </c>
      <c r="L460" s="99">
        <f>IF(C460="IV",ROUND(J460*$R$3,0),0)</f>
        <v>0</v>
      </c>
      <c r="M460" s="99" t="n">
        <v>0</v>
      </c>
      <c r="N460" s="99" t="n">
        <v>0</v>
      </c>
      <c r="O460" s="99" t="n">
        <v>0</v>
      </c>
      <c r="P460" s="42">
        <f>I460-SUM(K460:O460)</f>
        <v>3387748</v>
      </c>
    </row>
    <row r="461" spans="1:16">
      <c r="A461" s="37" t="n">
        <v>467</v>
      </c>
      <c r="B461" s="97" t="s">
        <v>1339</v>
      </c>
      <c r="C461" s="121" t="s">
        <v>283</v>
      </c>
      <c r="D461" s="121" t="s">
        <v>20</v>
      </c>
      <c r="E461" s="121" t="s">
        <v>21</v>
      </c>
      <c r="F461" s="98" t="n">
        <v>0</v>
      </c>
      <c r="G461" s="40" t="n">
        <v>0</v>
      </c>
      <c r="H461" s="121" t="s">
        <v>1340</v>
      </c>
      <c r="I461" s="99" t="n">
        <v>3517672</v>
      </c>
      <c r="J461" s="99" t="n">
        <v>3517672</v>
      </c>
      <c r="K461" s="99">
        <f>IF(C461="III",ROUND(J461*$R$2,0),IF(C461="P3K/III",ROUND(J461*$R$2,0),0))</f>
        <v>0</v>
      </c>
      <c r="L461" s="99">
        <f>IF(C461="IV",ROUND(J461*$R$3,0),0)</f>
        <v>0</v>
      </c>
      <c r="M461" s="99" t="n">
        <v>0</v>
      </c>
      <c r="N461" s="99" t="n">
        <v>0</v>
      </c>
      <c r="O461" s="99" t="n">
        <v>0</v>
      </c>
      <c r="P461" s="42">
        <f>I461-SUM(K461:O461)</f>
        <v>3517672</v>
      </c>
    </row>
    <row r="462" spans="1:16">
      <c r="A462" s="37" t="n">
        <v>468</v>
      </c>
      <c r="B462" s="97" t="s">
        <v>1341</v>
      </c>
      <c r="C462" s="121" t="s">
        <v>283</v>
      </c>
      <c r="D462" s="121" t="s">
        <v>20</v>
      </c>
      <c r="E462" s="121" t="s">
        <v>21</v>
      </c>
      <c r="F462" s="98" t="n">
        <v>0</v>
      </c>
      <c r="G462" s="122" t="s">
        <v>1342</v>
      </c>
      <c r="H462" s="121" t="s">
        <v>1343</v>
      </c>
      <c r="I462" s="99" t="n">
        <v>3303344</v>
      </c>
      <c r="J462" s="99" t="n">
        <v>3303344</v>
      </c>
      <c r="K462" s="99">
        <f>IF(C462="III",ROUND(J462*$R$2,0),IF(C462="P3K/III",ROUND(J462*$R$2,0),0))</f>
        <v>0</v>
      </c>
      <c r="L462" s="99">
        <f>IF(C462="IV",ROUND(J462*$R$3,0),0)</f>
        <v>0</v>
      </c>
      <c r="M462" s="99" t="n">
        <v>0</v>
      </c>
      <c r="N462" s="99" t="n">
        <v>0</v>
      </c>
      <c r="O462" s="99" t="n">
        <v>0</v>
      </c>
      <c r="P462" s="42">
        <f>I462-SUM(K462:O462)</f>
        <v>3303344</v>
      </c>
    </row>
    <row r="463" spans="1:16">
      <c r="A463" s="37" t="n">
        <v>469</v>
      </c>
      <c r="B463" s="97" t="s">
        <v>1344</v>
      </c>
      <c r="C463" s="121" t="s">
        <v>283</v>
      </c>
      <c r="D463" s="121" t="s">
        <v>20</v>
      </c>
      <c r="E463" s="121" t="s">
        <v>21</v>
      </c>
      <c r="F463" s="98" t="n">
        <v>0</v>
      </c>
      <c r="G463" s="122" t="s">
        <v>1342</v>
      </c>
      <c r="H463" s="121" t="s">
        <v>1345</v>
      </c>
      <c r="I463" s="99" t="n">
        <v>3303344</v>
      </c>
      <c r="J463" s="99" t="n">
        <v>3303344</v>
      </c>
      <c r="K463" s="99">
        <f>IF(C463="III",ROUND(J463*$R$2,0),IF(C463="P3K/III",ROUND(J463*$R$2,0),0))</f>
        <v>0</v>
      </c>
      <c r="L463" s="99">
        <f>IF(C463="IV",ROUND(J463*$R$3,0),0)</f>
        <v>0</v>
      </c>
      <c r="M463" s="99" t="n">
        <v>0</v>
      </c>
      <c r="N463" s="99" t="n">
        <v>0</v>
      </c>
      <c r="O463" s="99" t="n">
        <v>0</v>
      </c>
      <c r="P463" s="42">
        <f>I463-SUM(K463:O463)</f>
        <v>3303344</v>
      </c>
    </row>
    <row r="464" spans="1:16">
      <c r="A464" s="37" t="n">
        <v>471</v>
      </c>
      <c r="B464" s="97" t="s">
        <v>1346</v>
      </c>
      <c r="C464" s="121" t="s">
        <v>283</v>
      </c>
      <c r="D464" s="121" t="s">
        <v>20</v>
      </c>
      <c r="E464" s="121" t="s">
        <v>21</v>
      </c>
      <c r="F464" s="98" t="n">
        <v>0</v>
      </c>
      <c r="G464" s="122" t="s">
        <v>1347</v>
      </c>
      <c r="H464" s="121" t="s">
        <v>1348</v>
      </c>
      <c r="I464" s="99" t="n">
        <v>2874686</v>
      </c>
      <c r="J464" s="99" t="n">
        <v>2874686</v>
      </c>
      <c r="K464" s="99">
        <f>IF(C464="III",ROUND(J464*$R$2,0),IF(C464="P3K/III",ROUND(J464*$R$2,0),0))</f>
        <v>0</v>
      </c>
      <c r="L464" s="99">
        <f>IF(C464="IV",ROUND(J464*$R$3,0),0)</f>
        <v>0</v>
      </c>
      <c r="M464" s="99" t="n">
        <v>0</v>
      </c>
      <c r="N464" s="99" t="n">
        <v>0</v>
      </c>
      <c r="O464" s="99" t="n">
        <v>0</v>
      </c>
      <c r="P464" s="42">
        <f>I464-SUM(K464:O464)</f>
        <v>2874686</v>
      </c>
    </row>
    <row r="465" spans="1:16">
      <c r="A465" s="37" t="n">
        <v>472</v>
      </c>
      <c r="B465" s="97" t="s">
        <v>1349</v>
      </c>
      <c r="C465" s="121" t="s">
        <v>95</v>
      </c>
      <c r="D465" s="121" t="s">
        <v>137</v>
      </c>
      <c r="E465" s="121" t="s">
        <v>14</v>
      </c>
      <c r="F465" s="98" t="n">
        <v>0</v>
      </c>
      <c r="G465" s="122" t="s">
        <v>1350</v>
      </c>
      <c r="H465" s="98" t="n">
        <v>1613344159</v>
      </c>
      <c r="I465" s="99" t="n">
        <v>2898876</v>
      </c>
      <c r="J465" s="99" t="n">
        <v>2898876</v>
      </c>
      <c r="K465" s="99">
        <f>IF(C465="III",ROUND(J465*$R$2,0),IF(C465="P3K/III",ROUND(J465*$R$2,0),0))</f>
        <v>0</v>
      </c>
      <c r="L465" s="99">
        <f>IF(C465="IV",ROUND(J465*$R$3,0),0)</f>
        <v>0</v>
      </c>
      <c r="M465" s="99" t="n">
        <v>0</v>
      </c>
      <c r="N465" s="99" t="n">
        <v>0</v>
      </c>
      <c r="O465" s="99" t="n">
        <v>0</v>
      </c>
      <c r="P465" s="42">
        <f>I465-SUM(K465:O465)</f>
        <v>2898876</v>
      </c>
    </row>
    <row r="466" spans="1:16">
      <c r="A466" s="37" t="n">
        <v>473</v>
      </c>
      <c r="B466" s="97" t="s">
        <v>1351</v>
      </c>
      <c r="C466" s="121" t="s">
        <v>95</v>
      </c>
      <c r="D466" s="121" t="s">
        <v>137</v>
      </c>
      <c r="E466" s="121" t="s">
        <v>14</v>
      </c>
      <c r="F466" s="98" t="n">
        <v>0</v>
      </c>
      <c r="G466" s="122" t="s">
        <v>1352</v>
      </c>
      <c r="H466" s="121" t="s">
        <v>1353</v>
      </c>
      <c r="I466" s="99" t="n">
        <v>2923065</v>
      </c>
      <c r="J466" s="99" t="n">
        <v>2923065</v>
      </c>
      <c r="K466" s="99">
        <f>IF(C466="III",ROUND(J466*$R$2,0),IF(C466="P3K/III",ROUND(J466*$R$2,0),0))</f>
        <v>0</v>
      </c>
      <c r="L466" s="99">
        <f>IF(C466="IV",ROUND(J466*$R$3,0),0)</f>
        <v>0</v>
      </c>
      <c r="M466" s="99" t="n">
        <v>0</v>
      </c>
      <c r="N466" s="99" t="n">
        <v>0</v>
      </c>
      <c r="O466" s="99" t="n">
        <v>0</v>
      </c>
      <c r="P466" s="42">
        <f>I466-SUM(K466:O466)</f>
        <v>2923065</v>
      </c>
    </row>
    <row r="467" spans="1:16">
      <c r="A467" s="37" t="n">
        <v>474</v>
      </c>
      <c r="B467" s="97" t="s">
        <v>1354</v>
      </c>
      <c r="C467" s="121" t="s">
        <v>283</v>
      </c>
      <c r="D467" s="121" t="s">
        <v>20</v>
      </c>
      <c r="E467" s="121" t="s">
        <v>21</v>
      </c>
      <c r="F467" s="98" t="n">
        <v>0</v>
      </c>
      <c r="G467" s="122" t="s">
        <v>1355</v>
      </c>
      <c r="H467" s="121" t="s">
        <v>1356</v>
      </c>
      <c r="I467" s="99" t="n">
        <v>2874686</v>
      </c>
      <c r="J467" s="99" t="n">
        <v>2874686</v>
      </c>
      <c r="K467" s="99">
        <f>IF(C467="III",ROUND(J467*$R$2,0),IF(C467="P3K/III",ROUND(J467*$R$2,0),0))</f>
        <v>0</v>
      </c>
      <c r="L467" s="99">
        <f>IF(C467="IV",ROUND(J467*$R$3,0),0)</f>
        <v>0</v>
      </c>
      <c r="M467" s="99" t="n">
        <v>0</v>
      </c>
      <c r="N467" s="99" t="n">
        <v>0</v>
      </c>
      <c r="O467" s="99" t="n">
        <v>0</v>
      </c>
      <c r="P467" s="42">
        <f>I467-SUM(K467:O467)</f>
        <v>2874686</v>
      </c>
    </row>
    <row r="468" spans="1:16">
      <c r="A468" s="37" t="n">
        <v>476</v>
      </c>
      <c r="B468" s="97" t="s">
        <v>1357</v>
      </c>
      <c r="C468" s="121" t="s">
        <v>95</v>
      </c>
      <c r="D468" s="121" t="s">
        <v>124</v>
      </c>
      <c r="E468" s="121" t="s">
        <v>15</v>
      </c>
      <c r="F468" s="98" t="n">
        <v>0</v>
      </c>
      <c r="G468" s="122" t="s">
        <v>1358</v>
      </c>
      <c r="H468" s="121" t="s">
        <v>1359</v>
      </c>
      <c r="I468" s="99" t="n">
        <v>2446028</v>
      </c>
      <c r="J468" s="99" t="n">
        <v>2446028</v>
      </c>
      <c r="K468" s="99">
        <f>IF(C468="III",ROUND(J468*$R$2,0),IF(C468="P3K/III",ROUND(J468*$R$2,0),0))</f>
        <v>0</v>
      </c>
      <c r="L468" s="99">
        <f>IF(C468="IV",ROUND(J468*$R$3,0),0)</f>
        <v>0</v>
      </c>
      <c r="M468" s="99" t="n">
        <v>0</v>
      </c>
      <c r="N468" s="99" t="n">
        <v>0</v>
      </c>
      <c r="O468" s="99" t="n">
        <v>0</v>
      </c>
      <c r="P468" s="42">
        <f>I468-SUM(K468:O468)</f>
        <v>2446028</v>
      </c>
    </row>
    <row r="469" spans="1:16">
      <c r="A469" s="37" t="n">
        <v>477</v>
      </c>
      <c r="B469" s="97" t="s">
        <v>1360</v>
      </c>
      <c r="C469" s="121" t="s">
        <v>95</v>
      </c>
      <c r="D469" s="121" t="s">
        <v>137</v>
      </c>
      <c r="E469" s="121" t="s">
        <v>14</v>
      </c>
      <c r="F469" s="98" t="n">
        <v>0</v>
      </c>
      <c r="G469" s="40" t="n">
        <v>0</v>
      </c>
      <c r="H469" s="121" t="s">
        <v>1361</v>
      </c>
      <c r="I469" s="99" t="n">
        <v>2446028</v>
      </c>
      <c r="J469" s="99" t="n">
        <v>2446028</v>
      </c>
      <c r="K469" s="99">
        <f>IF(C469="III",ROUND(J469*$R$2,0),IF(C469="P3K/III",ROUND(J469*$R$2,0),0))</f>
        <v>0</v>
      </c>
      <c r="L469" s="99">
        <f>IF(C469="IV",ROUND(J469*$R$3,0),0)</f>
        <v>0</v>
      </c>
      <c r="M469" s="99" t="n">
        <v>0</v>
      </c>
      <c r="N469" s="99" t="n">
        <v>0</v>
      </c>
      <c r="O469" s="99" t="n">
        <v>0</v>
      </c>
      <c r="P469" s="42">
        <f>I469-SUM(K469:O469)</f>
        <v>2446028</v>
      </c>
    </row>
    <row r="470" spans="1:16">
      <c r="A470" s="37" t="n">
        <v>479</v>
      </c>
      <c r="B470" s="97" t="s">
        <v>1362</v>
      </c>
      <c r="C470" s="121" t="s">
        <v>95</v>
      </c>
      <c r="D470" s="121" t="s">
        <v>124</v>
      </c>
      <c r="E470" s="121" t="s">
        <v>15</v>
      </c>
      <c r="F470" s="98" t="n">
        <v>0</v>
      </c>
      <c r="G470" s="40" t="n">
        <v>0</v>
      </c>
      <c r="H470" s="121" t="s">
        <v>1363</v>
      </c>
      <c r="I470" s="99" t="n">
        <v>2494407</v>
      </c>
      <c r="J470" s="99" t="n">
        <v>2494407</v>
      </c>
      <c r="K470" s="99">
        <f>IF(C470="III",ROUND(J470*$R$2,0),IF(C470="P3K/III",ROUND(J470*$R$2,0),0))</f>
        <v>0</v>
      </c>
      <c r="L470" s="99">
        <f>IF(C470="IV",ROUND(J470*$R$3,0),0)</f>
        <v>0</v>
      </c>
      <c r="M470" s="99" t="n">
        <v>0</v>
      </c>
      <c r="N470" s="99" t="n">
        <v>0</v>
      </c>
      <c r="O470" s="99" t="n">
        <v>0</v>
      </c>
      <c r="P470" s="42">
        <f>I470-SUM(K470:O470)</f>
        <v>2494407</v>
      </c>
    </row>
    <row r="471" spans="1:16">
      <c r="A471" s="37" t="n">
        <v>480</v>
      </c>
      <c r="B471" s="97" t="s">
        <v>1364</v>
      </c>
      <c r="C471" s="121" t="s">
        <v>95</v>
      </c>
      <c r="D471" s="121" t="s">
        <v>121</v>
      </c>
      <c r="E471" s="121" t="s">
        <v>14</v>
      </c>
      <c r="F471" s="98" t="n">
        <v>0</v>
      </c>
      <c r="G471" s="40" t="n">
        <v>0</v>
      </c>
      <c r="H471" s="121" t="s">
        <v>1365</v>
      </c>
      <c r="I471" s="99" t="n">
        <v>1019463</v>
      </c>
      <c r="J471" s="99" t="n">
        <v>1019463</v>
      </c>
      <c r="K471" s="99">
        <f>IF(C471="III",ROUND(J471*$R$2,0),IF(C471="P3K/III",ROUND(J471*$R$2,0),0))</f>
        <v>0</v>
      </c>
      <c r="L471" s="99">
        <f>IF(C471="IV",ROUND(J471*$R$3,0),0)</f>
        <v>0</v>
      </c>
      <c r="M471" s="99" t="n">
        <v>0</v>
      </c>
      <c r="N471" s="99" t="n">
        <v>0</v>
      </c>
      <c r="O471" s="99" t="n">
        <v>0</v>
      </c>
      <c r="P471" s="42">
        <f>I471-SUM(K471:O471)</f>
        <v>1019463</v>
      </c>
    </row>
    <row r="472" spans="1:16">
      <c r="A472" s="37" t="n">
        <v>481</v>
      </c>
      <c r="B472" s="97" t="s">
        <v>1366</v>
      </c>
      <c r="C472" s="121" t="s">
        <v>19</v>
      </c>
      <c r="D472" s="121" t="s">
        <v>20</v>
      </c>
      <c r="E472" s="121" t="s">
        <v>21</v>
      </c>
      <c r="F472" s="121" t="s">
        <v>1367</v>
      </c>
      <c r="G472" s="40" t="n">
        <v>0</v>
      </c>
      <c r="H472" s="121" t="s">
        <v>1368</v>
      </c>
      <c r="I472" s="99" t="n">
        <v>5350156</v>
      </c>
      <c r="J472" s="99" t="n">
        <v>5350156</v>
      </c>
      <c r="K472" s="99">
        <f>IF(C472="III",ROUND(J472*$R$2,0),IF(C472="P3K/III",ROUND(J472*$R$2,0),0))</f>
        <v>0</v>
      </c>
      <c r="L472" s="99">
        <f>IF(C472="IV",ROUND(J472*$R$3,0),0)</f>
        <v>802523</v>
      </c>
      <c r="M472" s="99" t="n">
        <v>0</v>
      </c>
      <c r="N472" s="99" t="n">
        <v>0</v>
      </c>
      <c r="O472" s="99" t="n">
        <v>0</v>
      </c>
      <c r="P472" s="42">
        <f>I472-SUM(K472:O472)</f>
        <v>4547633</v>
      </c>
    </row>
    <row r="473" spans="1:16">
      <c r="A473" s="37" t="n">
        <v>482</v>
      </c>
      <c r="B473" s="97" t="s">
        <v>1369</v>
      </c>
      <c r="C473" s="121" t="s">
        <v>58</v>
      </c>
      <c r="D473" s="121" t="s">
        <v>20</v>
      </c>
      <c r="E473" s="121" t="s">
        <v>21</v>
      </c>
      <c r="F473" s="121" t="s">
        <v>1370</v>
      </c>
      <c r="G473" s="40" t="n">
        <v>0</v>
      </c>
      <c r="H473" s="121" t="s">
        <v>1371</v>
      </c>
      <c r="I473" s="99" t="n">
        <v>4769091</v>
      </c>
      <c r="J473" s="99" t="n">
        <v>4769091</v>
      </c>
      <c r="K473" s="99">
        <f>IF(C473="III",ROUND(J473*$R$2,0),IF(C473="P3K/III",ROUND(J473*$R$2,0),0))</f>
        <v>238455</v>
      </c>
      <c r="L473" s="99">
        <f>IF(C473="IV",ROUND(J473*$R$3,0),0)</f>
        <v>0</v>
      </c>
      <c r="M473" s="99" t="n">
        <v>0</v>
      </c>
      <c r="N473" s="99" t="n">
        <v>0</v>
      </c>
      <c r="O473" s="99" t="n">
        <v>0</v>
      </c>
      <c r="P473" s="42">
        <f>I473-SUM(K473:O473)</f>
        <v>4530636</v>
      </c>
    </row>
    <row r="474" spans="1:16">
      <c r="A474" s="37" t="n">
        <v>483</v>
      </c>
      <c r="B474" s="97" t="s">
        <v>1372</v>
      </c>
      <c r="C474" s="121" t="s">
        <v>58</v>
      </c>
      <c r="D474" s="121" t="s">
        <v>20</v>
      </c>
      <c r="E474" s="121" t="s">
        <v>21</v>
      </c>
      <c r="F474" s="121" t="s">
        <v>1373</v>
      </c>
      <c r="G474" s="40" t="n">
        <v>0</v>
      </c>
      <c r="H474" s="121" t="s">
        <v>1374</v>
      </c>
      <c r="I474" s="99" t="n">
        <v>4350023</v>
      </c>
      <c r="J474" s="99" t="n">
        <v>4350023</v>
      </c>
      <c r="K474" s="99">
        <f>IF(C474="III",ROUND(J474*$R$2,0),IF(C474="P3K/III",ROUND(J474*$R$2,0),0))</f>
        <v>217501</v>
      </c>
      <c r="L474" s="99">
        <f>IF(C474="IV",ROUND(J474*$R$3,0),0)</f>
        <v>0</v>
      </c>
      <c r="M474" s="99" t="n">
        <v>0</v>
      </c>
      <c r="N474" s="99" t="n">
        <v>0</v>
      </c>
      <c r="O474" s="99" t="n">
        <v>0</v>
      </c>
      <c r="P474" s="42">
        <f>I474-SUM(K474:O474)</f>
        <v>4132522</v>
      </c>
    </row>
    <row r="475" spans="1:16">
      <c r="A475" s="37" t="n">
        <v>484</v>
      </c>
      <c r="B475" s="97" t="s">
        <v>1375</v>
      </c>
      <c r="C475" s="121" t="s">
        <v>58</v>
      </c>
      <c r="D475" s="121" t="s">
        <v>20</v>
      </c>
      <c r="E475" s="121" t="s">
        <v>21</v>
      </c>
      <c r="F475" s="121" t="s">
        <v>1376</v>
      </c>
      <c r="G475" s="122" t="s">
        <v>1377</v>
      </c>
      <c r="H475" s="121" t="s">
        <v>1378</v>
      </c>
      <c r="I475" s="99" t="n">
        <v>4350023</v>
      </c>
      <c r="J475" s="99" t="n">
        <v>4350023</v>
      </c>
      <c r="K475" s="99">
        <f>IF(C475="III",ROUND(J475*$R$2,0),IF(C475="P3K/III",ROUND(J475*$R$2,0),0))</f>
        <v>217501</v>
      </c>
      <c r="L475" s="99">
        <f>IF(C475="IV",ROUND(J475*$R$3,0),0)</f>
        <v>0</v>
      </c>
      <c r="M475" s="99" t="n">
        <v>0</v>
      </c>
      <c r="N475" s="99" t="n">
        <v>0</v>
      </c>
      <c r="O475" s="99" t="n">
        <v>0</v>
      </c>
      <c r="P475" s="42">
        <f>I475-SUM(K475:O475)</f>
        <v>4132522</v>
      </c>
    </row>
    <row r="476" spans="1:16">
      <c r="A476" s="37" t="n">
        <v>485</v>
      </c>
      <c r="B476" s="97" t="s">
        <v>1379</v>
      </c>
      <c r="C476" s="121" t="s">
        <v>58</v>
      </c>
      <c r="D476" s="121" t="s">
        <v>20</v>
      </c>
      <c r="E476" s="121" t="s">
        <v>21</v>
      </c>
      <c r="F476" s="121" t="s">
        <v>1380</v>
      </c>
      <c r="G476" s="40" t="n">
        <v>0</v>
      </c>
      <c r="H476" s="121" t="s">
        <v>1381</v>
      </c>
      <c r="I476" s="99" t="n">
        <v>4350023</v>
      </c>
      <c r="J476" s="99" t="n">
        <v>4350023</v>
      </c>
      <c r="K476" s="99">
        <f>IF(C476="III",ROUND(J476*$R$2,0),IF(C476="P3K/III",ROUND(J476*$R$2,0),0))</f>
        <v>217501</v>
      </c>
      <c r="L476" s="99">
        <f>IF(C476="IV",ROUND(J476*$R$3,0),0)</f>
        <v>0</v>
      </c>
      <c r="M476" s="99" t="n">
        <v>0</v>
      </c>
      <c r="N476" s="99" t="n">
        <v>0</v>
      </c>
      <c r="O476" s="99" t="n">
        <v>0</v>
      </c>
      <c r="P476" s="42">
        <f>I476-SUM(K476:O476)</f>
        <v>4132522</v>
      </c>
    </row>
    <row r="477" spans="1:16">
      <c r="A477" s="37" t="n">
        <v>486</v>
      </c>
      <c r="B477" s="97" t="s">
        <v>1382</v>
      </c>
      <c r="C477" s="121" t="s">
        <v>111</v>
      </c>
      <c r="D477" s="121" t="s">
        <v>20</v>
      </c>
      <c r="E477" s="121" t="s">
        <v>21</v>
      </c>
      <c r="F477" s="121" t="s">
        <v>1383</v>
      </c>
      <c r="G477" s="122" t="s">
        <v>1384</v>
      </c>
      <c r="H477" s="121" t="s">
        <v>1385</v>
      </c>
      <c r="I477" s="99" t="n">
        <v>4092110</v>
      </c>
      <c r="J477" s="99" t="n">
        <v>4092110</v>
      </c>
      <c r="K477" s="99">
        <f>IF(C477="III",ROUND(J477*$R$2,0),IF(C477="P3K/III",ROUND(J477*$R$2,0),0))</f>
        <v>0</v>
      </c>
      <c r="L477" s="99">
        <f>IF(C477="IV",ROUND(J477*$R$3,0),0)</f>
        <v>0</v>
      </c>
      <c r="M477" s="99" t="n">
        <v>0</v>
      </c>
      <c r="N477" s="99" t="n">
        <v>0</v>
      </c>
      <c r="O477" s="99" t="n">
        <v>0</v>
      </c>
      <c r="P477" s="42">
        <f>I477-SUM(K477:O477)</f>
        <v>4092110</v>
      </c>
    </row>
    <row r="478" spans="1:16">
      <c r="A478" s="37" t="n">
        <v>487</v>
      </c>
      <c r="B478" s="97" t="s">
        <v>1386</v>
      </c>
      <c r="C478" s="121" t="s">
        <v>283</v>
      </c>
      <c r="D478" s="121" t="s">
        <v>20</v>
      </c>
      <c r="E478" s="121" t="s">
        <v>21</v>
      </c>
      <c r="F478" s="98" t="n">
        <v>0</v>
      </c>
      <c r="G478" s="122" t="s">
        <v>1387</v>
      </c>
      <c r="H478" s="121" t="s">
        <v>1388</v>
      </c>
      <c r="I478" s="99" t="n">
        <v>4301644</v>
      </c>
      <c r="J478" s="99" t="n">
        <v>4301644</v>
      </c>
      <c r="K478" s="99">
        <f>IF(C478="III",ROUND(J478*$R$2,0),IF(C478="P3K/III",ROUND(J478*$R$2,0),0))</f>
        <v>0</v>
      </c>
      <c r="L478" s="99">
        <f>IF(C478="IV",ROUND(J478*$R$3,0),0)</f>
        <v>0</v>
      </c>
      <c r="M478" s="99" t="n">
        <v>0</v>
      </c>
      <c r="N478" s="99" t="n">
        <v>0</v>
      </c>
      <c r="O478" s="99" t="n">
        <v>0</v>
      </c>
      <c r="P478" s="42">
        <f>I478-SUM(K478:O478)</f>
        <v>4301644</v>
      </c>
    </row>
    <row r="479" spans="1:16">
      <c r="A479" s="37" t="n">
        <v>488</v>
      </c>
      <c r="B479" s="97" t="s">
        <v>1389</v>
      </c>
      <c r="C479" s="121" t="s">
        <v>283</v>
      </c>
      <c r="D479" s="121" t="s">
        <v>20</v>
      </c>
      <c r="E479" s="121" t="s">
        <v>21</v>
      </c>
      <c r="F479" s="98" t="n">
        <v>0</v>
      </c>
      <c r="G479" s="123" t="s">
        <v>1390</v>
      </c>
      <c r="H479" s="121" t="s">
        <v>1391</v>
      </c>
      <c r="I479" s="99" t="n">
        <v>4092110</v>
      </c>
      <c r="J479" s="99" t="n">
        <v>4092110</v>
      </c>
      <c r="K479" s="99">
        <f>IF(C479="III",ROUND(J479*$R$2,0),IF(C479="P3K/III",ROUND(J479*$R$2,0),0))</f>
        <v>0</v>
      </c>
      <c r="L479" s="99">
        <f>IF(C479="IV",ROUND(J479*$R$3,0),0)</f>
        <v>0</v>
      </c>
      <c r="M479" s="99" t="n">
        <v>0</v>
      </c>
      <c r="N479" s="99" t="n">
        <v>0</v>
      </c>
      <c r="O479" s="99" t="n">
        <v>0</v>
      </c>
      <c r="P479" s="42">
        <f>I479-SUM(K479:O479)</f>
        <v>4092110</v>
      </c>
    </row>
    <row r="480" spans="1:16">
      <c r="A480" s="37" t="n">
        <v>489</v>
      </c>
      <c r="B480" s="97" t="s">
        <v>1392</v>
      </c>
      <c r="C480" s="121" t="s">
        <v>111</v>
      </c>
      <c r="D480" s="121" t="s">
        <v>20</v>
      </c>
      <c r="E480" s="121" t="s">
        <v>21</v>
      </c>
      <c r="F480" s="121" t="s">
        <v>1393</v>
      </c>
      <c r="G480" s="122" t="s">
        <v>1390</v>
      </c>
      <c r="H480" s="121" t="s">
        <v>1394</v>
      </c>
      <c r="I480" s="99" t="n">
        <v>3882577</v>
      </c>
      <c r="J480" s="99" t="n">
        <v>3882577</v>
      </c>
      <c r="K480" s="99">
        <f>IF(C480="III",ROUND(J480*$R$2,0),IF(C480="P3K/III",ROUND(J480*$R$2,0),0))</f>
        <v>0</v>
      </c>
      <c r="L480" s="99">
        <f>IF(C480="IV",ROUND(J480*$R$3,0),0)</f>
        <v>0</v>
      </c>
      <c r="M480" s="99" t="n">
        <v>0</v>
      </c>
      <c r="N480" s="99" t="n">
        <v>0</v>
      </c>
      <c r="O480" s="99" t="n">
        <v>0</v>
      </c>
      <c r="P480" s="42">
        <f>I480-SUM(K480:O480)</f>
        <v>3882577</v>
      </c>
    </row>
    <row r="481" spans="1:16">
      <c r="A481" s="37" t="n">
        <v>490</v>
      </c>
      <c r="B481" s="97" t="s">
        <v>1395</v>
      </c>
      <c r="C481" s="121" t="s">
        <v>111</v>
      </c>
      <c r="D481" s="121" t="s">
        <v>20</v>
      </c>
      <c r="E481" s="121" t="s">
        <v>21</v>
      </c>
      <c r="F481" s="121" t="s">
        <v>1396</v>
      </c>
      <c r="G481" s="122" t="s">
        <v>1397</v>
      </c>
      <c r="H481" s="121" t="s">
        <v>1398</v>
      </c>
      <c r="I481" s="99" t="n">
        <v>3882577</v>
      </c>
      <c r="J481" s="99" t="n">
        <v>3882577</v>
      </c>
      <c r="K481" s="99">
        <f>IF(C481="III",ROUND(J481*$R$2,0),IF(C481="P3K/III",ROUND(J481*$R$2,0),0))</f>
        <v>0</v>
      </c>
      <c r="L481" s="99">
        <f>IF(C481="IV",ROUND(J481*$R$3,0),0)</f>
        <v>0</v>
      </c>
      <c r="M481" s="99" t="n">
        <v>0</v>
      </c>
      <c r="N481" s="99" t="n">
        <v>0</v>
      </c>
      <c r="O481" s="99" t="n">
        <v>0</v>
      </c>
      <c r="P481" s="42">
        <f>I481-SUM(K481:O481)</f>
        <v>3882577</v>
      </c>
    </row>
    <row r="482" spans="1:16">
      <c r="A482" s="37" t="n">
        <v>491</v>
      </c>
      <c r="B482" s="97" t="s">
        <v>1399</v>
      </c>
      <c r="C482" s="121" t="s">
        <v>111</v>
      </c>
      <c r="D482" s="121" t="s">
        <v>20</v>
      </c>
      <c r="E482" s="121" t="s">
        <v>21</v>
      </c>
      <c r="F482" s="121" t="s">
        <v>1400</v>
      </c>
      <c r="G482" s="122" t="s">
        <v>1401</v>
      </c>
      <c r="H482" s="121" t="s">
        <v>1402</v>
      </c>
      <c r="I482" s="99" t="n">
        <v>3882577</v>
      </c>
      <c r="J482" s="99" t="n">
        <v>3882577</v>
      </c>
      <c r="K482" s="99">
        <f>IF(C482="III",ROUND(J482*$R$2,0),IF(C482="P3K/III",ROUND(J482*$R$2,0),0))</f>
        <v>0</v>
      </c>
      <c r="L482" s="99">
        <f>IF(C482="IV",ROUND(J482*$R$3,0),0)</f>
        <v>0</v>
      </c>
      <c r="M482" s="99" t="n">
        <v>0</v>
      </c>
      <c r="N482" s="99" t="n">
        <v>0</v>
      </c>
      <c r="O482" s="99" t="n">
        <v>0</v>
      </c>
      <c r="P482" s="42">
        <f>I482-SUM(K482:O482)</f>
        <v>3882577</v>
      </c>
    </row>
    <row r="483" spans="1:16">
      <c r="A483" s="37" t="n">
        <v>492</v>
      </c>
      <c r="B483" s="97" t="s">
        <v>1403</v>
      </c>
      <c r="C483" s="121" t="s">
        <v>283</v>
      </c>
      <c r="D483" s="121" t="s">
        <v>20</v>
      </c>
      <c r="E483" s="121" t="s">
        <v>21</v>
      </c>
      <c r="F483" s="98" t="n">
        <v>0</v>
      </c>
      <c r="G483" s="40" t="n">
        <v>0</v>
      </c>
      <c r="H483" s="121" t="s">
        <v>1404</v>
      </c>
      <c r="I483" s="99" t="n">
        <v>3882577</v>
      </c>
      <c r="J483" s="99" t="n">
        <v>3882577</v>
      </c>
      <c r="K483" s="99">
        <f>IF(C483="III",ROUND(J483*$R$2,0),IF(C483="P3K/III",ROUND(J483*$R$2,0),0))</f>
        <v>0</v>
      </c>
      <c r="L483" s="99">
        <f>IF(C483="IV",ROUND(J483*$R$3,0),0)</f>
        <v>0</v>
      </c>
      <c r="M483" s="99" t="n">
        <v>0</v>
      </c>
      <c r="N483" s="99" t="n">
        <v>0</v>
      </c>
      <c r="O483" s="99" t="n">
        <v>0</v>
      </c>
      <c r="P483" s="42">
        <f>I483-SUM(K483:O483)</f>
        <v>3882577</v>
      </c>
    </row>
    <row r="484" spans="1:16">
      <c r="A484" s="37" t="n">
        <v>493</v>
      </c>
      <c r="B484" s="97" t="s">
        <v>1405</v>
      </c>
      <c r="C484" s="121" t="s">
        <v>58</v>
      </c>
      <c r="D484" s="121" t="s">
        <v>20</v>
      </c>
      <c r="E484" s="121" t="s">
        <v>21</v>
      </c>
      <c r="F484" s="121" t="s">
        <v>1406</v>
      </c>
      <c r="G484" s="122" t="s">
        <v>1407</v>
      </c>
      <c r="H484" s="121" t="s">
        <v>1408</v>
      </c>
      <c r="I484" s="99" t="n">
        <v>3930956</v>
      </c>
      <c r="J484" s="99" t="n">
        <v>3930956</v>
      </c>
      <c r="K484" s="99">
        <f>IF(C484="III",ROUND(J484*$R$2,0),IF(C484="P3K/III",ROUND(J484*$R$2,0),0))</f>
        <v>196548</v>
      </c>
      <c r="L484" s="99">
        <f>IF(C484="IV",ROUND(J484*$R$3,0),0)</f>
        <v>0</v>
      </c>
      <c r="M484" s="99" t="n">
        <v>0</v>
      </c>
      <c r="N484" s="99" t="n">
        <v>0</v>
      </c>
      <c r="O484" s="99" t="n">
        <v>0</v>
      </c>
      <c r="P484" s="42">
        <f>I484-SUM(K484:O484)</f>
        <v>3734408</v>
      </c>
    </row>
    <row r="485" spans="1:16">
      <c r="A485" s="37" t="n">
        <v>494</v>
      </c>
      <c r="B485" s="97" t="s">
        <v>1409</v>
      </c>
      <c r="C485" s="121" t="s">
        <v>283</v>
      </c>
      <c r="D485" s="121" t="s">
        <v>20</v>
      </c>
      <c r="E485" s="121" t="s">
        <v>21</v>
      </c>
      <c r="F485" s="98" t="n">
        <v>0</v>
      </c>
      <c r="G485" s="122" t="s">
        <v>1410</v>
      </c>
      <c r="H485" s="121" t="s">
        <v>1411</v>
      </c>
      <c r="I485" s="99" t="n">
        <v>4092110</v>
      </c>
      <c r="J485" s="99" t="n">
        <v>4092110</v>
      </c>
      <c r="K485" s="99">
        <f>IF(C485="III",ROUND(J485*$R$2,0),IF(C485="P3K/III",ROUND(J485*$R$2,0),0))</f>
        <v>0</v>
      </c>
      <c r="L485" s="99">
        <f>IF(C485="IV",ROUND(J485*$R$3,0),0)</f>
        <v>0</v>
      </c>
      <c r="M485" s="99" t="n">
        <v>0</v>
      </c>
      <c r="N485" s="99" t="n">
        <v>0</v>
      </c>
      <c r="O485" s="99" t="n">
        <v>0</v>
      </c>
      <c r="P485" s="42">
        <f>I485-SUM(K485:O485)</f>
        <v>4092110</v>
      </c>
    </row>
    <row r="486" spans="1:16">
      <c r="A486" s="37" t="n">
        <v>495</v>
      </c>
      <c r="B486" s="97" t="s">
        <v>1412</v>
      </c>
      <c r="C486" s="121" t="s">
        <v>131</v>
      </c>
      <c r="D486" s="121" t="s">
        <v>20</v>
      </c>
      <c r="E486" s="121" t="s">
        <v>21</v>
      </c>
      <c r="F486" s="121" t="s">
        <v>1413</v>
      </c>
      <c r="G486" s="122" t="s">
        <v>1414</v>
      </c>
      <c r="H486" s="121" t="s">
        <v>1415</v>
      </c>
      <c r="I486" s="99" t="n">
        <v>3930956</v>
      </c>
      <c r="J486" s="99" t="n">
        <v>3930956</v>
      </c>
      <c r="K486" s="99">
        <f>IF(C486="III",ROUND(J486*$R$2,0),IF(C486="P3K/III",ROUND(J486*$R$2,0),0))</f>
        <v>196548</v>
      </c>
      <c r="L486" s="99">
        <f>IF(C486="IV",ROUND(J486*$R$3,0),0)</f>
        <v>0</v>
      </c>
      <c r="M486" s="99" t="n">
        <v>0</v>
      </c>
      <c r="N486" s="99" t="n">
        <v>0</v>
      </c>
      <c r="O486" s="99" t="n">
        <v>0</v>
      </c>
      <c r="P486" s="42">
        <f>I486-SUM(K486:O486)</f>
        <v>3734408</v>
      </c>
    </row>
    <row r="487" spans="1:16">
      <c r="A487" s="37" t="n">
        <v>496</v>
      </c>
      <c r="B487" s="97" t="s">
        <v>1416</v>
      </c>
      <c r="C487" s="121" t="s">
        <v>283</v>
      </c>
      <c r="D487" s="121" t="s">
        <v>20</v>
      </c>
      <c r="E487" s="121" t="s">
        <v>21</v>
      </c>
      <c r="F487" s="98" t="n">
        <v>0</v>
      </c>
      <c r="G487" s="40" t="n">
        <v>0</v>
      </c>
      <c r="H487" s="121" t="s">
        <v>1417</v>
      </c>
      <c r="I487" s="99" t="n">
        <v>3882577</v>
      </c>
      <c r="J487" s="99" t="n">
        <v>3882577</v>
      </c>
      <c r="K487" s="99">
        <f>IF(C487="III",ROUND(J487*$R$2,0),IF(C487="P3K/III",ROUND(J487*$R$2,0),0))</f>
        <v>0</v>
      </c>
      <c r="L487" s="99">
        <f>IF(C487="IV",ROUND(J487*$R$3,0),0)</f>
        <v>0</v>
      </c>
      <c r="M487" s="99" t="n">
        <v>0</v>
      </c>
      <c r="N487" s="99" t="n">
        <v>0</v>
      </c>
      <c r="O487" s="99" t="n">
        <v>0</v>
      </c>
      <c r="P487" s="42">
        <f>I487-SUM(K487:O487)</f>
        <v>3882577</v>
      </c>
    </row>
    <row r="488" spans="1:16">
      <c r="A488" s="37" t="n">
        <v>497</v>
      </c>
      <c r="B488" s="97" t="s">
        <v>1418</v>
      </c>
      <c r="C488" s="121" t="s">
        <v>283</v>
      </c>
      <c r="D488" s="121" t="s">
        <v>20</v>
      </c>
      <c r="E488" s="121" t="s">
        <v>21</v>
      </c>
      <c r="F488" s="98" t="n">
        <v>0</v>
      </c>
      <c r="G488" s="122" t="s">
        <v>1419</v>
      </c>
      <c r="H488" s="121" t="s">
        <v>1420</v>
      </c>
      <c r="I488" s="99" t="n">
        <v>3882577</v>
      </c>
      <c r="J488" s="99" t="n">
        <v>3882577</v>
      </c>
      <c r="K488" s="99">
        <f>IF(C488="III",ROUND(J488*$R$2,0),IF(C488="P3K/III",ROUND(J488*$R$2,0),0))</f>
        <v>0</v>
      </c>
      <c r="L488" s="99">
        <f>IF(C488="IV",ROUND(J488*$R$3,0),0)</f>
        <v>0</v>
      </c>
      <c r="M488" s="99" t="n">
        <v>0</v>
      </c>
      <c r="N488" s="99" t="n">
        <v>0</v>
      </c>
      <c r="O488" s="99" t="n">
        <v>0</v>
      </c>
      <c r="P488" s="42">
        <f>I488-SUM(K488:O488)</f>
        <v>3882577</v>
      </c>
    </row>
    <row r="489" spans="1:16">
      <c r="A489" s="37" t="n">
        <v>498</v>
      </c>
      <c r="B489" s="97" t="s">
        <v>1421</v>
      </c>
      <c r="C489" s="121" t="s">
        <v>283</v>
      </c>
      <c r="D489" s="121" t="s">
        <v>20</v>
      </c>
      <c r="E489" s="121" t="s">
        <v>21</v>
      </c>
      <c r="F489" s="98" t="n">
        <v>0</v>
      </c>
      <c r="G489" s="122" t="s">
        <v>1422</v>
      </c>
      <c r="H489" s="121" t="s">
        <v>1423</v>
      </c>
      <c r="I489" s="99" t="n">
        <v>3882577</v>
      </c>
      <c r="J489" s="99" t="n">
        <v>3882577</v>
      </c>
      <c r="K489" s="99">
        <f>IF(C489="III",ROUND(J489*$R$2,0),IF(C489="P3K/III",ROUND(J489*$R$2,0),0))</f>
        <v>0</v>
      </c>
      <c r="L489" s="99">
        <f>IF(C489="IV",ROUND(J489*$R$3,0),0)</f>
        <v>0</v>
      </c>
      <c r="M489" s="99" t="n">
        <v>0</v>
      </c>
      <c r="N489" s="99" t="n">
        <v>0</v>
      </c>
      <c r="O489" s="99" t="n">
        <v>0</v>
      </c>
      <c r="P489" s="42">
        <f>I489-SUM(K489:O489)</f>
        <v>3882577</v>
      </c>
    </row>
    <row r="490" spans="1:16">
      <c r="A490" s="37" t="n">
        <v>499</v>
      </c>
      <c r="B490" s="97" t="s">
        <v>1424</v>
      </c>
      <c r="C490" s="121" t="s">
        <v>283</v>
      </c>
      <c r="D490" s="121" t="s">
        <v>20</v>
      </c>
      <c r="E490" s="121" t="s">
        <v>21</v>
      </c>
      <c r="F490" s="98" t="n">
        <v>0</v>
      </c>
      <c r="G490" s="122" t="s">
        <v>1425</v>
      </c>
      <c r="H490" s="121" t="s">
        <v>1426</v>
      </c>
      <c r="I490" s="99" t="n">
        <v>3882577</v>
      </c>
      <c r="J490" s="99" t="n">
        <v>3882577</v>
      </c>
      <c r="K490" s="99">
        <f>IF(C490="III",ROUND(J490*$R$2,0),IF(C490="P3K/III",ROUND(J490*$R$2,0),0))</f>
        <v>0</v>
      </c>
      <c r="L490" s="99">
        <f>IF(C490="IV",ROUND(J490*$R$3,0),0)</f>
        <v>0</v>
      </c>
      <c r="M490" s="99" t="n">
        <v>0</v>
      </c>
      <c r="N490" s="99" t="n">
        <v>0</v>
      </c>
      <c r="O490" s="99" t="n">
        <v>0</v>
      </c>
      <c r="P490" s="42">
        <f>I490-SUM(K490:O490)</f>
        <v>3882577</v>
      </c>
    </row>
    <row r="491" spans="1:16">
      <c r="A491" s="37" t="n">
        <v>500</v>
      </c>
      <c r="B491" s="97" t="s">
        <v>1427</v>
      </c>
      <c r="C491" s="121" t="s">
        <v>283</v>
      </c>
      <c r="D491" s="121" t="s">
        <v>20</v>
      </c>
      <c r="E491" s="121" t="s">
        <v>21</v>
      </c>
      <c r="F491" s="98" t="n">
        <v>0</v>
      </c>
      <c r="G491" s="122" t="s">
        <v>1428</v>
      </c>
      <c r="H491" s="121" t="s">
        <v>1429</v>
      </c>
      <c r="I491" s="99" t="n">
        <v>3882577</v>
      </c>
      <c r="J491" s="99" t="n">
        <v>3882577</v>
      </c>
      <c r="K491" s="99">
        <f>IF(C491="III",ROUND(J491*$R$2,0),IF(C491="P3K/III",ROUND(J491*$R$2,0),0))</f>
        <v>0</v>
      </c>
      <c r="L491" s="99">
        <f>IF(C491="IV",ROUND(J491*$R$3,0),0)</f>
        <v>0</v>
      </c>
      <c r="M491" s="99" t="n">
        <v>0</v>
      </c>
      <c r="N491" s="99" t="n">
        <v>0</v>
      </c>
      <c r="O491" s="99" t="n">
        <v>0</v>
      </c>
      <c r="P491" s="42">
        <f>I491-SUM(K491:O491)</f>
        <v>3882577</v>
      </c>
    </row>
    <row r="492" spans="1:16">
      <c r="A492" s="37" t="n">
        <v>501</v>
      </c>
      <c r="B492" s="97" t="s">
        <v>1430</v>
      </c>
      <c r="C492" s="121" t="s">
        <v>58</v>
      </c>
      <c r="D492" s="121" t="s">
        <v>20</v>
      </c>
      <c r="E492" s="121" t="s">
        <v>21</v>
      </c>
      <c r="F492" s="121" t="s">
        <v>1431</v>
      </c>
      <c r="G492" s="122" t="s">
        <v>1432</v>
      </c>
      <c r="H492" s="121" t="s">
        <v>1433</v>
      </c>
      <c r="I492" s="99" t="n">
        <v>4092110</v>
      </c>
      <c r="J492" s="99" t="n">
        <v>4092110</v>
      </c>
      <c r="K492" s="99">
        <f>IF(C492="III",ROUND(J492*$R$2,0),IF(C492="P3K/III",ROUND(J492*$R$2,0),0))</f>
        <v>204606</v>
      </c>
      <c r="L492" s="99">
        <f>IF(C492="IV",ROUND(J492*$R$3,0),0)</f>
        <v>0</v>
      </c>
      <c r="M492" s="99" t="n">
        <v>0</v>
      </c>
      <c r="N492" s="99" t="n">
        <v>0</v>
      </c>
      <c r="O492" s="99" t="n">
        <v>0</v>
      </c>
      <c r="P492" s="42">
        <f>I492-SUM(K492:O492)</f>
        <v>3887504</v>
      </c>
    </row>
    <row r="493" spans="1:16">
      <c r="A493" s="37" t="n">
        <v>502</v>
      </c>
      <c r="B493" s="97" t="s">
        <v>1434</v>
      </c>
      <c r="C493" s="121" t="s">
        <v>95</v>
      </c>
      <c r="D493" s="121" t="s">
        <v>121</v>
      </c>
      <c r="E493" s="121" t="s">
        <v>14</v>
      </c>
      <c r="F493" s="98" t="n">
        <v>0</v>
      </c>
      <c r="G493" s="122" t="s">
        <v>1435</v>
      </c>
      <c r="H493" s="121" t="s">
        <v>1436</v>
      </c>
      <c r="I493" s="99" t="n">
        <v>2625374</v>
      </c>
      <c r="J493" s="99" t="n">
        <v>2625374</v>
      </c>
      <c r="K493" s="99">
        <f>IF(C493="III",ROUND(J493*$R$2,0),IF(C493="P3K/III",ROUND(J493*$R$2,0),0))</f>
        <v>0</v>
      </c>
      <c r="L493" s="99">
        <f>IF(C493="IV",ROUND(J493*$R$3,0),0)</f>
        <v>0</v>
      </c>
      <c r="M493" s="99" t="n">
        <v>0</v>
      </c>
      <c r="N493" s="99" t="n">
        <v>0</v>
      </c>
      <c r="O493" s="99" t="n">
        <v>0</v>
      </c>
      <c r="P493" s="42">
        <f>I493-SUM(K493:O493)</f>
        <v>2625374</v>
      </c>
    </row>
    <row r="494" spans="1:16">
      <c r="A494" s="37" t="n">
        <v>503</v>
      </c>
      <c r="B494" s="97" t="s">
        <v>1437</v>
      </c>
      <c r="C494" s="121" t="s">
        <v>95</v>
      </c>
      <c r="D494" s="121" t="s">
        <v>121</v>
      </c>
      <c r="E494" s="121" t="s">
        <v>14</v>
      </c>
      <c r="F494" s="98" t="n">
        <v>0</v>
      </c>
      <c r="G494" s="40" t="n">
        <v>0</v>
      </c>
      <c r="H494" s="121" t="s">
        <v>1438</v>
      </c>
      <c r="I494" s="99" t="n">
        <v>2625374</v>
      </c>
      <c r="J494" s="99" t="n">
        <v>2625374</v>
      </c>
      <c r="K494" s="99">
        <f>IF(C494="III",ROUND(J494*$R$2,0),IF(C494="P3K/III",ROUND(J494*$R$2,0),0))</f>
        <v>0</v>
      </c>
      <c r="L494" s="99">
        <f>IF(C494="IV",ROUND(J494*$R$3,0),0)</f>
        <v>0</v>
      </c>
      <c r="M494" s="99" t="n">
        <v>0</v>
      </c>
      <c r="N494" s="99" t="n">
        <v>0</v>
      </c>
      <c r="O494" s="99" t="n">
        <v>0</v>
      </c>
      <c r="P494" s="42">
        <f>I494-SUM(K494:O494)</f>
        <v>2625374</v>
      </c>
    </row>
    <row r="495" spans="1:16">
      <c r="A495" s="37" t="n">
        <v>504</v>
      </c>
      <c r="B495" s="97" t="s">
        <v>1439</v>
      </c>
      <c r="C495" s="121" t="s">
        <v>95</v>
      </c>
      <c r="D495" s="121" t="s">
        <v>124</v>
      </c>
      <c r="E495" s="121" t="s">
        <v>15</v>
      </c>
      <c r="F495" s="98" t="n">
        <v>0</v>
      </c>
      <c r="G495" s="40" t="n">
        <v>0</v>
      </c>
      <c r="H495" s="121" t="s">
        <v>1440</v>
      </c>
      <c r="I495" s="99" t="n">
        <v>2625374</v>
      </c>
      <c r="J495" s="99" t="n">
        <v>2625374</v>
      </c>
      <c r="K495" s="99">
        <f>IF(C495="III",ROUND(J495*$R$2,0),IF(C495="P3K/III",ROUND(J495*$R$2,0),0))</f>
        <v>0</v>
      </c>
      <c r="L495" s="99">
        <f>IF(C495="IV",ROUND(J495*$R$3,0),0)</f>
        <v>0</v>
      </c>
      <c r="M495" s="99" t="n">
        <v>0</v>
      </c>
      <c r="N495" s="99" t="n">
        <v>0</v>
      </c>
      <c r="O495" s="99" t="n">
        <v>0</v>
      </c>
      <c r="P495" s="42">
        <f>I495-SUM(K495:O495)</f>
        <v>2625374</v>
      </c>
    </row>
    <row r="496" spans="1:16">
      <c r="A496" s="37" t="n">
        <v>505</v>
      </c>
      <c r="B496" s="97" t="s">
        <v>1441</v>
      </c>
      <c r="C496" s="121" t="s">
        <v>111</v>
      </c>
      <c r="D496" s="121" t="s">
        <v>124</v>
      </c>
      <c r="E496" s="121" t="s">
        <v>15</v>
      </c>
      <c r="F496" s="98" t="n">
        <v>0</v>
      </c>
      <c r="G496" s="40" t="n">
        <v>0</v>
      </c>
      <c r="H496" s="98" t="n">
        <v>1612042825</v>
      </c>
      <c r="I496" s="99" t="n">
        <v>2625374</v>
      </c>
      <c r="J496" s="99" t="n">
        <v>2625374</v>
      </c>
      <c r="K496" s="99">
        <f>IF(C496="III",ROUND(J496*$R$2,0),IF(C496="P3K/III",ROUND(J496*$R$2,0),0))</f>
        <v>0</v>
      </c>
      <c r="L496" s="99">
        <f>IF(C496="IV",ROUND(J496*$R$3,0),0)</f>
        <v>0</v>
      </c>
      <c r="M496" s="99" t="n">
        <v>0</v>
      </c>
      <c r="N496" s="99" t="n">
        <v>0</v>
      </c>
      <c r="O496" s="99" t="n">
        <v>0</v>
      </c>
      <c r="P496" s="42">
        <f>I496-SUM(K496:O496)</f>
        <v>2625374</v>
      </c>
    </row>
    <row r="497" spans="1:16">
      <c r="A497" s="37" t="n">
        <v>506</v>
      </c>
      <c r="B497" s="97" t="s">
        <v>1442</v>
      </c>
      <c r="C497" s="121" t="s">
        <v>58</v>
      </c>
      <c r="D497" s="121" t="s">
        <v>20</v>
      </c>
      <c r="E497" s="121" t="s">
        <v>21</v>
      </c>
      <c r="F497" s="121" t="s">
        <v>1443</v>
      </c>
      <c r="G497" s="40" t="n">
        <v>0</v>
      </c>
      <c r="H497" s="121" t="s">
        <v>1444</v>
      </c>
      <c r="I497" s="99" t="n">
        <v>5280673</v>
      </c>
      <c r="J497" s="99" t="n">
        <v>5280673</v>
      </c>
      <c r="K497" s="99">
        <f>IF(C497="III",ROUND(J497*$R$2,0),IF(C497="P3K/III",ROUND(J497*$R$2,0),0))</f>
        <v>264034</v>
      </c>
      <c r="L497" s="99">
        <f>IF(C497="IV",ROUND(J497*$R$3,0),0)</f>
        <v>0</v>
      </c>
      <c r="M497" s="99" t="n">
        <v>0</v>
      </c>
      <c r="N497" s="99" t="n">
        <v>0</v>
      </c>
      <c r="O497" s="99" t="n">
        <v>0</v>
      </c>
      <c r="P497" s="42">
        <f>I497-SUM(K497:O497)</f>
        <v>5016639</v>
      </c>
    </row>
    <row r="498" spans="1:16">
      <c r="A498" s="37" t="n">
        <v>507</v>
      </c>
      <c r="B498" s="97" t="s">
        <v>1445</v>
      </c>
      <c r="C498" s="121" t="s">
        <v>58</v>
      </c>
      <c r="D498" s="121" t="s">
        <v>20</v>
      </c>
      <c r="E498" s="121" t="s">
        <v>21</v>
      </c>
      <c r="F498" s="121" t="s">
        <v>1446</v>
      </c>
      <c r="G498" s="122" t="s">
        <v>1447</v>
      </c>
      <c r="H498" s="121" t="s">
        <v>1448</v>
      </c>
      <c r="I498" s="99" t="n">
        <v>4595169</v>
      </c>
      <c r="J498" s="99" t="n">
        <v>4595169</v>
      </c>
      <c r="K498" s="99">
        <f>IF(C498="III",ROUND(J498*$R$2,0),IF(C498="P3K/III",ROUND(J498*$R$2,0),0))</f>
        <v>229758</v>
      </c>
      <c r="L498" s="99">
        <f>IF(C498="IV",ROUND(J498*$R$3,0),0)</f>
        <v>0</v>
      </c>
      <c r="M498" s="99" t="n">
        <v>0</v>
      </c>
      <c r="N498" s="99" t="n">
        <v>0</v>
      </c>
      <c r="O498" s="99" t="n">
        <v>0</v>
      </c>
      <c r="P498" s="42">
        <f>I498-SUM(K498:O498)</f>
        <v>4365411</v>
      </c>
    </row>
    <row r="499" spans="1:16">
      <c r="A499" s="37" t="n">
        <v>508</v>
      </c>
      <c r="B499" s="97" t="s">
        <v>1449</v>
      </c>
      <c r="C499" s="121" t="s">
        <v>58</v>
      </c>
      <c r="D499" s="121" t="s">
        <v>20</v>
      </c>
      <c r="E499" s="121" t="s">
        <v>21</v>
      </c>
      <c r="F499" s="121" t="s">
        <v>1450</v>
      </c>
      <c r="G499" s="122" t="s">
        <v>1451</v>
      </c>
      <c r="H499" s="121" t="s">
        <v>1452</v>
      </c>
      <c r="I499" s="99" t="n">
        <v>4595169</v>
      </c>
      <c r="J499" s="99" t="n">
        <v>4595169</v>
      </c>
      <c r="K499" s="99">
        <f>IF(C499="III",ROUND(J499*$R$2,0),IF(C499="P3K/III",ROUND(J499*$R$2,0),0))</f>
        <v>229758</v>
      </c>
      <c r="L499" s="99">
        <f>IF(C499="IV",ROUND(J499*$R$3,0),0)</f>
        <v>0</v>
      </c>
      <c r="M499" s="99" t="n">
        <v>0</v>
      </c>
      <c r="N499" s="99" t="n">
        <v>0</v>
      </c>
      <c r="O499" s="99" t="n">
        <v>0</v>
      </c>
      <c r="P499" s="42">
        <f>I499-SUM(K499:O499)</f>
        <v>4365411</v>
      </c>
    </row>
    <row r="500" spans="1:16">
      <c r="A500" s="37" t="n">
        <v>509</v>
      </c>
      <c r="B500" s="97" t="s">
        <v>1453</v>
      </c>
      <c r="C500" s="121" t="s">
        <v>58</v>
      </c>
      <c r="D500" s="121" t="s">
        <v>20</v>
      </c>
      <c r="E500" s="121" t="s">
        <v>21</v>
      </c>
      <c r="F500" s="121" t="s">
        <v>1454</v>
      </c>
      <c r="G500" s="122" t="s">
        <v>1455</v>
      </c>
      <c r="H500" s="121" t="s">
        <v>1456</v>
      </c>
      <c r="I500" s="99" t="n">
        <v>4520985</v>
      </c>
      <c r="J500" s="99" t="n">
        <v>4520985</v>
      </c>
      <c r="K500" s="99">
        <f>IF(C500="III",ROUND(J500*$R$2,0),IF(C500="P3K/III",ROUND(J500*$R$2,0),0))</f>
        <v>226049</v>
      </c>
      <c r="L500" s="99">
        <f>IF(C500="IV",ROUND(J500*$R$3,0),0)</f>
        <v>0</v>
      </c>
      <c r="M500" s="99" t="n">
        <v>0</v>
      </c>
      <c r="N500" s="99" t="n">
        <v>0</v>
      </c>
      <c r="O500" s="99" t="n">
        <v>0</v>
      </c>
      <c r="P500" s="42">
        <f>I500-SUM(K500:O500)</f>
        <v>4294936</v>
      </c>
    </row>
    <row r="501" spans="1:16">
      <c r="A501" s="37" t="n">
        <v>510</v>
      </c>
      <c r="B501" s="97" t="s">
        <v>1457</v>
      </c>
      <c r="C501" s="121" t="s">
        <v>111</v>
      </c>
      <c r="D501" s="121" t="s">
        <v>20</v>
      </c>
      <c r="E501" s="121" t="s">
        <v>21</v>
      </c>
      <c r="F501" s="121" t="s">
        <v>1458</v>
      </c>
      <c r="G501" s="40" t="n">
        <v>0</v>
      </c>
      <c r="H501" s="121" t="s">
        <v>1459</v>
      </c>
      <c r="I501" s="99" t="n">
        <v>3882577</v>
      </c>
      <c r="J501" s="99" t="n">
        <v>3882577</v>
      </c>
      <c r="K501" s="99">
        <f>IF(C501="III",ROUND(J501*$R$2,0),IF(C501="P3K/III",ROUND(J501*$R$2,0),0))</f>
        <v>0</v>
      </c>
      <c r="L501" s="99">
        <f>IF(C501="IV",ROUND(J501*$R$3,0),0)</f>
        <v>0</v>
      </c>
      <c r="M501" s="99" t="n">
        <v>0</v>
      </c>
      <c r="N501" s="99" t="n">
        <v>0</v>
      </c>
      <c r="O501" s="99" t="n">
        <v>0</v>
      </c>
      <c r="P501" s="42">
        <f>I501-SUM(K501:O501)</f>
        <v>3882577</v>
      </c>
    </row>
    <row r="502" spans="1:16">
      <c r="A502" s="37" t="n">
        <v>511</v>
      </c>
      <c r="B502" s="97" t="s">
        <v>1460</v>
      </c>
      <c r="C502" s="121" t="s">
        <v>283</v>
      </c>
      <c r="D502" s="121" t="s">
        <v>20</v>
      </c>
      <c r="E502" s="121" t="s">
        <v>21</v>
      </c>
      <c r="F502" s="98" t="n">
        <v>0</v>
      </c>
      <c r="G502" s="40" t="n">
        <v>0</v>
      </c>
      <c r="H502" s="121" t="s">
        <v>1461</v>
      </c>
      <c r="I502" s="99" t="n">
        <v>4301644</v>
      </c>
      <c r="J502" s="99" t="n">
        <v>4301644</v>
      </c>
      <c r="K502" s="99">
        <f>IF(C502="III",ROUND(J502*$R$2,0),IF(C502="P3K/III",ROUND(J502*$R$2,0),0))</f>
        <v>0</v>
      </c>
      <c r="L502" s="99">
        <f>IF(C502="IV",ROUND(J502*$R$3,0),0)</f>
        <v>0</v>
      </c>
      <c r="M502" s="99" t="n">
        <v>0</v>
      </c>
      <c r="N502" s="99" t="n">
        <v>0</v>
      </c>
      <c r="O502" s="99" t="n">
        <v>0</v>
      </c>
      <c r="P502" s="42">
        <f>I502-SUM(K502:O502)</f>
        <v>4301644</v>
      </c>
    </row>
    <row r="503" spans="1:16">
      <c r="A503" s="37" t="n">
        <v>512</v>
      </c>
      <c r="B503" s="97" t="s">
        <v>1462</v>
      </c>
      <c r="C503" s="121" t="s">
        <v>131</v>
      </c>
      <c r="D503" s="121" t="s">
        <v>20</v>
      </c>
      <c r="E503" s="121" t="s">
        <v>21</v>
      </c>
      <c r="F503" s="121" t="s">
        <v>1463</v>
      </c>
      <c r="G503" s="122" t="s">
        <v>1464</v>
      </c>
      <c r="H503" s="121" t="s">
        <v>1465</v>
      </c>
      <c r="I503" s="99" t="n">
        <v>3930956</v>
      </c>
      <c r="J503" s="99" t="n">
        <v>3930956</v>
      </c>
      <c r="K503" s="99">
        <f>IF(C503="III",ROUND(J503*$R$2,0),IF(C503="P3K/III",ROUND(J503*$R$2,0),0))</f>
        <v>196548</v>
      </c>
      <c r="L503" s="99">
        <f>IF(C503="IV",ROUND(J503*$R$3,0),0)</f>
        <v>0</v>
      </c>
      <c r="M503" s="99" t="n">
        <v>0</v>
      </c>
      <c r="N503" s="99" t="n">
        <v>0</v>
      </c>
      <c r="O503" s="99" t="n">
        <v>0</v>
      </c>
      <c r="P503" s="42">
        <f>I503-SUM(K503:O503)</f>
        <v>3734408</v>
      </c>
    </row>
    <row r="504" spans="1:16">
      <c r="A504" s="37" t="n">
        <v>513</v>
      </c>
      <c r="B504" s="97" t="s">
        <v>1466</v>
      </c>
      <c r="C504" s="121" t="s">
        <v>95</v>
      </c>
      <c r="D504" s="121" t="s">
        <v>278</v>
      </c>
      <c r="E504" s="121" t="s">
        <v>16</v>
      </c>
      <c r="F504" s="98" t="n">
        <v>0</v>
      </c>
      <c r="G504" s="122" t="s">
        <v>1467</v>
      </c>
      <c r="H504" s="121" t="s">
        <v>1468</v>
      </c>
      <c r="I504" s="99" t="n">
        <v>4301644</v>
      </c>
      <c r="J504" s="99" t="n">
        <v>4301644</v>
      </c>
      <c r="K504" s="99">
        <f>IF(C504="III",ROUND(J504*$R$2,0),IF(C504="P3K/III",ROUND(J504*$R$2,0),0))</f>
        <v>0</v>
      </c>
      <c r="L504" s="99">
        <f>IF(C504="IV",ROUND(J504*$R$3,0),0)</f>
        <v>0</v>
      </c>
      <c r="M504" s="99" t="n">
        <v>0</v>
      </c>
      <c r="N504" s="99" t="n">
        <v>0</v>
      </c>
      <c r="O504" s="99" t="n">
        <v>0</v>
      </c>
      <c r="P504" s="42">
        <f>I504-SUM(K504:O504)</f>
        <v>4301644</v>
      </c>
    </row>
    <row r="505" spans="1:16">
      <c r="A505" s="37" t="n">
        <v>514</v>
      </c>
      <c r="B505" s="97" t="s">
        <v>1469</v>
      </c>
      <c r="C505" s="121" t="s">
        <v>283</v>
      </c>
      <c r="D505" s="121" t="s">
        <v>20</v>
      </c>
      <c r="E505" s="121" t="s">
        <v>21</v>
      </c>
      <c r="F505" s="98" t="n">
        <v>0</v>
      </c>
      <c r="G505" s="122" t="s">
        <v>1470</v>
      </c>
      <c r="H505" s="121" t="s">
        <v>1471</v>
      </c>
      <c r="I505" s="99" t="n">
        <v>3421602</v>
      </c>
      <c r="J505" s="99" t="n">
        <v>3421602</v>
      </c>
      <c r="K505" s="99">
        <f>IF(C505="III",ROUND(J505*$R$2,0),IF(C505="P3K/III",ROUND(J505*$R$2,0),0))</f>
        <v>0</v>
      </c>
      <c r="L505" s="99">
        <f>IF(C505="IV",ROUND(J505*$R$3,0),0)</f>
        <v>0</v>
      </c>
      <c r="M505" s="99" t="n">
        <v>0</v>
      </c>
      <c r="N505" s="99" t="n">
        <v>0</v>
      </c>
      <c r="O505" s="99" t="n">
        <v>0</v>
      </c>
      <c r="P505" s="42">
        <f>I505-SUM(K505:O505)</f>
        <v>3421602</v>
      </c>
    </row>
    <row r="506" spans="1:16">
      <c r="A506" s="37" t="n">
        <v>515</v>
      </c>
      <c r="B506" s="97" t="s">
        <v>1472</v>
      </c>
      <c r="C506" s="121" t="s">
        <v>95</v>
      </c>
      <c r="D506" s="121" t="s">
        <v>121</v>
      </c>
      <c r="E506" s="121" t="s">
        <v>14</v>
      </c>
      <c r="F506" s="98" t="n">
        <v>0</v>
      </c>
      <c r="G506" s="122" t="s">
        <v>1470</v>
      </c>
      <c r="H506" s="121" t="s">
        <v>1473</v>
      </c>
      <c r="I506" s="99" t="n">
        <v>2649563</v>
      </c>
      <c r="J506" s="99" t="n">
        <v>2649563</v>
      </c>
      <c r="K506" s="99">
        <f>IF(C506="III",ROUND(J506*$R$2,0),IF(C506="P3K/III",ROUND(J506*$R$2,0),0))</f>
        <v>0</v>
      </c>
      <c r="L506" s="99">
        <f>IF(C506="IV",ROUND(J506*$R$3,0),0)</f>
        <v>0</v>
      </c>
      <c r="M506" s="99" t="n">
        <v>0</v>
      </c>
      <c r="N506" s="99" t="n">
        <v>0</v>
      </c>
      <c r="O506" s="99" t="n">
        <v>0</v>
      </c>
      <c r="P506" s="42">
        <f>I506-SUM(K506:O506)</f>
        <v>2649563</v>
      </c>
    </row>
    <row r="507" spans="1:16">
      <c r="A507" s="37" t="n">
        <v>516</v>
      </c>
      <c r="B507" s="97" t="s">
        <v>1474</v>
      </c>
      <c r="C507" s="121" t="s">
        <v>58</v>
      </c>
      <c r="D507" s="121" t="s">
        <v>20</v>
      </c>
      <c r="E507" s="121" t="s">
        <v>21</v>
      </c>
      <c r="F507" s="121" t="s">
        <v>1475</v>
      </c>
      <c r="G507" s="122" t="s">
        <v>1476</v>
      </c>
      <c r="H507" s="121" t="s">
        <v>1477</v>
      </c>
      <c r="I507" s="99" t="n">
        <v>2952457</v>
      </c>
      <c r="J507" s="99" t="n">
        <v>2952457</v>
      </c>
      <c r="K507" s="99">
        <f>IF(C507="III",ROUND(J507*$R$2,0),IF(C507="P3K/III",ROUND(J507*$R$2,0),0))</f>
        <v>147623</v>
      </c>
      <c r="L507" s="99">
        <f>IF(C507="IV",ROUND(J507*$R$3,0),0)</f>
        <v>0</v>
      </c>
      <c r="M507" s="99" t="n">
        <v>0</v>
      </c>
      <c r="N507" s="99" t="n">
        <v>0</v>
      </c>
      <c r="O507" s="99" t="n">
        <v>0</v>
      </c>
      <c r="P507" s="42">
        <f>I507-SUM(K507:O507)</f>
        <v>2804834</v>
      </c>
    </row>
    <row r="508" spans="1:16">
      <c r="A508" s="37" t="n">
        <v>517</v>
      </c>
      <c r="B508" s="97" t="s">
        <v>1478</v>
      </c>
      <c r="C508" s="121" t="s">
        <v>58</v>
      </c>
      <c r="D508" s="121" t="s">
        <v>20</v>
      </c>
      <c r="E508" s="121" t="s">
        <v>21</v>
      </c>
      <c r="F508" s="121" t="s">
        <v>1479</v>
      </c>
      <c r="G508" s="40" t="n">
        <v>0</v>
      </c>
      <c r="H508" s="121" t="s">
        <v>1480</v>
      </c>
      <c r="I508" s="99" t="n">
        <v>2288421</v>
      </c>
      <c r="J508" s="99" t="n">
        <v>2288421</v>
      </c>
      <c r="K508" s="99">
        <f>IF(C508="III",ROUND(J508*$R$2,0),IF(C508="P3K/III",ROUND(J508*$R$2,0),0))</f>
        <v>114421</v>
      </c>
      <c r="L508" s="99">
        <f>IF(C508="IV",ROUND(J508*$R$3,0),0)</f>
        <v>0</v>
      </c>
      <c r="M508" s="99" t="n">
        <v>0</v>
      </c>
      <c r="N508" s="99" t="n">
        <v>0</v>
      </c>
      <c r="O508" s="99" t="n">
        <v>0</v>
      </c>
      <c r="P508" s="42">
        <f>I508-SUM(K508:O508)</f>
        <v>2174000</v>
      </c>
    </row>
    <row r="509" spans="1:16">
      <c r="A509" s="37" t="n">
        <v>518</v>
      </c>
      <c r="B509" s="97" t="s">
        <v>1481</v>
      </c>
      <c r="C509" s="121" t="s">
        <v>58</v>
      </c>
      <c r="D509" s="121" t="s">
        <v>20</v>
      </c>
      <c r="E509" s="121" t="s">
        <v>21</v>
      </c>
      <c r="F509" s="121" t="s">
        <v>1482</v>
      </c>
      <c r="G509" s="40" t="n">
        <v>0</v>
      </c>
      <c r="H509" s="121" t="s">
        <v>1483</v>
      </c>
      <c r="I509" s="99" t="n">
        <v>2288421</v>
      </c>
      <c r="J509" s="99" t="n">
        <v>2288421</v>
      </c>
      <c r="K509" s="99">
        <f>IF(C509="III",ROUND(J509*$R$2,0),IF(C509="P3K/III",ROUND(J509*$R$2,0),0))</f>
        <v>114421</v>
      </c>
      <c r="L509" s="99">
        <f>IF(C509="IV",ROUND(J509*$R$3,0),0)</f>
        <v>0</v>
      </c>
      <c r="M509" s="99" t="n">
        <v>0</v>
      </c>
      <c r="N509" s="99" t="n">
        <v>0</v>
      </c>
      <c r="O509" s="99" t="n">
        <v>0</v>
      </c>
      <c r="P509" s="42">
        <f>I509-SUM(K509:O509)</f>
        <v>2174000</v>
      </c>
    </row>
    <row r="510" spans="1:16">
      <c r="A510" s="37" t="n">
        <v>519</v>
      </c>
      <c r="B510" s="97" t="s">
        <v>1484</v>
      </c>
      <c r="C510" s="121" t="s">
        <v>58</v>
      </c>
      <c r="D510" s="121" t="s">
        <v>20</v>
      </c>
      <c r="E510" s="121" t="s">
        <v>21</v>
      </c>
      <c r="F510" s="121" t="s">
        <v>1485</v>
      </c>
      <c r="G510" s="122" t="s">
        <v>1486</v>
      </c>
      <c r="H510" s="121" t="s">
        <v>1487</v>
      </c>
      <c r="I510" s="99" t="n">
        <v>2240042</v>
      </c>
      <c r="J510" s="99" t="n">
        <v>2240042</v>
      </c>
      <c r="K510" s="99">
        <f>IF(C510="III",ROUND(J510*$R$2,0),IF(C510="P3K/III",ROUND(J510*$R$2,0),0))</f>
        <v>112002</v>
      </c>
      <c r="L510" s="99">
        <f>IF(C510="IV",ROUND(J510*$R$3,0),0)</f>
        <v>0</v>
      </c>
      <c r="M510" s="99" t="n">
        <v>0</v>
      </c>
      <c r="N510" s="99" t="n">
        <v>0</v>
      </c>
      <c r="O510" s="99" t="n">
        <v>0</v>
      </c>
      <c r="P510" s="42">
        <f>I510-SUM(K510:O510)</f>
        <v>2128040</v>
      </c>
    </row>
    <row r="511" spans="1:16">
      <c r="A511" s="37" t="n">
        <v>520</v>
      </c>
      <c r="B511" s="97" t="s">
        <v>1488</v>
      </c>
      <c r="C511" s="121" t="s">
        <v>58</v>
      </c>
      <c r="D511" s="121" t="s">
        <v>20</v>
      </c>
      <c r="E511" s="121" t="s">
        <v>21</v>
      </c>
      <c r="F511" s="121" t="s">
        <v>1489</v>
      </c>
      <c r="G511" s="122" t="s">
        <v>1490</v>
      </c>
      <c r="H511" s="121" t="s">
        <v>1491</v>
      </c>
      <c r="I511" s="99" t="n">
        <v>2288421</v>
      </c>
      <c r="J511" s="99" t="n">
        <v>2288421</v>
      </c>
      <c r="K511" s="99">
        <f>IF(C511="III",ROUND(J511*$R$2,0),IF(C511="P3K/III",ROUND(J511*$R$2,0),0))</f>
        <v>114421</v>
      </c>
      <c r="L511" s="99">
        <f>IF(C511="IV",ROUND(J511*$R$3,0),0)</f>
        <v>0</v>
      </c>
      <c r="M511" s="99" t="n">
        <v>0</v>
      </c>
      <c r="N511" s="99" t="n">
        <v>0</v>
      </c>
      <c r="O511" s="99" t="n">
        <v>0</v>
      </c>
      <c r="P511" s="42">
        <f>I511-SUM(K511:O511)</f>
        <v>2174000</v>
      </c>
    </row>
    <row r="512" spans="1:16">
      <c r="A512" s="37" t="n">
        <v>521</v>
      </c>
      <c r="B512" s="97" t="s">
        <v>1492</v>
      </c>
      <c r="C512" s="121" t="s">
        <v>283</v>
      </c>
      <c r="D512" s="121" t="s">
        <v>20</v>
      </c>
      <c r="E512" s="121" t="s">
        <v>21</v>
      </c>
      <c r="F512" s="98" t="n">
        <v>0</v>
      </c>
      <c r="G512" s="40" t="n">
        <v>0</v>
      </c>
      <c r="H512" s="121" t="s">
        <v>1493</v>
      </c>
      <c r="I512" s="99" t="n">
        <v>2072414</v>
      </c>
      <c r="J512" s="99" t="n">
        <v>2072414</v>
      </c>
      <c r="K512" s="99">
        <f>IF(C512="III",ROUND(J512*$R$2,0),IF(C512="P3K/III",ROUND(J512*$R$2,0),0))</f>
        <v>0</v>
      </c>
      <c r="L512" s="99">
        <f>IF(C512="IV",ROUND(J512*$R$3,0),0)</f>
        <v>0</v>
      </c>
      <c r="M512" s="99" t="n">
        <v>0</v>
      </c>
      <c r="N512" s="99" t="n">
        <v>0</v>
      </c>
      <c r="O512" s="99" t="n">
        <v>0</v>
      </c>
      <c r="P512" s="42">
        <f>I512-SUM(K512:O512)</f>
        <v>2072414</v>
      </c>
    </row>
    <row r="513" spans="1:16">
      <c r="A513" s="37" t="n">
        <v>522</v>
      </c>
      <c r="B513" s="97" t="s">
        <v>1494</v>
      </c>
      <c r="C513" s="121" t="s">
        <v>58</v>
      </c>
      <c r="D513" s="121" t="s">
        <v>20</v>
      </c>
      <c r="E513" s="121" t="s">
        <v>21</v>
      </c>
      <c r="F513" s="121" t="s">
        <v>1495</v>
      </c>
      <c r="G513" s="40" t="n">
        <v>0</v>
      </c>
      <c r="H513" s="121" t="s">
        <v>1496</v>
      </c>
      <c r="I513" s="99" t="n">
        <v>3108532</v>
      </c>
      <c r="J513" s="99" t="n">
        <v>3108532</v>
      </c>
      <c r="K513" s="99">
        <f>IF(C513="III",ROUND(J513*$R$2,0),IF(C513="P3K/III",ROUND(J513*$R$2,0),0))</f>
        <v>155427</v>
      </c>
      <c r="L513" s="99">
        <f>IF(C513="IV",ROUND(J513*$R$3,0),0)</f>
        <v>0</v>
      </c>
      <c r="M513" s="99" t="n">
        <v>0</v>
      </c>
      <c r="N513" s="99" t="n">
        <v>0</v>
      </c>
      <c r="O513" s="99" t="n">
        <v>0</v>
      </c>
      <c r="P513" s="42">
        <f>I513-SUM(K513:O513)</f>
        <v>2953105</v>
      </c>
    </row>
    <row r="514" spans="1:16">
      <c r="A514" s="37" t="n">
        <v>523</v>
      </c>
      <c r="B514" s="97" t="s">
        <v>1497</v>
      </c>
      <c r="C514" s="121" t="s">
        <v>58</v>
      </c>
      <c r="D514" s="121" t="s">
        <v>20</v>
      </c>
      <c r="E514" s="121" t="s">
        <v>21</v>
      </c>
      <c r="F514" s="121" t="s">
        <v>1498</v>
      </c>
      <c r="G514" s="122" t="s">
        <v>1499</v>
      </c>
      <c r="H514" s="121" t="s">
        <v>1500</v>
      </c>
      <c r="I514" s="99" t="n">
        <v>1629582</v>
      </c>
      <c r="J514" s="99" t="n">
        <v>1629582</v>
      </c>
      <c r="K514" s="99">
        <f>IF(C514="III",ROUND(J514*$R$2,0),IF(C514="P3K/III",ROUND(J514*$R$2,0),0))</f>
        <v>81479</v>
      </c>
      <c r="L514" s="99">
        <f>IF(C514="IV",ROUND(J514*$R$3,0),0)</f>
        <v>0</v>
      </c>
      <c r="M514" s="99" t="n">
        <v>0</v>
      </c>
      <c r="N514" s="99" t="n">
        <v>0</v>
      </c>
      <c r="O514" s="99" t="n">
        <v>0</v>
      </c>
      <c r="P514" s="42">
        <f>I514-SUM(K514:O514)</f>
        <v>1548103</v>
      </c>
    </row>
    <row r="515" spans="1:16">
      <c r="A515" s="37" t="n">
        <v>524</v>
      </c>
      <c r="B515" s="97" t="s">
        <v>1501</v>
      </c>
      <c r="C515" s="121" t="s">
        <v>58</v>
      </c>
      <c r="D515" s="121" t="s">
        <v>20</v>
      </c>
      <c r="E515" s="121" t="s">
        <v>21</v>
      </c>
      <c r="F515" s="121" t="s">
        <v>1502</v>
      </c>
      <c r="G515" s="40" t="n">
        <v>0</v>
      </c>
      <c r="H515" s="121" t="s">
        <v>1503</v>
      </c>
      <c r="I515" s="99" t="n">
        <v>3044123</v>
      </c>
      <c r="J515" s="99" t="n">
        <v>3044123</v>
      </c>
      <c r="K515" s="99">
        <f>IF(C515="III",ROUND(J515*$R$2,0),IF(C515="P3K/III",ROUND(J515*$R$2,0),0))</f>
        <v>152206</v>
      </c>
      <c r="L515" s="99">
        <f>IF(C515="IV",ROUND(J515*$R$3,0),0)</f>
        <v>0</v>
      </c>
      <c r="M515" s="99" t="n">
        <v>0</v>
      </c>
      <c r="N515" s="99" t="n">
        <v>0</v>
      </c>
      <c r="O515" s="99" t="n">
        <v>0</v>
      </c>
      <c r="P515" s="42">
        <f>I515-SUM(K515:O515)</f>
        <v>2891917</v>
      </c>
    </row>
    <row r="516" spans="1:16">
      <c r="A516" s="37" t="n">
        <v>525</v>
      </c>
      <c r="B516" s="97" t="s">
        <v>1504</v>
      </c>
      <c r="C516" s="121" t="s">
        <v>120</v>
      </c>
      <c r="D516" s="121" t="s">
        <v>128</v>
      </c>
      <c r="E516" s="121" t="s">
        <v>15</v>
      </c>
      <c r="F516" s="98" t="n">
        <v>0</v>
      </c>
      <c r="G516" s="122" t="s">
        <v>1505</v>
      </c>
      <c r="H516" s="121" t="s">
        <v>1506</v>
      </c>
      <c r="I516" s="99" t="n">
        <v>1829938</v>
      </c>
      <c r="J516" s="99" t="n">
        <v>1829938</v>
      </c>
      <c r="K516" s="99">
        <f>IF(C516="III",ROUND(J516*$R$2,0),IF(C516="P3K/III",ROUND(J516*$R$2,0),0))</f>
        <v>0</v>
      </c>
      <c r="L516" s="99">
        <f>IF(C516="IV",ROUND(J516*$R$3,0),0)</f>
        <v>0</v>
      </c>
      <c r="M516" s="99" t="n">
        <v>0</v>
      </c>
      <c r="N516" s="99" t="n">
        <v>0</v>
      </c>
      <c r="O516" s="99" t="n">
        <v>0</v>
      </c>
      <c r="P516" s="42">
        <f>I516-SUM(K516:O516)</f>
        <v>1829938</v>
      </c>
    </row>
    <row r="517" spans="1:16">
      <c r="A517" s="37" t="n">
        <v>526</v>
      </c>
      <c r="B517" s="97" t="s">
        <v>1507</v>
      </c>
      <c r="C517" s="121" t="s">
        <v>58</v>
      </c>
      <c r="D517" s="121" t="s">
        <v>20</v>
      </c>
      <c r="E517" s="121" t="s">
        <v>21</v>
      </c>
      <c r="F517" s="121" t="s">
        <v>1508</v>
      </c>
      <c r="G517" s="122" t="s">
        <v>1509</v>
      </c>
      <c r="H517" s="121" t="s">
        <v>1510</v>
      </c>
      <c r="I517" s="99" t="n">
        <v>984238</v>
      </c>
      <c r="J517" s="99" t="n">
        <v>984238</v>
      </c>
      <c r="K517" s="99">
        <f>IF(C517="III",ROUND(J517*$R$2,0),IF(C517="P3K/III",ROUND(J517*$R$2,0),0))</f>
        <v>49212</v>
      </c>
      <c r="L517" s="99">
        <f>IF(C517="IV",ROUND(J517*$R$3,0),0)</f>
        <v>0</v>
      </c>
      <c r="M517" s="99" t="n">
        <v>0</v>
      </c>
      <c r="N517" s="99" t="n">
        <v>0</v>
      </c>
      <c r="O517" s="99" t="n">
        <v>0</v>
      </c>
      <c r="P517" s="42">
        <f>I517-SUM(K517:O517)</f>
        <v>935026</v>
      </c>
    </row>
    <row r="518" spans="1:16">
      <c r="A518" s="37" t="n">
        <v>527</v>
      </c>
      <c r="B518" s="97" t="s">
        <v>1511</v>
      </c>
      <c r="C518" s="121" t="s">
        <v>58</v>
      </c>
      <c r="D518" s="121" t="s">
        <v>20</v>
      </c>
      <c r="E518" s="121" t="s">
        <v>21</v>
      </c>
      <c r="F518" s="121" t="s">
        <v>1512</v>
      </c>
      <c r="G518" s="40" t="n">
        <v>0</v>
      </c>
      <c r="H518" s="121" t="s">
        <v>1513</v>
      </c>
      <c r="I518" s="99" t="n">
        <v>2923004</v>
      </c>
      <c r="J518" s="99" t="n">
        <v>2923004</v>
      </c>
      <c r="K518" s="99">
        <f>IF(C518="III",ROUND(J518*$R$2,0),IF(C518="P3K/III",ROUND(J518*$R$2,0),0))</f>
        <v>146150</v>
      </c>
      <c r="L518" s="99">
        <f>IF(C518="IV",ROUND(J518*$R$3,0),0)</f>
        <v>0</v>
      </c>
      <c r="M518" s="99" t="n">
        <v>0</v>
      </c>
      <c r="N518" s="99" t="n">
        <v>0</v>
      </c>
      <c r="O518" s="99" t="n">
        <v>0</v>
      </c>
      <c r="P518" s="42">
        <f>I518-SUM(K518:O518)</f>
        <v>2776854</v>
      </c>
    </row>
    <row r="519" spans="1:16">
      <c r="A519" s="37" t="n">
        <v>528</v>
      </c>
      <c r="B519" s="97" t="s">
        <v>1514</v>
      </c>
      <c r="C519" s="121" t="s">
        <v>58</v>
      </c>
      <c r="D519" s="121" t="s">
        <v>20</v>
      </c>
      <c r="E519" s="121" t="s">
        <v>21</v>
      </c>
      <c r="F519" s="121" t="s">
        <v>1515</v>
      </c>
      <c r="G519" s="40" t="n">
        <v>0</v>
      </c>
      <c r="H519" s="121" t="s">
        <v>1516</v>
      </c>
      <c r="I519" s="99" t="n">
        <v>1332467</v>
      </c>
      <c r="J519" s="99" t="n">
        <v>1332467</v>
      </c>
      <c r="K519" s="99">
        <f>IF(C519="III",ROUND(J519*$R$2,0),IF(C519="P3K/III",ROUND(J519*$R$2,0),0))</f>
        <v>66623</v>
      </c>
      <c r="L519" s="99">
        <f>IF(C519="IV",ROUND(J519*$R$3,0),0)</f>
        <v>0</v>
      </c>
      <c r="M519" s="99" t="n">
        <v>0</v>
      </c>
      <c r="N519" s="99" t="n">
        <v>0</v>
      </c>
      <c r="O519" s="99" t="n">
        <v>0</v>
      </c>
      <c r="P519" s="42">
        <f>I519-SUM(K519:O519)</f>
        <v>1265844</v>
      </c>
    </row>
    <row r="520" spans="1:16">
      <c r="A520" s="37" t="n">
        <v>529</v>
      </c>
      <c r="B520" s="97" t="s">
        <v>1517</v>
      </c>
      <c r="C520" s="121" t="s">
        <v>58</v>
      </c>
      <c r="D520" s="121" t="s">
        <v>20</v>
      </c>
      <c r="E520" s="121" t="s">
        <v>21</v>
      </c>
      <c r="F520" s="121" t="s">
        <v>1518</v>
      </c>
      <c r="G520" s="40" t="n">
        <v>0</v>
      </c>
      <c r="H520" s="121" t="s">
        <v>1519</v>
      </c>
      <c r="I520" s="99" t="n">
        <v>2923004</v>
      </c>
      <c r="J520" s="99" t="n">
        <v>2923004</v>
      </c>
      <c r="K520" s="99">
        <f>IF(C520="III",ROUND(J520*$R$2,0),IF(C520="P3K/III",ROUND(J520*$R$2,0),0))</f>
        <v>146150</v>
      </c>
      <c r="L520" s="99">
        <f>IF(C520="IV",ROUND(J520*$R$3,0),0)</f>
        <v>0</v>
      </c>
      <c r="M520" s="99" t="n">
        <v>0</v>
      </c>
      <c r="N520" s="99" t="n">
        <v>0</v>
      </c>
      <c r="O520" s="99" t="n">
        <v>0</v>
      </c>
      <c r="P520" s="42">
        <f>I520-SUM(K520:O520)</f>
        <v>2776854</v>
      </c>
    </row>
    <row r="521" spans="1:16">
      <c r="A521" s="37" t="n">
        <v>530</v>
      </c>
      <c r="B521" s="97" t="s">
        <v>1520</v>
      </c>
      <c r="C521" s="121" t="s">
        <v>58</v>
      </c>
      <c r="D521" s="121" t="s">
        <v>20</v>
      </c>
      <c r="E521" s="121" t="s">
        <v>21</v>
      </c>
      <c r="F521" s="121" t="s">
        <v>1521</v>
      </c>
      <c r="G521" s="122" t="s">
        <v>1522</v>
      </c>
      <c r="H521" s="121" t="s">
        <v>1523</v>
      </c>
      <c r="I521" s="99" t="n">
        <v>2923004</v>
      </c>
      <c r="J521" s="99" t="n">
        <v>2923004</v>
      </c>
      <c r="K521" s="99">
        <f>IF(C521="III",ROUND(J521*$R$2,0),IF(C521="P3K/III",ROUND(J521*$R$2,0),0))</f>
        <v>146150</v>
      </c>
      <c r="L521" s="99">
        <f>IF(C521="IV",ROUND(J521*$R$3,0),0)</f>
        <v>0</v>
      </c>
      <c r="M521" s="99" t="n">
        <v>0</v>
      </c>
      <c r="N521" s="99" t="n">
        <v>0</v>
      </c>
      <c r="O521" s="99" t="n">
        <v>0</v>
      </c>
      <c r="P521" s="42">
        <f>I521-SUM(K521:O521)</f>
        <v>2776854</v>
      </c>
    </row>
    <row r="522" spans="1:16">
      <c r="A522" s="37" t="n">
        <v>531</v>
      </c>
      <c r="B522" s="97" t="s">
        <v>1524</v>
      </c>
      <c r="C522" s="121" t="s">
        <v>19</v>
      </c>
      <c r="D522" s="121" t="s">
        <v>20</v>
      </c>
      <c r="E522" s="121" t="s">
        <v>21</v>
      </c>
      <c r="F522" s="121" t="s">
        <v>1525</v>
      </c>
      <c r="G522" s="40" t="n">
        <v>0</v>
      </c>
      <c r="H522" s="121" t="s">
        <v>1526</v>
      </c>
      <c r="I522" s="99" t="n">
        <v>1356656</v>
      </c>
      <c r="J522" s="99" t="n">
        <v>1356656</v>
      </c>
      <c r="K522" s="99">
        <f>IF(C522="III",ROUND(J522*$R$2,0),IF(C522="P3K/III",ROUND(J522*$R$2,0),0))</f>
        <v>0</v>
      </c>
      <c r="L522" s="99">
        <f>IF(C522="IV",ROUND(J522*$R$3,0),0)</f>
        <v>203498</v>
      </c>
      <c r="M522" s="99" t="n">
        <v>0</v>
      </c>
      <c r="N522" s="99" t="n">
        <v>0</v>
      </c>
      <c r="O522" s="99" t="n">
        <v>0</v>
      </c>
      <c r="P522" s="42">
        <f>I522-SUM(K522:O522)</f>
        <v>1153158</v>
      </c>
    </row>
    <row r="523" spans="1:16">
      <c r="A523" s="37" t="n">
        <v>532</v>
      </c>
      <c r="B523" s="97" t="s">
        <v>1527</v>
      </c>
      <c r="C523" s="121" t="s">
        <v>283</v>
      </c>
      <c r="D523" s="121" t="s">
        <v>20</v>
      </c>
      <c r="E523" s="121" t="s">
        <v>21</v>
      </c>
      <c r="F523" s="98" t="n">
        <v>0</v>
      </c>
      <c r="G523" s="40" t="n">
        <v>0</v>
      </c>
      <c r="H523" s="121" t="s">
        <v>1528</v>
      </c>
      <c r="I523" s="99" t="n">
        <v>3732001</v>
      </c>
      <c r="J523" s="99" t="n">
        <v>3732001</v>
      </c>
      <c r="K523" s="99">
        <f>IF(C523="III",ROUND(J523*$R$2,0),IF(C523="P3K/III",ROUND(J523*$R$2,0),0))</f>
        <v>0</v>
      </c>
      <c r="L523" s="99">
        <f>IF(C523="IV",ROUND(J523*$R$3,0),0)</f>
        <v>0</v>
      </c>
      <c r="M523" s="99" t="n">
        <v>0</v>
      </c>
      <c r="N523" s="99" t="n">
        <v>0</v>
      </c>
      <c r="O523" s="99" t="n">
        <v>0</v>
      </c>
      <c r="P523" s="42">
        <f>I523-SUM(K523:O523)</f>
        <v>3732001</v>
      </c>
    </row>
    <row r="524" spans="1:16">
      <c r="A524" s="37" t="n">
        <v>533</v>
      </c>
      <c r="B524" s="97" t="s">
        <v>1529</v>
      </c>
      <c r="C524" s="121" t="s">
        <v>58</v>
      </c>
      <c r="D524" s="121" t="s">
        <v>20</v>
      </c>
      <c r="E524" s="121" t="s">
        <v>21</v>
      </c>
      <c r="F524" s="121" t="s">
        <v>1530</v>
      </c>
      <c r="G524" s="122" t="s">
        <v>1531</v>
      </c>
      <c r="H524" s="121" t="s">
        <v>1532</v>
      </c>
      <c r="I524" s="99" t="n">
        <v>1380846</v>
      </c>
      <c r="J524" s="99" t="n">
        <v>1380846</v>
      </c>
      <c r="K524" s="99">
        <f>IF(C524="III",ROUND(J524*$R$2,0),IF(C524="P3K/III",ROUND(J524*$R$2,0),0))</f>
        <v>69042</v>
      </c>
      <c r="L524" s="99">
        <f>IF(C524="IV",ROUND(J524*$R$3,0),0)</f>
        <v>0</v>
      </c>
      <c r="M524" s="99" t="n">
        <v>0</v>
      </c>
      <c r="N524" s="99" t="n">
        <v>0</v>
      </c>
      <c r="O524" s="99" t="n">
        <v>0</v>
      </c>
      <c r="P524" s="42">
        <f>I524-SUM(K524:O524)</f>
        <v>1311804</v>
      </c>
    </row>
    <row r="525" spans="1:16">
      <c r="A525" s="37" t="n">
        <v>534</v>
      </c>
      <c r="B525" s="97" t="s">
        <v>1533</v>
      </c>
      <c r="C525" s="121" t="s">
        <v>111</v>
      </c>
      <c r="D525" s="121" t="s">
        <v>20</v>
      </c>
      <c r="E525" s="121" t="s">
        <v>21</v>
      </c>
      <c r="F525" s="121" t="s">
        <v>1534</v>
      </c>
      <c r="G525" s="122" t="s">
        <v>1531</v>
      </c>
      <c r="H525" s="121" t="s">
        <v>1535</v>
      </c>
      <c r="I525" s="99" t="n">
        <v>1332467</v>
      </c>
      <c r="J525" s="99" t="n">
        <v>1332467</v>
      </c>
      <c r="K525" s="99">
        <f>IF(C525="III",ROUND(J525*$R$2,0),IF(C525="P3K/III",ROUND(J525*$R$2,0),0))</f>
        <v>0</v>
      </c>
      <c r="L525" s="99">
        <f>IF(C525="IV",ROUND(J525*$R$3,0),0)</f>
        <v>0</v>
      </c>
      <c r="M525" s="99" t="n">
        <v>0</v>
      </c>
      <c r="N525" s="99" t="n">
        <v>0</v>
      </c>
      <c r="O525" s="99" t="n">
        <v>0</v>
      </c>
      <c r="P525" s="42">
        <f>I525-SUM(K525:O525)</f>
        <v>1332467</v>
      </c>
    </row>
    <row r="526" spans="1:16">
      <c r="A526" s="37" t="n">
        <v>535</v>
      </c>
      <c r="B526" s="97" t="s">
        <v>1536</v>
      </c>
      <c r="C526" s="121" t="s">
        <v>58</v>
      </c>
      <c r="D526" s="121" t="s">
        <v>20</v>
      </c>
      <c r="E526" s="121" t="s">
        <v>21</v>
      </c>
      <c r="F526" s="121" t="s">
        <v>1537</v>
      </c>
      <c r="G526" s="122" t="s">
        <v>1538</v>
      </c>
      <c r="H526" s="121" t="s">
        <v>1539</v>
      </c>
      <c r="I526" s="99" t="n">
        <v>1829938</v>
      </c>
      <c r="J526" s="99" t="n">
        <v>1829938</v>
      </c>
      <c r="K526" s="99">
        <f>IF(C526="III",ROUND(J526*$R$2,0),IF(C526="P3K/III",ROUND(J526*$R$2,0),0))</f>
        <v>91497</v>
      </c>
      <c r="L526" s="99">
        <f>IF(C526="IV",ROUND(J526*$R$3,0),0)</f>
        <v>0</v>
      </c>
      <c r="M526" s="99" t="n">
        <v>0</v>
      </c>
      <c r="N526" s="99" t="n">
        <v>0</v>
      </c>
      <c r="O526" s="99" t="n">
        <v>0</v>
      </c>
      <c r="P526" s="42">
        <f>I526-SUM(K526:O526)</f>
        <v>1738441</v>
      </c>
    </row>
    <row r="527" spans="1:16">
      <c r="A527" s="37" t="n">
        <v>536</v>
      </c>
      <c r="B527" s="97" t="s">
        <v>1540</v>
      </c>
      <c r="C527" s="121" t="s">
        <v>58</v>
      </c>
      <c r="D527" s="121" t="s">
        <v>20</v>
      </c>
      <c r="E527" s="121" t="s">
        <v>21</v>
      </c>
      <c r="F527" s="121" t="s">
        <v>1541</v>
      </c>
      <c r="G527" s="122" t="s">
        <v>1542</v>
      </c>
      <c r="H527" s="121" t="s">
        <v>1543</v>
      </c>
      <c r="I527" s="99" t="n">
        <v>1829938</v>
      </c>
      <c r="J527" s="99" t="n">
        <v>1829938</v>
      </c>
      <c r="K527" s="99">
        <f>IF(C527="III",ROUND(J527*$R$2,0),IF(C527="P3K/III",ROUND(J527*$R$2,0),0))</f>
        <v>91497</v>
      </c>
      <c r="L527" s="99">
        <f>IF(C527="IV",ROUND(J527*$R$3,0),0)</f>
        <v>0</v>
      </c>
      <c r="M527" s="99" t="n">
        <v>0</v>
      </c>
      <c r="N527" s="99" t="n">
        <v>0</v>
      </c>
      <c r="O527" s="99" t="n">
        <v>0</v>
      </c>
      <c r="P527" s="42">
        <f>I527-SUM(K527:O527)</f>
        <v>1738441</v>
      </c>
    </row>
    <row r="528" spans="1:16">
      <c r="A528" s="37" t="n">
        <v>537</v>
      </c>
      <c r="B528" s="97" t="s">
        <v>1544</v>
      </c>
      <c r="C528" s="121" t="s">
        <v>111</v>
      </c>
      <c r="D528" s="121" t="s">
        <v>20</v>
      </c>
      <c r="E528" s="121" t="s">
        <v>21</v>
      </c>
      <c r="F528" s="121" t="s">
        <v>1545</v>
      </c>
      <c r="G528" s="122" t="s">
        <v>1546</v>
      </c>
      <c r="H528" s="121" t="s">
        <v>1547</v>
      </c>
      <c r="I528" s="99" t="n">
        <v>1829938</v>
      </c>
      <c r="J528" s="99" t="n">
        <v>1829938</v>
      </c>
      <c r="K528" s="99">
        <f>IF(C528="III",ROUND(J528*$R$2,0),IF(C528="P3K/III",ROUND(J528*$R$2,0),0))</f>
        <v>0</v>
      </c>
      <c r="L528" s="99">
        <f>IF(C528="IV",ROUND(J528*$R$3,0),0)</f>
        <v>0</v>
      </c>
      <c r="M528" s="99" t="n">
        <v>0</v>
      </c>
      <c r="N528" s="99" t="n">
        <v>0</v>
      </c>
      <c r="O528" s="99" t="n">
        <v>0</v>
      </c>
      <c r="P528" s="42">
        <f>I528-SUM(K528:O528)</f>
        <v>1829938</v>
      </c>
    </row>
    <row r="529" spans="1:16">
      <c r="A529" s="37" t="n">
        <v>538</v>
      </c>
      <c r="B529" s="97" t="s">
        <v>1548</v>
      </c>
      <c r="C529" s="121" t="s">
        <v>95</v>
      </c>
      <c r="D529" s="121" t="s">
        <v>124</v>
      </c>
      <c r="E529" s="121" t="s">
        <v>15</v>
      </c>
      <c r="F529" s="98" t="n">
        <v>0</v>
      </c>
      <c r="G529" s="122" t="s">
        <v>1549</v>
      </c>
      <c r="H529" s="121" t="s">
        <v>1550</v>
      </c>
      <c r="I529" s="99" t="n">
        <v>834997</v>
      </c>
      <c r="J529" s="99" t="n">
        <v>834997</v>
      </c>
      <c r="K529" s="99">
        <f>IF(C529="III",ROUND(J529*$R$2,0),IF(C529="P3K/III",ROUND(J529*$R$2,0),0))</f>
        <v>0</v>
      </c>
      <c r="L529" s="99">
        <f>IF(C529="IV",ROUND(J529*$R$3,0),0)</f>
        <v>0</v>
      </c>
      <c r="M529" s="99" t="n">
        <v>0</v>
      </c>
      <c r="N529" s="99" t="n">
        <v>0</v>
      </c>
      <c r="O529" s="99" t="n">
        <v>0</v>
      </c>
      <c r="P529" s="42">
        <f>I529-SUM(K529:O529)</f>
        <v>834997</v>
      </c>
    </row>
    <row r="530" spans="1:16">
      <c r="A530" s="37" t="n">
        <v>539</v>
      </c>
      <c r="B530" s="97" t="s">
        <v>1551</v>
      </c>
      <c r="C530" s="121" t="s">
        <v>283</v>
      </c>
      <c r="D530" s="121" t="s">
        <v>20</v>
      </c>
      <c r="E530" s="121" t="s">
        <v>21</v>
      </c>
      <c r="F530" s="98" t="n">
        <v>0</v>
      </c>
      <c r="G530" s="122" t="s">
        <v>1552</v>
      </c>
      <c r="H530" s="121" t="s">
        <v>1553</v>
      </c>
      <c r="I530" s="99" t="n">
        <v>2078673</v>
      </c>
      <c r="J530" s="99" t="n">
        <v>2078673</v>
      </c>
      <c r="K530" s="99">
        <f>IF(C530="III",ROUND(J530*$R$2,0),IF(C530="P3K/III",ROUND(J530*$R$2,0),0))</f>
        <v>0</v>
      </c>
      <c r="L530" s="99">
        <f>IF(C530="IV",ROUND(J530*$R$3,0),0)</f>
        <v>0</v>
      </c>
      <c r="M530" s="99" t="n">
        <v>0</v>
      </c>
      <c r="N530" s="99" t="n">
        <v>0</v>
      </c>
      <c r="O530" s="99" t="n">
        <v>0</v>
      </c>
      <c r="P530" s="42">
        <f>I530-SUM(K530:O530)</f>
        <v>2078673</v>
      </c>
    </row>
    <row r="531" spans="1:16">
      <c r="A531" s="37" t="n">
        <v>540</v>
      </c>
      <c r="B531" s="97" t="s">
        <v>1554</v>
      </c>
      <c r="C531" s="121" t="s">
        <v>58</v>
      </c>
      <c r="D531" s="121" t="s">
        <v>20</v>
      </c>
      <c r="E531" s="121" t="s">
        <v>21</v>
      </c>
      <c r="F531" s="121" t="s">
        <v>1555</v>
      </c>
      <c r="G531" s="40" t="n">
        <v>0</v>
      </c>
      <c r="H531" s="121" t="s">
        <v>1556</v>
      </c>
      <c r="I531" s="99" t="n">
        <v>2078673</v>
      </c>
      <c r="J531" s="99" t="n">
        <v>2078673</v>
      </c>
      <c r="K531" s="99">
        <f>IF(C531="III",ROUND(J531*$R$2,0),IF(C531="P3K/III",ROUND(J531*$R$2,0),0))</f>
        <v>103934</v>
      </c>
      <c r="L531" s="99">
        <f>IF(C531="IV",ROUND(J531*$R$3,0),0)</f>
        <v>0</v>
      </c>
      <c r="M531" s="99" t="n">
        <v>0</v>
      </c>
      <c r="N531" s="99" t="n">
        <v>0</v>
      </c>
      <c r="O531" s="99" t="n">
        <v>0</v>
      </c>
      <c r="P531" s="42">
        <f>I531-SUM(K531:O531)</f>
        <v>1974739</v>
      </c>
    </row>
    <row r="532" spans="1:16">
      <c r="A532" s="37" t="n">
        <v>541</v>
      </c>
      <c r="B532" s="97" t="s">
        <v>1557</v>
      </c>
      <c r="C532" s="121" t="s">
        <v>283</v>
      </c>
      <c r="D532" s="121" t="s">
        <v>20</v>
      </c>
      <c r="E532" s="121" t="s">
        <v>21</v>
      </c>
      <c r="F532" s="98" t="n">
        <v>0</v>
      </c>
      <c r="G532" s="40" t="n">
        <v>0</v>
      </c>
      <c r="H532" s="121" t="s">
        <v>1558</v>
      </c>
      <c r="I532" s="99" t="n">
        <v>2078673</v>
      </c>
      <c r="J532" s="99" t="n">
        <v>2078673</v>
      </c>
      <c r="K532" s="99">
        <f>IF(C532="III",ROUND(J532*$R$2,0),IF(C532="P3K/III",ROUND(J532*$R$2,0),0))</f>
        <v>0</v>
      </c>
      <c r="L532" s="99">
        <f>IF(C532="IV",ROUND(J532*$R$3,0),0)</f>
        <v>0</v>
      </c>
      <c r="M532" s="99" t="n">
        <v>0</v>
      </c>
      <c r="N532" s="99" t="n">
        <v>0</v>
      </c>
      <c r="O532" s="99" t="n">
        <v>0</v>
      </c>
      <c r="P532" s="42">
        <f>I532-SUM(K532:O532)</f>
        <v>2078673</v>
      </c>
    </row>
    <row r="533" spans="1:16">
      <c r="A533" s="37" t="n">
        <v>542</v>
      </c>
      <c r="B533" s="97" t="s">
        <v>1559</v>
      </c>
      <c r="C533" s="121" t="s">
        <v>58</v>
      </c>
      <c r="D533" s="121" t="s">
        <v>20</v>
      </c>
      <c r="E533" s="121" t="s">
        <v>21</v>
      </c>
      <c r="F533" s="121" t="s">
        <v>1560</v>
      </c>
      <c r="G533" s="40" t="n">
        <v>0</v>
      </c>
      <c r="H533" s="121" t="s">
        <v>1561</v>
      </c>
      <c r="I533" s="99" t="n">
        <v>3348220</v>
      </c>
      <c r="J533" s="99" t="n">
        <v>3348220</v>
      </c>
      <c r="K533" s="99">
        <f>IF(C533="III",ROUND(J533*$R$2,0),IF(C533="P3K/III",ROUND(J533*$R$2,0),0))</f>
        <v>167411</v>
      </c>
      <c r="L533" s="99">
        <f>IF(C533="IV",ROUND(J533*$R$3,0),0)</f>
        <v>0</v>
      </c>
      <c r="M533" s="99" t="n">
        <v>0</v>
      </c>
      <c r="N533" s="99" t="n">
        <v>0</v>
      </c>
      <c r="O533" s="99" t="n">
        <v>0</v>
      </c>
      <c r="P533" s="42">
        <f>I533-SUM(K533:O533)</f>
        <v>3180809</v>
      </c>
    </row>
    <row r="534" spans="1:16">
      <c r="A534" s="37" t="n">
        <v>543</v>
      </c>
      <c r="B534" s="97" t="s">
        <v>1562</v>
      </c>
      <c r="C534" s="121" t="s">
        <v>95</v>
      </c>
      <c r="D534" s="121" t="s">
        <v>278</v>
      </c>
      <c r="E534" s="121" t="s">
        <v>16</v>
      </c>
      <c r="F534" s="98" t="n">
        <v>0</v>
      </c>
      <c r="G534" s="40" t="n">
        <v>0</v>
      </c>
      <c r="H534" s="121" t="s">
        <v>1563</v>
      </c>
      <c r="I534" s="99" t="n">
        <v>984238</v>
      </c>
      <c r="J534" s="99" t="n">
        <v>984238</v>
      </c>
      <c r="K534" s="99">
        <f>IF(C534="III",ROUND(J534*$R$2,0),IF(C534="P3K/III",ROUND(J534*$R$2,0),0))</f>
        <v>0</v>
      </c>
      <c r="L534" s="99">
        <f>IF(C534="IV",ROUND(J534*$R$3,0),0)</f>
        <v>0</v>
      </c>
      <c r="M534" s="99" t="n">
        <v>0</v>
      </c>
      <c r="N534" s="99" t="n">
        <v>0</v>
      </c>
      <c r="O534" s="99" t="n">
        <v>0</v>
      </c>
      <c r="P534" s="42">
        <f>I534-SUM(K534:O534)</f>
        <v>984238</v>
      </c>
    </row>
    <row r="535" spans="1:16">
      <c r="A535" s="37" t="n">
        <v>544</v>
      </c>
      <c r="B535" s="97" t="s">
        <v>1564</v>
      </c>
      <c r="C535" s="121" t="s">
        <v>120</v>
      </c>
      <c r="D535" s="121" t="s">
        <v>128</v>
      </c>
      <c r="E535" s="121" t="s">
        <v>15</v>
      </c>
      <c r="F535" s="98" t="n">
        <v>0</v>
      </c>
      <c r="G535" s="122" t="s">
        <v>1565</v>
      </c>
      <c r="H535" s="121" t="s">
        <v>1566</v>
      </c>
      <c r="I535" s="99" t="n">
        <v>1332467</v>
      </c>
      <c r="J535" s="99" t="n">
        <v>1332467</v>
      </c>
      <c r="K535" s="99">
        <f>IF(C535="III",ROUND(J535*$R$2,0),IF(C535="P3K/III",ROUND(J535*$R$2,0),0))</f>
        <v>0</v>
      </c>
      <c r="L535" s="99">
        <f>IF(C535="IV",ROUND(J535*$R$3,0),0)</f>
        <v>0</v>
      </c>
      <c r="M535" s="99" t="n">
        <v>0</v>
      </c>
      <c r="N535" s="99" t="n">
        <v>0</v>
      </c>
      <c r="O535" s="99" t="n">
        <v>0</v>
      </c>
      <c r="P535" s="42">
        <f>I535-SUM(K535:O535)</f>
        <v>1332467</v>
      </c>
    </row>
    <row r="536" spans="1:16">
      <c r="A536" s="37" t="n">
        <v>545</v>
      </c>
      <c r="B536" s="97" t="s">
        <v>1567</v>
      </c>
      <c r="C536" s="121" t="s">
        <v>283</v>
      </c>
      <c r="D536" s="121" t="s">
        <v>20</v>
      </c>
      <c r="E536" s="121" t="s">
        <v>21</v>
      </c>
      <c r="F536" s="98" t="n">
        <v>0</v>
      </c>
      <c r="G536" s="122" t="s">
        <v>1568</v>
      </c>
      <c r="H536" s="121" t="s">
        <v>1569</v>
      </c>
      <c r="I536" s="99" t="n">
        <v>2625890</v>
      </c>
      <c r="J536" s="99" t="n">
        <v>2625890</v>
      </c>
      <c r="K536" s="99">
        <f>IF(C536="III",ROUND(J536*$R$2,0),IF(C536="P3K/III",ROUND(J536*$R$2,0),0))</f>
        <v>0</v>
      </c>
      <c r="L536" s="99">
        <f>IF(C536="IV",ROUND(J536*$R$3,0),0)</f>
        <v>0</v>
      </c>
      <c r="M536" s="99" t="n">
        <v>0</v>
      </c>
      <c r="N536" s="99" t="n">
        <v>0</v>
      </c>
      <c r="O536" s="99" t="n">
        <v>0</v>
      </c>
      <c r="P536" s="42">
        <f>I536-SUM(K536:O536)</f>
        <v>2625890</v>
      </c>
    </row>
    <row r="537" spans="1:16">
      <c r="A537" s="37" t="n">
        <v>546</v>
      </c>
      <c r="B537" s="97" t="s">
        <v>1570</v>
      </c>
      <c r="C537" s="121" t="s">
        <v>58</v>
      </c>
      <c r="D537" s="121" t="s">
        <v>20</v>
      </c>
      <c r="E537" s="121" t="s">
        <v>21</v>
      </c>
      <c r="F537" s="121" t="s">
        <v>1571</v>
      </c>
      <c r="G537" s="122" t="s">
        <v>1572</v>
      </c>
      <c r="H537" s="121" t="s">
        <v>1573</v>
      </c>
      <c r="I537" s="99" t="n">
        <v>1032617</v>
      </c>
      <c r="J537" s="99" t="n">
        <v>1032617</v>
      </c>
      <c r="K537" s="99">
        <f>IF(C537="III",ROUND(J537*$R$2,0),IF(C537="P3K/III",ROUND(J537*$R$2,0),0))</f>
        <v>51631</v>
      </c>
      <c r="L537" s="99">
        <f>IF(C537="IV",ROUND(J537*$R$3,0),0)</f>
        <v>0</v>
      </c>
      <c r="M537" s="99" t="n">
        <v>0</v>
      </c>
      <c r="N537" s="99" t="n">
        <v>0</v>
      </c>
      <c r="O537" s="99" t="n">
        <v>0</v>
      </c>
      <c r="P537" s="42">
        <f>I537-SUM(K537:O537)</f>
        <v>980986</v>
      </c>
    </row>
    <row r="538" spans="1:16">
      <c r="A538" s="37" t="n">
        <v>547</v>
      </c>
      <c r="B538" s="97" t="s">
        <v>1574</v>
      </c>
      <c r="C538" s="121" t="s">
        <v>58</v>
      </c>
      <c r="D538" s="121" t="s">
        <v>20</v>
      </c>
      <c r="E538" s="121" t="s">
        <v>21</v>
      </c>
      <c r="F538" s="121" t="s">
        <v>1575</v>
      </c>
      <c r="G538" s="40" t="n">
        <v>0</v>
      </c>
      <c r="H538" s="121" t="s">
        <v>1576</v>
      </c>
      <c r="I538" s="99" t="n">
        <v>2078673</v>
      </c>
      <c r="J538" s="99" t="n">
        <v>2078673</v>
      </c>
      <c r="K538" s="99">
        <f>IF(C538="III",ROUND(J538*$R$2,0),IF(C538="P3K/III",ROUND(J538*$R$2,0),0))</f>
        <v>103934</v>
      </c>
      <c r="L538" s="99">
        <f>IF(C538="IV",ROUND(J538*$R$3,0),0)</f>
        <v>0</v>
      </c>
      <c r="M538" s="99" t="n">
        <v>0</v>
      </c>
      <c r="N538" s="99" t="n">
        <v>0</v>
      </c>
      <c r="O538" s="99" t="n">
        <v>0</v>
      </c>
      <c r="P538" s="42">
        <f>I538-SUM(K538:O538)</f>
        <v>1974739</v>
      </c>
    </row>
    <row r="539" spans="1:16">
      <c r="A539" s="37" t="n">
        <v>548</v>
      </c>
      <c r="B539" s="97" t="s">
        <v>1577</v>
      </c>
      <c r="C539" s="121" t="s">
        <v>58</v>
      </c>
      <c r="D539" s="121" t="s">
        <v>20</v>
      </c>
      <c r="E539" s="121" t="s">
        <v>21</v>
      </c>
      <c r="F539" s="121" t="s">
        <v>1578</v>
      </c>
      <c r="G539" s="40" t="n">
        <v>0</v>
      </c>
      <c r="H539" s="121" t="s">
        <v>1579</v>
      </c>
      <c r="I539" s="99" t="n">
        <v>1380846</v>
      </c>
      <c r="J539" s="99" t="n">
        <v>1380846</v>
      </c>
      <c r="K539" s="99">
        <f>IF(C539="III",ROUND(J539*$R$2,0),IF(C539="P3K/III",ROUND(J539*$R$2,0),0))</f>
        <v>69042</v>
      </c>
      <c r="L539" s="99">
        <f>IF(C539="IV",ROUND(J539*$R$3,0),0)</f>
        <v>0</v>
      </c>
      <c r="M539" s="99" t="n">
        <v>0</v>
      </c>
      <c r="N539" s="99" t="n">
        <v>0</v>
      </c>
      <c r="O539" s="99" t="n">
        <v>0</v>
      </c>
      <c r="P539" s="42">
        <f>I539-SUM(K539:O539)</f>
        <v>1311804</v>
      </c>
    </row>
    <row r="540" spans="1:16">
      <c r="A540" s="37" t="n">
        <v>549</v>
      </c>
      <c r="B540" s="97" t="s">
        <v>1580</v>
      </c>
      <c r="C540" s="121" t="s">
        <v>131</v>
      </c>
      <c r="D540" s="121" t="s">
        <v>20</v>
      </c>
      <c r="E540" s="121" t="s">
        <v>21</v>
      </c>
      <c r="F540" s="121" t="s">
        <v>1581</v>
      </c>
      <c r="G540" s="40" t="n">
        <v>0</v>
      </c>
      <c r="H540" s="121" t="s">
        <v>1582</v>
      </c>
      <c r="I540" s="99" t="n">
        <v>2923004</v>
      </c>
      <c r="J540" s="99" t="n">
        <v>2923004</v>
      </c>
      <c r="K540" s="99">
        <f>IF(C540="III",ROUND(J540*$R$2,0),IF(C540="P3K/III",ROUND(J540*$R$2,0),0))</f>
        <v>146150</v>
      </c>
      <c r="L540" s="99">
        <f>IF(C540="IV",ROUND(J540*$R$3,0),0)</f>
        <v>0</v>
      </c>
      <c r="M540" s="99" t="n">
        <v>0</v>
      </c>
      <c r="N540" s="99" t="n">
        <v>0</v>
      </c>
      <c r="O540" s="99" t="n">
        <v>0</v>
      </c>
      <c r="P540" s="42">
        <f>I540-SUM(K540:O540)</f>
        <v>2776854</v>
      </c>
    </row>
    <row r="541" spans="1:16">
      <c r="A541" s="37" t="n">
        <v>550</v>
      </c>
      <c r="B541" s="97" t="s">
        <v>1583</v>
      </c>
      <c r="C541" s="121" t="s">
        <v>1584</v>
      </c>
      <c r="D541" s="121" t="s">
        <v>20</v>
      </c>
      <c r="E541" s="121" t="s">
        <v>21</v>
      </c>
      <c r="F541" s="121" t="s">
        <v>1585</v>
      </c>
      <c r="G541" s="40" t="n">
        <v>0</v>
      </c>
      <c r="H541" s="121" t="s">
        <v>1586</v>
      </c>
      <c r="I541" s="99" t="n">
        <v>793792</v>
      </c>
      <c r="J541" s="99" t="n">
        <v>793792</v>
      </c>
      <c r="K541" s="99">
        <f>IF(C541="III",ROUND(J541*$R$2,0),IF(C541="P3K/III",ROUND(J541*$R$2,0),0))</f>
        <v>0</v>
      </c>
      <c r="L541" s="99">
        <f>IF(C541="IV",ROUND(J541*$R$3,0),0)</f>
        <v>0</v>
      </c>
      <c r="M541" s="99" t="n">
        <v>0</v>
      </c>
      <c r="N541" s="99" t="n">
        <v>0</v>
      </c>
      <c r="O541" s="99" t="n">
        <v>0</v>
      </c>
      <c r="P541" s="42">
        <f>I541-SUM(K541:O541)</f>
        <v>793792</v>
      </c>
    </row>
    <row r="542" spans="1:16">
      <c r="A542" s="37" t="n">
        <v>551</v>
      </c>
      <c r="B542" s="97" t="s">
        <v>1587</v>
      </c>
      <c r="C542" s="121" t="s">
        <v>95</v>
      </c>
      <c r="D542" s="121" t="s">
        <v>278</v>
      </c>
      <c r="E542" s="121" t="s">
        <v>16</v>
      </c>
      <c r="F542" s="98" t="n">
        <v>0</v>
      </c>
      <c r="G542" s="40" t="n">
        <v>0</v>
      </c>
      <c r="H542" s="121" t="s">
        <v>1588</v>
      </c>
      <c r="I542" s="99" t="n">
        <v>842170</v>
      </c>
      <c r="J542" s="99" t="n">
        <v>842170</v>
      </c>
      <c r="K542" s="99">
        <f>IF(C542="III",ROUND(J542*$R$2,0),IF(C542="P3K/III",ROUND(J542*$R$2,0),0))</f>
        <v>0</v>
      </c>
      <c r="L542" s="99">
        <f>IF(C542="IV",ROUND(J542*$R$3,0),0)</f>
        <v>0</v>
      </c>
      <c r="M542" s="99" t="n">
        <v>0</v>
      </c>
      <c r="N542" s="99" t="n">
        <v>0</v>
      </c>
      <c r="O542" s="99" t="n">
        <v>0</v>
      </c>
      <c r="P542" s="42">
        <f>I542-SUM(K542:O542)</f>
        <v>842170</v>
      </c>
    </row>
    <row r="543" spans="1:16">
      <c r="A543" s="37" t="n">
        <v>552</v>
      </c>
      <c r="B543" s="97" t="s">
        <v>1589</v>
      </c>
      <c r="C543" s="121" t="s">
        <v>95</v>
      </c>
      <c r="D543" s="121" t="s">
        <v>124</v>
      </c>
      <c r="E543" s="121" t="s">
        <v>15</v>
      </c>
      <c r="F543" s="98" t="n">
        <v>0</v>
      </c>
      <c r="G543" s="40" t="n">
        <v>0</v>
      </c>
      <c r="H543" s="121" t="s">
        <v>1590</v>
      </c>
      <c r="I543" s="99" t="n">
        <v>842170</v>
      </c>
      <c r="J543" s="99" t="n">
        <v>842170</v>
      </c>
      <c r="K543" s="99">
        <f>IF(C543="III",ROUND(J543*$R$2,0),IF(C543="P3K/III",ROUND(J543*$R$2,0),0))</f>
        <v>0</v>
      </c>
      <c r="L543" s="99">
        <f>IF(C543="IV",ROUND(J543*$R$3,0),0)</f>
        <v>0</v>
      </c>
      <c r="M543" s="99" t="n">
        <v>0</v>
      </c>
      <c r="N543" s="99" t="n">
        <v>0</v>
      </c>
      <c r="O543" s="99" t="n">
        <v>0</v>
      </c>
      <c r="P543" s="42">
        <f>I543-SUM(K543:O543)</f>
        <v>842170</v>
      </c>
    </row>
    <row r="544" spans="1:16">
      <c r="A544" s="37" t="n">
        <v>553</v>
      </c>
      <c r="B544" s="97" t="s">
        <v>1591</v>
      </c>
      <c r="C544" s="121" t="s">
        <v>111</v>
      </c>
      <c r="D544" s="121" t="s">
        <v>20</v>
      </c>
      <c r="E544" s="121" t="s">
        <v>21</v>
      </c>
      <c r="F544" s="121" t="s">
        <v>1592</v>
      </c>
      <c r="G544" s="40" t="n">
        <v>0</v>
      </c>
      <c r="H544" s="121" t="s">
        <v>1593</v>
      </c>
      <c r="I544" s="99" t="n">
        <v>842170</v>
      </c>
      <c r="J544" s="99" t="n">
        <v>842170</v>
      </c>
      <c r="K544" s="99">
        <f>IF(C544="III",ROUND(J544*$R$2,0),IF(C544="P3K/III",ROUND(J544*$R$2,0),0))</f>
        <v>0</v>
      </c>
      <c r="L544" s="99">
        <f>IF(C544="IV",ROUND(J544*$R$3,0),0)</f>
        <v>0</v>
      </c>
      <c r="M544" s="99" t="n">
        <v>0</v>
      </c>
      <c r="N544" s="99" t="n">
        <v>0</v>
      </c>
      <c r="O544" s="99" t="n">
        <v>0</v>
      </c>
      <c r="P544" s="42">
        <f>I544-SUM(K544:O544)</f>
        <v>842170</v>
      </c>
    </row>
    <row r="545" spans="1:16">
      <c r="A545" s="37" t="n">
        <v>554</v>
      </c>
      <c r="B545" s="97" t="s">
        <v>1594</v>
      </c>
      <c r="C545" s="121" t="s">
        <v>58</v>
      </c>
      <c r="D545" s="121" t="s">
        <v>20</v>
      </c>
      <c r="E545" s="121" t="s">
        <v>21</v>
      </c>
      <c r="F545" s="121" t="s">
        <v>1595</v>
      </c>
      <c r="G545" s="40" t="n">
        <v>0</v>
      </c>
      <c r="H545" s="121" t="s">
        <v>1596</v>
      </c>
      <c r="I545" s="99" t="n">
        <v>1693996</v>
      </c>
      <c r="J545" s="99" t="n">
        <v>1693996</v>
      </c>
      <c r="K545" s="99">
        <f>IF(C545="III",ROUND(J545*$R$2,0),IF(C545="P3K/III",ROUND(J545*$R$2,0),0))</f>
        <v>84700</v>
      </c>
      <c r="L545" s="99">
        <f>IF(C545="IV",ROUND(J545*$R$3,0),0)</f>
        <v>0</v>
      </c>
      <c r="M545" s="99" t="n">
        <v>0</v>
      </c>
      <c r="N545" s="99" t="n">
        <v>0</v>
      </c>
      <c r="O545" s="99" t="n">
        <v>0</v>
      </c>
      <c r="P545" s="42">
        <f>I545-SUM(K545:O545)</f>
        <v>1609296</v>
      </c>
    </row>
    <row r="546" spans="1:16">
      <c r="A546" s="37" t="n">
        <v>555</v>
      </c>
      <c r="B546" s="97" t="s">
        <v>1597</v>
      </c>
      <c r="C546" s="121" t="s">
        <v>111</v>
      </c>
      <c r="D546" s="121" t="s">
        <v>20</v>
      </c>
      <c r="E546" s="121" t="s">
        <v>21</v>
      </c>
      <c r="F546" s="121" t="s">
        <v>1598</v>
      </c>
      <c r="G546" s="40" t="n">
        <v>0</v>
      </c>
      <c r="H546" s="121" t="s">
        <v>1599</v>
      </c>
      <c r="I546" s="99" t="n">
        <v>1621427</v>
      </c>
      <c r="J546" s="99" t="n">
        <v>1621427</v>
      </c>
      <c r="K546" s="99">
        <f>IF(C546="III",ROUND(J546*$R$2,0),IF(C546="P3K/III",ROUND(J546*$R$2,0),0))</f>
        <v>0</v>
      </c>
      <c r="L546" s="99">
        <f>IF(C546="IV",ROUND(J546*$R$3,0),0)</f>
        <v>0</v>
      </c>
      <c r="M546" s="99" t="n">
        <v>0</v>
      </c>
      <c r="N546" s="99" t="n">
        <v>0</v>
      </c>
      <c r="O546" s="99" t="n">
        <v>0</v>
      </c>
      <c r="P546" s="42">
        <f>I546-SUM(K546:O546)</f>
        <v>1621427</v>
      </c>
    </row>
    <row r="547" spans="1:16">
      <c r="A547" s="37" t="n">
        <v>556</v>
      </c>
      <c r="B547" s="97" t="s">
        <v>1600</v>
      </c>
      <c r="C547" s="121" t="s">
        <v>111</v>
      </c>
      <c r="D547" s="121" t="s">
        <v>20</v>
      </c>
      <c r="E547" s="121" t="s">
        <v>21</v>
      </c>
      <c r="F547" s="121" t="s">
        <v>1601</v>
      </c>
      <c r="G547" s="40" t="n">
        <v>0</v>
      </c>
      <c r="H547" s="121" t="s">
        <v>1602</v>
      </c>
      <c r="I547" s="99" t="n">
        <v>1597238</v>
      </c>
      <c r="J547" s="99" t="n">
        <v>1597238</v>
      </c>
      <c r="K547" s="99">
        <f>IF(C547="III",ROUND(J547*$R$2,0),IF(C547="P3K/III",ROUND(J547*$R$2,0),0))</f>
        <v>0</v>
      </c>
      <c r="L547" s="99">
        <f>IF(C547="IV",ROUND(J547*$R$3,0),0)</f>
        <v>0</v>
      </c>
      <c r="M547" s="99" t="n">
        <v>0</v>
      </c>
      <c r="N547" s="99" t="n">
        <v>0</v>
      </c>
      <c r="O547" s="99" t="n">
        <v>0</v>
      </c>
      <c r="P547" s="42">
        <f>I547-SUM(K547:O547)</f>
        <v>1597238</v>
      </c>
    </row>
    <row r="548" spans="1:16">
      <c r="A548" s="37" t="n">
        <v>557</v>
      </c>
      <c r="B548" s="97" t="s">
        <v>1603</v>
      </c>
      <c r="C548" s="121" t="s">
        <v>111</v>
      </c>
      <c r="D548" s="121" t="s">
        <v>20</v>
      </c>
      <c r="E548" s="121" t="s">
        <v>21</v>
      </c>
      <c r="F548" s="121" t="s">
        <v>1604</v>
      </c>
      <c r="G548" s="40" t="n">
        <v>0</v>
      </c>
      <c r="H548" s="121" t="s">
        <v>1605</v>
      </c>
      <c r="I548" s="99" t="n">
        <v>1621427</v>
      </c>
      <c r="J548" s="99" t="n">
        <v>1621427</v>
      </c>
      <c r="K548" s="99">
        <f>IF(C548="III",ROUND(J548*$R$2,0),IF(C548="P3K/III",ROUND(J548*$R$2,0),0))</f>
        <v>0</v>
      </c>
      <c r="L548" s="99">
        <f>IF(C548="IV",ROUND(J548*$R$3,0),0)</f>
        <v>0</v>
      </c>
      <c r="M548" s="99" t="n">
        <v>0</v>
      </c>
      <c r="N548" s="99" t="n">
        <v>0</v>
      </c>
      <c r="O548" s="99" t="n">
        <v>0</v>
      </c>
      <c r="P548" s="42">
        <f>I548-SUM(K548:O548)</f>
        <v>1621427</v>
      </c>
    </row>
    <row r="549" spans="1:16">
      <c r="A549" s="37" t="n">
        <v>558</v>
      </c>
      <c r="B549" s="97" t="s">
        <v>1606</v>
      </c>
      <c r="C549" s="121" t="s">
        <v>120</v>
      </c>
      <c r="D549" s="121" t="s">
        <v>128</v>
      </c>
      <c r="E549" s="121" t="s">
        <v>15</v>
      </c>
      <c r="F549" s="98" t="n">
        <v>0</v>
      </c>
      <c r="G549" s="40" t="n">
        <v>0</v>
      </c>
      <c r="H549" s="121" t="s">
        <v>1607</v>
      </c>
      <c r="I549" s="99" t="n">
        <v>1396832</v>
      </c>
      <c r="J549" s="99" t="n">
        <v>1396832</v>
      </c>
      <c r="K549" s="99">
        <f>IF(C549="III",ROUND(J549*$R$2,0),IF(C549="P3K/III",ROUND(J549*$R$2,0),0))</f>
        <v>0</v>
      </c>
      <c r="L549" s="99">
        <f>IF(C549="IV",ROUND(J549*$R$3,0),0)</f>
        <v>0</v>
      </c>
      <c r="M549" s="99" t="n">
        <v>0</v>
      </c>
      <c r="N549" s="99" t="n">
        <v>0</v>
      </c>
      <c r="O549" s="99" t="n">
        <v>0</v>
      </c>
      <c r="P549" s="42">
        <f>I549-SUM(K549:O549)</f>
        <v>1396832</v>
      </c>
    </row>
    <row r="550" spans="1:16">
      <c r="A550" s="37" t="n">
        <v>559</v>
      </c>
      <c r="B550" s="97" t="s">
        <v>1608</v>
      </c>
      <c r="C550" s="121" t="s">
        <v>120</v>
      </c>
      <c r="D550" s="121" t="s">
        <v>278</v>
      </c>
      <c r="E550" s="121" t="s">
        <v>16</v>
      </c>
      <c r="F550" s="98" t="n">
        <v>0</v>
      </c>
      <c r="G550" s="40" t="n">
        <v>0</v>
      </c>
      <c r="H550" s="121" t="s">
        <v>1609</v>
      </c>
      <c r="I550" s="99" t="n">
        <v>1372643</v>
      </c>
      <c r="J550" s="99" t="n">
        <v>1372643</v>
      </c>
      <c r="K550" s="99">
        <f>IF(C550="III",ROUND(J550*$R$2,0),IF(C550="P3K/III",ROUND(J550*$R$2,0),0))</f>
        <v>0</v>
      </c>
      <c r="L550" s="99">
        <f>IF(C550="IV",ROUND(J550*$R$3,0),0)</f>
        <v>0</v>
      </c>
      <c r="M550" s="99" t="n">
        <v>0</v>
      </c>
      <c r="N550" s="99" t="n">
        <v>0</v>
      </c>
      <c r="O550" s="99" t="n">
        <v>0</v>
      </c>
      <c r="P550" s="42">
        <f>I550-SUM(K550:O550)</f>
        <v>1372643</v>
      </c>
    </row>
    <row r="551" spans="1:16">
      <c r="A551" s="37" t="n">
        <v>560</v>
      </c>
      <c r="B551" s="97" t="s">
        <v>1610</v>
      </c>
      <c r="C551" s="121" t="s">
        <v>95</v>
      </c>
      <c r="D551" s="121" t="s">
        <v>124</v>
      </c>
      <c r="E551" s="121" t="s">
        <v>15</v>
      </c>
      <c r="F551" s="98" t="n">
        <v>0</v>
      </c>
      <c r="G551" s="40" t="n">
        <v>0</v>
      </c>
      <c r="H551" s="121" t="s">
        <v>1611</v>
      </c>
      <c r="I551" s="99" t="n">
        <v>1340683</v>
      </c>
      <c r="J551" s="99" t="n">
        <v>1340683</v>
      </c>
      <c r="K551" s="99">
        <f>IF(C551="III",ROUND(J551*$R$2,0),IF(C551="P3K/III",ROUND(J551*$R$2,0),0))</f>
        <v>0</v>
      </c>
      <c r="L551" s="99">
        <f>IF(C551="IV",ROUND(J551*$R$3,0),0)</f>
        <v>0</v>
      </c>
      <c r="M551" s="99" t="n">
        <v>0</v>
      </c>
      <c r="N551" s="99" t="n">
        <v>0</v>
      </c>
      <c r="O551" s="99" t="n">
        <v>0</v>
      </c>
      <c r="P551" s="42">
        <f>I551-SUM(K551:O551)</f>
        <v>1340683</v>
      </c>
    </row>
    <row r="552" spans="1:16">
      <c r="A552" s="37" t="n">
        <v>561</v>
      </c>
      <c r="B552" s="97" t="s">
        <v>1612</v>
      </c>
      <c r="C552" s="121" t="s">
        <v>95</v>
      </c>
      <c r="D552" s="121" t="s">
        <v>278</v>
      </c>
      <c r="E552" s="121" t="s">
        <v>16</v>
      </c>
      <c r="F552" s="98" t="n">
        <v>0</v>
      </c>
      <c r="G552" s="40" t="n">
        <v>0</v>
      </c>
      <c r="H552" s="121" t="s">
        <v>1613</v>
      </c>
      <c r="I552" s="99" t="n">
        <v>1340683</v>
      </c>
      <c r="J552" s="99" t="n">
        <v>1340683</v>
      </c>
      <c r="K552" s="99">
        <f>IF(C552="III",ROUND(J552*$R$2,0),IF(C552="P3K/III",ROUND(J552*$R$2,0),0))</f>
        <v>0</v>
      </c>
      <c r="L552" s="99">
        <f>IF(C552="IV",ROUND(J552*$R$3,0),0)</f>
        <v>0</v>
      </c>
      <c r="M552" s="99" t="n">
        <v>0</v>
      </c>
      <c r="N552" s="99" t="n">
        <v>0</v>
      </c>
      <c r="O552" s="99" t="n">
        <v>0</v>
      </c>
      <c r="P552" s="42">
        <f>I552-SUM(K552:O552)</f>
        <v>1340683</v>
      </c>
    </row>
    <row r="553" spans="1:16">
      <c r="A553" s="37" t="n">
        <v>562</v>
      </c>
      <c r="B553" s="97" t="s">
        <v>1614</v>
      </c>
      <c r="C553" s="121" t="s">
        <v>95</v>
      </c>
      <c r="D553" s="121" t="s">
        <v>278</v>
      </c>
      <c r="E553" s="121" t="s">
        <v>16</v>
      </c>
      <c r="F553" s="98" t="n">
        <v>0</v>
      </c>
      <c r="G553" s="40" t="n">
        <v>0</v>
      </c>
      <c r="H553" s="121" t="s">
        <v>1615</v>
      </c>
      <c r="I553" s="99" t="n">
        <v>1340683</v>
      </c>
      <c r="J553" s="99" t="n">
        <v>1340683</v>
      </c>
      <c r="K553" s="99">
        <f>IF(C553="III",ROUND(J553*$R$2,0),IF(C553="P3K/III",ROUND(J553*$R$2,0),0))</f>
        <v>0</v>
      </c>
      <c r="L553" s="99">
        <f>IF(C553="IV",ROUND(J553*$R$3,0),0)</f>
        <v>0</v>
      </c>
      <c r="M553" s="99" t="n">
        <v>0</v>
      </c>
      <c r="N553" s="99" t="n">
        <v>0</v>
      </c>
      <c r="O553" s="99" t="n">
        <v>0</v>
      </c>
      <c r="P553" s="42">
        <f>I553-SUM(K553:O553)</f>
        <v>1340683</v>
      </c>
    </row>
    <row r="554" spans="1:16">
      <c r="A554" s="37" t="n">
        <v>563</v>
      </c>
      <c r="B554" s="97" t="s">
        <v>1616</v>
      </c>
      <c r="C554" s="121" t="s">
        <v>95</v>
      </c>
      <c r="D554" s="121" t="s">
        <v>124</v>
      </c>
      <c r="E554" s="121" t="s">
        <v>15</v>
      </c>
      <c r="F554" s="98" t="n">
        <v>0</v>
      </c>
      <c r="G554" s="40" t="n">
        <v>0</v>
      </c>
      <c r="H554" s="121" t="s">
        <v>1617</v>
      </c>
      <c r="I554" s="99" t="n">
        <v>1340683</v>
      </c>
      <c r="J554" s="99" t="n">
        <v>1340683</v>
      </c>
      <c r="K554" s="99">
        <f>IF(C554="III",ROUND(J554*$R$2,0),IF(C554="P3K/III",ROUND(J554*$R$2,0),0))</f>
        <v>0</v>
      </c>
      <c r="L554" s="99">
        <f>IF(C554="IV",ROUND(J554*$R$3,0),0)</f>
        <v>0</v>
      </c>
      <c r="M554" s="99" t="n">
        <v>0</v>
      </c>
      <c r="N554" s="99" t="n">
        <v>0</v>
      </c>
      <c r="O554" s="99" t="n">
        <v>0</v>
      </c>
      <c r="P554" s="42">
        <f>I554-SUM(K554:O554)</f>
        <v>1340683</v>
      </c>
    </row>
    <row r="555" spans="1:16">
      <c r="A555" s="37" t="n">
        <v>564</v>
      </c>
      <c r="B555" s="97" t="s">
        <v>1618</v>
      </c>
      <c r="C555" s="121" t="s">
        <v>111</v>
      </c>
      <c r="D555" s="121" t="s">
        <v>20</v>
      </c>
      <c r="E555" s="121" t="s">
        <v>21</v>
      </c>
      <c r="F555" s="121" t="s">
        <v>1619</v>
      </c>
      <c r="G555" s="40" t="n">
        <v>0</v>
      </c>
      <c r="H555" s="121" t="s">
        <v>1620</v>
      </c>
      <c r="I555" s="99" t="n">
        <v>919566</v>
      </c>
      <c r="J555" s="99" t="n">
        <v>919566</v>
      </c>
      <c r="K555" s="99">
        <f>IF(C555="III",ROUND(J555*$R$2,0),IF(C555="P3K/III",ROUND(J555*$R$2,0),0))</f>
        <v>0</v>
      </c>
      <c r="L555" s="99">
        <f>IF(C555="IV",ROUND(J555*$R$3,0),0)</f>
        <v>0</v>
      </c>
      <c r="M555" s="99" t="n">
        <v>0</v>
      </c>
      <c r="N555" s="99" t="n">
        <v>0</v>
      </c>
      <c r="O555" s="99" t="n">
        <v>0</v>
      </c>
      <c r="P555" s="42">
        <f>I555-SUM(K555:O555)</f>
        <v>919566</v>
      </c>
    </row>
    <row r="556" spans="1:16">
      <c r="A556" s="37" t="n">
        <v>565</v>
      </c>
      <c r="B556" s="97" t="s">
        <v>1621</v>
      </c>
      <c r="C556" s="121" t="s">
        <v>95</v>
      </c>
      <c r="D556" s="121" t="s">
        <v>128</v>
      </c>
      <c r="E556" s="121" t="s">
        <v>15</v>
      </c>
      <c r="F556" s="98" t="n">
        <v>0</v>
      </c>
      <c r="G556" s="40" t="n">
        <v>0</v>
      </c>
      <c r="H556" s="121" t="s">
        <v>1622</v>
      </c>
      <c r="I556" s="99" t="n">
        <v>1340683</v>
      </c>
      <c r="J556" s="99" t="n">
        <v>1340683</v>
      </c>
      <c r="K556" s="99">
        <f>IF(C556="III",ROUND(J556*$R$2,0),IF(C556="P3K/III",ROUND(J556*$R$2,0),0))</f>
        <v>0</v>
      </c>
      <c r="L556" s="99">
        <f>IF(C556="IV",ROUND(J556*$R$3,0),0)</f>
        <v>0</v>
      </c>
      <c r="M556" s="99" t="n">
        <v>0</v>
      </c>
      <c r="N556" s="99" t="n">
        <v>0</v>
      </c>
      <c r="O556" s="99" t="n">
        <v>0</v>
      </c>
      <c r="P556" s="42">
        <f>I556-SUM(K556:O556)</f>
        <v>1340683</v>
      </c>
    </row>
    <row r="557" spans="1:16">
      <c r="A557" s="37" t="n">
        <v>566</v>
      </c>
      <c r="B557" s="97" t="s">
        <v>1623</v>
      </c>
      <c r="C557" s="121" t="s">
        <v>111</v>
      </c>
      <c r="D557" s="121" t="s">
        <v>20</v>
      </c>
      <c r="E557" s="121" t="s">
        <v>21</v>
      </c>
      <c r="F557" s="121" t="s">
        <v>1624</v>
      </c>
      <c r="G557" s="122" t="s">
        <v>1625</v>
      </c>
      <c r="H557" s="121" t="s">
        <v>1626</v>
      </c>
      <c r="I557" s="99" t="n">
        <v>1200310</v>
      </c>
      <c r="J557" s="99" t="n">
        <v>1200310</v>
      </c>
      <c r="K557" s="99">
        <f>IF(C557="III",ROUND(J557*$R$2,0),IF(C557="P3K/III",ROUND(J557*$R$2,0),0))</f>
        <v>0</v>
      </c>
      <c r="L557" s="99">
        <f>IF(C557="IV",ROUND(J557*$R$3,0),0)</f>
        <v>0</v>
      </c>
      <c r="M557" s="99" t="n">
        <v>0</v>
      </c>
      <c r="N557" s="99" t="n">
        <v>0</v>
      </c>
      <c r="O557" s="99" t="n">
        <v>0</v>
      </c>
      <c r="P557" s="42">
        <f>I557-SUM(K557:O557)</f>
        <v>1200310</v>
      </c>
    </row>
    <row r="558" spans="1:16">
      <c r="A558" s="37" t="n">
        <v>567</v>
      </c>
      <c r="B558" s="97" t="s">
        <v>1627</v>
      </c>
      <c r="C558" s="121" t="s">
        <v>58</v>
      </c>
      <c r="D558" s="121" t="s">
        <v>20</v>
      </c>
      <c r="E558" s="121" t="s">
        <v>21</v>
      </c>
      <c r="F558" s="121" t="s">
        <v>1628</v>
      </c>
      <c r="G558" s="122" t="s">
        <v>1625</v>
      </c>
      <c r="H558" s="121" t="s">
        <v>1629</v>
      </c>
      <c r="I558" s="99" t="n">
        <v>3484888</v>
      </c>
      <c r="J558" s="99" t="n">
        <v>3484888</v>
      </c>
      <c r="K558" s="99">
        <f>IF(C558="III",ROUND(J558*$R$2,0),IF(C558="P3K/III",ROUND(J558*$R$2,0),0))</f>
        <v>174244</v>
      </c>
      <c r="L558" s="99">
        <f>IF(C558="IV",ROUND(J558*$R$3,0),0)</f>
        <v>0</v>
      </c>
      <c r="M558" s="99" t="n">
        <v>0</v>
      </c>
      <c r="N558" s="99" t="n">
        <v>0</v>
      </c>
      <c r="O558" s="99" t="n">
        <v>0</v>
      </c>
      <c r="P558" s="42">
        <f>I558-SUM(K558:O558)</f>
        <v>3310644</v>
      </c>
    </row>
    <row r="559" spans="1:16">
      <c r="A559" s="37" t="n">
        <v>568</v>
      </c>
      <c r="B559" s="97" t="s">
        <v>1630</v>
      </c>
      <c r="C559" s="121" t="s">
        <v>58</v>
      </c>
      <c r="D559" s="121" t="s">
        <v>20</v>
      </c>
      <c r="E559" s="121" t="s">
        <v>21</v>
      </c>
      <c r="F559" s="121" t="s">
        <v>1631</v>
      </c>
      <c r="G559" s="122" t="s">
        <v>1632</v>
      </c>
      <c r="H559" s="121" t="s">
        <v>1633</v>
      </c>
      <c r="I559" s="99" t="n">
        <v>3226066</v>
      </c>
      <c r="J559" s="99" t="n">
        <v>3226066</v>
      </c>
      <c r="K559" s="99">
        <f>IF(C559="III",ROUND(J559*$R$2,0),IF(C559="P3K/III",ROUND(J559*$R$2,0),0))</f>
        <v>161303</v>
      </c>
      <c r="L559" s="99">
        <f>IF(C559="IV",ROUND(J559*$R$3,0),0)</f>
        <v>0</v>
      </c>
      <c r="M559" s="99" t="n">
        <v>0</v>
      </c>
      <c r="N559" s="99" t="n">
        <v>0</v>
      </c>
      <c r="O559" s="99" t="n">
        <v>0</v>
      </c>
      <c r="P559" s="42">
        <f>I559-SUM(K559:O559)</f>
        <v>3064763</v>
      </c>
    </row>
    <row r="560" spans="1:16">
      <c r="A560" s="37" t="n">
        <v>569</v>
      </c>
      <c r="B560" s="97" t="s">
        <v>1634</v>
      </c>
      <c r="C560" s="121" t="s">
        <v>58</v>
      </c>
      <c r="D560" s="121" t="s">
        <v>20</v>
      </c>
      <c r="E560" s="121" t="s">
        <v>21</v>
      </c>
      <c r="F560" s="121" t="s">
        <v>1628</v>
      </c>
      <c r="G560" s="122" t="s">
        <v>1635</v>
      </c>
      <c r="H560" s="121" t="s">
        <v>1636</v>
      </c>
      <c r="I560" s="99" t="n">
        <v>3402725</v>
      </c>
      <c r="J560" s="99" t="n">
        <v>3402725</v>
      </c>
      <c r="K560" s="99">
        <f>IF(C560="III",ROUND(J560*$R$2,0),IF(C560="P3K/III",ROUND(J560*$R$2,0),0))</f>
        <v>170136</v>
      </c>
      <c r="L560" s="99">
        <f>IF(C560="IV",ROUND(J560*$R$3,0),0)</f>
        <v>0</v>
      </c>
      <c r="M560" s="99" t="n">
        <v>0</v>
      </c>
      <c r="N560" s="99" t="n">
        <v>0</v>
      </c>
      <c r="O560" s="99" t="n">
        <v>0</v>
      </c>
      <c r="P560" s="42">
        <f>I560-SUM(K560:O560)</f>
        <v>3232589</v>
      </c>
    </row>
    <row r="561" spans="1:16">
      <c r="A561" s="37" t="n">
        <v>570</v>
      </c>
      <c r="B561" s="97" t="s">
        <v>1637</v>
      </c>
      <c r="C561" s="121" t="s">
        <v>58</v>
      </c>
      <c r="D561" s="121" t="s">
        <v>20</v>
      </c>
      <c r="E561" s="121" t="s">
        <v>21</v>
      </c>
      <c r="F561" s="121" t="s">
        <v>1638</v>
      </c>
      <c r="G561" s="122" t="s">
        <v>1639</v>
      </c>
      <c r="H561" s="121" t="s">
        <v>1640</v>
      </c>
      <c r="I561" s="99" t="n">
        <v>3320561</v>
      </c>
      <c r="J561" s="99" t="n">
        <v>3320561</v>
      </c>
      <c r="K561" s="99">
        <f>IF(C561="III",ROUND(J561*$R$2,0),IF(C561="P3K/III",ROUND(J561*$R$2,0),0))</f>
        <v>166028</v>
      </c>
      <c r="L561" s="99">
        <f>IF(C561="IV",ROUND(J561*$R$3,0),0)</f>
        <v>0</v>
      </c>
      <c r="M561" s="99" t="n">
        <v>0</v>
      </c>
      <c r="N561" s="99" t="n">
        <v>0</v>
      </c>
      <c r="O561" s="99" t="n">
        <v>0</v>
      </c>
      <c r="P561" s="42">
        <f>I561-SUM(K561:O561)</f>
        <v>3154533</v>
      </c>
    </row>
    <row r="562" spans="1:16">
      <c r="A562" s="37" t="n">
        <v>571</v>
      </c>
      <c r="B562" s="97" t="s">
        <v>1641</v>
      </c>
      <c r="C562" s="121" t="s">
        <v>58</v>
      </c>
      <c r="D562" s="121" t="s">
        <v>20</v>
      </c>
      <c r="E562" s="121" t="s">
        <v>21</v>
      </c>
      <c r="F562" s="121" t="s">
        <v>1642</v>
      </c>
      <c r="G562" s="122" t="s">
        <v>1643</v>
      </c>
      <c r="H562" s="121" t="s">
        <v>1644</v>
      </c>
      <c r="I562" s="99" t="n">
        <v>3344751</v>
      </c>
      <c r="J562" s="99" t="n">
        <v>3344751</v>
      </c>
      <c r="K562" s="99">
        <f>IF(C562="III",ROUND(J562*$R$2,0),IF(C562="P3K/III",ROUND(J562*$R$2,0),0))</f>
        <v>167238</v>
      </c>
      <c r="L562" s="99">
        <f>IF(C562="IV",ROUND(J562*$R$3,0),0)</f>
        <v>0</v>
      </c>
      <c r="M562" s="99" t="n">
        <v>0</v>
      </c>
      <c r="N562" s="99" t="n">
        <v>0</v>
      </c>
      <c r="O562" s="99" t="n">
        <v>0</v>
      </c>
      <c r="P562" s="42">
        <f>I562-SUM(K562:O562)</f>
        <v>3177513</v>
      </c>
    </row>
    <row r="563" spans="1:16">
      <c r="A563" s="37" t="n">
        <v>572</v>
      </c>
      <c r="B563" s="97" t="s">
        <v>1645</v>
      </c>
      <c r="C563" s="121" t="s">
        <v>58</v>
      </c>
      <c r="D563" s="121" t="s">
        <v>20</v>
      </c>
      <c r="E563" s="121" t="s">
        <v>21</v>
      </c>
      <c r="F563" s="121" t="s">
        <v>1646</v>
      </c>
      <c r="G563" s="122" t="s">
        <v>1647</v>
      </c>
      <c r="H563" s="121" t="s">
        <v>1648</v>
      </c>
      <c r="I563" s="99" t="n">
        <v>3063470</v>
      </c>
      <c r="J563" s="99" t="n">
        <v>3063470</v>
      </c>
      <c r="K563" s="99">
        <f>IF(C563="III",ROUND(J563*$R$2,0),IF(C563="P3K/III",ROUND(J563*$R$2,0),0))</f>
        <v>153174</v>
      </c>
      <c r="L563" s="99">
        <f>IF(C563="IV",ROUND(J563*$R$3,0),0)</f>
        <v>0</v>
      </c>
      <c r="M563" s="99" t="n">
        <v>0</v>
      </c>
      <c r="N563" s="99" t="n">
        <v>0</v>
      </c>
      <c r="O563" s="99" t="n">
        <v>0</v>
      </c>
      <c r="P563" s="42">
        <f>I563-SUM(K563:O563)</f>
        <v>2910296</v>
      </c>
    </row>
    <row r="564" spans="1:16">
      <c r="A564" s="37" t="n">
        <v>573</v>
      </c>
      <c r="B564" s="97" t="s">
        <v>1649</v>
      </c>
      <c r="C564" s="121" t="s">
        <v>58</v>
      </c>
      <c r="D564" s="121" t="s">
        <v>20</v>
      </c>
      <c r="E564" s="121" t="s">
        <v>21</v>
      </c>
      <c r="F564" s="121" t="s">
        <v>1650</v>
      </c>
      <c r="G564" s="122" t="s">
        <v>1651</v>
      </c>
      <c r="H564" s="121" t="s">
        <v>1652</v>
      </c>
      <c r="I564" s="99" t="n">
        <v>1562018</v>
      </c>
      <c r="J564" s="99" t="n">
        <v>1562018</v>
      </c>
      <c r="K564" s="99">
        <f>IF(C564="III",ROUND(J564*$R$2,0),IF(C564="P3K/III",ROUND(J564*$R$2,0),0))</f>
        <v>78101</v>
      </c>
      <c r="L564" s="99">
        <f>IF(C564="IV",ROUND(J564*$R$3,0),0)</f>
        <v>0</v>
      </c>
      <c r="M564" s="99" t="n">
        <v>0</v>
      </c>
      <c r="N564" s="99" t="n">
        <v>0</v>
      </c>
      <c r="O564" s="99" t="n">
        <v>0</v>
      </c>
      <c r="P564" s="42">
        <f>I564-SUM(K564:O564)</f>
        <v>1483917</v>
      </c>
    </row>
    <row r="565" spans="1:16">
      <c r="A565" s="37" t="n">
        <v>574</v>
      </c>
      <c r="B565" s="97" t="s">
        <v>1653</v>
      </c>
      <c r="C565" s="121" t="s">
        <v>111</v>
      </c>
      <c r="D565" s="121" t="s">
        <v>128</v>
      </c>
      <c r="E565" s="121" t="s">
        <v>15</v>
      </c>
      <c r="F565" s="121" t="s">
        <v>1654</v>
      </c>
      <c r="G565" s="122" t="s">
        <v>1655</v>
      </c>
      <c r="H565" s="121" t="s">
        <v>1656</v>
      </c>
      <c r="I565" s="99" t="n">
        <v>2608704</v>
      </c>
      <c r="J565" s="99" t="n">
        <v>2608704</v>
      </c>
      <c r="K565" s="99">
        <f>IF(C565="III",ROUND(J565*$R$2,0),IF(C565="P3K/III",ROUND(J565*$R$2,0),0))</f>
        <v>0</v>
      </c>
      <c r="L565" s="99">
        <f>IF(C565="IV",ROUND(J565*$R$3,0),0)</f>
        <v>0</v>
      </c>
      <c r="M565" s="99" t="n">
        <v>0</v>
      </c>
      <c r="N565" s="99" t="n">
        <v>0</v>
      </c>
      <c r="O565" s="99" t="n">
        <v>0</v>
      </c>
      <c r="P565" s="42">
        <f>I565-SUM(K565:O565)</f>
        <v>2608704</v>
      </c>
    </row>
    <row r="566" spans="1:16">
      <c r="A566" s="37" t="n">
        <v>575</v>
      </c>
      <c r="B566" s="97" t="s">
        <v>1657</v>
      </c>
      <c r="C566" s="121" t="s">
        <v>111</v>
      </c>
      <c r="D566" s="121" t="s">
        <v>128</v>
      </c>
      <c r="E566" s="121" t="s">
        <v>15</v>
      </c>
      <c r="F566" s="121" t="s">
        <v>1658</v>
      </c>
      <c r="G566" s="122" t="s">
        <v>1659</v>
      </c>
      <c r="H566" s="121" t="s">
        <v>1660</v>
      </c>
      <c r="I566" s="99" t="n">
        <v>2658504</v>
      </c>
      <c r="J566" s="99" t="n">
        <v>2658504</v>
      </c>
      <c r="K566" s="99">
        <f>IF(C566="III",ROUND(J566*$R$2,0),IF(C566="P3K/III",ROUND(J566*$R$2,0),0))</f>
        <v>0</v>
      </c>
      <c r="L566" s="99">
        <f>IF(C566="IV",ROUND(J566*$R$3,0),0)</f>
        <v>0</v>
      </c>
      <c r="M566" s="99" t="n">
        <v>0</v>
      </c>
      <c r="N566" s="99" t="n">
        <v>0</v>
      </c>
      <c r="O566" s="99" t="n">
        <v>0</v>
      </c>
      <c r="P566" s="42">
        <f>I566-SUM(K566:O566)</f>
        <v>2658504</v>
      </c>
    </row>
    <row r="567" spans="1:16">
      <c r="A567" s="37" t="n">
        <v>576</v>
      </c>
      <c r="B567" s="97" t="s">
        <v>1661</v>
      </c>
      <c r="C567" s="121" t="s">
        <v>131</v>
      </c>
      <c r="D567" s="121" t="s">
        <v>20</v>
      </c>
      <c r="E567" s="121" t="s">
        <v>21</v>
      </c>
      <c r="F567" s="121" t="s">
        <v>1662</v>
      </c>
      <c r="G567" s="122" t="s">
        <v>1663</v>
      </c>
      <c r="H567" s="121" t="s">
        <v>1664</v>
      </c>
      <c r="I567" s="99" t="n">
        <v>2533116</v>
      </c>
      <c r="J567" s="99" t="n">
        <v>2533116</v>
      </c>
      <c r="K567" s="99">
        <f>IF(C567="III",ROUND(J567*$R$2,0),IF(C567="P3K/III",ROUND(J567*$R$2,0),0))</f>
        <v>126656</v>
      </c>
      <c r="L567" s="99">
        <f>IF(C567="IV",ROUND(J567*$R$3,0),0)</f>
        <v>0</v>
      </c>
      <c r="M567" s="99" t="n">
        <v>0</v>
      </c>
      <c r="N567" s="99" t="n">
        <v>0</v>
      </c>
      <c r="O567" s="99" t="n">
        <v>0</v>
      </c>
      <c r="P567" s="42">
        <f>I567-SUM(K567:O567)</f>
        <v>2406460</v>
      </c>
    </row>
    <row r="568" spans="1:16">
      <c r="A568" s="37" t="n">
        <v>577</v>
      </c>
      <c r="B568" s="97" t="s">
        <v>1665</v>
      </c>
      <c r="C568" s="121" t="s">
        <v>131</v>
      </c>
      <c r="D568" s="121" t="s">
        <v>20</v>
      </c>
      <c r="E568" s="121" t="s">
        <v>21</v>
      </c>
      <c r="F568" s="121" t="s">
        <v>1666</v>
      </c>
      <c r="G568" s="122" t="s">
        <v>1667</v>
      </c>
      <c r="H568" s="121" t="s">
        <v>1668</v>
      </c>
      <c r="I568" s="99" t="n">
        <v>2359194</v>
      </c>
      <c r="J568" s="99" t="n">
        <v>2359194</v>
      </c>
      <c r="K568" s="99">
        <f>IF(C568="III",ROUND(J568*$R$2,0),IF(C568="P3K/III",ROUND(J568*$R$2,0),0))</f>
        <v>117960</v>
      </c>
      <c r="L568" s="99">
        <f>IF(C568="IV",ROUND(J568*$R$3,0),0)</f>
        <v>0</v>
      </c>
      <c r="M568" s="99" t="n">
        <v>0</v>
      </c>
      <c r="N568" s="99" t="n">
        <v>0</v>
      </c>
      <c r="O568" s="99" t="n">
        <v>0</v>
      </c>
      <c r="P568" s="42">
        <f>I568-SUM(K568:O568)</f>
        <v>2241234</v>
      </c>
    </row>
    <row r="569" spans="1:16">
      <c r="A569" s="37" t="n">
        <v>578</v>
      </c>
      <c r="B569" s="97" t="s">
        <v>1669</v>
      </c>
      <c r="C569" s="121" t="s">
        <v>283</v>
      </c>
      <c r="D569" s="121" t="s">
        <v>20</v>
      </c>
      <c r="E569" s="121" t="s">
        <v>21</v>
      </c>
      <c r="F569" s="98" t="n">
        <v>0</v>
      </c>
      <c r="G569" s="122" t="s">
        <v>1670</v>
      </c>
      <c r="H569" s="121" t="s">
        <v>1671</v>
      </c>
      <c r="I569" s="99" t="n">
        <v>2437269</v>
      </c>
      <c r="J569" s="99" t="n">
        <v>2437269</v>
      </c>
      <c r="K569" s="99">
        <f>IF(C569="III",ROUND(J569*$R$2,0),IF(C569="P3K/III",ROUND(J569*$R$2,0),0))</f>
        <v>0</v>
      </c>
      <c r="L569" s="99">
        <f>IF(C569="IV",ROUND(J569*$R$3,0),0)</f>
        <v>0</v>
      </c>
      <c r="M569" s="99" t="n">
        <v>0</v>
      </c>
      <c r="N569" s="99" t="n">
        <v>0</v>
      </c>
      <c r="O569" s="99" t="n">
        <v>0</v>
      </c>
      <c r="P569" s="42">
        <f>I569-SUM(K569:O569)</f>
        <v>2437269</v>
      </c>
    </row>
    <row r="570" spans="1:16">
      <c r="A570" s="37" t="n">
        <v>579</v>
      </c>
      <c r="B570" s="97" t="s">
        <v>1672</v>
      </c>
      <c r="C570" s="121" t="s">
        <v>95</v>
      </c>
      <c r="D570" s="121" t="s">
        <v>137</v>
      </c>
      <c r="E570" s="121" t="s">
        <v>14</v>
      </c>
      <c r="F570" s="98" t="n">
        <v>0</v>
      </c>
      <c r="G570" s="122" t="s">
        <v>1673</v>
      </c>
      <c r="H570" s="121" t="s">
        <v>1674</v>
      </c>
      <c r="I570" s="99" t="n">
        <v>1991473</v>
      </c>
      <c r="J570" s="99" t="n">
        <v>1991473</v>
      </c>
      <c r="K570" s="99">
        <f>IF(C570="III",ROUND(J570*$R$2,0),IF(C570="P3K/III",ROUND(J570*$R$2,0),0))</f>
        <v>0</v>
      </c>
      <c r="L570" s="99">
        <f>IF(C570="IV",ROUND(J570*$R$3,0),0)</f>
        <v>0</v>
      </c>
      <c r="M570" s="99" t="n">
        <v>0</v>
      </c>
      <c r="N570" s="99" t="n">
        <v>0</v>
      </c>
      <c r="O570" s="99" t="n">
        <v>0</v>
      </c>
      <c r="P570" s="42">
        <f>I570-SUM(K570:O570)</f>
        <v>1991473</v>
      </c>
    </row>
    <row r="571" spans="1:16">
      <c r="A571" s="37" t="n">
        <v>581</v>
      </c>
      <c r="B571" s="97" t="s">
        <v>1675</v>
      </c>
      <c r="C571" s="121" t="s">
        <v>95</v>
      </c>
      <c r="D571" s="121" t="s">
        <v>121</v>
      </c>
      <c r="E571" s="121" t="s">
        <v>14</v>
      </c>
      <c r="F571" s="98" t="n">
        <v>0</v>
      </c>
      <c r="G571" s="122" t="s">
        <v>1676</v>
      </c>
      <c r="H571" s="121" t="s">
        <v>1677</v>
      </c>
      <c r="I571" s="99" t="n">
        <v>1697290</v>
      </c>
      <c r="J571" s="99" t="n">
        <v>1697290</v>
      </c>
      <c r="K571" s="99">
        <f>IF(C571="III",ROUND(J571*$R$2,0),IF(C571="P3K/III",ROUND(J571*$R$2,0),0))</f>
        <v>0</v>
      </c>
      <c r="L571" s="99">
        <f>IF(C571="IV",ROUND(J571*$R$3,0),0)</f>
        <v>0</v>
      </c>
      <c r="M571" s="99" t="n">
        <v>0</v>
      </c>
      <c r="N571" s="99" t="n">
        <v>0</v>
      </c>
      <c r="O571" s="99" t="n">
        <v>0</v>
      </c>
      <c r="P571" s="42">
        <f>I571-SUM(K571:O571)</f>
        <v>1697290</v>
      </c>
    </row>
    <row r="572" spans="1:16">
      <c r="A572" s="37" t="n">
        <v>582</v>
      </c>
      <c r="B572" s="97" t="s">
        <v>1678</v>
      </c>
      <c r="C572" s="121" t="s">
        <v>95</v>
      </c>
      <c r="D572" s="121" t="s">
        <v>121</v>
      </c>
      <c r="E572" s="121" t="s">
        <v>14</v>
      </c>
      <c r="F572" s="98" t="n">
        <v>0</v>
      </c>
      <c r="G572" s="122" t="s">
        <v>1679</v>
      </c>
      <c r="H572" s="121" t="s">
        <v>1680</v>
      </c>
      <c r="I572" s="99" t="n">
        <v>1697290</v>
      </c>
      <c r="J572" s="99" t="n">
        <v>1697290</v>
      </c>
      <c r="K572" s="99">
        <f>IF(C572="III",ROUND(J572*$R$2,0),IF(C572="P3K/III",ROUND(J572*$R$2,0),0))</f>
        <v>0</v>
      </c>
      <c r="L572" s="99">
        <f>IF(C572="IV",ROUND(J572*$R$3,0),0)</f>
        <v>0</v>
      </c>
      <c r="M572" s="99" t="n">
        <v>0</v>
      </c>
      <c r="N572" s="99" t="n">
        <v>0</v>
      </c>
      <c r="O572" s="99" t="n">
        <v>0</v>
      </c>
      <c r="P572" s="42">
        <f>I572-SUM(K572:O572)</f>
        <v>1697290</v>
      </c>
    </row>
    <row r="573" spans="1:16">
      <c r="A573" s="37" t="n">
        <v>583</v>
      </c>
      <c r="B573" s="97" t="s">
        <v>1681</v>
      </c>
      <c r="C573" s="121" t="s">
        <v>58</v>
      </c>
      <c r="D573" s="121" t="s">
        <v>20</v>
      </c>
      <c r="E573" s="121" t="s">
        <v>21</v>
      </c>
      <c r="F573" s="121" t="s">
        <v>1682</v>
      </c>
      <c r="G573" s="122" t="s">
        <v>1683</v>
      </c>
      <c r="H573" s="121" t="s">
        <v>1684</v>
      </c>
      <c r="I573" s="99" t="n">
        <v>1410649</v>
      </c>
      <c r="J573" s="99" t="n">
        <v>1410649</v>
      </c>
      <c r="K573" s="99">
        <f>IF(C573="III",ROUND(J573*$R$2,0),IF(C573="P3K/III",ROUND(J573*$R$2,0),0))</f>
        <v>70532</v>
      </c>
      <c r="L573" s="99">
        <f>IF(C573="IV",ROUND(J573*$R$3,0),0)</f>
        <v>0</v>
      </c>
      <c r="M573" s="99" t="n">
        <v>0</v>
      </c>
      <c r="N573" s="99" t="n">
        <v>0</v>
      </c>
      <c r="O573" s="99" t="n">
        <v>0</v>
      </c>
      <c r="P573" s="42">
        <f>I573-SUM(K573:O573)</f>
        <v>1340117</v>
      </c>
    </row>
    <row r="574" spans="1:16">
      <c r="A574" s="37" t="n">
        <v>584</v>
      </c>
      <c r="B574" s="97" t="s">
        <v>1685</v>
      </c>
      <c r="C574" s="121" t="s">
        <v>283</v>
      </c>
      <c r="D574" s="121" t="s">
        <v>20</v>
      </c>
      <c r="E574" s="121" t="s">
        <v>21</v>
      </c>
      <c r="F574" s="98" t="n">
        <v>0</v>
      </c>
      <c r="G574" s="122" t="s">
        <v>1686</v>
      </c>
      <c r="H574" s="121" t="s">
        <v>1687</v>
      </c>
      <c r="I574" s="99" t="n">
        <v>1119972</v>
      </c>
      <c r="J574" s="99" t="n">
        <v>1119972</v>
      </c>
      <c r="K574" s="99">
        <f>IF(C574="III",ROUND(J574*$R$2,0),IF(C574="P3K/III",ROUND(J574*$R$2,0),0))</f>
        <v>0</v>
      </c>
      <c r="L574" s="99">
        <f>IF(C574="IV",ROUND(J574*$R$3,0),0)</f>
        <v>0</v>
      </c>
      <c r="M574" s="99" t="n">
        <v>0</v>
      </c>
      <c r="N574" s="99" t="n">
        <v>0</v>
      </c>
      <c r="O574" s="99" t="n">
        <v>0</v>
      </c>
      <c r="P574" s="42">
        <f>I574-SUM(K574:O574)</f>
        <v>1119972</v>
      </c>
    </row>
    <row r="575" spans="1:16">
      <c r="A575" s="37" t="n">
        <v>585</v>
      </c>
      <c r="B575" s="97" t="s">
        <v>1688</v>
      </c>
      <c r="C575" s="121" t="s">
        <v>111</v>
      </c>
      <c r="D575" s="121" t="s">
        <v>128</v>
      </c>
      <c r="E575" s="121" t="s">
        <v>15</v>
      </c>
      <c r="F575" s="98" t="n">
        <v>0</v>
      </c>
      <c r="G575" s="122" t="s">
        <v>1689</v>
      </c>
      <c r="H575" s="121" t="s">
        <v>1690</v>
      </c>
      <c r="I575" s="99" t="n">
        <v>1119972</v>
      </c>
      <c r="J575" s="99" t="n">
        <v>1119972</v>
      </c>
      <c r="K575" s="99">
        <f>IF(C575="III",ROUND(J575*$R$2,0),IF(C575="P3K/III",ROUND(J575*$R$2,0),0))</f>
        <v>0</v>
      </c>
      <c r="L575" s="99">
        <f>IF(C575="IV",ROUND(J575*$R$3,0),0)</f>
        <v>0</v>
      </c>
      <c r="M575" s="99" t="n">
        <v>0</v>
      </c>
      <c r="N575" s="99" t="n">
        <v>0</v>
      </c>
      <c r="O575" s="99" t="n">
        <v>0</v>
      </c>
      <c r="P575" s="42">
        <f>I575-SUM(K575:O575)</f>
        <v>1119972</v>
      </c>
    </row>
    <row r="576" spans="1:16">
      <c r="A576" s="37" t="n">
        <v>586</v>
      </c>
      <c r="B576" s="97" t="s">
        <v>1691</v>
      </c>
      <c r="C576" s="121" t="s">
        <v>283</v>
      </c>
      <c r="D576" s="121" t="s">
        <v>137</v>
      </c>
      <c r="E576" s="121" t="s">
        <v>14</v>
      </c>
      <c r="F576" s="121" t="s">
        <v>1692</v>
      </c>
      <c r="G576" s="122" t="s">
        <v>1693</v>
      </c>
      <c r="H576" s="121" t="s">
        <v>1694</v>
      </c>
      <c r="I576" s="99" t="n">
        <v>1407420</v>
      </c>
      <c r="J576" s="99" t="n">
        <v>1407420</v>
      </c>
      <c r="K576" s="99">
        <f>IF(C576="III",ROUND(J576*$R$2,0),IF(C576="P3K/III",ROUND(J576*$R$2,0),0))</f>
        <v>0</v>
      </c>
      <c r="L576" s="99">
        <f>IF(C576="IV",ROUND(J576*$R$3,0),0)</f>
        <v>0</v>
      </c>
      <c r="M576" s="99" t="n">
        <v>0</v>
      </c>
      <c r="N576" s="99" t="n">
        <v>0</v>
      </c>
      <c r="O576" s="99" t="n">
        <v>0</v>
      </c>
      <c r="P576" s="42">
        <f>I576-SUM(K576:O576)</f>
        <v>1407420</v>
      </c>
    </row>
    <row r="577" spans="1:16">
      <c r="A577" s="37" t="n">
        <v>587</v>
      </c>
      <c r="B577" s="97" t="s">
        <v>1695</v>
      </c>
      <c r="C577" s="121" t="s">
        <v>95</v>
      </c>
      <c r="D577" s="121" t="s">
        <v>121</v>
      </c>
      <c r="E577" s="121" t="s">
        <v>14</v>
      </c>
      <c r="F577" s="98" t="n">
        <v>0</v>
      </c>
      <c r="G577" s="122" t="s">
        <v>1696</v>
      </c>
      <c r="H577" s="121" t="s">
        <v>1697</v>
      </c>
      <c r="I577" s="99" t="n">
        <v>1721480</v>
      </c>
      <c r="J577" s="99" t="n">
        <v>1721480</v>
      </c>
      <c r="K577" s="99">
        <f>IF(C577="III",ROUND(J577*$R$2,0),IF(C577="P3K/III",ROUND(J577*$R$2,0),0))</f>
        <v>0</v>
      </c>
      <c r="L577" s="99">
        <f>IF(C577="IV",ROUND(J577*$R$3,0),0)</f>
        <v>0</v>
      </c>
      <c r="M577" s="99" t="n">
        <v>0</v>
      </c>
      <c r="N577" s="99" t="n">
        <v>0</v>
      </c>
      <c r="O577" s="99" t="n">
        <v>0</v>
      </c>
      <c r="P577" s="42">
        <f>I577-SUM(K577:O577)</f>
        <v>1721480</v>
      </c>
    </row>
    <row r="578" spans="1:16">
      <c r="A578" s="37" t="n">
        <v>588</v>
      </c>
      <c r="B578" s="97" t="s">
        <v>1698</v>
      </c>
      <c r="C578" s="121" t="s">
        <v>19</v>
      </c>
      <c r="D578" s="121" t="s">
        <v>20</v>
      </c>
      <c r="E578" s="121" t="s">
        <v>21</v>
      </c>
      <c r="F578" s="121" t="s">
        <v>1699</v>
      </c>
      <c r="G578" s="122" t="s">
        <v>1700</v>
      </c>
      <c r="H578" s="121" t="s">
        <v>1701</v>
      </c>
      <c r="I578" s="99" t="n">
        <v>4946822</v>
      </c>
      <c r="J578" s="99" t="n">
        <v>4946822</v>
      </c>
      <c r="K578" s="99">
        <f>IF(C578="III",ROUND(J578*$R$2,0),IF(C578="P3K/III",ROUND(J578*$R$2,0),0))</f>
        <v>0</v>
      </c>
      <c r="L578" s="99">
        <f>IF(C578="IV",ROUND(J578*$R$3,0),0)</f>
        <v>742023</v>
      </c>
      <c r="M578" s="99" t="n">
        <v>0</v>
      </c>
      <c r="N578" s="99" t="n">
        <v>0</v>
      </c>
      <c r="O578" s="99" t="n">
        <v>0</v>
      </c>
      <c r="P578" s="42">
        <f>I578-SUM(K578:O578)</f>
        <v>4204799</v>
      </c>
    </row>
    <row r="579" spans="1:16">
      <c r="A579" s="37" t="n">
        <v>589</v>
      </c>
      <c r="B579" s="97" t="s">
        <v>1702</v>
      </c>
      <c r="C579" s="121" t="s">
        <v>58</v>
      </c>
      <c r="D579" s="121" t="s">
        <v>20</v>
      </c>
      <c r="E579" s="121" t="s">
        <v>21</v>
      </c>
      <c r="F579" s="121" t="s">
        <v>1703</v>
      </c>
      <c r="G579" s="122" t="s">
        <v>1704</v>
      </c>
      <c r="H579" s="121" t="s">
        <v>1705</v>
      </c>
      <c r="I579" s="99" t="n">
        <v>4215905</v>
      </c>
      <c r="J579" s="99" t="n">
        <v>4215905</v>
      </c>
      <c r="K579" s="99">
        <f>IF(C579="III",ROUND(J579*$R$2,0),IF(C579="P3K/III",ROUND(J579*$R$2,0),0))</f>
        <v>210795</v>
      </c>
      <c r="L579" s="99">
        <f>IF(C579="IV",ROUND(J579*$R$3,0),0)</f>
        <v>0</v>
      </c>
      <c r="M579" s="99" t="n">
        <v>0</v>
      </c>
      <c r="N579" s="99" t="n">
        <v>0</v>
      </c>
      <c r="O579" s="99" t="n">
        <v>0</v>
      </c>
      <c r="P579" s="42">
        <f>I579-SUM(K579:O579)</f>
        <v>4005110</v>
      </c>
    </row>
    <row r="580" spans="1:16">
      <c r="A580" s="37" t="n">
        <v>590</v>
      </c>
      <c r="B580" s="97" t="s">
        <v>1706</v>
      </c>
      <c r="C580" s="121" t="s">
        <v>58</v>
      </c>
      <c r="D580" s="121" t="s">
        <v>20</v>
      </c>
      <c r="E580" s="121" t="s">
        <v>21</v>
      </c>
      <c r="F580" s="121" t="s">
        <v>1707</v>
      </c>
      <c r="G580" s="122" t="s">
        <v>1708</v>
      </c>
      <c r="H580" s="121" t="s">
        <v>1709</v>
      </c>
      <c r="I580" s="99" t="n">
        <v>4215905</v>
      </c>
      <c r="J580" s="99" t="n">
        <v>4215905</v>
      </c>
      <c r="K580" s="99">
        <f>IF(C580="III",ROUND(J580*$R$2,0),IF(C580="P3K/III",ROUND(J580*$R$2,0),0))</f>
        <v>210795</v>
      </c>
      <c r="L580" s="99">
        <f>IF(C580="IV",ROUND(J580*$R$3,0),0)</f>
        <v>0</v>
      </c>
      <c r="M580" s="99" t="n">
        <v>0</v>
      </c>
      <c r="N580" s="99" t="n">
        <v>0</v>
      </c>
      <c r="O580" s="99" t="n">
        <v>0</v>
      </c>
      <c r="P580" s="42">
        <f>I580-SUM(K580:O580)</f>
        <v>4005110</v>
      </c>
    </row>
    <row r="581" spans="1:16">
      <c r="A581" s="37" t="n">
        <v>591</v>
      </c>
      <c r="B581" s="97" t="s">
        <v>1710</v>
      </c>
      <c r="C581" s="121" t="s">
        <v>58</v>
      </c>
      <c r="D581" s="121" t="s">
        <v>20</v>
      </c>
      <c r="E581" s="121" t="s">
        <v>21</v>
      </c>
      <c r="F581" s="121" t="s">
        <v>1711</v>
      </c>
      <c r="G581" s="122" t="s">
        <v>1712</v>
      </c>
      <c r="H581" s="121" t="s">
        <v>1713</v>
      </c>
      <c r="I581" s="99" t="n">
        <v>4215905</v>
      </c>
      <c r="J581" s="99" t="n">
        <v>4215905</v>
      </c>
      <c r="K581" s="99">
        <f>IF(C581="III",ROUND(J581*$R$2,0),IF(C581="P3K/III",ROUND(J581*$R$2,0),0))</f>
        <v>210795</v>
      </c>
      <c r="L581" s="99">
        <f>IF(C581="IV",ROUND(J581*$R$3,0),0)</f>
        <v>0</v>
      </c>
      <c r="M581" s="99" t="n">
        <v>0</v>
      </c>
      <c r="N581" s="99" t="n">
        <v>0</v>
      </c>
      <c r="O581" s="99" t="n">
        <v>0</v>
      </c>
      <c r="P581" s="42">
        <f>I581-SUM(K581:O581)</f>
        <v>4005110</v>
      </c>
    </row>
    <row r="582" spans="1:16">
      <c r="A582" s="37" t="n">
        <v>592</v>
      </c>
      <c r="B582" s="97" t="s">
        <v>1714</v>
      </c>
      <c r="C582" s="121" t="s">
        <v>58</v>
      </c>
      <c r="D582" s="121" t="s">
        <v>20</v>
      </c>
      <c r="E582" s="121" t="s">
        <v>21</v>
      </c>
      <c r="F582" s="121" t="s">
        <v>1715</v>
      </c>
      <c r="G582" s="122" t="s">
        <v>1716</v>
      </c>
      <c r="H582" s="121" t="s">
        <v>1717</v>
      </c>
      <c r="I582" s="99" t="n">
        <v>4215905</v>
      </c>
      <c r="J582" s="99" t="n">
        <v>4215905</v>
      </c>
      <c r="K582" s="99">
        <f>IF(C582="III",ROUND(J582*$R$2,0),IF(C582="P3K/III",ROUND(J582*$R$2,0),0))</f>
        <v>210795</v>
      </c>
      <c r="L582" s="99">
        <f>IF(C582="IV",ROUND(J582*$R$3,0),0)</f>
        <v>0</v>
      </c>
      <c r="M582" s="99" t="n">
        <v>0</v>
      </c>
      <c r="N582" s="99" t="n">
        <v>0</v>
      </c>
      <c r="O582" s="99" t="n">
        <v>0</v>
      </c>
      <c r="P582" s="42">
        <f>I582-SUM(K582:O582)</f>
        <v>4005110</v>
      </c>
    </row>
    <row r="583" spans="1:16">
      <c r="A583" s="37" t="n">
        <v>593</v>
      </c>
      <c r="B583" s="97" t="s">
        <v>1718</v>
      </c>
      <c r="C583" s="121" t="s">
        <v>58</v>
      </c>
      <c r="D583" s="121" t="s">
        <v>20</v>
      </c>
      <c r="E583" s="121" t="s">
        <v>21</v>
      </c>
      <c r="F583" s="121" t="s">
        <v>1719</v>
      </c>
      <c r="G583" s="40" t="n">
        <v>0</v>
      </c>
      <c r="H583" s="121" t="s">
        <v>1720</v>
      </c>
      <c r="I583" s="99" t="n">
        <v>4215905</v>
      </c>
      <c r="J583" s="99" t="n">
        <v>4215905</v>
      </c>
      <c r="K583" s="99">
        <f>IF(C583="III",ROUND(J583*$R$2,0),IF(C583="P3K/III",ROUND(J583*$R$2,0),0))</f>
        <v>210795</v>
      </c>
      <c r="L583" s="99">
        <f>IF(C583="IV",ROUND(J583*$R$3,0),0)</f>
        <v>0</v>
      </c>
      <c r="M583" s="99" t="n">
        <v>0</v>
      </c>
      <c r="N583" s="99" t="n">
        <v>0</v>
      </c>
      <c r="O583" s="99" t="n">
        <v>0</v>
      </c>
      <c r="P583" s="42">
        <f>I583-SUM(K583:O583)</f>
        <v>4005110</v>
      </c>
    </row>
    <row r="584" spans="1:16">
      <c r="A584" s="37" t="n">
        <v>594</v>
      </c>
      <c r="B584" s="97" t="s">
        <v>1721</v>
      </c>
      <c r="C584" s="121" t="s">
        <v>58</v>
      </c>
      <c r="D584" s="121" t="s">
        <v>20</v>
      </c>
      <c r="E584" s="121" t="s">
        <v>21</v>
      </c>
      <c r="F584" s="121" t="s">
        <v>1722</v>
      </c>
      <c r="G584" s="40" t="n">
        <v>0</v>
      </c>
      <c r="H584" s="121" t="s">
        <v>1723</v>
      </c>
      <c r="I584" s="99" t="n">
        <v>4215905</v>
      </c>
      <c r="J584" s="99" t="n">
        <v>4215905</v>
      </c>
      <c r="K584" s="99">
        <f>IF(C584="III",ROUND(J584*$R$2,0),IF(C584="P3K/III",ROUND(J584*$R$2,0),0))</f>
        <v>210795</v>
      </c>
      <c r="L584" s="99">
        <f>IF(C584="IV",ROUND(J584*$R$3,0),0)</f>
        <v>0</v>
      </c>
      <c r="M584" s="99" t="n">
        <v>0</v>
      </c>
      <c r="N584" s="99" t="n">
        <v>0</v>
      </c>
      <c r="O584" s="99" t="n">
        <v>0</v>
      </c>
      <c r="P584" s="42">
        <f>I584-SUM(K584:O584)</f>
        <v>4005110</v>
      </c>
    </row>
    <row r="585" spans="1:16">
      <c r="A585" s="37" t="n">
        <v>595</v>
      </c>
      <c r="B585" s="97" t="s">
        <v>1724</v>
      </c>
      <c r="C585" s="121" t="s">
        <v>95</v>
      </c>
      <c r="D585" s="121" t="s">
        <v>137</v>
      </c>
      <c r="E585" s="121" t="s">
        <v>14</v>
      </c>
      <c r="F585" s="98" t="n">
        <v>0</v>
      </c>
      <c r="G585" s="40" t="n">
        <v>0</v>
      </c>
      <c r="H585" s="121" t="s">
        <v>1725</v>
      </c>
      <c r="I585" s="99" t="n">
        <v>2935776</v>
      </c>
      <c r="J585" s="99" t="n">
        <v>2935776</v>
      </c>
      <c r="K585" s="99">
        <f>IF(C585="III",ROUND(J585*$R$2,0),IF(C585="P3K/III",ROUND(J585*$R$2,0),0))</f>
        <v>0</v>
      </c>
      <c r="L585" s="99">
        <f>IF(C585="IV",ROUND(J585*$R$3,0),0)</f>
        <v>0</v>
      </c>
      <c r="M585" s="99" t="n">
        <v>0</v>
      </c>
      <c r="N585" s="99" t="n">
        <v>0</v>
      </c>
      <c r="O585" s="99" t="n">
        <v>0</v>
      </c>
      <c r="P585" s="42">
        <f>I585-SUM(K585:O585)</f>
        <v>2935776</v>
      </c>
    </row>
    <row r="586" spans="1:16">
      <c r="A586" s="37" t="n">
        <v>596</v>
      </c>
      <c r="B586" s="97" t="s">
        <v>1726</v>
      </c>
      <c r="C586" s="121" t="s">
        <v>95</v>
      </c>
      <c r="D586" s="121" t="s">
        <v>137</v>
      </c>
      <c r="E586" s="121" t="s">
        <v>14</v>
      </c>
      <c r="F586" s="98" t="n">
        <v>0</v>
      </c>
      <c r="G586" s="40" t="n">
        <v>0</v>
      </c>
      <c r="H586" s="121" t="s">
        <v>1727</v>
      </c>
      <c r="I586" s="99" t="n">
        <v>2935776</v>
      </c>
      <c r="J586" s="99" t="n">
        <v>2935776</v>
      </c>
      <c r="K586" s="99">
        <f>IF(C586="III",ROUND(J586*$R$2,0),IF(C586="P3K/III",ROUND(J586*$R$2,0),0))</f>
        <v>0</v>
      </c>
      <c r="L586" s="99">
        <f>IF(C586="IV",ROUND(J586*$R$3,0),0)</f>
        <v>0</v>
      </c>
      <c r="M586" s="99" t="n">
        <v>0</v>
      </c>
      <c r="N586" s="99" t="n">
        <v>0</v>
      </c>
      <c r="O586" s="99" t="n">
        <v>0</v>
      </c>
      <c r="P586" s="42">
        <f>I586-SUM(K586:O586)</f>
        <v>2935776</v>
      </c>
    </row>
    <row r="587" spans="1:16">
      <c r="A587" s="37" t="n">
        <v>597</v>
      </c>
      <c r="B587" s="97" t="s">
        <v>1728</v>
      </c>
      <c r="C587" s="121" t="s">
        <v>120</v>
      </c>
      <c r="D587" s="121" t="s">
        <v>128</v>
      </c>
      <c r="E587" s="121" t="s">
        <v>15</v>
      </c>
      <c r="F587" s="98" t="n">
        <v>0</v>
      </c>
      <c r="G587" s="40" t="n">
        <v>0</v>
      </c>
      <c r="H587" s="121" t="s">
        <v>1729</v>
      </c>
      <c r="I587" s="99" t="n">
        <v>3337811</v>
      </c>
      <c r="J587" s="99" t="n">
        <v>3337811</v>
      </c>
      <c r="K587" s="99">
        <f>IF(C587="III",ROUND(J587*$R$2,0),IF(C587="P3K/III",ROUND(J587*$R$2,0),0))</f>
        <v>0</v>
      </c>
      <c r="L587" s="99">
        <f>IF(C587="IV",ROUND(J587*$R$3,0),0)</f>
        <v>0</v>
      </c>
      <c r="M587" s="99" t="n">
        <v>0</v>
      </c>
      <c r="N587" s="99" t="n">
        <v>0</v>
      </c>
      <c r="O587" s="99" t="n">
        <v>0</v>
      </c>
      <c r="P587" s="42">
        <f>I587-SUM(K587:O587)</f>
        <v>3337811</v>
      </c>
    </row>
    <row r="588" spans="1:16">
      <c r="A588" s="37" t="n">
        <v>598</v>
      </c>
      <c r="B588" s="97" t="s">
        <v>1730</v>
      </c>
      <c r="C588" s="121" t="s">
        <v>58</v>
      </c>
      <c r="D588" s="121" t="s">
        <v>20</v>
      </c>
      <c r="E588" s="121" t="s">
        <v>21</v>
      </c>
      <c r="F588" s="121" t="s">
        <v>1731</v>
      </c>
      <c r="G588" s="40" t="n">
        <v>0</v>
      </c>
      <c r="H588" s="121" t="s">
        <v>1732</v>
      </c>
      <c r="I588" s="99" t="n">
        <v>4041200</v>
      </c>
      <c r="J588" s="99" t="n">
        <v>4041200</v>
      </c>
      <c r="K588" s="99">
        <f>IF(C588="III",ROUND(J588*$R$2,0),IF(C588="P3K/III",ROUND(J588*$R$2,0),0))</f>
        <v>202060</v>
      </c>
      <c r="L588" s="99">
        <f>IF(C588="IV",ROUND(J588*$R$3,0),0)</f>
        <v>0</v>
      </c>
      <c r="M588" s="99" t="n">
        <v>0</v>
      </c>
      <c r="N588" s="99" t="n">
        <v>0</v>
      </c>
      <c r="O588" s="99" t="n">
        <v>0</v>
      </c>
      <c r="P588" s="42">
        <f>I588-SUM(K588:O588)</f>
        <v>3839140</v>
      </c>
    </row>
    <row r="589" spans="1:16">
      <c r="A589" s="37" t="n">
        <v>599</v>
      </c>
      <c r="B589" s="97" t="s">
        <v>1733</v>
      </c>
      <c r="C589" s="121" t="s">
        <v>58</v>
      </c>
      <c r="D589" s="121" t="s">
        <v>20</v>
      </c>
      <c r="E589" s="121" t="s">
        <v>21</v>
      </c>
      <c r="F589" s="121" t="s">
        <v>1734</v>
      </c>
      <c r="G589" s="40" t="n">
        <v>0</v>
      </c>
      <c r="H589" s="121" t="s">
        <v>1735</v>
      </c>
      <c r="I589" s="99" t="n">
        <v>5271131</v>
      </c>
      <c r="J589" s="99" t="n">
        <v>5271131</v>
      </c>
      <c r="K589" s="99">
        <f>IF(C589="III",ROUND(J589*$R$2,0),IF(C589="P3K/III",ROUND(J589*$R$2,0),0))</f>
        <v>263557</v>
      </c>
      <c r="L589" s="99">
        <f>IF(C589="IV",ROUND(J589*$R$3,0),0)</f>
        <v>0</v>
      </c>
      <c r="M589" s="99" t="n">
        <v>0</v>
      </c>
      <c r="N589" s="99" t="n">
        <v>0</v>
      </c>
      <c r="O589" s="99" t="n">
        <v>0</v>
      </c>
      <c r="P589" s="42">
        <f>I589-SUM(K589:O589)</f>
        <v>5007574</v>
      </c>
    </row>
    <row r="590" spans="1:16">
      <c r="A590" s="37" t="n">
        <v>600</v>
      </c>
      <c r="B590" s="97" t="s">
        <v>1736</v>
      </c>
      <c r="C590" s="121" t="s">
        <v>283</v>
      </c>
      <c r="D590" s="121" t="s">
        <v>20</v>
      </c>
      <c r="E590" s="121" t="s">
        <v>21</v>
      </c>
      <c r="F590" s="98" t="n">
        <v>0</v>
      </c>
      <c r="G590" s="40" t="n">
        <v>0</v>
      </c>
      <c r="H590" s="121" t="s">
        <v>1737</v>
      </c>
      <c r="I590" s="99" t="n">
        <v>5271131</v>
      </c>
      <c r="J590" s="99" t="n">
        <v>5271131</v>
      </c>
      <c r="K590" s="99">
        <f>IF(C590="III",ROUND(J590*$R$2,0),IF(C590="P3K/III",ROUND(J590*$R$2,0),0))</f>
        <v>0</v>
      </c>
      <c r="L590" s="99">
        <f>IF(C590="IV",ROUND(J590*$R$3,0),0)</f>
        <v>0</v>
      </c>
      <c r="M590" s="99" t="n">
        <v>0</v>
      </c>
      <c r="N590" s="99" t="n">
        <v>0</v>
      </c>
      <c r="O590" s="99" t="n">
        <v>0</v>
      </c>
      <c r="P590" s="42">
        <f>I590-SUM(K590:O590)</f>
        <v>5271131</v>
      </c>
    </row>
    <row r="591" spans="1:16">
      <c r="A591" s="37" t="n">
        <v>601</v>
      </c>
      <c r="B591" s="97" t="s">
        <v>1738</v>
      </c>
      <c r="C591" s="121" t="s">
        <v>95</v>
      </c>
      <c r="D591" s="121" t="s">
        <v>137</v>
      </c>
      <c r="E591" s="121" t="s">
        <v>14</v>
      </c>
      <c r="F591" s="98" t="n">
        <v>0</v>
      </c>
      <c r="G591" s="40" t="n">
        <v>0</v>
      </c>
      <c r="H591" s="121" t="s">
        <v>1739</v>
      </c>
      <c r="I591" s="99" t="n">
        <v>3602781</v>
      </c>
      <c r="J591" s="99" t="n">
        <v>3602781</v>
      </c>
      <c r="K591" s="99">
        <f>IF(C591="III",ROUND(J591*$R$2,0),IF(C591="P3K/III",ROUND(J591*$R$2,0),0))</f>
        <v>0</v>
      </c>
      <c r="L591" s="99">
        <f>IF(C591="IV",ROUND(J591*$R$3,0),0)</f>
        <v>0</v>
      </c>
      <c r="M591" s="99" t="n">
        <v>0</v>
      </c>
      <c r="N591" s="99" t="n">
        <v>0</v>
      </c>
      <c r="O591" s="99" t="n">
        <v>0</v>
      </c>
      <c r="P591" s="42">
        <f>I591-SUM(K591:O591)</f>
        <v>3602781</v>
      </c>
    </row>
    <row r="592" spans="1:16">
      <c r="A592" s="37" t="n">
        <v>602</v>
      </c>
      <c r="B592" s="97" t="s">
        <v>1740</v>
      </c>
      <c r="C592" s="121" t="s">
        <v>19</v>
      </c>
      <c r="D592" s="121" t="s">
        <v>20</v>
      </c>
      <c r="E592" s="121" t="s">
        <v>21</v>
      </c>
      <c r="F592" s="121" t="s">
        <v>1741</v>
      </c>
      <c r="G592" s="40" t="n">
        <v>0</v>
      </c>
      <c r="H592" s="121" t="s">
        <v>1742</v>
      </c>
      <c r="I592" s="99" t="n">
        <v>2622114</v>
      </c>
      <c r="J592" s="99" t="n">
        <v>2622114</v>
      </c>
      <c r="K592" s="99">
        <f>IF(C592="III",ROUND(J592*$R$2,0),IF(C592="P3K/III",ROUND(J592*$R$2,0),0))</f>
        <v>0</v>
      </c>
      <c r="L592" s="99">
        <f>IF(C592="IV",ROUND(J592*$R$3,0),0)</f>
        <v>393317</v>
      </c>
      <c r="M592" s="99" t="n">
        <v>0</v>
      </c>
      <c r="N592" s="99" t="n">
        <v>0</v>
      </c>
      <c r="O592" s="99" t="n">
        <v>0</v>
      </c>
      <c r="P592" s="42">
        <f>I592-SUM(K592:O592)</f>
        <v>2228797</v>
      </c>
    </row>
    <row r="593" spans="1:16">
      <c r="A593" s="37" t="n">
        <v>603</v>
      </c>
      <c r="B593" s="97" t="s">
        <v>1743</v>
      </c>
      <c r="C593" s="121" t="s">
        <v>58</v>
      </c>
      <c r="D593" s="121" t="s">
        <v>20</v>
      </c>
      <c r="E593" s="121" t="s">
        <v>21</v>
      </c>
      <c r="F593" s="121" t="s">
        <v>1744</v>
      </c>
      <c r="G593" s="40" t="n">
        <v>0</v>
      </c>
      <c r="H593" s="121" t="s">
        <v>1745</v>
      </c>
      <c r="I593" s="99" t="n">
        <v>2311954</v>
      </c>
      <c r="J593" s="99" t="n">
        <v>2311954</v>
      </c>
      <c r="K593" s="99">
        <f>IF(C593="III",ROUND(J593*$R$2,0),IF(C593="P3K/III",ROUND(J593*$R$2,0),0))</f>
        <v>115598</v>
      </c>
      <c r="L593" s="99">
        <f>IF(C593="IV",ROUND(J593*$R$3,0),0)</f>
        <v>0</v>
      </c>
      <c r="M593" s="99" t="n">
        <v>0</v>
      </c>
      <c r="N593" s="99" t="n">
        <v>0</v>
      </c>
      <c r="O593" s="99" t="n">
        <v>0</v>
      </c>
      <c r="P593" s="42">
        <f>I593-SUM(K593:O593)</f>
        <v>2196356</v>
      </c>
    </row>
    <row r="594" spans="1:16">
      <c r="A594" s="37" t="n">
        <v>604</v>
      </c>
      <c r="B594" s="97" t="s">
        <v>1746</v>
      </c>
      <c r="C594" s="121" t="s">
        <v>58</v>
      </c>
      <c r="D594" s="121" t="s">
        <v>20</v>
      </c>
      <c r="E594" s="121" t="s">
        <v>21</v>
      </c>
      <c r="F594" s="121" t="s">
        <v>1747</v>
      </c>
      <c r="G594" s="40" t="n">
        <v>0</v>
      </c>
      <c r="H594" s="121" t="s">
        <v>1748</v>
      </c>
      <c r="I594" s="99" t="n">
        <v>2493375</v>
      </c>
      <c r="J594" s="99" t="n">
        <v>2493375</v>
      </c>
      <c r="K594" s="99">
        <f>IF(C594="III",ROUND(J594*$R$2,0),IF(C594="P3K/III",ROUND(J594*$R$2,0),0))</f>
        <v>124669</v>
      </c>
      <c r="L594" s="99">
        <f>IF(C594="IV",ROUND(J594*$R$3,0),0)</f>
        <v>0</v>
      </c>
      <c r="M594" s="99" t="n">
        <v>0</v>
      </c>
      <c r="N594" s="99" t="n">
        <v>0</v>
      </c>
      <c r="O594" s="99" t="n">
        <v>0</v>
      </c>
      <c r="P594" s="42">
        <f>I594-SUM(K594:O594)</f>
        <v>2368706</v>
      </c>
    </row>
    <row r="595" spans="1:16">
      <c r="A595" s="37" t="n">
        <v>605</v>
      </c>
      <c r="B595" s="97" t="s">
        <v>1749</v>
      </c>
      <c r="C595" s="121" t="s">
        <v>58</v>
      </c>
      <c r="D595" s="121" t="s">
        <v>20</v>
      </c>
      <c r="E595" s="121" t="s">
        <v>21</v>
      </c>
      <c r="F595" s="121" t="s">
        <v>1750</v>
      </c>
      <c r="G595" s="122" t="s">
        <v>1751</v>
      </c>
      <c r="H595" s="121" t="s">
        <v>1752</v>
      </c>
      <c r="I595" s="99" t="n">
        <v>2408712</v>
      </c>
      <c r="J595" s="99" t="n">
        <v>2408712</v>
      </c>
      <c r="K595" s="99">
        <f>IF(C595="III",ROUND(J595*$R$2,0),IF(C595="P3K/III",ROUND(J595*$R$2,0),0))</f>
        <v>120436</v>
      </c>
      <c r="L595" s="99">
        <f>IF(C595="IV",ROUND(J595*$R$3,0),0)</f>
        <v>0</v>
      </c>
      <c r="M595" s="99" t="n">
        <v>0</v>
      </c>
      <c r="N595" s="99" t="n">
        <v>0</v>
      </c>
      <c r="O595" s="99" t="n">
        <v>0</v>
      </c>
      <c r="P595" s="42">
        <f>I595-SUM(K595:O595)</f>
        <v>2288276</v>
      </c>
    </row>
    <row r="596" spans="1:16">
      <c r="A596" s="37" t="n">
        <v>606</v>
      </c>
      <c r="B596" s="97" t="s">
        <v>1753</v>
      </c>
      <c r="C596" s="121" t="s">
        <v>111</v>
      </c>
      <c r="D596" s="121" t="s">
        <v>20</v>
      </c>
      <c r="E596" s="121" t="s">
        <v>21</v>
      </c>
      <c r="F596" s="121" t="s">
        <v>1754</v>
      </c>
      <c r="G596" s="122" t="s">
        <v>1755</v>
      </c>
      <c r="H596" s="121" t="s">
        <v>1756</v>
      </c>
      <c r="I596" s="99" t="n">
        <v>2025983</v>
      </c>
      <c r="J596" s="99" t="n">
        <v>2025983</v>
      </c>
      <c r="K596" s="99">
        <f>IF(C596="III",ROUND(J596*$R$2,0),IF(C596="P3K/III",ROUND(J596*$R$2,0),0))</f>
        <v>0</v>
      </c>
      <c r="L596" s="99">
        <f>IF(C596="IV",ROUND(J596*$R$3,0),0)</f>
        <v>0</v>
      </c>
      <c r="M596" s="99" t="n">
        <v>0</v>
      </c>
      <c r="N596" s="99" t="n">
        <v>0</v>
      </c>
      <c r="O596" s="99" t="n">
        <v>0</v>
      </c>
      <c r="P596" s="42">
        <f>I596-SUM(K596:O596)</f>
        <v>2025983</v>
      </c>
    </row>
    <row r="597" spans="1:16">
      <c r="A597" s="37" t="n">
        <v>607</v>
      </c>
      <c r="B597" s="97" t="s">
        <v>1757</v>
      </c>
      <c r="C597" s="121" t="s">
        <v>111</v>
      </c>
      <c r="D597" s="121" t="s">
        <v>20</v>
      </c>
      <c r="E597" s="121" t="s">
        <v>21</v>
      </c>
      <c r="F597" s="121" t="s">
        <v>1758</v>
      </c>
      <c r="G597" s="122" t="s">
        <v>1759</v>
      </c>
      <c r="H597" s="121" t="s">
        <v>1760</v>
      </c>
      <c r="I597" s="99" t="n">
        <v>2025983</v>
      </c>
      <c r="J597" s="99" t="n">
        <v>2025983</v>
      </c>
      <c r="K597" s="99">
        <f>IF(C597="III",ROUND(J597*$R$2,0),IF(C597="P3K/III",ROUND(J597*$R$2,0),0))</f>
        <v>0</v>
      </c>
      <c r="L597" s="99">
        <f>IF(C597="IV",ROUND(J597*$R$3,0),0)</f>
        <v>0</v>
      </c>
      <c r="M597" s="99" t="n">
        <v>0</v>
      </c>
      <c r="N597" s="99" t="n">
        <v>0</v>
      </c>
      <c r="O597" s="99" t="n">
        <v>0</v>
      </c>
      <c r="P597" s="42">
        <f>I597-SUM(K597:O597)</f>
        <v>2025983</v>
      </c>
    </row>
    <row r="598" spans="1:16">
      <c r="A598" s="37" t="n">
        <v>608</v>
      </c>
      <c r="B598" s="97" t="s">
        <v>1761</v>
      </c>
      <c r="C598" s="121" t="s">
        <v>95</v>
      </c>
      <c r="D598" s="121" t="s">
        <v>128</v>
      </c>
      <c r="E598" s="121" t="s">
        <v>15</v>
      </c>
      <c r="F598" s="98" t="n">
        <v>0</v>
      </c>
      <c r="G598" s="122" t="s">
        <v>1762</v>
      </c>
      <c r="H598" s="121" t="s">
        <v>1763</v>
      </c>
      <c r="I598" s="99" t="n">
        <v>1788391</v>
      </c>
      <c r="J598" s="99" t="n">
        <v>1788391</v>
      </c>
      <c r="K598" s="99">
        <f>IF(C598="III",ROUND(J598*$R$2,0),IF(C598="P3K/III",ROUND(J598*$R$2,0),0))</f>
        <v>0</v>
      </c>
      <c r="L598" s="99">
        <f>IF(C598="IV",ROUND(J598*$R$3,0),0)</f>
        <v>0</v>
      </c>
      <c r="M598" s="99" t="n">
        <v>0</v>
      </c>
      <c r="N598" s="99" t="n">
        <v>0</v>
      </c>
      <c r="O598" s="99" t="n">
        <v>0</v>
      </c>
      <c r="P598" s="42">
        <f>I598-SUM(K598:O598)</f>
        <v>1788391</v>
      </c>
    </row>
    <row r="599" spans="1:16">
      <c r="A599" s="37" t="n">
        <v>609</v>
      </c>
      <c r="B599" s="97" t="s">
        <v>1764</v>
      </c>
      <c r="C599" s="121" t="s">
        <v>95</v>
      </c>
      <c r="D599" s="121" t="s">
        <v>137</v>
      </c>
      <c r="E599" s="121" t="s">
        <v>14</v>
      </c>
      <c r="F599" s="98" t="n">
        <v>0</v>
      </c>
      <c r="G599" s="122" t="s">
        <v>1765</v>
      </c>
      <c r="H599" s="121" t="s">
        <v>1766</v>
      </c>
      <c r="I599" s="99" t="n">
        <v>1526610</v>
      </c>
      <c r="J599" s="99" t="n">
        <v>1526610</v>
      </c>
      <c r="K599" s="99">
        <f>IF(C599="III",ROUND(J599*$R$2,0),IF(C599="P3K/III",ROUND(J599*$R$2,0),0))</f>
        <v>0</v>
      </c>
      <c r="L599" s="99">
        <f>IF(C599="IV",ROUND(J599*$R$3,0),0)</f>
        <v>0</v>
      </c>
      <c r="M599" s="99" t="n">
        <v>0</v>
      </c>
      <c r="N599" s="99" t="n">
        <v>0</v>
      </c>
      <c r="O599" s="99" t="n">
        <v>0</v>
      </c>
      <c r="P599" s="42">
        <f>I599-SUM(K599:O599)</f>
        <v>1526610</v>
      </c>
    </row>
    <row r="600" spans="1:16">
      <c r="A600" s="37" t="n">
        <v>610</v>
      </c>
      <c r="B600" s="97" t="s">
        <v>1767</v>
      </c>
      <c r="C600" s="121" t="s">
        <v>95</v>
      </c>
      <c r="D600" s="121" t="s">
        <v>137</v>
      </c>
      <c r="E600" s="121" t="s">
        <v>14</v>
      </c>
      <c r="F600" s="98" t="n">
        <v>0</v>
      </c>
      <c r="G600" s="40" t="n">
        <v>0</v>
      </c>
      <c r="H600" s="121" t="s">
        <v>1768</v>
      </c>
      <c r="I600" s="99" t="n">
        <v>1526610</v>
      </c>
      <c r="J600" s="99" t="n">
        <v>1526610</v>
      </c>
      <c r="K600" s="99">
        <f>IF(C600="III",ROUND(J600*$R$2,0),IF(C600="P3K/III",ROUND(J600*$R$2,0),0))</f>
        <v>0</v>
      </c>
      <c r="L600" s="99">
        <f>IF(C600="IV",ROUND(J600*$R$3,0),0)</f>
        <v>0</v>
      </c>
      <c r="M600" s="99" t="n">
        <v>0</v>
      </c>
      <c r="N600" s="99" t="n">
        <v>0</v>
      </c>
      <c r="O600" s="99" t="n">
        <v>0</v>
      </c>
      <c r="P600" s="42">
        <f>I600-SUM(K600:O600)</f>
        <v>1526610</v>
      </c>
    </row>
    <row r="601" spans="1:16">
      <c r="A601" s="37" t="n">
        <v>611</v>
      </c>
      <c r="B601" s="97" t="s">
        <v>1769</v>
      </c>
      <c r="C601" s="121" t="s">
        <v>95</v>
      </c>
      <c r="D601" s="121" t="s">
        <v>121</v>
      </c>
      <c r="E601" s="121" t="s">
        <v>14</v>
      </c>
      <c r="F601" s="98" t="n">
        <v>0</v>
      </c>
      <c r="G601" s="40" t="n">
        <v>0</v>
      </c>
      <c r="H601" s="121" t="s">
        <v>1770</v>
      </c>
      <c r="I601" s="99" t="n">
        <v>1526610</v>
      </c>
      <c r="J601" s="99" t="n">
        <v>1526610</v>
      </c>
      <c r="K601" s="99">
        <f>IF(C601="III",ROUND(J601*$R$2,0),IF(C601="P3K/III",ROUND(J601*$R$2,0),0))</f>
        <v>0</v>
      </c>
      <c r="L601" s="99">
        <f>IF(C601="IV",ROUND(J601*$R$3,0),0)</f>
        <v>0</v>
      </c>
      <c r="M601" s="99" t="n">
        <v>0</v>
      </c>
      <c r="N601" s="99" t="n">
        <v>0</v>
      </c>
      <c r="O601" s="99" t="n">
        <v>0</v>
      </c>
      <c r="P601" s="42">
        <f>I601-SUM(K601:O601)</f>
        <v>1526610</v>
      </c>
    </row>
    <row r="602" spans="1:16">
      <c r="A602" s="37" t="n">
        <v>612</v>
      </c>
      <c r="B602" s="97" t="s">
        <v>1771</v>
      </c>
      <c r="C602" s="121" t="s">
        <v>95</v>
      </c>
      <c r="D602" s="121" t="s">
        <v>137</v>
      </c>
      <c r="E602" s="121" t="s">
        <v>14</v>
      </c>
      <c r="F602" s="98" t="n">
        <v>0</v>
      </c>
      <c r="G602" s="122" t="s">
        <v>1772</v>
      </c>
      <c r="H602" s="121" t="s">
        <v>1773</v>
      </c>
      <c r="I602" s="99" t="n">
        <v>1502421</v>
      </c>
      <c r="J602" s="99" t="n">
        <v>1502421</v>
      </c>
      <c r="K602" s="99">
        <f>IF(C602="III",ROUND(J602*$R$2,0),IF(C602="P3K/III",ROUND(J602*$R$2,0),0))</f>
        <v>0</v>
      </c>
      <c r="L602" s="99">
        <f>IF(C602="IV",ROUND(J602*$R$3,0),0)</f>
        <v>0</v>
      </c>
      <c r="M602" s="99" t="n">
        <v>0</v>
      </c>
      <c r="N602" s="99" t="n">
        <v>0</v>
      </c>
      <c r="O602" s="99" t="n">
        <v>0</v>
      </c>
      <c r="P602" s="42">
        <f>I602-SUM(K602:O602)</f>
        <v>1502421</v>
      </c>
    </row>
    <row r="603" spans="1:16">
      <c r="A603" s="37" t="n">
        <v>613</v>
      </c>
      <c r="B603" s="97" t="s">
        <v>1774</v>
      </c>
      <c r="C603" s="121" t="s">
        <v>58</v>
      </c>
      <c r="D603" s="121" t="s">
        <v>20</v>
      </c>
      <c r="E603" s="121" t="s">
        <v>21</v>
      </c>
      <c r="F603" s="121" t="s">
        <v>1775</v>
      </c>
      <c r="G603" s="122" t="s">
        <v>1776</v>
      </c>
      <c r="H603" s="121" t="s">
        <v>1777</v>
      </c>
      <c r="I603" s="99" t="n">
        <v>1631323</v>
      </c>
      <c r="J603" s="99" t="n">
        <v>1631323</v>
      </c>
      <c r="K603" s="99">
        <f>IF(C603="III",ROUND(J603*$R$2,0),IF(C603="P3K/III",ROUND(J603*$R$2,0),0))</f>
        <v>81566</v>
      </c>
      <c r="L603" s="99">
        <f>IF(C603="IV",ROUND(J603*$R$3,0),0)</f>
        <v>0</v>
      </c>
      <c r="M603" s="99" t="n">
        <v>0</v>
      </c>
      <c r="N603" s="99" t="n">
        <v>0</v>
      </c>
      <c r="O603" s="99" t="n">
        <v>0</v>
      </c>
      <c r="P603" s="42">
        <f>I603-SUM(K603:O603)</f>
        <v>1549757</v>
      </c>
    </row>
    <row r="604" spans="1:16">
      <c r="A604" s="37" t="n">
        <v>614</v>
      </c>
      <c r="B604" s="97" t="s">
        <v>1778</v>
      </c>
      <c r="C604" s="121" t="s">
        <v>111</v>
      </c>
      <c r="D604" s="121" t="s">
        <v>20</v>
      </c>
      <c r="E604" s="121" t="s">
        <v>21</v>
      </c>
      <c r="F604" s="121" t="s">
        <v>1779</v>
      </c>
      <c r="G604" s="122" t="s">
        <v>1780</v>
      </c>
      <c r="H604" s="121" t="s">
        <v>1781</v>
      </c>
      <c r="I604" s="99" t="n">
        <v>1506398</v>
      </c>
      <c r="J604" s="99" t="n">
        <v>1506398</v>
      </c>
      <c r="K604" s="99">
        <f>IF(C604="III",ROUND(J604*$R$2,0),IF(C604="P3K/III",ROUND(J604*$R$2,0),0))</f>
        <v>0</v>
      </c>
      <c r="L604" s="99">
        <f>IF(C604="IV",ROUND(J604*$R$3,0),0)</f>
        <v>0</v>
      </c>
      <c r="M604" s="99" t="n">
        <v>0</v>
      </c>
      <c r="N604" s="99" t="n">
        <v>0</v>
      </c>
      <c r="O604" s="99" t="n">
        <v>0</v>
      </c>
      <c r="P604" s="42">
        <f>I604-SUM(K604:O604)</f>
        <v>1506398</v>
      </c>
    </row>
    <row r="605" spans="1:16">
      <c r="A605" s="37" t="n">
        <v>615</v>
      </c>
      <c r="B605" s="97" t="s">
        <v>1782</v>
      </c>
      <c r="C605" s="121" t="s">
        <v>111</v>
      </c>
      <c r="D605" s="121" t="s">
        <v>20</v>
      </c>
      <c r="E605" s="121" t="s">
        <v>21</v>
      </c>
      <c r="F605" s="121" t="s">
        <v>1783</v>
      </c>
      <c r="G605" s="40" t="n">
        <v>0</v>
      </c>
      <c r="H605" s="121" t="s">
        <v>1784</v>
      </c>
      <c r="I605" s="99" t="n">
        <v>1506398</v>
      </c>
      <c r="J605" s="99" t="n">
        <v>1506398</v>
      </c>
      <c r="K605" s="99">
        <f>IF(C605="III",ROUND(J605*$R$2,0),IF(C605="P3K/III",ROUND(J605*$R$2,0),0))</f>
        <v>0</v>
      </c>
      <c r="L605" s="99">
        <f>IF(C605="IV",ROUND(J605*$R$3,0),0)</f>
        <v>0</v>
      </c>
      <c r="M605" s="99" t="n">
        <v>0</v>
      </c>
      <c r="N605" s="99" t="n">
        <v>0</v>
      </c>
      <c r="O605" s="99" t="n">
        <v>0</v>
      </c>
      <c r="P605" s="42">
        <f>I605-SUM(K605:O605)</f>
        <v>1506398</v>
      </c>
    </row>
    <row r="606" spans="1:16">
      <c r="A606" s="37" t="n">
        <v>616</v>
      </c>
      <c r="B606" s="97" t="s">
        <v>1785</v>
      </c>
      <c r="C606" s="121" t="s">
        <v>120</v>
      </c>
      <c r="D606" s="121" t="s">
        <v>128</v>
      </c>
      <c r="E606" s="121" t="s">
        <v>15</v>
      </c>
      <c r="F606" s="98" t="n">
        <v>0</v>
      </c>
      <c r="G606" s="122" t="s">
        <v>1786</v>
      </c>
      <c r="H606" s="121" t="s">
        <v>1787</v>
      </c>
      <c r="I606" s="99" t="n">
        <v>1300952</v>
      </c>
      <c r="J606" s="99" t="n">
        <v>1300952</v>
      </c>
      <c r="K606" s="99">
        <f>IF(C606="III",ROUND(J606*$R$2,0),IF(C606="P3K/III",ROUND(J606*$R$2,0),0))</f>
        <v>0</v>
      </c>
      <c r="L606" s="99">
        <f>IF(C606="IV",ROUND(J606*$R$3,0),0)</f>
        <v>0</v>
      </c>
      <c r="M606" s="99" t="n">
        <v>0</v>
      </c>
      <c r="N606" s="99" t="n">
        <v>0</v>
      </c>
      <c r="O606" s="99" t="n">
        <v>0</v>
      </c>
      <c r="P606" s="42">
        <f>I606-SUM(K606:O606)</f>
        <v>1300952</v>
      </c>
    </row>
    <row r="607" spans="1:16">
      <c r="A607" s="37" t="n">
        <v>617</v>
      </c>
      <c r="B607" s="97" t="s">
        <v>1788</v>
      </c>
      <c r="C607" s="121" t="s">
        <v>120</v>
      </c>
      <c r="D607" s="121" t="s">
        <v>128</v>
      </c>
      <c r="E607" s="121" t="s">
        <v>15</v>
      </c>
      <c r="F607" s="98" t="n">
        <v>0</v>
      </c>
      <c r="G607" s="40" t="n">
        <v>0</v>
      </c>
      <c r="H607" s="121" t="s">
        <v>1789</v>
      </c>
      <c r="I607" s="99" t="n">
        <v>1349330</v>
      </c>
      <c r="J607" s="99" t="n">
        <v>1349330</v>
      </c>
      <c r="K607" s="99">
        <f>IF(C607="III",ROUND(J607*$R$2,0),IF(C607="P3K/III",ROUND(J607*$R$2,0),0))</f>
        <v>0</v>
      </c>
      <c r="L607" s="99">
        <f>IF(C607="IV",ROUND(J607*$R$3,0),0)</f>
        <v>0</v>
      </c>
      <c r="M607" s="99" t="n">
        <v>0</v>
      </c>
      <c r="N607" s="99" t="n">
        <v>0</v>
      </c>
      <c r="O607" s="99" t="n">
        <v>0</v>
      </c>
      <c r="P607" s="42">
        <f>I607-SUM(K607:O607)</f>
        <v>1349330</v>
      </c>
    </row>
    <row r="608" spans="1:16">
      <c r="A608" s="37" t="n">
        <v>618</v>
      </c>
      <c r="B608" s="97" t="s">
        <v>1790</v>
      </c>
      <c r="C608" s="121" t="s">
        <v>120</v>
      </c>
      <c r="D608" s="121" t="s">
        <v>278</v>
      </c>
      <c r="E608" s="121" t="s">
        <v>16</v>
      </c>
      <c r="F608" s="98" t="n">
        <v>0</v>
      </c>
      <c r="G608" s="122" t="s">
        <v>1791</v>
      </c>
      <c r="H608" s="121" t="s">
        <v>1792</v>
      </c>
      <c r="I608" s="99" t="n">
        <v>1325141</v>
      </c>
      <c r="J608" s="99" t="n">
        <v>1325141</v>
      </c>
      <c r="K608" s="99">
        <f>IF(C608="III",ROUND(J608*$R$2,0),IF(C608="P3K/III",ROUND(J608*$R$2,0),0))</f>
        <v>0</v>
      </c>
      <c r="L608" s="99">
        <f>IF(C608="IV",ROUND(J608*$R$3,0),0)</f>
        <v>0</v>
      </c>
      <c r="M608" s="99" t="n">
        <v>0</v>
      </c>
      <c r="N608" s="99" t="n">
        <v>0</v>
      </c>
      <c r="O608" s="99" t="n">
        <v>0</v>
      </c>
      <c r="P608" s="42">
        <f>I608-SUM(K608:O608)</f>
        <v>1325141</v>
      </c>
    </row>
    <row r="609" spans="1:16">
      <c r="A609" s="37" t="n">
        <v>619</v>
      </c>
      <c r="B609" s="97" t="s">
        <v>1793</v>
      </c>
      <c r="C609" s="121" t="s">
        <v>120</v>
      </c>
      <c r="D609" s="121" t="s">
        <v>128</v>
      </c>
      <c r="E609" s="121" t="s">
        <v>15</v>
      </c>
      <c r="F609" s="98" t="n">
        <v>0</v>
      </c>
      <c r="G609" s="40" t="n">
        <v>0</v>
      </c>
      <c r="H609" s="121" t="s">
        <v>1794</v>
      </c>
      <c r="I609" s="99" t="n">
        <v>1349330</v>
      </c>
      <c r="J609" s="99" t="n">
        <v>1349330</v>
      </c>
      <c r="K609" s="99">
        <f>IF(C609="III",ROUND(J609*$R$2,0),IF(C609="P3K/III",ROUND(J609*$R$2,0),0))</f>
        <v>0</v>
      </c>
      <c r="L609" s="99">
        <f>IF(C609="IV",ROUND(J609*$R$3,0),0)</f>
        <v>0</v>
      </c>
      <c r="M609" s="99" t="n">
        <v>0</v>
      </c>
      <c r="N609" s="99" t="n">
        <v>0</v>
      </c>
      <c r="O609" s="99" t="n">
        <v>0</v>
      </c>
      <c r="P609" s="42">
        <f>I609-SUM(K609:O609)</f>
        <v>1349330</v>
      </c>
    </row>
    <row r="610" spans="1:16">
      <c r="A610" s="37" t="n">
        <v>620</v>
      </c>
      <c r="B610" s="97" t="s">
        <v>1795</v>
      </c>
      <c r="C610" s="121" t="s">
        <v>120</v>
      </c>
      <c r="D610" s="121" t="s">
        <v>128</v>
      </c>
      <c r="E610" s="121" t="s">
        <v>15</v>
      </c>
      <c r="F610" s="98" t="n">
        <v>0</v>
      </c>
      <c r="G610" s="40" t="n">
        <v>0</v>
      </c>
      <c r="H610" s="121" t="s">
        <v>1796</v>
      </c>
      <c r="I610" s="99" t="n">
        <v>1349330</v>
      </c>
      <c r="J610" s="99" t="n">
        <v>1349330</v>
      </c>
      <c r="K610" s="99">
        <f>IF(C610="III",ROUND(J610*$R$2,0),IF(C610="P3K/III",ROUND(J610*$R$2,0),0))</f>
        <v>0</v>
      </c>
      <c r="L610" s="99">
        <f>IF(C610="IV",ROUND(J610*$R$3,0),0)</f>
        <v>0</v>
      </c>
      <c r="M610" s="99" t="n">
        <v>0</v>
      </c>
      <c r="N610" s="99" t="n">
        <v>0</v>
      </c>
      <c r="O610" s="99" t="n">
        <v>0</v>
      </c>
      <c r="P610" s="42">
        <f>I610-SUM(K610:O610)</f>
        <v>1349330</v>
      </c>
    </row>
    <row r="611" spans="1:16">
      <c r="A611" s="37" t="n">
        <v>621</v>
      </c>
      <c r="B611" s="97" t="s">
        <v>1797</v>
      </c>
      <c r="C611" s="121" t="s">
        <v>120</v>
      </c>
      <c r="D611" s="121" t="s">
        <v>278</v>
      </c>
      <c r="E611" s="121" t="s">
        <v>16</v>
      </c>
      <c r="F611" s="98" t="n">
        <v>0</v>
      </c>
      <c r="G611" s="40" t="n">
        <v>0</v>
      </c>
      <c r="H611" s="121" t="s">
        <v>1798</v>
      </c>
      <c r="I611" s="99" t="n">
        <v>1349330</v>
      </c>
      <c r="J611" s="99" t="n">
        <v>1349330</v>
      </c>
      <c r="K611" s="99">
        <f>IF(C611="III",ROUND(J611*$R$2,0),IF(C611="P3K/III",ROUND(J611*$R$2,0),0))</f>
        <v>0</v>
      </c>
      <c r="L611" s="99">
        <f>IF(C611="IV",ROUND(J611*$R$3,0),0)</f>
        <v>0</v>
      </c>
      <c r="M611" s="99" t="n">
        <v>0</v>
      </c>
      <c r="N611" s="99" t="n">
        <v>0</v>
      </c>
      <c r="O611" s="99" t="n">
        <v>0</v>
      </c>
      <c r="P611" s="42">
        <f>I611-SUM(K611:O611)</f>
        <v>1349330</v>
      </c>
    </row>
    <row r="612" spans="1:16">
      <c r="A612" s="37" t="n">
        <v>622</v>
      </c>
      <c r="B612" s="97" t="s">
        <v>1799</v>
      </c>
      <c r="C612" s="121" t="s">
        <v>120</v>
      </c>
      <c r="D612" s="121" t="s">
        <v>278</v>
      </c>
      <c r="E612" s="121" t="s">
        <v>16</v>
      </c>
      <c r="F612" s="98" t="n">
        <v>0</v>
      </c>
      <c r="G612" s="40" t="n">
        <v>0</v>
      </c>
      <c r="H612" s="121" t="s">
        <v>1800</v>
      </c>
      <c r="I612" s="99" t="n">
        <v>1325141</v>
      </c>
      <c r="J612" s="99" t="n">
        <v>1325141</v>
      </c>
      <c r="K612" s="99">
        <f>IF(C612="III",ROUND(J612*$R$2,0),IF(C612="P3K/III",ROUND(J612*$R$2,0),0))</f>
        <v>0</v>
      </c>
      <c r="L612" s="99">
        <f>IF(C612="IV",ROUND(J612*$R$3,0),0)</f>
        <v>0</v>
      </c>
      <c r="M612" s="99" t="n">
        <v>0</v>
      </c>
      <c r="N612" s="99" t="n">
        <v>0</v>
      </c>
      <c r="O612" s="99" t="n">
        <v>0</v>
      </c>
      <c r="P612" s="42">
        <f>I612-SUM(K612:O612)</f>
        <v>1325141</v>
      </c>
    </row>
    <row r="613" spans="1:16">
      <c r="A613" s="37" t="n">
        <v>623</v>
      </c>
      <c r="B613" s="97" t="s">
        <v>1801</v>
      </c>
      <c r="C613" s="121" t="s">
        <v>95</v>
      </c>
      <c r="D613" s="121" t="s">
        <v>128</v>
      </c>
      <c r="E613" s="121" t="s">
        <v>15</v>
      </c>
      <c r="F613" s="98" t="n">
        <v>0</v>
      </c>
      <c r="G613" s="40" t="n">
        <v>0</v>
      </c>
      <c r="H613" s="121" t="s">
        <v>1802</v>
      </c>
      <c r="I613" s="99" t="n">
        <v>1349330</v>
      </c>
      <c r="J613" s="99" t="n">
        <v>1349330</v>
      </c>
      <c r="K613" s="99">
        <f>IF(C613="III",ROUND(J613*$R$2,0),IF(C613="P3K/III",ROUND(J613*$R$2,0),0))</f>
        <v>0</v>
      </c>
      <c r="L613" s="99">
        <f>IF(C613="IV",ROUND(J613*$R$3,0),0)</f>
        <v>0</v>
      </c>
      <c r="M613" s="99" t="n">
        <v>0</v>
      </c>
      <c r="N613" s="99" t="n">
        <v>0</v>
      </c>
      <c r="O613" s="99" t="n">
        <v>0</v>
      </c>
      <c r="P613" s="42">
        <f>I613-SUM(K613:O613)</f>
        <v>1349330</v>
      </c>
    </row>
    <row r="614" spans="1:16">
      <c r="A614" s="37" t="n">
        <v>624</v>
      </c>
      <c r="B614" s="97" t="s">
        <v>1803</v>
      </c>
      <c r="C614" s="121" t="s">
        <v>120</v>
      </c>
      <c r="D614" s="121" t="s">
        <v>128</v>
      </c>
      <c r="E614" s="121" t="s">
        <v>15</v>
      </c>
      <c r="F614" s="98" t="n">
        <v>0</v>
      </c>
      <c r="G614" s="122" t="s">
        <v>1804</v>
      </c>
      <c r="H614" s="121" t="s">
        <v>1805</v>
      </c>
      <c r="I614" s="99" t="n">
        <v>1349330</v>
      </c>
      <c r="J614" s="99" t="n">
        <v>1349330</v>
      </c>
      <c r="K614" s="99">
        <f>IF(C614="III",ROUND(J614*$R$2,0),IF(C614="P3K/III",ROUND(J614*$R$2,0),0))</f>
        <v>0</v>
      </c>
      <c r="L614" s="99">
        <f>IF(C614="IV",ROUND(J614*$R$3,0),0)</f>
        <v>0</v>
      </c>
      <c r="M614" s="99" t="n">
        <v>0</v>
      </c>
      <c r="N614" s="99" t="n">
        <v>0</v>
      </c>
      <c r="O614" s="99" t="n">
        <v>0</v>
      </c>
      <c r="P614" s="42">
        <f>I614-SUM(K614:O614)</f>
        <v>1349330</v>
      </c>
    </row>
    <row r="615" spans="1:16">
      <c r="A615" s="37" t="n">
        <v>625</v>
      </c>
      <c r="B615" s="97" t="s">
        <v>1806</v>
      </c>
      <c r="C615" s="121" t="s">
        <v>95</v>
      </c>
      <c r="D615" s="121" t="s">
        <v>278</v>
      </c>
      <c r="E615" s="121" t="s">
        <v>16</v>
      </c>
      <c r="F615" s="98" t="n">
        <v>0</v>
      </c>
      <c r="G615" s="40" t="n">
        <v>0</v>
      </c>
      <c r="H615" s="121" t="s">
        <v>1807</v>
      </c>
      <c r="I615" s="99" t="n">
        <v>1349330</v>
      </c>
      <c r="J615" s="99" t="n">
        <v>1349330</v>
      </c>
      <c r="K615" s="99">
        <f>IF(C615="III",ROUND(J615*$R$2,0),IF(C615="P3K/III",ROUND(J615*$R$2,0),0))</f>
        <v>0</v>
      </c>
      <c r="L615" s="99">
        <f>IF(C615="IV",ROUND(J615*$R$3,0),0)</f>
        <v>0</v>
      </c>
      <c r="M615" s="99" t="n">
        <v>0</v>
      </c>
      <c r="N615" s="99" t="n">
        <v>0</v>
      </c>
      <c r="O615" s="99" t="n">
        <v>0</v>
      </c>
      <c r="P615" s="42">
        <f>I615-SUM(K615:O615)</f>
        <v>1349330</v>
      </c>
    </row>
    <row r="616" spans="1:16">
      <c r="A616" s="37" t="n">
        <v>626</v>
      </c>
      <c r="B616" s="97" t="s">
        <v>1808</v>
      </c>
      <c r="C616" s="121" t="s">
        <v>95</v>
      </c>
      <c r="D616" s="121" t="s">
        <v>124</v>
      </c>
      <c r="E616" s="121" t="s">
        <v>15</v>
      </c>
      <c r="F616" s="98" t="n">
        <v>0</v>
      </c>
      <c r="G616" s="40" t="n">
        <v>0</v>
      </c>
      <c r="H616" s="121" t="s">
        <v>1809</v>
      </c>
      <c r="I616" s="99" t="n">
        <v>1695165</v>
      </c>
      <c r="J616" s="99" t="n">
        <v>1695165</v>
      </c>
      <c r="K616" s="99">
        <f>IF(C616="III",ROUND(J616*$R$2,0),IF(C616="P3K/III",ROUND(J616*$R$2,0),0))</f>
        <v>0</v>
      </c>
      <c r="L616" s="99">
        <f>IF(C616="IV",ROUND(J616*$R$3,0),0)</f>
        <v>0</v>
      </c>
      <c r="M616" s="99" t="n">
        <v>0</v>
      </c>
      <c r="N616" s="99" t="n">
        <v>0</v>
      </c>
      <c r="O616" s="99" t="n">
        <v>0</v>
      </c>
      <c r="P616" s="42">
        <f>I616-SUM(K616:O616)</f>
        <v>1695165</v>
      </c>
    </row>
    <row r="617" spans="1:16">
      <c r="A617" s="37" t="n">
        <v>627</v>
      </c>
      <c r="B617" s="97" t="s">
        <v>1810</v>
      </c>
      <c r="C617" s="121" t="s">
        <v>95</v>
      </c>
      <c r="D617" s="121" t="s">
        <v>124</v>
      </c>
      <c r="E617" s="121" t="s">
        <v>15</v>
      </c>
      <c r="F617" s="98" t="n">
        <v>0</v>
      </c>
      <c r="G617" s="40" t="n">
        <v>0</v>
      </c>
      <c r="H617" s="121" t="s">
        <v>1811</v>
      </c>
      <c r="I617" s="99" t="n">
        <v>1349330</v>
      </c>
      <c r="J617" s="99" t="n">
        <v>1349330</v>
      </c>
      <c r="K617" s="99">
        <f>IF(C617="III",ROUND(J617*$R$2,0),IF(C617="P3K/III",ROUND(J617*$R$2,0),0))</f>
        <v>0</v>
      </c>
      <c r="L617" s="99">
        <f>IF(C617="IV",ROUND(J617*$R$3,0),0)</f>
        <v>0</v>
      </c>
      <c r="M617" s="99" t="n">
        <v>0</v>
      </c>
      <c r="N617" s="99" t="n">
        <v>0</v>
      </c>
      <c r="O617" s="99" t="n">
        <v>0</v>
      </c>
      <c r="P617" s="42">
        <f>I617-SUM(K617:O617)</f>
        <v>1349330</v>
      </c>
    </row>
    <row r="618" spans="1:16">
      <c r="A618" s="37" t="n">
        <v>628</v>
      </c>
      <c r="B618" s="97" t="s">
        <v>1812</v>
      </c>
      <c r="C618" s="121" t="s">
        <v>95</v>
      </c>
      <c r="D618" s="121" t="s">
        <v>128</v>
      </c>
      <c r="E618" s="121" t="s">
        <v>15</v>
      </c>
      <c r="F618" s="98" t="n">
        <v>0</v>
      </c>
      <c r="G618" s="40" t="n">
        <v>0</v>
      </c>
      <c r="H618" s="121" t="s">
        <v>1813</v>
      </c>
      <c r="I618" s="99" t="n">
        <v>1825428</v>
      </c>
      <c r="J618" s="99" t="n">
        <v>1825428</v>
      </c>
      <c r="K618" s="99">
        <f>IF(C618="III",ROUND(J618*$R$2,0),IF(C618="P3K/III",ROUND(J618*$R$2,0),0))</f>
        <v>0</v>
      </c>
      <c r="L618" s="99">
        <f>IF(C618="IV",ROUND(J618*$R$3,0),0)</f>
        <v>0</v>
      </c>
      <c r="M618" s="99" t="n">
        <v>0</v>
      </c>
      <c r="N618" s="99" t="n">
        <v>0</v>
      </c>
      <c r="O618" s="99" t="n">
        <v>0</v>
      </c>
      <c r="P618" s="42">
        <f>I618-SUM(K618:O618)</f>
        <v>1825428</v>
      </c>
    </row>
    <row r="619" spans="1:16">
      <c r="A619" s="37" t="n">
        <v>629</v>
      </c>
      <c r="B619" s="97" t="s">
        <v>1814</v>
      </c>
      <c r="C619" s="121" t="s">
        <v>95</v>
      </c>
      <c r="D619" s="121" t="s">
        <v>278</v>
      </c>
      <c r="E619" s="121" t="s">
        <v>16</v>
      </c>
      <c r="F619" s="98" t="n">
        <v>0</v>
      </c>
      <c r="G619" s="122" t="s">
        <v>1815</v>
      </c>
      <c r="H619" s="121" t="s">
        <v>1816</v>
      </c>
      <c r="I619" s="99" t="n">
        <v>1349330</v>
      </c>
      <c r="J619" s="99" t="n">
        <v>1349330</v>
      </c>
      <c r="K619" s="99">
        <f>IF(C619="III",ROUND(J619*$R$2,0),IF(C619="P3K/III",ROUND(J619*$R$2,0),0))</f>
        <v>0</v>
      </c>
      <c r="L619" s="99">
        <f>IF(C619="IV",ROUND(J619*$R$3,0),0)</f>
        <v>0</v>
      </c>
      <c r="M619" s="99" t="n">
        <v>0</v>
      </c>
      <c r="N619" s="99" t="n">
        <v>0</v>
      </c>
      <c r="O619" s="99" t="n">
        <v>0</v>
      </c>
      <c r="P619" s="42">
        <f>I619-SUM(K619:O619)</f>
        <v>1349330</v>
      </c>
    </row>
    <row r="620" spans="1:16">
      <c r="A620" s="37" t="n">
        <v>630</v>
      </c>
      <c r="B620" s="97" t="s">
        <v>1817</v>
      </c>
      <c r="C620" s="121" t="s">
        <v>120</v>
      </c>
      <c r="D620" s="121" t="s">
        <v>128</v>
      </c>
      <c r="E620" s="121" t="s">
        <v>15</v>
      </c>
      <c r="F620" s="98" t="n">
        <v>0</v>
      </c>
      <c r="G620" s="122" t="s">
        <v>1818</v>
      </c>
      <c r="H620" s="121" t="s">
        <v>1819</v>
      </c>
      <c r="I620" s="99" t="n">
        <v>1349330</v>
      </c>
      <c r="J620" s="99" t="n">
        <v>1349330</v>
      </c>
      <c r="K620" s="99">
        <f>IF(C620="III",ROUND(J620*$R$2,0),IF(C620="P3K/III",ROUND(J620*$R$2,0),0))</f>
        <v>0</v>
      </c>
      <c r="L620" s="99">
        <f>IF(C620="IV",ROUND(J620*$R$3,0),0)</f>
        <v>0</v>
      </c>
      <c r="M620" s="99" t="n">
        <v>0</v>
      </c>
      <c r="N620" s="99" t="n">
        <v>0</v>
      </c>
      <c r="O620" s="99" t="n">
        <v>0</v>
      </c>
      <c r="P620" s="42">
        <f>I620-SUM(K620:O620)</f>
        <v>1349330</v>
      </c>
    </row>
    <row r="621" spans="1:16">
      <c r="A621" s="37" t="n">
        <v>631</v>
      </c>
      <c r="B621" s="97" t="s">
        <v>1820</v>
      </c>
      <c r="C621" s="121" t="s">
        <v>19</v>
      </c>
      <c r="D621" s="121" t="s">
        <v>20</v>
      </c>
      <c r="E621" s="121" t="s">
        <v>21</v>
      </c>
      <c r="F621" s="121" t="s">
        <v>1821</v>
      </c>
      <c r="G621" s="122" t="s">
        <v>1822</v>
      </c>
      <c r="H621" s="121" t="s">
        <v>1823</v>
      </c>
      <c r="I621" s="99" t="n">
        <v>3882432</v>
      </c>
      <c r="J621" s="99" t="n">
        <v>3882432</v>
      </c>
      <c r="K621" s="99">
        <f>IF(C621="III",ROUND(J621*$R$2,0),IF(C621="P3K/III",ROUND(J621*$R$2,0),0))</f>
        <v>0</v>
      </c>
      <c r="L621" s="99">
        <f>IF(C621="IV",ROUND(J621*$R$3,0),0)</f>
        <v>582365</v>
      </c>
      <c r="M621" s="99" t="n">
        <v>0</v>
      </c>
      <c r="N621" s="99" t="n">
        <v>0</v>
      </c>
      <c r="O621" s="99" t="n">
        <v>0</v>
      </c>
      <c r="P621" s="42">
        <f>I621-SUM(K621:O621)</f>
        <v>3300067</v>
      </c>
    </row>
    <row r="622" spans="1:16">
      <c r="A622" s="37" t="n">
        <v>632</v>
      </c>
      <c r="B622" s="97" t="s">
        <v>1824</v>
      </c>
      <c r="C622" s="121" t="s">
        <v>58</v>
      </c>
      <c r="D622" s="121" t="s">
        <v>20</v>
      </c>
      <c r="E622" s="121" t="s">
        <v>21</v>
      </c>
      <c r="F622" s="121" t="s">
        <v>1825</v>
      </c>
      <c r="G622" s="40" t="n">
        <v>0</v>
      </c>
      <c r="H622" s="121" t="s">
        <v>1826</v>
      </c>
      <c r="I622" s="99" t="n">
        <v>4109966</v>
      </c>
      <c r="J622" s="99" t="n">
        <v>4109966</v>
      </c>
      <c r="K622" s="99">
        <f>IF(C622="III",ROUND(J622*$R$2,0),IF(C622="P3K/III",ROUND(J622*$R$2,0),0))</f>
        <v>205498</v>
      </c>
      <c r="L622" s="99">
        <f>IF(C622="IV",ROUND(J622*$R$3,0),0)</f>
        <v>0</v>
      </c>
      <c r="M622" s="99" t="n">
        <v>0</v>
      </c>
      <c r="N622" s="99" t="n">
        <v>0</v>
      </c>
      <c r="O622" s="99" t="n">
        <v>0</v>
      </c>
      <c r="P622" s="42">
        <f>I622-SUM(K622:O622)</f>
        <v>3904468</v>
      </c>
    </row>
    <row r="623" spans="1:16">
      <c r="A623" s="37" t="n">
        <v>633</v>
      </c>
      <c r="B623" s="97" t="s">
        <v>1827</v>
      </c>
      <c r="C623" s="121" t="s">
        <v>58</v>
      </c>
      <c r="D623" s="121" t="s">
        <v>20</v>
      </c>
      <c r="E623" s="121" t="s">
        <v>21</v>
      </c>
      <c r="F623" s="121" t="s">
        <v>1828</v>
      </c>
      <c r="G623" s="122" t="s">
        <v>1829</v>
      </c>
      <c r="H623" s="121" t="s">
        <v>1830</v>
      </c>
      <c r="I623" s="99" t="n">
        <v>3654899</v>
      </c>
      <c r="J623" s="99" t="n">
        <v>3654899</v>
      </c>
      <c r="K623" s="99">
        <f>IF(C623="III",ROUND(J623*$R$2,0),IF(C623="P3K/III",ROUND(J623*$R$2,0),0))</f>
        <v>182745</v>
      </c>
      <c r="L623" s="99">
        <f>IF(C623="IV",ROUND(J623*$R$3,0),0)</f>
        <v>0</v>
      </c>
      <c r="M623" s="99" t="n">
        <v>0</v>
      </c>
      <c r="N623" s="99" t="n">
        <v>0</v>
      </c>
      <c r="O623" s="99" t="n">
        <v>0</v>
      </c>
      <c r="P623" s="42">
        <f>I623-SUM(K623:O623)</f>
        <v>3472154</v>
      </c>
    </row>
    <row r="624" spans="1:16">
      <c r="A624" s="37" t="n">
        <v>634</v>
      </c>
      <c r="B624" s="97" t="s">
        <v>1831</v>
      </c>
      <c r="C624" s="121" t="s">
        <v>58</v>
      </c>
      <c r="D624" s="121" t="s">
        <v>20</v>
      </c>
      <c r="E624" s="121" t="s">
        <v>21</v>
      </c>
      <c r="F624" s="121" t="s">
        <v>1832</v>
      </c>
      <c r="G624" s="122" t="s">
        <v>1833</v>
      </c>
      <c r="H624" s="121" t="s">
        <v>1834</v>
      </c>
      <c r="I624" s="99" t="n">
        <v>3775239</v>
      </c>
      <c r="J624" s="99" t="n">
        <v>3775239</v>
      </c>
      <c r="K624" s="99">
        <f>IF(C624="III",ROUND(J624*$R$2,0),IF(C624="P3K/III",ROUND(J624*$R$2,0),0))</f>
        <v>188762</v>
      </c>
      <c r="L624" s="99">
        <f>IF(C624="IV",ROUND(J624*$R$3,0),0)</f>
        <v>0</v>
      </c>
      <c r="M624" s="99" t="n">
        <v>0</v>
      </c>
      <c r="N624" s="99" t="n">
        <v>0</v>
      </c>
      <c r="O624" s="99" t="n">
        <v>0</v>
      </c>
      <c r="P624" s="42">
        <f>I624-SUM(K624:O624)</f>
        <v>3586477</v>
      </c>
    </row>
    <row r="625" spans="1:16">
      <c r="A625" s="37" t="n">
        <v>635</v>
      </c>
      <c r="B625" s="97" t="s">
        <v>1835</v>
      </c>
      <c r="C625" s="121" t="s">
        <v>131</v>
      </c>
      <c r="D625" s="121" t="s">
        <v>20</v>
      </c>
      <c r="E625" s="121" t="s">
        <v>21</v>
      </c>
      <c r="F625" s="121" t="s">
        <v>1836</v>
      </c>
      <c r="G625" s="122" t="s">
        <v>1837</v>
      </c>
      <c r="H625" s="121" t="s">
        <v>1838</v>
      </c>
      <c r="I625" s="99" t="n">
        <v>3654899</v>
      </c>
      <c r="J625" s="99" t="n">
        <v>3654899</v>
      </c>
      <c r="K625" s="99">
        <f>IF(C625="III",ROUND(J625*$R$2,0),IF(C625="P3K/III",ROUND(J625*$R$2,0),0))</f>
        <v>182745</v>
      </c>
      <c r="L625" s="99">
        <f>IF(C625="IV",ROUND(J625*$R$3,0),0)</f>
        <v>0</v>
      </c>
      <c r="M625" s="99" t="n">
        <v>0</v>
      </c>
      <c r="N625" s="99" t="n">
        <v>0</v>
      </c>
      <c r="O625" s="99" t="n">
        <v>0</v>
      </c>
      <c r="P625" s="42">
        <f>I625-SUM(K625:O625)</f>
        <v>3472154</v>
      </c>
    </row>
    <row r="626" spans="1:16">
      <c r="A626" s="37" t="n">
        <v>636</v>
      </c>
      <c r="B626" s="97" t="s">
        <v>1839</v>
      </c>
      <c r="C626" s="121" t="s">
        <v>131</v>
      </c>
      <c r="D626" s="121" t="s">
        <v>20</v>
      </c>
      <c r="E626" s="121" t="s">
        <v>21</v>
      </c>
      <c r="F626" s="121" t="s">
        <v>1840</v>
      </c>
      <c r="G626" s="122" t="s">
        <v>1841</v>
      </c>
      <c r="H626" s="121" t="s">
        <v>1842</v>
      </c>
      <c r="I626" s="99" t="n">
        <v>3472872</v>
      </c>
      <c r="J626" s="99" t="n">
        <v>3472872</v>
      </c>
      <c r="K626" s="99">
        <f>IF(C626="III",ROUND(J626*$R$2,0),IF(C626="P3K/III",ROUND(J626*$R$2,0),0))</f>
        <v>173644</v>
      </c>
      <c r="L626" s="99">
        <f>IF(C626="IV",ROUND(J626*$R$3,0),0)</f>
        <v>0</v>
      </c>
      <c r="M626" s="99" t="n">
        <v>0</v>
      </c>
      <c r="N626" s="99" t="n">
        <v>0</v>
      </c>
      <c r="O626" s="99" t="n">
        <v>0</v>
      </c>
      <c r="P626" s="42">
        <f>I626-SUM(K626:O626)</f>
        <v>3299228</v>
      </c>
    </row>
    <row r="627" spans="1:16">
      <c r="A627" s="37" t="n">
        <v>637</v>
      </c>
      <c r="B627" s="97" t="s">
        <v>1843</v>
      </c>
      <c r="C627" s="121" t="s">
        <v>58</v>
      </c>
      <c r="D627" s="121" t="s">
        <v>20</v>
      </c>
      <c r="E627" s="121" t="s">
        <v>21</v>
      </c>
      <c r="F627" s="121" t="s">
        <v>1844</v>
      </c>
      <c r="G627" s="122" t="s">
        <v>1845</v>
      </c>
      <c r="H627" s="121" t="s">
        <v>1846</v>
      </c>
      <c r="I627" s="99" t="n">
        <v>3472872</v>
      </c>
      <c r="J627" s="99" t="n">
        <v>3472872</v>
      </c>
      <c r="K627" s="99">
        <f>IF(C627="III",ROUND(J627*$R$2,0),IF(C627="P3K/III",ROUND(J627*$R$2,0),0))</f>
        <v>173644</v>
      </c>
      <c r="L627" s="99">
        <f>IF(C627="IV",ROUND(J627*$R$3,0),0)</f>
        <v>0</v>
      </c>
      <c r="M627" s="99" t="n">
        <v>0</v>
      </c>
      <c r="N627" s="99" t="n">
        <v>0</v>
      </c>
      <c r="O627" s="99" t="n">
        <v>0</v>
      </c>
      <c r="P627" s="42">
        <f>I627-SUM(K627:O627)</f>
        <v>3299228</v>
      </c>
    </row>
    <row r="628" spans="1:16">
      <c r="A628" s="37" t="n">
        <v>638</v>
      </c>
      <c r="B628" s="97" t="s">
        <v>1847</v>
      </c>
      <c r="C628" s="121" t="s">
        <v>58</v>
      </c>
      <c r="D628" s="121" t="s">
        <v>20</v>
      </c>
      <c r="E628" s="121" t="s">
        <v>21</v>
      </c>
      <c r="F628" s="121" t="s">
        <v>1848</v>
      </c>
      <c r="G628" s="40" t="n">
        <v>0</v>
      </c>
      <c r="H628" s="121" t="s">
        <v>1849</v>
      </c>
      <c r="I628" s="99" t="n">
        <v>3654899</v>
      </c>
      <c r="J628" s="99" t="n">
        <v>3654899</v>
      </c>
      <c r="K628" s="99">
        <f>IF(C628="III",ROUND(J628*$R$2,0),IF(C628="P3K/III",ROUND(J628*$R$2,0),0))</f>
        <v>182745</v>
      </c>
      <c r="L628" s="99">
        <f>IF(C628="IV",ROUND(J628*$R$3,0),0)</f>
        <v>0</v>
      </c>
      <c r="M628" s="99" t="n">
        <v>0</v>
      </c>
      <c r="N628" s="99" t="n">
        <v>0</v>
      </c>
      <c r="O628" s="99" t="n">
        <v>0</v>
      </c>
      <c r="P628" s="42">
        <f>I628-SUM(K628:O628)</f>
        <v>3472154</v>
      </c>
    </row>
    <row r="629" spans="1:16">
      <c r="A629" s="37" t="n">
        <v>639</v>
      </c>
      <c r="B629" s="97" t="s">
        <v>1850</v>
      </c>
      <c r="C629" s="121" t="s">
        <v>95</v>
      </c>
      <c r="D629" s="121" t="s">
        <v>121</v>
      </c>
      <c r="E629" s="121" t="s">
        <v>14</v>
      </c>
      <c r="F629" s="98" t="n">
        <v>0</v>
      </c>
      <c r="G629" s="122" t="s">
        <v>1851</v>
      </c>
      <c r="H629" s="121" t="s">
        <v>1852</v>
      </c>
      <c r="I629" s="99" t="n">
        <v>3154325</v>
      </c>
      <c r="J629" s="99" t="n">
        <v>3154325</v>
      </c>
      <c r="K629" s="99">
        <f>IF(C629="III",ROUND(J629*$R$2,0),IF(C629="P3K/III",ROUND(J629*$R$2,0),0))</f>
        <v>0</v>
      </c>
      <c r="L629" s="99">
        <f>IF(C629="IV",ROUND(J629*$R$3,0),0)</f>
        <v>0</v>
      </c>
      <c r="M629" s="99" t="n">
        <v>0</v>
      </c>
      <c r="N629" s="99" t="n">
        <v>0</v>
      </c>
      <c r="O629" s="99" t="n">
        <v>0</v>
      </c>
      <c r="P629" s="42">
        <f>I629-SUM(K629:O629)</f>
        <v>3154325</v>
      </c>
    </row>
    <row r="630" spans="1:16">
      <c r="A630" s="37" t="n">
        <v>640</v>
      </c>
      <c r="B630" s="97" t="s">
        <v>1853</v>
      </c>
      <c r="C630" s="121" t="s">
        <v>58</v>
      </c>
      <c r="D630" s="121" t="s">
        <v>20</v>
      </c>
      <c r="E630" s="121" t="s">
        <v>21</v>
      </c>
      <c r="F630" s="121" t="s">
        <v>1854</v>
      </c>
      <c r="G630" s="40" t="n">
        <v>0</v>
      </c>
      <c r="H630" s="121" t="s">
        <v>1855</v>
      </c>
      <c r="I630" s="99" t="n">
        <v>2948108</v>
      </c>
      <c r="J630" s="99" t="n">
        <v>2948108</v>
      </c>
      <c r="K630" s="99">
        <f>IF(C630="III",ROUND(J630*$R$2,0),IF(C630="P3K/III",ROUND(J630*$R$2,0),0))</f>
        <v>147405</v>
      </c>
      <c r="L630" s="99">
        <f>IF(C630="IV",ROUND(J630*$R$3,0),0)</f>
        <v>0</v>
      </c>
      <c r="M630" s="99" t="n">
        <v>0</v>
      </c>
      <c r="N630" s="99" t="n">
        <v>0</v>
      </c>
      <c r="O630" s="99" t="n">
        <v>0</v>
      </c>
      <c r="P630" s="42">
        <f>I630-SUM(K630:O630)</f>
        <v>2800703</v>
      </c>
    </row>
    <row r="631" spans="1:16">
      <c r="A631" s="37" t="n">
        <v>642</v>
      </c>
      <c r="B631" s="97" t="s">
        <v>1856</v>
      </c>
      <c r="C631" s="121" t="s">
        <v>58</v>
      </c>
      <c r="D631" s="121" t="s">
        <v>20</v>
      </c>
      <c r="E631" s="121" t="s">
        <v>21</v>
      </c>
      <c r="F631" s="121" t="s">
        <v>1857</v>
      </c>
      <c r="G631" s="46" t="n">
        <v>0</v>
      </c>
      <c r="H631" s="121" t="s">
        <v>1858</v>
      </c>
      <c r="I631" s="99" t="n">
        <v>3014325</v>
      </c>
      <c r="J631" s="99" t="n">
        <v>3014325</v>
      </c>
      <c r="K631" s="99">
        <f>IF(C631="III",ROUND(J631*$R$2,0),IF(C631="P3K/III",ROUND(J631*$R$2,0),0))</f>
        <v>150716</v>
      </c>
      <c r="L631" s="99">
        <f>IF(C631="IV",ROUND(J631*$R$3,0),0)</f>
        <v>0</v>
      </c>
      <c r="M631" s="99" t="n">
        <v>0</v>
      </c>
      <c r="N631" s="99" t="n">
        <v>0</v>
      </c>
      <c r="O631" s="99" t="n">
        <v>0</v>
      </c>
      <c r="P631" s="42">
        <f>I631-SUM(K631:O631)</f>
        <v>2863609</v>
      </c>
    </row>
    <row r="632" spans="1:16">
      <c r="A632" s="37" t="n">
        <v>643</v>
      </c>
      <c r="B632" s="97" t="s">
        <v>1859</v>
      </c>
      <c r="C632" s="121" t="s">
        <v>58</v>
      </c>
      <c r="D632" s="121" t="s">
        <v>20</v>
      </c>
      <c r="E632" s="121" t="s">
        <v>21</v>
      </c>
      <c r="F632" s="121" t="s">
        <v>1860</v>
      </c>
      <c r="G632" s="40" t="n">
        <v>0</v>
      </c>
      <c r="H632" s="121" t="s">
        <v>1861</v>
      </c>
      <c r="I632" s="99" t="n">
        <v>2832905</v>
      </c>
      <c r="J632" s="99" t="n">
        <v>2832905</v>
      </c>
      <c r="K632" s="99">
        <f>IF(C632="III",ROUND(J632*$R$2,0),IF(C632="P3K/III",ROUND(J632*$R$2,0),0))</f>
        <v>141645</v>
      </c>
      <c r="L632" s="99">
        <f>IF(C632="IV",ROUND(J632*$R$3,0),0)</f>
        <v>0</v>
      </c>
      <c r="M632" s="99" t="n">
        <v>0</v>
      </c>
      <c r="N632" s="99" t="n">
        <v>0</v>
      </c>
      <c r="O632" s="99" t="n">
        <v>0</v>
      </c>
      <c r="P632" s="42">
        <f>I632-SUM(K632:O632)</f>
        <v>2691260</v>
      </c>
    </row>
    <row r="633" spans="1:16">
      <c r="A633" s="37" t="n">
        <v>644</v>
      </c>
      <c r="B633" s="97" t="s">
        <v>1862</v>
      </c>
      <c r="C633" s="121" t="s">
        <v>58</v>
      </c>
      <c r="D633" s="121" t="s">
        <v>20</v>
      </c>
      <c r="E633" s="121" t="s">
        <v>21</v>
      </c>
      <c r="F633" s="121" t="s">
        <v>1863</v>
      </c>
      <c r="G633" s="122" t="s">
        <v>1864</v>
      </c>
      <c r="H633" s="121" t="s">
        <v>1865</v>
      </c>
      <c r="I633" s="99" t="n">
        <v>2832905</v>
      </c>
      <c r="J633" s="99" t="n">
        <v>2832905</v>
      </c>
      <c r="K633" s="99">
        <f>IF(C633="III",ROUND(J633*$R$2,0),IF(C633="P3K/III",ROUND(J633*$R$2,0),0))</f>
        <v>141645</v>
      </c>
      <c r="L633" s="99">
        <f>IF(C633="IV",ROUND(J633*$R$3,0),0)</f>
        <v>0</v>
      </c>
      <c r="M633" s="99" t="n">
        <v>0</v>
      </c>
      <c r="N633" s="99" t="n">
        <v>0</v>
      </c>
      <c r="O633" s="99" t="n">
        <v>0</v>
      </c>
      <c r="P633" s="42">
        <f>I633-SUM(K633:O633)</f>
        <v>2691260</v>
      </c>
    </row>
    <row r="634" spans="1:16">
      <c r="A634" s="37" t="n">
        <v>645</v>
      </c>
      <c r="B634" s="97" t="s">
        <v>1866</v>
      </c>
      <c r="C634" s="121" t="s">
        <v>58</v>
      </c>
      <c r="D634" s="121" t="s">
        <v>20</v>
      </c>
      <c r="E634" s="121" t="s">
        <v>21</v>
      </c>
      <c r="F634" s="121" t="s">
        <v>1867</v>
      </c>
      <c r="G634" s="122" t="s">
        <v>1868</v>
      </c>
      <c r="H634" s="121" t="s">
        <v>1869</v>
      </c>
      <c r="I634" s="99" t="n">
        <v>2832905</v>
      </c>
      <c r="J634" s="99" t="n">
        <v>2832905</v>
      </c>
      <c r="K634" s="99">
        <f>IF(C634="III",ROUND(J634*$R$2,0),IF(C634="P3K/III",ROUND(J634*$R$2,0),0))</f>
        <v>141645</v>
      </c>
      <c r="L634" s="99">
        <f>IF(C634="IV",ROUND(J634*$R$3,0),0)</f>
        <v>0</v>
      </c>
      <c r="M634" s="99" t="n">
        <v>0</v>
      </c>
      <c r="N634" s="99" t="n">
        <v>0</v>
      </c>
      <c r="O634" s="99" t="n">
        <v>0</v>
      </c>
      <c r="P634" s="42">
        <f>I634-SUM(K634:O634)</f>
        <v>2691260</v>
      </c>
    </row>
    <row r="635" spans="1:16">
      <c r="A635" s="37" t="n">
        <v>646</v>
      </c>
      <c r="B635" s="97" t="s">
        <v>1870</v>
      </c>
      <c r="C635" s="121" t="s">
        <v>111</v>
      </c>
      <c r="D635" s="121" t="s">
        <v>20</v>
      </c>
      <c r="E635" s="121" t="s">
        <v>21</v>
      </c>
      <c r="F635" s="121" t="s">
        <v>1871</v>
      </c>
      <c r="G635" s="122" t="s">
        <v>1872</v>
      </c>
      <c r="H635" s="121" t="s">
        <v>1873</v>
      </c>
      <c r="I635" s="99" t="n">
        <v>2650878</v>
      </c>
      <c r="J635" s="99" t="n">
        <v>2650878</v>
      </c>
      <c r="K635" s="99">
        <f>IF(C635="III",ROUND(J635*$R$2,0),IF(C635="P3K/III",ROUND(J635*$R$2,0),0))</f>
        <v>0</v>
      </c>
      <c r="L635" s="99">
        <f>IF(C635="IV",ROUND(J635*$R$3,0),0)</f>
        <v>0</v>
      </c>
      <c r="M635" s="99" t="n">
        <v>0</v>
      </c>
      <c r="N635" s="99" t="n">
        <v>0</v>
      </c>
      <c r="O635" s="99" t="n">
        <v>0</v>
      </c>
      <c r="P635" s="42">
        <f>I635-SUM(K635:O635)</f>
        <v>2650878</v>
      </c>
    </row>
    <row r="636" spans="1:16">
      <c r="A636" s="37" t="n">
        <v>647</v>
      </c>
      <c r="B636" s="97" t="s">
        <v>1874</v>
      </c>
      <c r="C636" s="121" t="s">
        <v>111</v>
      </c>
      <c r="D636" s="121" t="s">
        <v>20</v>
      </c>
      <c r="E636" s="121" t="s">
        <v>21</v>
      </c>
      <c r="F636" s="121" t="s">
        <v>1875</v>
      </c>
      <c r="G636" s="122" t="s">
        <v>1876</v>
      </c>
      <c r="H636" s="121" t="s">
        <v>1877</v>
      </c>
      <c r="I636" s="99" t="n">
        <v>2650878</v>
      </c>
      <c r="J636" s="99" t="n">
        <v>2650878</v>
      </c>
      <c r="K636" s="99">
        <f>IF(C636="III",ROUND(J636*$R$2,0),IF(C636="P3K/III",ROUND(J636*$R$2,0),0))</f>
        <v>0</v>
      </c>
      <c r="L636" s="99">
        <f>IF(C636="IV",ROUND(J636*$R$3,0),0)</f>
        <v>0</v>
      </c>
      <c r="M636" s="99" t="n">
        <v>0</v>
      </c>
      <c r="N636" s="99" t="n">
        <v>0</v>
      </c>
      <c r="O636" s="99" t="n">
        <v>0</v>
      </c>
      <c r="P636" s="42">
        <f>I636-SUM(K636:O636)</f>
        <v>2650878</v>
      </c>
    </row>
    <row r="637" spans="1:16">
      <c r="A637" s="37" t="n">
        <v>648</v>
      </c>
      <c r="B637" s="97" t="s">
        <v>1878</v>
      </c>
      <c r="C637" s="121" t="s">
        <v>111</v>
      </c>
      <c r="D637" s="121" t="s">
        <v>20</v>
      </c>
      <c r="E637" s="121" t="s">
        <v>21</v>
      </c>
      <c r="F637" s="121" t="s">
        <v>1879</v>
      </c>
      <c r="G637" s="122" t="s">
        <v>1880</v>
      </c>
      <c r="H637" s="121" t="s">
        <v>1881</v>
      </c>
      <c r="I637" s="99" t="n">
        <v>2650878</v>
      </c>
      <c r="J637" s="99" t="n">
        <v>2650878</v>
      </c>
      <c r="K637" s="99">
        <f>IF(C637="III",ROUND(J637*$R$2,0),IF(C637="P3K/III",ROUND(J637*$R$2,0),0))</f>
        <v>0</v>
      </c>
      <c r="L637" s="99">
        <f>IF(C637="IV",ROUND(J637*$R$3,0),0)</f>
        <v>0</v>
      </c>
      <c r="M637" s="99" t="n">
        <v>0</v>
      </c>
      <c r="N637" s="99" t="n">
        <v>0</v>
      </c>
      <c r="O637" s="99" t="n">
        <v>0</v>
      </c>
      <c r="P637" s="42">
        <f>I637-SUM(K637:O637)</f>
        <v>2650878</v>
      </c>
    </row>
    <row r="638" spans="1:16">
      <c r="A638" s="37" t="n">
        <v>649</v>
      </c>
      <c r="B638" s="97" t="s">
        <v>1882</v>
      </c>
      <c r="C638" s="121" t="s">
        <v>111</v>
      </c>
      <c r="D638" s="121" t="s">
        <v>20</v>
      </c>
      <c r="E638" s="121" t="s">
        <v>21</v>
      </c>
      <c r="F638" s="121" t="s">
        <v>1883</v>
      </c>
      <c r="G638" s="40" t="n">
        <v>0</v>
      </c>
      <c r="H638" s="121" t="s">
        <v>1884</v>
      </c>
      <c r="I638" s="99" t="n">
        <v>2741892</v>
      </c>
      <c r="J638" s="99" t="n">
        <v>2741892</v>
      </c>
      <c r="K638" s="99">
        <f>IF(C638="III",ROUND(J638*$R$2,0),IF(C638="P3K/III",ROUND(J638*$R$2,0),0))</f>
        <v>0</v>
      </c>
      <c r="L638" s="99">
        <f>IF(C638="IV",ROUND(J638*$R$3,0),0)</f>
        <v>0</v>
      </c>
      <c r="M638" s="99" t="n">
        <v>0</v>
      </c>
      <c r="N638" s="99" t="n">
        <v>0</v>
      </c>
      <c r="O638" s="99" t="n">
        <v>0</v>
      </c>
      <c r="P638" s="42">
        <f>I638-SUM(K638:O638)</f>
        <v>2741892</v>
      </c>
    </row>
    <row r="639" spans="1:16">
      <c r="A639" s="37" t="n">
        <v>650</v>
      </c>
      <c r="B639" s="97" t="s">
        <v>1885</v>
      </c>
      <c r="C639" s="121" t="s">
        <v>111</v>
      </c>
      <c r="D639" s="121" t="s">
        <v>20</v>
      </c>
      <c r="E639" s="121" t="s">
        <v>21</v>
      </c>
      <c r="F639" s="121" t="s">
        <v>1886</v>
      </c>
      <c r="G639" s="40" t="n">
        <v>0</v>
      </c>
      <c r="H639" s="121" t="s">
        <v>1887</v>
      </c>
      <c r="I639" s="99" t="n">
        <v>3467574</v>
      </c>
      <c r="J639" s="99" t="n">
        <v>3467574</v>
      </c>
      <c r="K639" s="99">
        <f>IF(C639="III",ROUND(J639*$R$2,0),IF(C639="P3K/III",ROUND(J639*$R$2,0),0))</f>
        <v>0</v>
      </c>
      <c r="L639" s="99">
        <f>IF(C639="IV",ROUND(J639*$R$3,0),0)</f>
        <v>0</v>
      </c>
      <c r="M639" s="99" t="n">
        <v>0</v>
      </c>
      <c r="N639" s="99" t="n">
        <v>0</v>
      </c>
      <c r="O639" s="99" t="n">
        <v>0</v>
      </c>
      <c r="P639" s="42">
        <f>I639-SUM(K639:O639)</f>
        <v>3467574</v>
      </c>
    </row>
    <row r="640" spans="1:16">
      <c r="A640" s="37" t="n">
        <v>651</v>
      </c>
      <c r="B640" s="97" t="s">
        <v>1888</v>
      </c>
      <c r="C640" s="121" t="s">
        <v>283</v>
      </c>
      <c r="D640" s="121" t="s">
        <v>20</v>
      </c>
      <c r="E640" s="121" t="s">
        <v>21</v>
      </c>
      <c r="F640" s="98" t="n">
        <v>0</v>
      </c>
      <c r="G640" s="40" t="n">
        <v>0</v>
      </c>
      <c r="H640" s="121" t="s">
        <v>1889</v>
      </c>
      <c r="I640" s="99" t="n">
        <v>2650878</v>
      </c>
      <c r="J640" s="99" t="n">
        <v>2650878</v>
      </c>
      <c r="K640" s="99">
        <f>IF(C640="III",ROUND(J640*$R$2,0),IF(C640="P3K/III",ROUND(J640*$R$2,0),0))</f>
        <v>0</v>
      </c>
      <c r="L640" s="99">
        <f>IF(C640="IV",ROUND(J640*$R$3,0),0)</f>
        <v>0</v>
      </c>
      <c r="M640" s="99" t="n">
        <v>0</v>
      </c>
      <c r="N640" s="99" t="n">
        <v>0</v>
      </c>
      <c r="O640" s="99" t="n">
        <v>0</v>
      </c>
      <c r="P640" s="42">
        <f>I640-SUM(K640:O640)</f>
        <v>2650878</v>
      </c>
    </row>
    <row r="641" spans="1:16">
      <c r="A641" s="37" t="n">
        <v>652</v>
      </c>
      <c r="B641" s="97" t="s">
        <v>1890</v>
      </c>
      <c r="C641" s="121" t="s">
        <v>283</v>
      </c>
      <c r="D641" s="121" t="s">
        <v>20</v>
      </c>
      <c r="E641" s="121" t="s">
        <v>21</v>
      </c>
      <c r="F641" s="98" t="n">
        <v>0</v>
      </c>
      <c r="G641" s="40" t="n">
        <v>0</v>
      </c>
      <c r="H641" s="121" t="s">
        <v>1891</v>
      </c>
      <c r="I641" s="99" t="n">
        <v>2650878</v>
      </c>
      <c r="J641" s="99" t="n">
        <v>2650878</v>
      </c>
      <c r="K641" s="99">
        <f>IF(C641="III",ROUND(J641*$R$2,0),IF(C641="P3K/III",ROUND(J641*$R$2,0),0))</f>
        <v>0</v>
      </c>
      <c r="L641" s="99">
        <f>IF(C641="IV",ROUND(J641*$R$3,0),0)</f>
        <v>0</v>
      </c>
      <c r="M641" s="99" t="n">
        <v>0</v>
      </c>
      <c r="N641" s="99" t="n">
        <v>0</v>
      </c>
      <c r="O641" s="99" t="n">
        <v>0</v>
      </c>
      <c r="P641" s="42">
        <f>I641-SUM(K641:O641)</f>
        <v>2650878</v>
      </c>
    </row>
    <row r="642" spans="1:16">
      <c r="A642" s="37" t="n">
        <v>653</v>
      </c>
      <c r="B642" s="97" t="s">
        <v>1892</v>
      </c>
      <c r="C642" s="121" t="s">
        <v>283</v>
      </c>
      <c r="D642" s="121" t="s">
        <v>20</v>
      </c>
      <c r="E642" s="121" t="s">
        <v>21</v>
      </c>
      <c r="F642" s="98" t="n">
        <v>0</v>
      </c>
      <c r="G642" s="40" t="n">
        <v>0</v>
      </c>
      <c r="H642" s="121" t="s">
        <v>1893</v>
      </c>
      <c r="I642" s="99" t="n">
        <v>2650878</v>
      </c>
      <c r="J642" s="99" t="n">
        <v>2650878</v>
      </c>
      <c r="K642" s="99">
        <f>IF(C642="III",ROUND(J642*$R$2,0),IF(C642="P3K/III",ROUND(J642*$R$2,0),0))</f>
        <v>0</v>
      </c>
      <c r="L642" s="99">
        <f>IF(C642="IV",ROUND(J642*$R$3,0),0)</f>
        <v>0</v>
      </c>
      <c r="M642" s="99" t="n">
        <v>0</v>
      </c>
      <c r="N642" s="99" t="n">
        <v>0</v>
      </c>
      <c r="O642" s="99" t="n">
        <v>0</v>
      </c>
      <c r="P642" s="42">
        <f>I642-SUM(K642:O642)</f>
        <v>2650878</v>
      </c>
    </row>
    <row r="643" spans="1:16">
      <c r="A643" s="37" t="n">
        <v>654</v>
      </c>
      <c r="B643" s="97" t="s">
        <v>1894</v>
      </c>
      <c r="C643" s="121" t="s">
        <v>283</v>
      </c>
      <c r="D643" s="121" t="s">
        <v>20</v>
      </c>
      <c r="E643" s="121" t="s">
        <v>21</v>
      </c>
      <c r="F643" s="98" t="n">
        <v>0</v>
      </c>
      <c r="G643" s="40" t="n">
        <v>0</v>
      </c>
      <c r="H643" s="121" t="s">
        <v>1895</v>
      </c>
      <c r="I643" s="99" t="n">
        <v>2650878</v>
      </c>
      <c r="J643" s="99" t="n">
        <v>2650878</v>
      </c>
      <c r="K643" s="99">
        <f>IF(C643="III",ROUND(J643*$R$2,0),IF(C643="P3K/III",ROUND(J643*$R$2,0),0))</f>
        <v>0</v>
      </c>
      <c r="L643" s="99">
        <f>IF(C643="IV",ROUND(J643*$R$3,0),0)</f>
        <v>0</v>
      </c>
      <c r="M643" s="99" t="n">
        <v>0</v>
      </c>
      <c r="N643" s="99" t="n">
        <v>0</v>
      </c>
      <c r="O643" s="99" t="n">
        <v>0</v>
      </c>
      <c r="P643" s="42">
        <f>I643-SUM(K643:O643)</f>
        <v>2650878</v>
      </c>
    </row>
    <row r="644" spans="1:16">
      <c r="A644" s="37" t="n">
        <v>655</v>
      </c>
      <c r="B644" s="97" t="s">
        <v>1896</v>
      </c>
      <c r="C644" s="121" t="s">
        <v>58</v>
      </c>
      <c r="D644" s="121" t="s">
        <v>20</v>
      </c>
      <c r="E644" s="121" t="s">
        <v>21</v>
      </c>
      <c r="F644" s="121" t="s">
        <v>1897</v>
      </c>
      <c r="G644" s="122" t="s">
        <v>1804</v>
      </c>
      <c r="H644" s="121" t="s">
        <v>1898</v>
      </c>
      <c r="I644" s="99" t="n">
        <v>3082956</v>
      </c>
      <c r="J644" s="99" t="n">
        <v>3082956</v>
      </c>
      <c r="K644" s="99">
        <f>IF(C644="III",ROUND(J644*$R$2,0),IF(C644="P3K/III",ROUND(J644*$R$2,0),0))</f>
        <v>154148</v>
      </c>
      <c r="L644" s="99">
        <f>IF(C644="IV",ROUND(J644*$R$3,0),0)</f>
        <v>0</v>
      </c>
      <c r="M644" s="99" t="n">
        <v>0</v>
      </c>
      <c r="N644" s="99" t="n">
        <v>0</v>
      </c>
      <c r="O644" s="99" t="n">
        <v>0</v>
      </c>
      <c r="P644" s="42">
        <f>I644-SUM(K644:O644)</f>
        <v>2928808</v>
      </c>
    </row>
    <row r="645" spans="1:16">
      <c r="A645" s="37" t="n">
        <v>656</v>
      </c>
      <c r="B645" s="97" t="s">
        <v>1899</v>
      </c>
      <c r="C645" s="121" t="s">
        <v>58</v>
      </c>
      <c r="D645" s="121" t="s">
        <v>20</v>
      </c>
      <c r="E645" s="121" t="s">
        <v>21</v>
      </c>
      <c r="F645" s="121" t="s">
        <v>1900</v>
      </c>
      <c r="G645" s="40" t="n">
        <v>0</v>
      </c>
      <c r="H645" s="121" t="s">
        <v>1901</v>
      </c>
      <c r="I645" s="99" t="n">
        <v>2777235</v>
      </c>
      <c r="J645" s="99" t="n">
        <v>2777235</v>
      </c>
      <c r="K645" s="99">
        <f>IF(C645="III",ROUND(J645*$R$2,0),IF(C645="P3K/III",ROUND(J645*$R$2,0),0))</f>
        <v>138862</v>
      </c>
      <c r="L645" s="99">
        <f>IF(C645="IV",ROUND(J645*$R$3,0),0)</f>
        <v>0</v>
      </c>
      <c r="M645" s="99" t="n">
        <v>0</v>
      </c>
      <c r="N645" s="99" t="n">
        <v>0</v>
      </c>
      <c r="O645" s="99" t="n">
        <v>0</v>
      </c>
      <c r="P645" s="42">
        <f>I645-SUM(K645:O645)</f>
        <v>2638373</v>
      </c>
    </row>
    <row r="646" spans="1:16">
      <c r="A646" s="37" t="n">
        <v>657</v>
      </c>
      <c r="B646" s="97" t="s">
        <v>1902</v>
      </c>
      <c r="C646" s="121" t="s">
        <v>58</v>
      </c>
      <c r="D646" s="121" t="s">
        <v>20</v>
      </c>
      <c r="E646" s="121" t="s">
        <v>21</v>
      </c>
      <c r="F646" s="121" t="s">
        <v>1903</v>
      </c>
      <c r="G646" s="40" t="n">
        <v>0</v>
      </c>
      <c r="H646" s="121" t="s">
        <v>1904</v>
      </c>
      <c r="I646" s="99" t="n">
        <v>3019128</v>
      </c>
      <c r="J646" s="99" t="n">
        <v>3019128</v>
      </c>
      <c r="K646" s="99">
        <f>IF(C646="III",ROUND(J646*$R$2,0),IF(C646="P3K/III",ROUND(J646*$R$2,0),0))</f>
        <v>150956</v>
      </c>
      <c r="L646" s="99">
        <f>IF(C646="IV",ROUND(J646*$R$3,0),0)</f>
        <v>0</v>
      </c>
      <c r="M646" s="99" t="n">
        <v>0</v>
      </c>
      <c r="N646" s="99" t="n">
        <v>0</v>
      </c>
      <c r="O646" s="99" t="n">
        <v>0</v>
      </c>
      <c r="P646" s="42">
        <f>I646-SUM(K646:O646)</f>
        <v>2868172</v>
      </c>
    </row>
    <row r="647" spans="1:16">
      <c r="A647" s="37" t="n">
        <v>659</v>
      </c>
      <c r="B647" s="97" t="s">
        <v>1905</v>
      </c>
      <c r="C647" s="121" t="s">
        <v>120</v>
      </c>
      <c r="D647" s="121" t="s">
        <v>128</v>
      </c>
      <c r="E647" s="121" t="s">
        <v>15</v>
      </c>
      <c r="F647" s="98" t="n">
        <v>0</v>
      </c>
      <c r="G647" s="40" t="n">
        <v>0</v>
      </c>
      <c r="H647" s="121" t="s">
        <v>1906</v>
      </c>
      <c r="I647" s="99" t="n">
        <v>2196380</v>
      </c>
      <c r="J647" s="99" t="n">
        <v>2196380</v>
      </c>
      <c r="K647" s="99">
        <f>IF(C647="III",ROUND(J647*$R$2,0),IF(C647="P3K/III",ROUND(J647*$R$2,0),0))</f>
        <v>0</v>
      </c>
      <c r="L647" s="99">
        <f>IF(C647="IV",ROUND(J647*$R$3,0),0)</f>
        <v>0</v>
      </c>
      <c r="M647" s="99" t="n">
        <v>0</v>
      </c>
      <c r="N647" s="99" t="n">
        <v>0</v>
      </c>
      <c r="O647" s="99" t="n">
        <v>0</v>
      </c>
      <c r="P647" s="42">
        <f>I647-SUM(K647:O647)</f>
        <v>2196380</v>
      </c>
    </row>
    <row r="648" spans="1:16">
      <c r="A648" s="37" t="n">
        <v>660</v>
      </c>
      <c r="B648" s="97" t="s">
        <v>1907</v>
      </c>
      <c r="C648" s="121" t="s">
        <v>120</v>
      </c>
      <c r="D648" s="121" t="s">
        <v>124</v>
      </c>
      <c r="E648" s="121" t="s">
        <v>15</v>
      </c>
      <c r="F648" s="98" t="n">
        <v>0</v>
      </c>
      <c r="G648" s="40" t="n">
        <v>0</v>
      </c>
      <c r="H648" s="121" t="s">
        <v>1908</v>
      </c>
      <c r="I648" s="99" t="n">
        <v>2266609</v>
      </c>
      <c r="J648" s="99" t="n">
        <v>2266609</v>
      </c>
      <c r="K648" s="99">
        <f>IF(C648="III",ROUND(J648*$R$2,0),IF(C648="P3K/III",ROUND(J648*$R$2,0),0))</f>
        <v>0</v>
      </c>
      <c r="L648" s="99">
        <f>IF(C648="IV",ROUND(J648*$R$3,0),0)</f>
        <v>0</v>
      </c>
      <c r="M648" s="99" t="n">
        <v>0</v>
      </c>
      <c r="N648" s="99" t="n">
        <v>0</v>
      </c>
      <c r="O648" s="99" t="n">
        <v>0</v>
      </c>
      <c r="P648" s="42">
        <f>I648-SUM(K648:O648)</f>
        <v>2266609</v>
      </c>
    </row>
    <row r="649" spans="1:16">
      <c r="A649" s="37" t="n">
        <v>661</v>
      </c>
      <c r="B649" s="97" t="s">
        <v>1909</v>
      </c>
      <c r="C649" s="121" t="s">
        <v>95</v>
      </c>
      <c r="D649" s="121" t="s">
        <v>124</v>
      </c>
      <c r="E649" s="121" t="s">
        <v>15</v>
      </c>
      <c r="F649" s="98" t="n">
        <v>0</v>
      </c>
      <c r="G649" s="122" t="s">
        <v>1815</v>
      </c>
      <c r="H649" s="121" t="s">
        <v>1910</v>
      </c>
      <c r="I649" s="99" t="n">
        <v>1964241</v>
      </c>
      <c r="J649" s="99" t="n">
        <v>1964241</v>
      </c>
      <c r="K649" s="99">
        <f>IF(C649="III",ROUND(J649*$R$2,0),IF(C649="P3K/III",ROUND(J649*$R$2,0),0))</f>
        <v>0</v>
      </c>
      <c r="L649" s="99">
        <f>IF(C649="IV",ROUND(J649*$R$3,0),0)</f>
        <v>0</v>
      </c>
      <c r="M649" s="99" t="n">
        <v>0</v>
      </c>
      <c r="N649" s="99" t="n">
        <v>0</v>
      </c>
      <c r="O649" s="99" t="n">
        <v>0</v>
      </c>
      <c r="P649" s="42">
        <f>I649-SUM(K649:O649)</f>
        <v>1964241</v>
      </c>
    </row>
    <row r="650" spans="1:16">
      <c r="A650" s="37" t="n">
        <v>662</v>
      </c>
      <c r="B650" s="97" t="s">
        <v>1911</v>
      </c>
      <c r="C650" s="121" t="s">
        <v>95</v>
      </c>
      <c r="D650" s="121" t="s">
        <v>124</v>
      </c>
      <c r="E650" s="121" t="s">
        <v>15</v>
      </c>
      <c r="F650" s="98" t="n">
        <v>0</v>
      </c>
      <c r="G650" s="122" t="s">
        <v>1818</v>
      </c>
      <c r="H650" s="121" t="s">
        <v>1912</v>
      </c>
      <c r="I650" s="99" t="n">
        <v>1964241</v>
      </c>
      <c r="J650" s="99" t="n">
        <v>1964241</v>
      </c>
      <c r="K650" s="99">
        <f>IF(C650="III",ROUND(J650*$R$2,0),IF(C650="P3K/III",ROUND(J650*$R$2,0),0))</f>
        <v>0</v>
      </c>
      <c r="L650" s="99">
        <f>IF(C650="IV",ROUND(J650*$R$3,0),0)</f>
        <v>0</v>
      </c>
      <c r="M650" s="99" t="n">
        <v>0</v>
      </c>
      <c r="N650" s="99" t="n">
        <v>0</v>
      </c>
      <c r="O650" s="99" t="n">
        <v>0</v>
      </c>
      <c r="P650" s="42">
        <f>I650-SUM(K650:O650)</f>
        <v>1964241</v>
      </c>
    </row>
    <row r="651" spans="1:16">
      <c r="A651" s="37" t="n">
        <v>663</v>
      </c>
      <c r="B651" s="97" t="s">
        <v>1913</v>
      </c>
      <c r="C651" s="121" t="s">
        <v>95</v>
      </c>
      <c r="D651" s="121" t="s">
        <v>128</v>
      </c>
      <c r="E651" s="121" t="s">
        <v>15</v>
      </c>
      <c r="F651" s="98" t="n">
        <v>0</v>
      </c>
      <c r="G651" s="122" t="s">
        <v>1822</v>
      </c>
      <c r="H651" s="121" t="s">
        <v>1914</v>
      </c>
      <c r="I651" s="99" t="n">
        <v>1964241</v>
      </c>
      <c r="J651" s="99" t="n">
        <v>1964241</v>
      </c>
      <c r="K651" s="99">
        <f>IF(C651="III",ROUND(J651*$R$2,0),IF(C651="P3K/III",ROUND(J651*$R$2,0),0))</f>
        <v>0</v>
      </c>
      <c r="L651" s="99">
        <f>IF(C651="IV",ROUND(J651*$R$3,0),0)</f>
        <v>0</v>
      </c>
      <c r="M651" s="99" t="n">
        <v>0</v>
      </c>
      <c r="N651" s="99" t="n">
        <v>0</v>
      </c>
      <c r="O651" s="99" t="n">
        <v>0</v>
      </c>
      <c r="P651" s="42">
        <f>I651-SUM(K651:O651)</f>
        <v>1964241</v>
      </c>
    </row>
    <row r="652" spans="1:16">
      <c r="A652" s="37" t="n">
        <v>664</v>
      </c>
      <c r="B652" s="97" t="s">
        <v>1915</v>
      </c>
      <c r="C652" s="121" t="s">
        <v>111</v>
      </c>
      <c r="D652" s="121" t="s">
        <v>20</v>
      </c>
      <c r="E652" s="121" t="s">
        <v>21</v>
      </c>
      <c r="F652" s="121" t="s">
        <v>1916</v>
      </c>
      <c r="G652" s="40" t="n">
        <v>0</v>
      </c>
      <c r="H652" s="121" t="s">
        <v>1917</v>
      </c>
      <c r="I652" s="99" t="n">
        <v>1868499</v>
      </c>
      <c r="J652" s="99" t="n">
        <v>1868499</v>
      </c>
      <c r="K652" s="99">
        <f>IF(C652="III",ROUND(J652*$R$2,0),IF(C652="P3K/III",ROUND(J652*$R$2,0),0))</f>
        <v>0</v>
      </c>
      <c r="L652" s="99">
        <f>IF(C652="IV",ROUND(J652*$R$3,0),0)</f>
        <v>0</v>
      </c>
      <c r="M652" s="99" t="n">
        <v>0</v>
      </c>
      <c r="N652" s="99" t="n">
        <v>0</v>
      </c>
      <c r="O652" s="99" t="n">
        <v>0</v>
      </c>
      <c r="P652" s="42">
        <f>I652-SUM(K652:O652)</f>
        <v>1868499</v>
      </c>
    </row>
    <row r="653" spans="1:16">
      <c r="A653" s="37" t="n">
        <v>665</v>
      </c>
      <c r="B653" s="97" t="s">
        <v>1918</v>
      </c>
      <c r="C653" s="121" t="s">
        <v>95</v>
      </c>
      <c r="D653" s="121" t="s">
        <v>128</v>
      </c>
      <c r="E653" s="121" t="s">
        <v>15</v>
      </c>
      <c r="F653" s="98" t="n">
        <v>0</v>
      </c>
      <c r="G653" s="122" t="s">
        <v>1829</v>
      </c>
      <c r="H653" s="121" t="s">
        <v>1919</v>
      </c>
      <c r="I653" s="99" t="n">
        <v>1964241</v>
      </c>
      <c r="J653" s="99" t="n">
        <v>1964241</v>
      </c>
      <c r="K653" s="99">
        <f>IF(C653="III",ROUND(J653*$R$2,0),IF(C653="P3K/III",ROUND(J653*$R$2,0),0))</f>
        <v>0</v>
      </c>
      <c r="L653" s="99">
        <f>IF(C653="IV",ROUND(J653*$R$3,0),0)</f>
        <v>0</v>
      </c>
      <c r="M653" s="99" t="n">
        <v>0</v>
      </c>
      <c r="N653" s="99" t="n">
        <v>0</v>
      </c>
      <c r="O653" s="99" t="n">
        <v>0</v>
      </c>
      <c r="P653" s="42">
        <f>I653-SUM(K653:O653)</f>
        <v>1964241</v>
      </c>
    </row>
    <row r="654" spans="1:16">
      <c r="A654" s="37" t="n">
        <v>666</v>
      </c>
      <c r="B654" s="97" t="s">
        <v>1920</v>
      </c>
      <c r="C654" s="121" t="s">
        <v>95</v>
      </c>
      <c r="D654" s="121" t="s">
        <v>128</v>
      </c>
      <c r="E654" s="121" t="s">
        <v>15</v>
      </c>
      <c r="F654" s="98" t="n">
        <v>0</v>
      </c>
      <c r="G654" s="122" t="s">
        <v>1833</v>
      </c>
      <c r="H654" s="121" t="s">
        <v>1921</v>
      </c>
      <c r="I654" s="99" t="n">
        <v>1964241</v>
      </c>
      <c r="J654" s="99" t="n">
        <v>1964241</v>
      </c>
      <c r="K654" s="99">
        <f>IF(C654="III",ROUND(J654*$R$2,0),IF(C654="P3K/III",ROUND(J654*$R$2,0),0))</f>
        <v>0</v>
      </c>
      <c r="L654" s="99">
        <f>IF(C654="IV",ROUND(J654*$R$3,0),0)</f>
        <v>0</v>
      </c>
      <c r="M654" s="99" t="n">
        <v>0</v>
      </c>
      <c r="N654" s="99" t="n">
        <v>0</v>
      </c>
      <c r="O654" s="99" t="n">
        <v>0</v>
      </c>
      <c r="P654" s="42">
        <f>I654-SUM(K654:O654)</f>
        <v>1964241</v>
      </c>
    </row>
    <row r="655" spans="1:16">
      <c r="A655" s="37" t="n">
        <v>667</v>
      </c>
      <c r="B655" s="97" t="s">
        <v>1922</v>
      </c>
      <c r="C655" s="121" t="s">
        <v>95</v>
      </c>
      <c r="D655" s="121" t="s">
        <v>121</v>
      </c>
      <c r="E655" s="121" t="s">
        <v>14</v>
      </c>
      <c r="F655" s="98" t="n">
        <v>0</v>
      </c>
      <c r="G655" s="122" t="s">
        <v>1837</v>
      </c>
      <c r="H655" s="121" t="s">
        <v>1923</v>
      </c>
      <c r="I655" s="99" t="n">
        <v>2339177</v>
      </c>
      <c r="J655" s="99" t="n">
        <v>2339177</v>
      </c>
      <c r="K655" s="99">
        <f>IF(C655="III",ROUND(J655*$R$2,0),IF(C655="P3K/III",ROUND(J655*$R$2,0),0))</f>
        <v>0</v>
      </c>
      <c r="L655" s="99">
        <f>IF(C655="IV",ROUND(J655*$R$3,0),0)</f>
        <v>0</v>
      </c>
      <c r="M655" s="99" t="n">
        <v>0</v>
      </c>
      <c r="N655" s="99" t="n">
        <v>0</v>
      </c>
      <c r="O655" s="99" t="n">
        <v>0</v>
      </c>
      <c r="P655" s="42">
        <f>I655-SUM(K655:O655)</f>
        <v>2339177</v>
      </c>
    </row>
    <row r="656" spans="1:16">
      <c r="A656" s="37" t="n">
        <v>668</v>
      </c>
      <c r="B656" s="97" t="s">
        <v>1924</v>
      </c>
      <c r="C656" s="121" t="s">
        <v>120</v>
      </c>
      <c r="D656" s="121" t="s">
        <v>278</v>
      </c>
      <c r="E656" s="121" t="s">
        <v>16</v>
      </c>
      <c r="F656" s="98" t="n">
        <v>0</v>
      </c>
      <c r="G656" s="122" t="s">
        <v>1841</v>
      </c>
      <c r="H656" s="121" t="s">
        <v>1925</v>
      </c>
      <c r="I656" s="99" t="n">
        <v>919566</v>
      </c>
      <c r="J656" s="99" t="n">
        <v>919566</v>
      </c>
      <c r="K656" s="99">
        <f>IF(C656="III",ROUND(J656*$R$2,0),IF(C656="P3K/III",ROUND(J656*$R$2,0),0))</f>
        <v>0</v>
      </c>
      <c r="L656" s="99">
        <f>IF(C656="IV",ROUND(J656*$R$3,0),0)</f>
        <v>0</v>
      </c>
      <c r="M656" s="99" t="n">
        <v>0</v>
      </c>
      <c r="N656" s="99" t="n">
        <v>0</v>
      </c>
      <c r="O656" s="99" t="n">
        <v>0</v>
      </c>
      <c r="P656" s="42">
        <f>I656-SUM(K656:O656)</f>
        <v>919566</v>
      </c>
    </row>
    <row r="657" spans="1:16">
      <c r="A657" s="37" t="n">
        <v>669</v>
      </c>
      <c r="B657" s="97" t="s">
        <v>1926</v>
      </c>
      <c r="C657" s="121" t="s">
        <v>120</v>
      </c>
      <c r="D657" s="121" t="s">
        <v>128</v>
      </c>
      <c r="E657" s="121" t="s">
        <v>15</v>
      </c>
      <c r="F657" s="98" t="n">
        <v>0</v>
      </c>
      <c r="G657" s="122" t="s">
        <v>1845</v>
      </c>
      <c r="H657" s="121" t="s">
        <v>1927</v>
      </c>
      <c r="I657" s="99" t="n">
        <v>895377</v>
      </c>
      <c r="J657" s="99" t="n">
        <v>895377</v>
      </c>
      <c r="K657" s="99">
        <f>IF(C657="III",ROUND(J657*$R$2,0),IF(C657="P3K/III",ROUND(J657*$R$2,0),0))</f>
        <v>0</v>
      </c>
      <c r="L657" s="99">
        <f>IF(C657="IV",ROUND(J657*$R$3,0),0)</f>
        <v>0</v>
      </c>
      <c r="M657" s="99" t="n">
        <v>0</v>
      </c>
      <c r="N657" s="99" t="n">
        <v>0</v>
      </c>
      <c r="O657" s="99" t="n">
        <v>0</v>
      </c>
      <c r="P657" s="42">
        <f>I657-SUM(K657:O657)</f>
        <v>895377</v>
      </c>
    </row>
    <row r="658" spans="1:16">
      <c r="A658" s="37" t="n">
        <v>670</v>
      </c>
      <c r="B658" s="97" t="s">
        <v>1928</v>
      </c>
      <c r="C658" s="121" t="s">
        <v>120</v>
      </c>
      <c r="D658" s="121" t="s">
        <v>128</v>
      </c>
      <c r="E658" s="121" t="s">
        <v>15</v>
      </c>
      <c r="F658" s="98" t="n">
        <v>0</v>
      </c>
      <c r="G658" s="40" t="n">
        <v>0</v>
      </c>
      <c r="H658" s="121" t="s">
        <v>1929</v>
      </c>
      <c r="I658" s="99" t="n">
        <v>1261691</v>
      </c>
      <c r="J658" s="99" t="n">
        <v>1261691</v>
      </c>
      <c r="K658" s="99">
        <f>IF(C658="III",ROUND(J658*$R$2,0),IF(C658="P3K/III",ROUND(J658*$R$2,0),0))</f>
        <v>0</v>
      </c>
      <c r="L658" s="99">
        <f>IF(C658="IV",ROUND(J658*$R$3,0),0)</f>
        <v>0</v>
      </c>
      <c r="M658" s="99" t="n">
        <v>0</v>
      </c>
      <c r="N658" s="99" t="n">
        <v>0</v>
      </c>
      <c r="O658" s="99" t="n">
        <v>0</v>
      </c>
      <c r="P658" s="42">
        <f>I658-SUM(K658:O658)</f>
        <v>1261691</v>
      </c>
    </row>
    <row r="659" spans="1:16">
      <c r="A659" s="37" t="n">
        <v>671</v>
      </c>
      <c r="B659" s="97" t="s">
        <v>1930</v>
      </c>
      <c r="C659" s="121" t="s">
        <v>120</v>
      </c>
      <c r="D659" s="121" t="s">
        <v>128</v>
      </c>
      <c r="E659" s="121" t="s">
        <v>15</v>
      </c>
      <c r="F659" s="98" t="n">
        <v>0</v>
      </c>
      <c r="G659" s="122" t="s">
        <v>1851</v>
      </c>
      <c r="H659" s="121" t="s">
        <v>1931</v>
      </c>
      <c r="I659" s="99" t="n">
        <v>1387775</v>
      </c>
      <c r="J659" s="99" t="n">
        <v>1387775</v>
      </c>
      <c r="K659" s="99">
        <f>IF(C659="III",ROUND(J659*$R$2,0),IF(C659="P3K/III",ROUND(J659*$R$2,0),0))</f>
        <v>0</v>
      </c>
      <c r="L659" s="99">
        <f>IF(C659="IV",ROUND(J659*$R$3,0),0)</f>
        <v>0</v>
      </c>
      <c r="M659" s="99" t="n">
        <v>0</v>
      </c>
      <c r="N659" s="99" t="n">
        <v>0</v>
      </c>
      <c r="O659" s="99" t="n">
        <v>0</v>
      </c>
      <c r="P659" s="42">
        <f>I659-SUM(K659:O659)</f>
        <v>1387775</v>
      </c>
    </row>
    <row r="660" spans="1:16">
      <c r="A660" s="37" t="n">
        <v>672</v>
      </c>
      <c r="B660" s="97" t="s">
        <v>1932</v>
      </c>
      <c r="C660" s="121" t="s">
        <v>120</v>
      </c>
      <c r="D660" s="121" t="s">
        <v>128</v>
      </c>
      <c r="E660" s="121" t="s">
        <v>15</v>
      </c>
      <c r="F660" s="98" t="n">
        <v>0</v>
      </c>
      <c r="G660" s="40" t="n">
        <v>0</v>
      </c>
      <c r="H660" s="121" t="s">
        <v>1933</v>
      </c>
      <c r="I660" s="99" t="n">
        <v>919566</v>
      </c>
      <c r="J660" s="99" t="n">
        <v>919566</v>
      </c>
      <c r="K660" s="99">
        <f>IF(C660="III",ROUND(J660*$R$2,0),IF(C660="P3K/III",ROUND(J660*$R$2,0),0))</f>
        <v>0</v>
      </c>
      <c r="L660" s="99">
        <f>IF(C660="IV",ROUND(J660*$R$3,0),0)</f>
        <v>0</v>
      </c>
      <c r="M660" s="99" t="n">
        <v>0</v>
      </c>
      <c r="N660" s="99" t="n">
        <v>0</v>
      </c>
      <c r="O660" s="99" t="n">
        <v>0</v>
      </c>
      <c r="P660" s="42">
        <f>I660-SUM(K660:O660)</f>
        <v>919566</v>
      </c>
    </row>
    <row r="661" spans="1:16">
      <c r="A661" s="37" t="n">
        <v>673</v>
      </c>
      <c r="B661" s="97" t="s">
        <v>1934</v>
      </c>
      <c r="C661" s="121" t="s">
        <v>58</v>
      </c>
      <c r="D661" s="121" t="s">
        <v>20</v>
      </c>
      <c r="E661" s="121" t="s">
        <v>21</v>
      </c>
      <c r="F661" s="121" t="s">
        <v>1935</v>
      </c>
      <c r="G661" s="40" t="n">
        <v>0</v>
      </c>
      <c r="H661" s="121" t="s">
        <v>1936</v>
      </c>
      <c r="I661" s="99" t="n">
        <v>26068398</v>
      </c>
      <c r="J661" s="99" t="n">
        <v>26068398</v>
      </c>
      <c r="K661" s="99">
        <f>IF(C661="III",ROUND(J661*$R$2,0),IF(C661="P3K/III",ROUND(J661*$R$2,0),0))</f>
        <v>1303420</v>
      </c>
      <c r="L661" s="99">
        <f>IF(C661="IV",ROUND(J661*$R$3,0),0)</f>
        <v>0</v>
      </c>
      <c r="M661" s="99" t="n">
        <v>0</v>
      </c>
      <c r="N661" s="99" t="n">
        <v>0</v>
      </c>
      <c r="O661" s="99" t="n">
        <v>0</v>
      </c>
      <c r="P661" s="42">
        <f>I661-SUM(K661:O661)</f>
        <v>24764978</v>
      </c>
    </row>
    <row r="662" spans="1:16">
      <c r="A662" s="37" t="n">
        <v>674</v>
      </c>
      <c r="B662" s="97" t="s">
        <v>1937</v>
      </c>
      <c r="C662" s="121" t="s">
        <v>19</v>
      </c>
      <c r="D662" s="121" t="s">
        <v>20</v>
      </c>
      <c r="E662" s="121" t="s">
        <v>21</v>
      </c>
      <c r="F662" s="121" t="s">
        <v>1938</v>
      </c>
      <c r="G662" s="40" t="n">
        <v>0</v>
      </c>
      <c r="H662" s="121" t="s">
        <v>1939</v>
      </c>
      <c r="I662" s="99" t="n">
        <v>43762729</v>
      </c>
      <c r="J662" s="99" t="n">
        <v>43762729</v>
      </c>
      <c r="K662" s="99">
        <f>IF(C662="III",ROUND(J662*$R$2,0),IF(C662="P3K/III",ROUND(J662*$R$2,0),0))</f>
        <v>0</v>
      </c>
      <c r="L662" s="99">
        <f>IF(C662="IV",ROUND(J662*$R$3,0),0)</f>
        <v>6564409</v>
      </c>
      <c r="M662" s="99" t="n">
        <v>0</v>
      </c>
      <c r="N662" s="99" t="n">
        <v>0</v>
      </c>
      <c r="O662" s="99" t="n">
        <v>0</v>
      </c>
      <c r="P662" s="42">
        <f>I662-SUM(K662:O662)</f>
        <v>37198320</v>
      </c>
    </row>
    <row r="663" spans="1:16">
      <c r="A663" s="37" t="n">
        <v>675</v>
      </c>
      <c r="B663" s="97" t="s">
        <v>1940</v>
      </c>
      <c r="C663" s="121" t="s">
        <v>58</v>
      </c>
      <c r="D663" s="121" t="s">
        <v>20</v>
      </c>
      <c r="E663" s="121" t="s">
        <v>21</v>
      </c>
      <c r="F663" s="121" t="s">
        <v>1941</v>
      </c>
      <c r="G663" s="122" t="s">
        <v>1864</v>
      </c>
      <c r="H663" s="121" t="s">
        <v>1942</v>
      </c>
      <c r="I663" s="99" t="n">
        <v>10196213</v>
      </c>
      <c r="J663" s="99" t="n">
        <v>10196213</v>
      </c>
      <c r="K663" s="99">
        <f>IF(C663="III",ROUND(J663*$R$2,0),IF(C663="P3K/III",ROUND(J663*$R$2,0),0))</f>
        <v>509811</v>
      </c>
      <c r="L663" s="99">
        <f>IF(C663="IV",ROUND(J663*$R$3,0),0)</f>
        <v>0</v>
      </c>
      <c r="M663" s="99" t="n">
        <v>0</v>
      </c>
      <c r="N663" s="99" t="n">
        <v>0</v>
      </c>
      <c r="O663" s="99" t="n">
        <v>0</v>
      </c>
      <c r="P663" s="42">
        <f>I663-SUM(K663:O663)</f>
        <v>9686402</v>
      </c>
    </row>
    <row r="664" spans="1:16">
      <c r="A664" s="37" t="n">
        <v>676</v>
      </c>
      <c r="B664" s="97" t="s">
        <v>1943</v>
      </c>
      <c r="C664" s="121" t="s">
        <v>131</v>
      </c>
      <c r="D664" s="121" t="s">
        <v>20</v>
      </c>
      <c r="E664" s="121" t="s">
        <v>21</v>
      </c>
      <c r="F664" s="121" t="s">
        <v>1944</v>
      </c>
      <c r="G664" s="122" t="s">
        <v>1868</v>
      </c>
      <c r="H664" s="121" t="s">
        <v>1945</v>
      </c>
      <c r="I664" s="99" t="n">
        <v>7167542</v>
      </c>
      <c r="J664" s="99" t="n">
        <v>7167542</v>
      </c>
      <c r="K664" s="99">
        <f>IF(C664="III",ROUND(J664*$R$2,0),IF(C664="P3K/III",ROUND(J664*$R$2,0),0))</f>
        <v>358377</v>
      </c>
      <c r="L664" s="99">
        <f>IF(C664="IV",ROUND(J664*$R$3,0),0)</f>
        <v>0</v>
      </c>
      <c r="M664" s="99" t="n">
        <v>0</v>
      </c>
      <c r="N664" s="99" t="n">
        <v>0</v>
      </c>
      <c r="O664" s="99" t="n">
        <v>0</v>
      </c>
      <c r="P664" s="42">
        <f>I664-SUM(K664:O664)</f>
        <v>6809165</v>
      </c>
    </row>
    <row r="665" spans="1:16">
      <c r="A665" s="37" t="n">
        <v>677</v>
      </c>
      <c r="B665" s="97" t="s">
        <v>1946</v>
      </c>
      <c r="C665" s="121" t="s">
        <v>58</v>
      </c>
      <c r="D665" s="121" t="s">
        <v>20</v>
      </c>
      <c r="E665" s="121" t="s">
        <v>21</v>
      </c>
      <c r="F665" s="121" t="s">
        <v>1947</v>
      </c>
      <c r="G665" s="122" t="s">
        <v>1872</v>
      </c>
      <c r="H665" s="121" t="s">
        <v>1948</v>
      </c>
      <c r="I665" s="99" t="n">
        <v>60052885</v>
      </c>
      <c r="J665" s="99" t="n">
        <v>60052885</v>
      </c>
      <c r="K665" s="99">
        <f>IF(C665="III",ROUND(J665*$R$2,0),IF(C665="P3K/III",ROUND(J665*$R$2,0),0))</f>
        <v>3002644</v>
      </c>
      <c r="L665" s="99">
        <f>IF(C665="IV",ROUND(J665*$R$3,0),0)</f>
        <v>0</v>
      </c>
      <c r="M665" s="99" t="n">
        <v>0</v>
      </c>
      <c r="N665" s="99" t="n">
        <v>0</v>
      </c>
      <c r="O665" s="99" t="n">
        <v>0</v>
      </c>
      <c r="P665" s="42">
        <f>I665-SUM(K665:O665)</f>
        <v>57050241</v>
      </c>
    </row>
    <row r="666" spans="1:16">
      <c r="A666" s="37" t="n">
        <v>678</v>
      </c>
      <c r="B666" s="97" t="s">
        <v>1949</v>
      </c>
      <c r="C666" s="121" t="s">
        <v>58</v>
      </c>
      <c r="D666" s="121" t="s">
        <v>20</v>
      </c>
      <c r="E666" s="121" t="s">
        <v>21</v>
      </c>
      <c r="F666" s="121" t="s">
        <v>1950</v>
      </c>
      <c r="G666" s="122" t="s">
        <v>1876</v>
      </c>
      <c r="H666" s="121" t="s">
        <v>1951</v>
      </c>
      <c r="I666" s="99" t="n">
        <v>26183314</v>
      </c>
      <c r="J666" s="99" t="n">
        <v>26183314</v>
      </c>
      <c r="K666" s="99">
        <f>IF(C666="III",ROUND(J666*$R$2,0),IF(C666="P3K/III",ROUND(J666*$R$2,0),0))</f>
        <v>1309166</v>
      </c>
      <c r="L666" s="99">
        <f>IF(C666="IV",ROUND(J666*$R$3,0),0)</f>
        <v>0</v>
      </c>
      <c r="M666" s="99" t="n">
        <v>0</v>
      </c>
      <c r="N666" s="99" t="n">
        <v>0</v>
      </c>
      <c r="O666" s="99" t="n">
        <v>0</v>
      </c>
      <c r="P666" s="42">
        <f>I666-SUM(K666:O666)</f>
        <v>24874148</v>
      </c>
    </row>
    <row r="667" spans="1:16">
      <c r="A667" s="37" t="n">
        <v>679</v>
      </c>
      <c r="B667" s="97" t="s">
        <v>1952</v>
      </c>
      <c r="C667" s="121" t="s">
        <v>58</v>
      </c>
      <c r="D667" s="121" t="s">
        <v>20</v>
      </c>
      <c r="E667" s="121" t="s">
        <v>21</v>
      </c>
      <c r="F667" s="121" t="s">
        <v>1953</v>
      </c>
      <c r="G667" s="122" t="s">
        <v>1880</v>
      </c>
      <c r="H667" s="121" t="s">
        <v>1954</v>
      </c>
      <c r="I667" s="99" t="n">
        <v>26407830</v>
      </c>
      <c r="J667" s="99" t="n">
        <v>26407830</v>
      </c>
      <c r="K667" s="99">
        <f>IF(C667="III",ROUND(J667*$R$2,0),IF(C667="P3K/III",ROUND(J667*$R$2,0),0))</f>
        <v>1320392</v>
      </c>
      <c r="L667" s="99">
        <f>IF(C667="IV",ROUND(J667*$R$3,0),0)</f>
        <v>0</v>
      </c>
      <c r="M667" s="99" t="n">
        <v>0</v>
      </c>
      <c r="N667" s="99" t="n">
        <v>0</v>
      </c>
      <c r="O667" s="99" t="n">
        <v>0</v>
      </c>
      <c r="P667" s="42">
        <f>I667-SUM(K667:O667)</f>
        <v>25087438</v>
      </c>
    </row>
    <row r="668" spans="1:16">
      <c r="A668" s="37" t="n">
        <v>680</v>
      </c>
      <c r="B668" s="97" t="s">
        <v>1955</v>
      </c>
      <c r="C668" s="121" t="s">
        <v>19</v>
      </c>
      <c r="D668" s="121" t="s">
        <v>20</v>
      </c>
      <c r="E668" s="121" t="s">
        <v>21</v>
      </c>
      <c r="F668" s="121" t="s">
        <v>1956</v>
      </c>
      <c r="G668" s="40" t="n">
        <v>0</v>
      </c>
      <c r="H668" s="121" t="s">
        <v>1957</v>
      </c>
      <c r="I668" s="99" t="n">
        <v>23189887</v>
      </c>
      <c r="J668" s="99" t="n">
        <v>23189887</v>
      </c>
      <c r="K668" s="99">
        <f>IF(C668="III",ROUND(J668*$R$2,0),IF(C668="P3K/III",ROUND(J668*$R$2,0),0))</f>
        <v>0</v>
      </c>
      <c r="L668" s="99">
        <f>IF(C668="IV",ROUND(J668*$R$3,0),0)</f>
        <v>3478483</v>
      </c>
      <c r="M668" s="99" t="n">
        <v>0</v>
      </c>
      <c r="N668" s="99" t="n">
        <v>0</v>
      </c>
      <c r="O668" s="99" t="n">
        <v>0</v>
      </c>
      <c r="P668" s="42">
        <f>I668-SUM(K668:O668)</f>
        <v>19711404</v>
      </c>
    </row>
    <row r="669" spans="1:16">
      <c r="A669" s="37" t="n">
        <v>681</v>
      </c>
      <c r="B669" s="97" t="s">
        <v>1958</v>
      </c>
      <c r="C669" s="121" t="s">
        <v>58</v>
      </c>
      <c r="D669" s="121" t="s">
        <v>20</v>
      </c>
      <c r="E669" s="121" t="s">
        <v>21</v>
      </c>
      <c r="F669" s="121" t="s">
        <v>1959</v>
      </c>
      <c r="G669" s="122" t="s">
        <v>1960</v>
      </c>
      <c r="H669" s="121" t="s">
        <v>1961</v>
      </c>
      <c r="I669" s="99" t="n">
        <v>3378395</v>
      </c>
      <c r="J669" s="99" t="n">
        <v>3378395</v>
      </c>
      <c r="K669" s="99">
        <f>IF(C669="III",ROUND(J669*$R$2,0),IF(C669="P3K/III",ROUND(J669*$R$2,0),0))</f>
        <v>168920</v>
      </c>
      <c r="L669" s="99">
        <f>IF(C669="IV",ROUND(J669*$R$3,0),0)</f>
        <v>0</v>
      </c>
      <c r="M669" s="99" t="n">
        <v>0</v>
      </c>
      <c r="N669" s="99" t="n">
        <v>0</v>
      </c>
      <c r="O669" s="99" t="n">
        <v>0</v>
      </c>
      <c r="P669" s="42">
        <f>I669-SUM(K669:O669)</f>
        <v>3209475</v>
      </c>
    </row>
    <row r="670" spans="1:16">
      <c r="A670" s="37" t="n">
        <v>682</v>
      </c>
      <c r="B670" s="97" t="s">
        <v>1962</v>
      </c>
      <c r="C670" s="121" t="s">
        <v>131</v>
      </c>
      <c r="D670" s="121" t="s">
        <v>20</v>
      </c>
      <c r="E670" s="121" t="s">
        <v>21</v>
      </c>
      <c r="F670" s="121" t="s">
        <v>1963</v>
      </c>
      <c r="G670" s="122" t="s">
        <v>1964</v>
      </c>
      <c r="H670" s="121" t="s">
        <v>1965</v>
      </c>
      <c r="I670" s="99" t="n">
        <v>943386</v>
      </c>
      <c r="J670" s="99" t="n">
        <v>943386</v>
      </c>
      <c r="K670" s="99">
        <f>IF(C670="III",ROUND(J670*$R$2,0),IF(C670="P3K/III",ROUND(J670*$R$2,0),0))</f>
        <v>47169</v>
      </c>
      <c r="L670" s="99">
        <f>IF(C670="IV",ROUND(J670*$R$3,0),0)</f>
        <v>0</v>
      </c>
      <c r="M670" s="99" t="n">
        <v>0</v>
      </c>
      <c r="N670" s="99" t="n">
        <v>0</v>
      </c>
      <c r="O670" s="99" t="n">
        <v>0</v>
      </c>
      <c r="P670" s="42">
        <f>I670-SUM(K670:O670)</f>
        <v>896217</v>
      </c>
    </row>
    <row r="671" spans="1:16">
      <c r="A671" s="37" t="n">
        <v>683</v>
      </c>
      <c r="B671" s="97" t="s">
        <v>90</v>
      </c>
      <c r="C671" s="121" t="s">
        <v>58</v>
      </c>
      <c r="D671" s="121" t="s">
        <v>20</v>
      </c>
      <c r="E671" s="121" t="s">
        <v>21</v>
      </c>
      <c r="F671" s="121" t="s">
        <v>91</v>
      </c>
      <c r="G671" s="122" t="s">
        <v>1966</v>
      </c>
      <c r="H671" s="121" t="s">
        <v>93</v>
      </c>
      <c r="I671" s="99" t="n">
        <v>12216459</v>
      </c>
      <c r="J671" s="99" t="n">
        <v>12216459</v>
      </c>
      <c r="K671" s="99">
        <f>IF(C671="III",ROUND(J671*$R$2,0),IF(C671="P3K/III",ROUND(J671*$R$2,0),0))</f>
        <v>610823</v>
      </c>
      <c r="L671" s="99">
        <f>IF(C671="IV",ROUND(J671*$R$3,0),0)</f>
        <v>0</v>
      </c>
      <c r="M671" s="99" t="n">
        <v>0</v>
      </c>
      <c r="N671" s="99" t="n">
        <v>0</v>
      </c>
      <c r="O671" s="99" t="n">
        <v>0</v>
      </c>
      <c r="P671" s="42">
        <f>I671-SUM(K671:O671)</f>
        <v>11605636</v>
      </c>
    </row>
    <row r="672" spans="1:16">
      <c r="A672" s="37" t="n">
        <v>684</v>
      </c>
      <c r="B672" s="97" t="s">
        <v>1967</v>
      </c>
      <c r="C672" s="121" t="s">
        <v>131</v>
      </c>
      <c r="D672" s="121" t="s">
        <v>20</v>
      </c>
      <c r="E672" s="121" t="s">
        <v>21</v>
      </c>
      <c r="F672" s="121" t="s">
        <v>1968</v>
      </c>
      <c r="G672" s="122" t="s">
        <v>1969</v>
      </c>
      <c r="H672" s="121" t="s">
        <v>1970</v>
      </c>
      <c r="I672" s="99" t="n">
        <v>24591669</v>
      </c>
      <c r="J672" s="99" t="n">
        <v>24591669</v>
      </c>
      <c r="K672" s="99">
        <f>IF(C672="III",ROUND(J672*$R$2,0),IF(C672="P3K/III",ROUND(J672*$R$2,0),0))</f>
        <v>1229583</v>
      </c>
      <c r="L672" s="99">
        <f>IF(C672="IV",ROUND(J672*$R$3,0),0)</f>
        <v>0</v>
      </c>
      <c r="M672" s="99" t="n">
        <v>0</v>
      </c>
      <c r="N672" s="99" t="n">
        <v>0</v>
      </c>
      <c r="O672" s="99" t="n">
        <v>0</v>
      </c>
      <c r="P672" s="42">
        <f>I672-SUM(K672:O672)</f>
        <v>23362086</v>
      </c>
    </row>
    <row r="673" spans="1:16">
      <c r="A673" s="37" t="n">
        <v>685</v>
      </c>
      <c r="B673" s="97" t="s">
        <v>1971</v>
      </c>
      <c r="C673" s="121" t="s">
        <v>58</v>
      </c>
      <c r="D673" s="121" t="s">
        <v>20</v>
      </c>
      <c r="E673" s="121" t="s">
        <v>21</v>
      </c>
      <c r="F673" s="121" t="s">
        <v>1972</v>
      </c>
      <c r="G673" s="122" t="s">
        <v>1973</v>
      </c>
      <c r="H673" s="121" t="s">
        <v>1974</v>
      </c>
      <c r="I673" s="99" t="n">
        <v>40861958</v>
      </c>
      <c r="J673" s="99" t="n">
        <v>40861958</v>
      </c>
      <c r="K673" s="99">
        <f>IF(C673="III",ROUND(J673*$R$2,0),IF(C673="P3K/III",ROUND(J673*$R$2,0),0))</f>
        <v>2043098</v>
      </c>
      <c r="L673" s="99">
        <f>IF(C673="IV",ROUND(J673*$R$3,0),0)</f>
        <v>0</v>
      </c>
      <c r="M673" s="99" t="n">
        <v>0</v>
      </c>
      <c r="N673" s="99" t="n">
        <v>0</v>
      </c>
      <c r="O673" s="99" t="n">
        <v>0</v>
      </c>
      <c r="P673" s="42">
        <f>I673-SUM(K673:O673)</f>
        <v>38818860</v>
      </c>
    </row>
    <row r="674" spans="1:16">
      <c r="A674" s="37" t="n">
        <v>686</v>
      </c>
      <c r="B674" s="97" t="s">
        <v>1975</v>
      </c>
      <c r="C674" s="121" t="s">
        <v>131</v>
      </c>
      <c r="D674" s="121" t="s">
        <v>20</v>
      </c>
      <c r="E674" s="121" t="s">
        <v>21</v>
      </c>
      <c r="F674" s="121" t="s">
        <v>758</v>
      </c>
      <c r="G674" s="122" t="s">
        <v>1976</v>
      </c>
      <c r="H674" s="121" t="s">
        <v>1977</v>
      </c>
      <c r="I674" s="99" t="n">
        <v>10556032</v>
      </c>
      <c r="J674" s="99" t="n">
        <v>10556032</v>
      </c>
      <c r="K674" s="99">
        <f>IF(C674="III",ROUND(J674*$R$2,0),IF(C674="P3K/III",ROUND(J674*$R$2,0),0))</f>
        <v>527802</v>
      </c>
      <c r="L674" s="99">
        <f>IF(C674="IV",ROUND(J674*$R$3,0),0)</f>
        <v>0</v>
      </c>
      <c r="M674" s="99" t="n">
        <v>0</v>
      </c>
      <c r="N674" s="99" t="n">
        <v>0</v>
      </c>
      <c r="O674" s="99" t="n">
        <v>0</v>
      </c>
      <c r="P674" s="42">
        <f>I674-SUM(K674:O674)</f>
        <v>10028230</v>
      </c>
    </row>
    <row r="675" spans="1:16">
      <c r="A675" s="37" t="n">
        <v>687</v>
      </c>
      <c r="B675" s="97" t="s">
        <v>1978</v>
      </c>
      <c r="C675" s="121" t="s">
        <v>58</v>
      </c>
      <c r="D675" s="121" t="s">
        <v>20</v>
      </c>
      <c r="E675" s="121" t="s">
        <v>21</v>
      </c>
      <c r="F675" s="121" t="s">
        <v>1979</v>
      </c>
      <c r="G675" s="122" t="s">
        <v>1980</v>
      </c>
      <c r="H675" s="121" t="s">
        <v>1981</v>
      </c>
      <c r="I675" s="99" t="n">
        <v>41080690</v>
      </c>
      <c r="J675" s="99" t="n">
        <v>41080690</v>
      </c>
      <c r="K675" s="99">
        <f>IF(C675="III",ROUND(J675*$R$2,0),IF(C675="P3K/III",ROUND(J675*$R$2,0),0))</f>
        <v>2054035</v>
      </c>
      <c r="L675" s="99">
        <f>IF(C675="IV",ROUND(J675*$R$3,0),0)</f>
        <v>0</v>
      </c>
      <c r="M675" s="99" t="n">
        <v>0</v>
      </c>
      <c r="N675" s="99" t="n">
        <v>0</v>
      </c>
      <c r="O675" s="99" t="n">
        <v>0</v>
      </c>
      <c r="P675" s="42">
        <f>I675-SUM(K675:O675)</f>
        <v>39026655</v>
      </c>
    </row>
    <row r="676" spans="1:16">
      <c r="A676" s="37" t="n">
        <v>688</v>
      </c>
      <c r="B676" s="97" t="s">
        <v>1982</v>
      </c>
      <c r="C676" s="121" t="s">
        <v>58</v>
      </c>
      <c r="D676" s="121" t="s">
        <v>20</v>
      </c>
      <c r="E676" s="121" t="s">
        <v>21</v>
      </c>
      <c r="F676" s="121" t="s">
        <v>1983</v>
      </c>
      <c r="G676" s="124" t="s">
        <v>1984</v>
      </c>
      <c r="H676" s="121" t="s">
        <v>1985</v>
      </c>
      <c r="I676" s="99" t="n">
        <v>44954135</v>
      </c>
      <c r="J676" s="99" t="n">
        <v>44954135</v>
      </c>
      <c r="K676" s="99">
        <f>IF(C676="III",ROUND(J676*$R$2,0),IF(C676="P3K/III",ROUND(J676*$R$2,0),0))</f>
        <v>2247707</v>
      </c>
      <c r="L676" s="99">
        <f>IF(C676="IV",ROUND(J676*$R$3,0),0)</f>
        <v>0</v>
      </c>
      <c r="M676" s="99" t="n">
        <v>0</v>
      </c>
      <c r="N676" s="99" t="n">
        <v>0</v>
      </c>
      <c r="O676" s="99" t="n">
        <v>0</v>
      </c>
      <c r="P676" s="42">
        <f>I676-SUM(K676:O676)</f>
        <v>42706428</v>
      </c>
    </row>
    <row r="677" spans="1:16">
      <c r="A677" s="37" t="n">
        <v>689</v>
      </c>
      <c r="B677" s="97" t="s">
        <v>1986</v>
      </c>
      <c r="C677" s="121" t="s">
        <v>58</v>
      </c>
      <c r="D677" s="121" t="s">
        <v>20</v>
      </c>
      <c r="E677" s="121" t="s">
        <v>21</v>
      </c>
      <c r="F677" s="121" t="s">
        <v>1987</v>
      </c>
      <c r="G677" s="122" t="s">
        <v>1988</v>
      </c>
      <c r="H677" s="121" t="s">
        <v>1989</v>
      </c>
      <c r="I677" s="99" t="n">
        <v>11054659</v>
      </c>
      <c r="J677" s="99" t="n">
        <v>11054659</v>
      </c>
      <c r="K677" s="99">
        <f>IF(C677="III",ROUND(J677*$R$2,0),IF(C677="P3K/III",ROUND(J677*$R$2,0),0))</f>
        <v>552733</v>
      </c>
      <c r="L677" s="99">
        <f>IF(C677="IV",ROUND(J677*$R$3,0),0)</f>
        <v>0</v>
      </c>
      <c r="M677" s="99" t="n">
        <v>0</v>
      </c>
      <c r="N677" s="99" t="n">
        <v>0</v>
      </c>
      <c r="O677" s="99" t="n">
        <v>0</v>
      </c>
      <c r="P677" s="42">
        <f>I677-SUM(K677:O677)</f>
        <v>10501926</v>
      </c>
    </row>
    <row r="678" spans="1:16">
      <c r="A678" s="37" t="n">
        <v>690</v>
      </c>
      <c r="B678" s="97" t="s">
        <v>1990</v>
      </c>
      <c r="C678" s="121" t="s">
        <v>58</v>
      </c>
      <c r="D678" s="121" t="s">
        <v>20</v>
      </c>
      <c r="E678" s="121" t="s">
        <v>21</v>
      </c>
      <c r="F678" s="121" t="s">
        <v>1991</v>
      </c>
      <c r="G678" s="122" t="s">
        <v>1992</v>
      </c>
      <c r="H678" s="121" t="s">
        <v>1993</v>
      </c>
      <c r="I678" s="99" t="n">
        <v>7645022</v>
      </c>
      <c r="J678" s="99" t="n">
        <v>7645022</v>
      </c>
      <c r="K678" s="99">
        <f>IF(C678="III",ROUND(J678*$R$2,0),IF(C678="P3K/III",ROUND(J678*$R$2,0),0))</f>
        <v>382251</v>
      </c>
      <c r="L678" s="99">
        <f>IF(C678="IV",ROUND(J678*$R$3,0),0)</f>
        <v>0</v>
      </c>
      <c r="M678" s="99" t="n">
        <v>0</v>
      </c>
      <c r="N678" s="99" t="n">
        <v>0</v>
      </c>
      <c r="O678" s="99" t="n">
        <v>0</v>
      </c>
      <c r="P678" s="42">
        <f>I678-SUM(K678:O678)</f>
        <v>7262771</v>
      </c>
    </row>
    <row r="679" spans="1:16">
      <c r="A679" s="37" t="n">
        <v>691</v>
      </c>
      <c r="B679" s="97" t="s">
        <v>1994</v>
      </c>
      <c r="C679" s="121" t="s">
        <v>19</v>
      </c>
      <c r="D679" s="121" t="s">
        <v>20</v>
      </c>
      <c r="E679" s="121" t="s">
        <v>21</v>
      </c>
      <c r="F679" s="121" t="s">
        <v>1995</v>
      </c>
      <c r="G679" s="122" t="s">
        <v>1996</v>
      </c>
      <c r="H679" s="121" t="s">
        <v>1997</v>
      </c>
      <c r="I679" s="99" t="n">
        <v>13174097</v>
      </c>
      <c r="J679" s="99" t="n">
        <v>13174097</v>
      </c>
      <c r="K679" s="99">
        <f>IF(C679="III",ROUND(J679*$R$2,0),IF(C679="P3K/III",ROUND(J679*$R$2,0),0))</f>
        <v>0</v>
      </c>
      <c r="L679" s="99">
        <f>IF(C679="IV",ROUND(J679*$R$3,0),0)</f>
        <v>1976115</v>
      </c>
      <c r="M679" s="99" t="n">
        <v>0</v>
      </c>
      <c r="N679" s="99" t="n">
        <v>0</v>
      </c>
      <c r="O679" s="99" t="n">
        <v>0</v>
      </c>
      <c r="P679" s="42">
        <f>I679-SUM(K679:O679)</f>
        <v>11197982</v>
      </c>
    </row>
    <row r="680" spans="1:16">
      <c r="A680" s="37" t="n">
        <v>692</v>
      </c>
      <c r="B680" s="97" t="s">
        <v>1998</v>
      </c>
      <c r="C680" s="121" t="s">
        <v>58</v>
      </c>
      <c r="D680" s="121" t="s">
        <v>20</v>
      </c>
      <c r="E680" s="121" t="s">
        <v>21</v>
      </c>
      <c r="F680" s="121" t="s">
        <v>1999</v>
      </c>
      <c r="G680" s="122" t="s">
        <v>2000</v>
      </c>
      <c r="H680" s="121" t="s">
        <v>2001</v>
      </c>
      <c r="I680" s="99" t="n">
        <v>33544797</v>
      </c>
      <c r="J680" s="99" t="n">
        <v>33544797</v>
      </c>
      <c r="K680" s="99">
        <f>IF(C680="III",ROUND(J680*$R$2,0),IF(C680="P3K/III",ROUND(J680*$R$2,0),0))</f>
        <v>1677240</v>
      </c>
      <c r="L680" s="99">
        <f>IF(C680="IV",ROUND(J680*$R$3,0),0)</f>
        <v>0</v>
      </c>
      <c r="M680" s="99" t="n">
        <v>0</v>
      </c>
      <c r="N680" s="99" t="n">
        <v>0</v>
      </c>
      <c r="O680" s="99" t="n">
        <v>0</v>
      </c>
      <c r="P680" s="42">
        <f>I680-SUM(K680:O680)</f>
        <v>31867557</v>
      </c>
    </row>
    <row r="681" spans="1:16">
      <c r="A681" s="37" t="n">
        <v>693</v>
      </c>
      <c r="B681" s="97" t="s">
        <v>18</v>
      </c>
      <c r="C681" s="121" t="s">
        <v>19</v>
      </c>
      <c r="D681" s="121" t="s">
        <v>20</v>
      </c>
      <c r="E681" s="121" t="s">
        <v>21</v>
      </c>
      <c r="F681" s="121" t="s">
        <v>22</v>
      </c>
      <c r="G681" s="122" t="s">
        <v>2002</v>
      </c>
      <c r="H681" s="121" t="s">
        <v>24</v>
      </c>
      <c r="I681" s="99" t="n">
        <v>5087554</v>
      </c>
      <c r="J681" s="99" t="n">
        <v>5087554</v>
      </c>
      <c r="K681" s="99">
        <f>IF(C681="III",ROUND(J681*$R$2,0),IF(C681="P3K/III",ROUND(J681*$R$2,0),0))</f>
        <v>0</v>
      </c>
      <c r="L681" s="99">
        <f>IF(C681="IV",ROUND(J681*$R$3,0),0)</f>
        <v>763133</v>
      </c>
      <c r="M681" s="99" t="n">
        <v>0</v>
      </c>
      <c r="N681" s="99" t="n">
        <v>0</v>
      </c>
      <c r="O681" s="99" t="n">
        <v>0</v>
      </c>
      <c r="P681" s="42">
        <f>I681-SUM(K681:O681)</f>
        <v>4324421</v>
      </c>
    </row>
    <row r="682" spans="1:16">
      <c r="A682" s="37" t="n">
        <v>694</v>
      </c>
      <c r="B682" s="97" t="s">
        <v>2003</v>
      </c>
      <c r="C682" s="121" t="s">
        <v>58</v>
      </c>
      <c r="D682" s="121" t="s">
        <v>20</v>
      </c>
      <c r="E682" s="121" t="s">
        <v>21</v>
      </c>
      <c r="F682" s="121" t="s">
        <v>22</v>
      </c>
      <c r="G682" s="122" t="s">
        <v>2004</v>
      </c>
      <c r="H682" s="121" t="s">
        <v>2005</v>
      </c>
      <c r="I682" s="99" t="n">
        <v>55211395</v>
      </c>
      <c r="J682" s="99" t="n">
        <v>55211395</v>
      </c>
      <c r="K682" s="99">
        <f>IF(C682="III",ROUND(J682*$R$2,0),IF(C682="P3K/III",ROUND(J682*$R$2,0),0))</f>
        <v>2760570</v>
      </c>
      <c r="L682" s="99">
        <f>IF(C682="IV",ROUND(J682*$R$3,0),0)</f>
        <v>0</v>
      </c>
      <c r="M682" s="99" t="n">
        <v>0</v>
      </c>
      <c r="N682" s="99" t="n">
        <v>0</v>
      </c>
      <c r="O682" s="99" t="n">
        <v>0</v>
      </c>
      <c r="P682" s="42">
        <f>I682-SUM(K682:O682)</f>
        <v>52450825</v>
      </c>
    </row>
    <row r="683" spans="1:16">
      <c r="A683" s="37" t="n">
        <v>695</v>
      </c>
      <c r="B683" s="97" t="s">
        <v>2006</v>
      </c>
      <c r="C683" s="121" t="s">
        <v>19</v>
      </c>
      <c r="D683" s="121" t="s">
        <v>20</v>
      </c>
      <c r="E683" s="121" t="s">
        <v>21</v>
      </c>
      <c r="F683" s="121" t="s">
        <v>22</v>
      </c>
      <c r="G683" s="122" t="s">
        <v>20</v>
      </c>
      <c r="H683" s="121" t="s">
        <v>2007</v>
      </c>
      <c r="I683" s="99" t="n">
        <v>6041180</v>
      </c>
      <c r="J683" s="99" t="n">
        <v>6041180</v>
      </c>
      <c r="K683" s="99">
        <f>IF(C683="III",ROUND(J683*$R$2,0),IF(C683="P3K/III",ROUND(J683*$R$2,0),0))</f>
        <v>0</v>
      </c>
      <c r="L683" s="99">
        <f>IF(C683="IV",ROUND(J683*$R$3,0),0)</f>
        <v>906177</v>
      </c>
      <c r="M683" s="99" t="n">
        <v>0</v>
      </c>
      <c r="N683" s="99" t="n">
        <v>0</v>
      </c>
      <c r="O683" s="99" t="n">
        <v>0</v>
      </c>
      <c r="P683" s="42">
        <f>I683-SUM(K683:O683)</f>
        <v>5135003</v>
      </c>
    </row>
    <row r="684" spans="1:16">
      <c r="A684" s="37" t="n">
        <v>696</v>
      </c>
      <c r="B684" s="97" t="s">
        <v>2008</v>
      </c>
      <c r="C684" s="121" t="s">
        <v>19</v>
      </c>
      <c r="D684" s="121" t="s">
        <v>20</v>
      </c>
      <c r="E684" s="121" t="s">
        <v>21</v>
      </c>
      <c r="F684" s="121" t="s">
        <v>22</v>
      </c>
      <c r="G684" s="122" t="s">
        <v>2009</v>
      </c>
      <c r="H684" s="121" t="s">
        <v>2010</v>
      </c>
      <c r="I684" s="99" t="n">
        <v>5049883</v>
      </c>
      <c r="J684" s="99" t="n">
        <v>5049883</v>
      </c>
      <c r="K684" s="99">
        <f>IF(C684="III",ROUND(J684*$R$2,0),IF(C684="P3K/III",ROUND(J684*$R$2,0),0))</f>
        <v>0</v>
      </c>
      <c r="L684" s="99">
        <f>IF(C684="IV",ROUND(J684*$R$3,0),0)</f>
        <v>757482</v>
      </c>
      <c r="M684" s="99" t="n">
        <v>0</v>
      </c>
      <c r="N684" s="99" t="n">
        <v>0</v>
      </c>
      <c r="O684" s="99" t="n">
        <v>0</v>
      </c>
      <c r="P684" s="42">
        <f>I684-SUM(K684:O684)</f>
        <v>4292401</v>
      </c>
    </row>
    <row r="685" spans="1:16">
      <c r="A685" s="66"/>
      <c r="B685" s="63"/>
      <c r="C685" s="100"/>
      <c r="D685" s="100"/>
      <c r="E685" s="100"/>
      <c r="F685" s="100"/>
      <c r="G685" s="122" t="s">
        <v>593</v>
      </c>
      <c r="H685" s="100"/>
      <c r="I685" s="101"/>
      <c r="J685" s="101"/>
      <c r="K685" s="101"/>
      <c r="L685" s="101"/>
      <c r="M685" s="101"/>
      <c r="N685" s="101"/>
      <c r="O685" s="101"/>
      <c r="P685" s="42"/>
    </row>
    <row r="686" spans="1:16">
      <c r="A686" s="66"/>
      <c r="B686" s="63"/>
      <c r="C686" s="100"/>
      <c r="D686" s="100"/>
      <c r="E686" s="100"/>
      <c r="F686" s="100"/>
      <c r="G686" s="122" t="s">
        <v>2011</v>
      </c>
      <c r="H686" s="100"/>
      <c r="I686" s="101"/>
      <c r="J686" s="101"/>
      <c r="K686" s="101"/>
      <c r="L686" s="101"/>
      <c r="M686" s="101"/>
      <c r="N686" s="101"/>
      <c r="O686" s="101"/>
      <c r="P686" s="42"/>
    </row>
    <row r="687" spans="1:16">
      <c r="A687" s="102"/>
      <c r="B687" s="103"/>
      <c r="C687" s="104"/>
      <c r="D687" s="104"/>
      <c r="E687" s="104"/>
      <c r="F687" s="104"/>
      <c r="G687" s="122" t="s">
        <v>2012</v>
      </c>
      <c r="H687" s="104"/>
      <c r="I687" s="105" t="n">
        <v>2697366743</v>
      </c>
      <c r="J687" s="105" t="n">
        <v>2697366743</v>
      </c>
      <c r="K687" s="105">
        <f>SUM(K7:K684)</f>
        <v>69801547</v>
      </c>
      <c r="L687" s="105">
        <f>SUM(L7:L686)</f>
        <v>55345925</v>
      </c>
      <c r="M687" s="105" t="n">
        <v>0</v>
      </c>
      <c r="N687" s="105" t="n">
        <v>0</v>
      </c>
      <c r="O687" s="105" t="n">
        <v>0</v>
      </c>
      <c r="P687" s="105">
        <f>SUM(P7:P684)</f>
        <v>2572219271</v>
      </c>
    </row>
    <row r="688" spans="1:16">
      <c r="A688" s="37"/>
      <c r="B688" s="97"/>
      <c r="C688" s="98"/>
      <c r="D688" s="98"/>
      <c r="E688" s="98"/>
      <c r="F688" s="98"/>
      <c r="G688" s="122" t="s">
        <v>20</v>
      </c>
      <c r="H688" s="98"/>
      <c r="I688" s="99"/>
      <c r="J688" s="99"/>
      <c r="K688" s="99"/>
      <c r="L688" s="99"/>
      <c r="M688" s="99"/>
      <c r="N688" s="99"/>
      <c r="O688" s="99"/>
      <c r="P688" s="42"/>
    </row>
    <row r="689" spans="1:16">
      <c r="A689" s="37"/>
      <c r="B689" s="59" t="s">
        <v>2013</v>
      </c>
      <c r="C689" s="98"/>
      <c r="D689" s="98"/>
      <c r="E689" s="98"/>
      <c r="F689" s="98"/>
      <c r="G689" s="122" t="s">
        <v>2014</v>
      </c>
      <c r="H689" s="98"/>
      <c r="I689" s="99"/>
      <c r="J689" s="99"/>
      <c r="K689" s="99"/>
      <c r="L689" s="99"/>
      <c r="M689" s="99"/>
      <c r="N689" s="99"/>
      <c r="O689" s="99"/>
      <c r="P689" s="42"/>
    </row>
    <row r="690" spans="1:16">
      <c r="A690" s="37" t="n">
        <v>1</v>
      </c>
      <c r="B690" s="97" t="s">
        <v>450</v>
      </c>
      <c r="C690" s="121" t="s">
        <v>131</v>
      </c>
      <c r="D690" s="98" t="n">
        <v>0</v>
      </c>
      <c r="E690" s="121" t="s">
        <v>21</v>
      </c>
      <c r="F690" s="121" t="s">
        <v>22</v>
      </c>
      <c r="G690" s="122" t="s">
        <v>2015</v>
      </c>
      <c r="H690" s="121" t="s">
        <v>451</v>
      </c>
      <c r="I690" s="99" t="n">
        <v>13889923</v>
      </c>
      <c r="J690" s="99">
        <f>I690/2</f>
        <v>6944961.5</v>
      </c>
      <c r="K690" s="99" t="n">
        <v>0</v>
      </c>
      <c r="L690" s="99">
        <f>ROUND(J690*15%,0)</f>
        <v>1041744</v>
      </c>
      <c r="M690" s="99" t="n">
        <v>0</v>
      </c>
      <c r="N690" s="99" t="n">
        <v>0</v>
      </c>
      <c r="O690" s="99" t="n">
        <v>0</v>
      </c>
      <c r="P690" s="42">
        <f>I690-SUM(K690:O690)</f>
        <v>12848179</v>
      </c>
    </row>
    <row r="691" spans="1:16">
      <c r="A691" s="37" t="n">
        <v>2</v>
      </c>
      <c r="B691" s="97" t="s">
        <v>94</v>
      </c>
      <c r="C691" s="121" t="s">
        <v>95</v>
      </c>
      <c r="D691" s="121" t="s">
        <v>137</v>
      </c>
      <c r="E691" s="121" t="s">
        <v>14</v>
      </c>
      <c r="F691" s="98" t="n">
        <v>0</v>
      </c>
      <c r="G691" s="122" t="s">
        <v>2016</v>
      </c>
      <c r="H691" s="121" t="s">
        <v>97</v>
      </c>
      <c r="I691" s="99" t="n">
        <v>8048560</v>
      </c>
      <c r="J691" s="99">
        <f>I691/2</f>
        <v>4024280</v>
      </c>
      <c r="K691" s="99">
        <f>ROUND(J691*5%,0)</f>
        <v>201214</v>
      </c>
      <c r="L691" s="99" t="n">
        <v>0</v>
      </c>
      <c r="M691" s="99" t="n">
        <v>0</v>
      </c>
      <c r="N691" s="99" t="n">
        <v>0</v>
      </c>
      <c r="O691" s="99" t="n">
        <v>0</v>
      </c>
      <c r="P691" s="42">
        <f>I691-SUM(K691:O691)</f>
        <v>7847346</v>
      </c>
    </row>
    <row r="692" spans="1:16">
      <c r="A692" s="37" t="n">
        <v>3</v>
      </c>
      <c r="B692" s="97" t="s">
        <v>2017</v>
      </c>
      <c r="C692" s="121" t="s">
        <v>120</v>
      </c>
      <c r="D692" s="98" t="n">
        <v>0</v>
      </c>
      <c r="E692" s="121" t="s">
        <v>21</v>
      </c>
      <c r="F692" s="121" t="s">
        <v>2018</v>
      </c>
      <c r="G692" s="122" t="s">
        <v>2019</v>
      </c>
      <c r="H692" s="121" t="s">
        <v>2020</v>
      </c>
      <c r="I692" s="99" t="n">
        <v>55081601</v>
      </c>
      <c r="J692" s="99">
        <f>I692/2</f>
        <v>27540800.5</v>
      </c>
      <c r="K692" s="99" t="n">
        <v>0</v>
      </c>
      <c r="L692" s="99">
        <f>ROUND(J692*15%,0)</f>
        <v>4131120</v>
      </c>
      <c r="M692" s="99" t="n">
        <v>0</v>
      </c>
      <c r="N692" s="99" t="n">
        <v>0</v>
      </c>
      <c r="O692" s="99" t="n">
        <v>0</v>
      </c>
      <c r="P692" s="42">
        <f>I692-SUM(K692:O692)</f>
        <v>50950481</v>
      </c>
    </row>
    <row r="693" spans="1:16">
      <c r="A693" s="37" t="n">
        <v>4</v>
      </c>
      <c r="B693" s="97" t="s">
        <v>2021</v>
      </c>
      <c r="C693" s="121" t="s">
        <v>95</v>
      </c>
      <c r="D693" s="98" t="n">
        <v>0</v>
      </c>
      <c r="E693" s="121" t="s">
        <v>21</v>
      </c>
      <c r="F693" s="121" t="s">
        <v>2022</v>
      </c>
      <c r="G693" s="122" t="s">
        <v>2019</v>
      </c>
      <c r="H693" s="121" t="s">
        <v>2023</v>
      </c>
      <c r="I693" s="99" t="n">
        <v>36436584</v>
      </c>
      <c r="J693" s="99">
        <f>I693/2</f>
        <v>18218292</v>
      </c>
      <c r="K693" s="99" t="n">
        <v>0</v>
      </c>
      <c r="L693" s="99">
        <f>ROUND(J693*15%,0)</f>
        <v>2732744</v>
      </c>
      <c r="M693" s="99" t="n">
        <v>0</v>
      </c>
      <c r="N693" s="99" t="n">
        <v>0</v>
      </c>
      <c r="O693" s="99" t="n">
        <v>0</v>
      </c>
      <c r="P693" s="42">
        <f>I693-SUM(K693:O693)</f>
        <v>33703840</v>
      </c>
    </row>
    <row r="694" spans="1:16">
      <c r="A694" s="37" t="n">
        <v>5</v>
      </c>
      <c r="B694" s="97" t="s">
        <v>2024</v>
      </c>
      <c r="C694" s="121" t="s">
        <v>120</v>
      </c>
      <c r="D694" s="98" t="n">
        <v>0</v>
      </c>
      <c r="E694" s="121" t="s">
        <v>21</v>
      </c>
      <c r="F694" s="121" t="s">
        <v>2025</v>
      </c>
      <c r="G694" s="122" t="s">
        <v>2026</v>
      </c>
      <c r="H694" s="121" t="s">
        <v>2027</v>
      </c>
      <c r="I694" s="99" t="n">
        <v>39642432</v>
      </c>
      <c r="J694" s="99">
        <f>I694/2</f>
        <v>19821216</v>
      </c>
      <c r="K694" s="99" t="n">
        <v>0</v>
      </c>
      <c r="L694" s="99">
        <f>ROUND(J694*15%,0)</f>
        <v>2973182</v>
      </c>
      <c r="M694" s="99" t="n">
        <v>0</v>
      </c>
      <c r="N694" s="99" t="n">
        <v>0</v>
      </c>
      <c r="O694" s="99" t="n">
        <v>0</v>
      </c>
      <c r="P694" s="42">
        <f>I694-SUM(K694:O694)</f>
        <v>36669250</v>
      </c>
    </row>
    <row r="695" spans="1:16">
      <c r="A695" s="37" t="n">
        <v>6</v>
      </c>
      <c r="B695" s="97" t="s">
        <v>2028</v>
      </c>
      <c r="C695" s="121" t="s">
        <v>95</v>
      </c>
      <c r="D695" s="98" t="n">
        <v>0</v>
      </c>
      <c r="E695" s="121" t="s">
        <v>21</v>
      </c>
      <c r="F695" s="121" t="s">
        <v>2029</v>
      </c>
      <c r="G695" s="40" t="n">
        <v>0</v>
      </c>
      <c r="H695" s="121" t="s">
        <v>2030</v>
      </c>
      <c r="I695" s="99" t="n">
        <v>38757464</v>
      </c>
      <c r="J695" s="99">
        <f>I695/2</f>
        <v>19378732</v>
      </c>
      <c r="K695" s="99" t="n">
        <v>0</v>
      </c>
      <c r="L695" s="99">
        <f>ROUND(J695*15%,0)</f>
        <v>2906810</v>
      </c>
      <c r="M695" s="99" t="n">
        <v>0</v>
      </c>
      <c r="N695" s="99" t="n">
        <v>0</v>
      </c>
      <c r="O695" s="99" t="n">
        <v>0</v>
      </c>
      <c r="P695" s="42">
        <f>I695-SUM(K695:O695)</f>
        <v>35850654</v>
      </c>
    </row>
    <row r="696" spans="1:16">
      <c r="A696" s="37" t="n">
        <v>7</v>
      </c>
      <c r="B696" s="97" t="s">
        <v>2031</v>
      </c>
      <c r="C696" s="121" t="s">
        <v>95</v>
      </c>
      <c r="D696" s="98" t="n">
        <v>0</v>
      </c>
      <c r="E696" s="121" t="s">
        <v>21</v>
      </c>
      <c r="F696" s="121" t="s">
        <v>2032</v>
      </c>
      <c r="G696" s="40" t="n">
        <v>0</v>
      </c>
      <c r="H696" s="121" t="s">
        <v>2033</v>
      </c>
      <c r="I696" s="99" t="n">
        <v>42055749</v>
      </c>
      <c r="J696" s="99">
        <f>I696/2</f>
        <v>21027874.5</v>
      </c>
      <c r="K696" s="99" t="n">
        <v>0</v>
      </c>
      <c r="L696" s="99">
        <f>ROUND(J696*15%,0)</f>
        <v>3154181</v>
      </c>
      <c r="M696" s="99" t="n">
        <v>0</v>
      </c>
      <c r="N696" s="99" t="n">
        <v>0</v>
      </c>
      <c r="O696" s="99" t="n">
        <v>0</v>
      </c>
      <c r="P696" s="42">
        <f>I696-SUM(K696:O696)</f>
        <v>38901568</v>
      </c>
    </row>
    <row r="697" spans="1:16">
      <c r="A697" s="37" t="n">
        <v>8</v>
      </c>
      <c r="B697" s="97" t="s">
        <v>2034</v>
      </c>
      <c r="C697" s="121" t="s">
        <v>120</v>
      </c>
      <c r="D697" s="98" t="n">
        <v>0</v>
      </c>
      <c r="E697" s="121" t="s">
        <v>21</v>
      </c>
      <c r="F697" s="121" t="s">
        <v>2035</v>
      </c>
      <c r="G697" s="40" t="n">
        <v>0</v>
      </c>
      <c r="H697" s="121" t="s">
        <v>2036</v>
      </c>
      <c r="I697" s="99" t="n">
        <v>1904879</v>
      </c>
      <c r="J697" s="99">
        <f>I697/2</f>
        <v>952439.5</v>
      </c>
      <c r="K697" s="99">
        <f>ROUND(J697*5%,0)</f>
        <v>47622</v>
      </c>
      <c r="L697" s="99" t="n">
        <v>0</v>
      </c>
      <c r="M697" s="99" t="n">
        <v>0</v>
      </c>
      <c r="N697" s="99" t="n">
        <v>0</v>
      </c>
      <c r="O697" s="99" t="n">
        <v>0</v>
      </c>
      <c r="P697" s="42">
        <f>I697-SUM(K697:O697)</f>
        <v>1857257</v>
      </c>
    </row>
    <row r="698" spans="1:16">
      <c r="A698" s="37" t="n">
        <v>9</v>
      </c>
      <c r="B698" s="97" t="s">
        <v>2037</v>
      </c>
      <c r="C698" s="121" t="s">
        <v>95</v>
      </c>
      <c r="D698" s="98" t="n">
        <v>0</v>
      </c>
      <c r="E698" s="121" t="s">
        <v>21</v>
      </c>
      <c r="F698" s="121" t="s">
        <v>2038</v>
      </c>
      <c r="G698" s="40" t="n">
        <v>0</v>
      </c>
      <c r="H698" s="121" t="s">
        <v>2039</v>
      </c>
      <c r="I698" s="99" t="n">
        <v>11845104</v>
      </c>
      <c r="J698" s="99">
        <f>I698/2</f>
        <v>5922552</v>
      </c>
      <c r="K698" s="99">
        <f>ROUND(J698*5%,0)</f>
        <v>296128</v>
      </c>
      <c r="L698" s="99" t="n">
        <v>0</v>
      </c>
      <c r="M698" s="99" t="n">
        <v>0</v>
      </c>
      <c r="N698" s="99" t="n">
        <v>0</v>
      </c>
      <c r="O698" s="99" t="n">
        <v>0</v>
      </c>
      <c r="P698" s="42">
        <f>I698-SUM(K698:O698)</f>
        <v>11548976</v>
      </c>
    </row>
    <row r="699" spans="1:16">
      <c r="A699" s="37" t="n">
        <v>10</v>
      </c>
      <c r="B699" s="97" t="s">
        <v>2040</v>
      </c>
      <c r="C699" s="121" t="s">
        <v>120</v>
      </c>
      <c r="D699" s="98" t="n">
        <v>0</v>
      </c>
      <c r="E699" s="121" t="s">
        <v>21</v>
      </c>
      <c r="F699" s="121" t="s">
        <v>2041</v>
      </c>
      <c r="G699" s="40" t="n">
        <v>0</v>
      </c>
      <c r="H699" s="121" t="s">
        <v>2042</v>
      </c>
      <c r="I699" s="99" t="n">
        <v>1700440</v>
      </c>
      <c r="J699" s="99">
        <f>I699/2</f>
        <v>850220</v>
      </c>
      <c r="K699" s="99">
        <f>ROUND(J699*5%,0)</f>
        <v>42511</v>
      </c>
      <c r="L699" s="99" t="n">
        <v>0</v>
      </c>
      <c r="M699" s="99" t="n">
        <v>0</v>
      </c>
      <c r="N699" s="99" t="n">
        <v>0</v>
      </c>
      <c r="O699" s="99" t="n">
        <v>0</v>
      </c>
      <c r="P699" s="42">
        <f>I699-SUM(K699:O699)</f>
        <v>1657929</v>
      </c>
    </row>
    <row r="700" spans="1:16">
      <c r="A700" s="37" t="n">
        <v>11</v>
      </c>
      <c r="B700" s="97" t="s">
        <v>2043</v>
      </c>
      <c r="C700" s="121" t="s">
        <v>95</v>
      </c>
      <c r="D700" s="121" t="s">
        <v>137</v>
      </c>
      <c r="E700" s="121" t="s">
        <v>14</v>
      </c>
      <c r="F700" s="121" t="s">
        <v>2044</v>
      </c>
      <c r="G700" s="40" t="n">
        <v>0</v>
      </c>
      <c r="H700" s="121" t="s">
        <v>2045</v>
      </c>
      <c r="I700" s="99" t="n">
        <v>45507423</v>
      </c>
      <c r="J700" s="99">
        <f>I700/2</f>
        <v>22753711.5</v>
      </c>
      <c r="K700" s="99" t="n">
        <v>0</v>
      </c>
      <c r="L700" s="99">
        <f>ROUND(J700*15%,0)</f>
        <v>3413057</v>
      </c>
      <c r="M700" s="99" t="n">
        <v>0</v>
      </c>
      <c r="N700" s="99" t="n">
        <v>0</v>
      </c>
      <c r="O700" s="99" t="n">
        <v>0</v>
      </c>
      <c r="P700" s="42">
        <f>I700-SUM(K700:O700)</f>
        <v>42094366</v>
      </c>
    </row>
    <row r="701" spans="1:16">
      <c r="A701" s="37" t="n">
        <v>12</v>
      </c>
      <c r="B701" s="97" t="s">
        <v>438</v>
      </c>
      <c r="C701" s="121" t="s">
        <v>95</v>
      </c>
      <c r="D701" s="121" t="s">
        <v>137</v>
      </c>
      <c r="E701" s="121" t="s">
        <v>14</v>
      </c>
      <c r="F701" s="121" t="s">
        <v>439</v>
      </c>
      <c r="G701" s="40" t="n">
        <v>0</v>
      </c>
      <c r="H701" s="121" t="s">
        <v>441</v>
      </c>
      <c r="I701" s="99" t="n">
        <v>11657672</v>
      </c>
      <c r="J701" s="99">
        <f>I701/2</f>
        <v>5828836</v>
      </c>
      <c r="K701" s="99">
        <f>ROUND(J701*5%,0)</f>
        <v>291442</v>
      </c>
      <c r="L701" s="99" t="n">
        <v>0</v>
      </c>
      <c r="M701" s="99" t="n">
        <v>0</v>
      </c>
      <c r="N701" s="99" t="n">
        <v>0</v>
      </c>
      <c r="O701" s="99" t="n">
        <v>0</v>
      </c>
      <c r="P701" s="42">
        <f>I701-SUM(K701:O701)</f>
        <v>11366230</v>
      </c>
    </row>
    <row r="702" spans="1:16">
      <c r="A702" s="37" t="n">
        <v>13</v>
      </c>
      <c r="B702" s="97" t="s">
        <v>2046</v>
      </c>
      <c r="C702" s="121" t="s">
        <v>95</v>
      </c>
      <c r="D702" s="121" t="s">
        <v>137</v>
      </c>
      <c r="E702" s="121" t="s">
        <v>14</v>
      </c>
      <c r="F702" s="121" t="s">
        <v>22</v>
      </c>
      <c r="G702" s="122" t="s">
        <v>2014</v>
      </c>
      <c r="H702" s="121" t="s">
        <v>2047</v>
      </c>
      <c r="I702" s="99" t="n">
        <v>43548122</v>
      </c>
      <c r="J702" s="99">
        <f>I702/2</f>
        <v>21774061</v>
      </c>
      <c r="K702" s="99" t="n">
        <v>0</v>
      </c>
      <c r="L702" s="99">
        <f>ROUND(J702*15%,0)</f>
        <v>3266109</v>
      </c>
      <c r="M702" s="99" t="n">
        <v>0</v>
      </c>
      <c r="N702" s="99" t="n">
        <v>0</v>
      </c>
      <c r="O702" s="99" t="n">
        <v>0</v>
      </c>
      <c r="P702" s="42">
        <f>I702-SUM(K702:O702)</f>
        <v>40282013</v>
      </c>
    </row>
    <row r="703" spans="1:16">
      <c r="A703" s="37" t="n">
        <v>14</v>
      </c>
      <c r="B703" s="97" t="s">
        <v>2048</v>
      </c>
      <c r="C703" s="121" t="s">
        <v>95</v>
      </c>
      <c r="D703" s="121" t="s">
        <v>137</v>
      </c>
      <c r="E703" s="121" t="s">
        <v>14</v>
      </c>
      <c r="F703" s="98" t="n">
        <v>0</v>
      </c>
      <c r="G703" s="122" t="s">
        <v>2015</v>
      </c>
      <c r="H703" s="121" t="s">
        <v>2049</v>
      </c>
      <c r="I703" s="99" t="n">
        <v>8530520</v>
      </c>
      <c r="J703" s="99">
        <f>I703/2</f>
        <v>4265260</v>
      </c>
      <c r="K703" s="99">
        <f>ROUND(J703*5%,0)</f>
        <v>213263</v>
      </c>
      <c r="L703" s="99" t="n">
        <v>0</v>
      </c>
      <c r="M703" s="99" t="n">
        <v>0</v>
      </c>
      <c r="N703" s="99" t="n">
        <v>0</v>
      </c>
      <c r="O703" s="99" t="n">
        <v>0</v>
      </c>
      <c r="P703" s="42">
        <f>I703-SUM(K703:O703)</f>
        <v>8317257</v>
      </c>
    </row>
    <row r="704" spans="1:16">
      <c r="A704" s="37" t="n">
        <v>15</v>
      </c>
      <c r="B704" s="97" t="s">
        <v>2050</v>
      </c>
      <c r="C704" s="121" t="s">
        <v>95</v>
      </c>
      <c r="D704" s="121" t="s">
        <v>137</v>
      </c>
      <c r="E704" s="121" t="s">
        <v>14</v>
      </c>
      <c r="F704" s="98" t="n">
        <v>0</v>
      </c>
      <c r="G704" s="122" t="s">
        <v>2016</v>
      </c>
      <c r="H704" s="121" t="s">
        <v>2051</v>
      </c>
      <c r="I704" s="99" t="n">
        <v>9471873</v>
      </c>
      <c r="J704" s="99">
        <f>I704/2</f>
        <v>4735936.5</v>
      </c>
      <c r="K704" s="99">
        <f>ROUND(J704*5%,0)</f>
        <v>236797</v>
      </c>
      <c r="L704" s="99" t="n">
        <v>0</v>
      </c>
      <c r="M704" s="99" t="n">
        <v>0</v>
      </c>
      <c r="N704" s="99" t="n">
        <v>0</v>
      </c>
      <c r="O704" s="99" t="n">
        <v>0</v>
      </c>
      <c r="P704" s="42">
        <f>I704-SUM(K704:O704)</f>
        <v>9235076</v>
      </c>
    </row>
    <row r="705" spans="1:16">
      <c r="A705" s="37" t="n">
        <v>16</v>
      </c>
      <c r="B705" s="97" t="s">
        <v>2052</v>
      </c>
      <c r="C705" s="121" t="s">
        <v>95</v>
      </c>
      <c r="D705" s="121" t="s">
        <v>137</v>
      </c>
      <c r="E705" s="121" t="s">
        <v>14</v>
      </c>
      <c r="F705" s="98" t="n">
        <v>0</v>
      </c>
      <c r="G705" s="122" t="s">
        <v>2019</v>
      </c>
      <c r="H705" s="121" t="s">
        <v>2053</v>
      </c>
      <c r="I705" s="99" t="n">
        <v>7755920</v>
      </c>
      <c r="J705" s="99">
        <f>I705/2</f>
        <v>3877960</v>
      </c>
      <c r="K705" s="99">
        <f>ROUND(J705*5%,0)</f>
        <v>193898</v>
      </c>
      <c r="L705" s="99" t="n">
        <v>0</v>
      </c>
      <c r="M705" s="99" t="n">
        <v>0</v>
      </c>
      <c r="N705" s="99" t="n">
        <v>0</v>
      </c>
      <c r="O705" s="99" t="n">
        <v>0</v>
      </c>
      <c r="P705" s="42">
        <f>I705-SUM(K705:O705)</f>
        <v>7562022</v>
      </c>
    </row>
    <row r="706" spans="1:16">
      <c r="A706" s="37" t="n">
        <v>17</v>
      </c>
      <c r="B706" s="97" t="s">
        <v>2054</v>
      </c>
      <c r="C706" s="121" t="s">
        <v>95</v>
      </c>
      <c r="D706" s="121" t="s">
        <v>137</v>
      </c>
      <c r="E706" s="121" t="s">
        <v>14</v>
      </c>
      <c r="F706" s="98" t="n">
        <v>0</v>
      </c>
      <c r="G706" s="122" t="s">
        <v>2019</v>
      </c>
      <c r="H706" s="121" t="s">
        <v>2055</v>
      </c>
      <c r="I706" s="99" t="n">
        <v>601060</v>
      </c>
      <c r="J706" s="99">
        <f>I706/2</f>
        <v>300530</v>
      </c>
      <c r="K706" s="99" t="n">
        <v>0</v>
      </c>
      <c r="L706" s="99">
        <f>ROUND(J706*15%,0)</f>
        <v>45080</v>
      </c>
      <c r="M706" s="99" t="n">
        <v>0</v>
      </c>
      <c r="N706" s="99" t="n">
        <v>0</v>
      </c>
      <c r="O706" s="99" t="n">
        <v>0</v>
      </c>
      <c r="P706" s="42">
        <f>I706-SUM(K706:O706)</f>
        <v>555980</v>
      </c>
    </row>
    <row r="707" spans="1:16">
      <c r="A707" s="66"/>
      <c r="B707" s="63"/>
      <c r="C707" s="106"/>
      <c r="D707" s="106"/>
      <c r="E707" s="106"/>
      <c r="F707" s="106"/>
      <c r="G707" s="122" t="s">
        <v>2026</v>
      </c>
      <c r="H707" s="106"/>
      <c r="I707" s="101"/>
      <c r="J707" s="101"/>
      <c r="K707" s="101"/>
      <c r="L707" s="101"/>
      <c r="M707" s="101"/>
      <c r="N707" s="101"/>
      <c r="O707" s="101"/>
      <c r="P707" s="107"/>
    </row>
    <row r="708" spans="1:16">
      <c r="A708" s="102"/>
      <c r="B708" s="103"/>
      <c r="C708" s="104"/>
      <c r="D708" s="104"/>
      <c r="E708" s="104"/>
      <c r="F708" s="104"/>
      <c r="G708" s="40" t="n">
        <v>0</v>
      </c>
      <c r="H708" s="104"/>
      <c r="I708" s="105">
        <f>SUM(I690:I707)</f>
        <v>376435326</v>
      </c>
      <c r="J708" s="105">
        <f>SUM(J690:J707)</f>
        <v>188217663</v>
      </c>
      <c r="K708" s="105">
        <f>SUM(K690:K707)</f>
        <v>1522875</v>
      </c>
      <c r="L708" s="105">
        <f>SUM(L690:L707)</f>
        <v>23664027</v>
      </c>
      <c r="M708" s="105">
        <f>SUM(M690:M707)</f>
        <v>0</v>
      </c>
      <c r="N708" s="105">
        <f>SUM(N690:N707)</f>
        <v>0</v>
      </c>
      <c r="O708" s="105">
        <f>SUM(O690:O707)</f>
        <v>0</v>
      </c>
      <c r="P708" s="105">
        <f>SUM(P690:P707)</f>
        <v>351248424</v>
      </c>
    </row>
    <row r="709" spans="1:16">
      <c r="A709" s="66"/>
      <c r="B709" s="63"/>
      <c r="C709" s="106"/>
      <c r="D709" s="106"/>
      <c r="E709" s="106"/>
      <c r="F709" s="106"/>
      <c r="G709" s="40" t="n">
        <v>0</v>
      </c>
      <c r="H709" s="106"/>
      <c r="I709" s="101"/>
      <c r="J709" s="101"/>
      <c r="K709" s="101"/>
      <c r="L709" s="101"/>
      <c r="M709" s="101"/>
      <c r="N709" s="101"/>
      <c r="O709" s="101"/>
      <c r="P709" s="107"/>
    </row>
    <row r="710" spans="1:16">
      <c r="A710" s="102"/>
      <c r="B710" s="103"/>
      <c r="C710" s="104"/>
      <c r="D710" s="104"/>
      <c r="E710" s="104"/>
      <c r="F710" s="104"/>
      <c r="G710" s="40" t="n">
        <v>0</v>
      </c>
      <c r="H710" s="104"/>
      <c r="I710" s="105">
        <f>I708+I687</f>
        <v>3073802069</v>
      </c>
      <c r="J710" s="105">
        <f>J708+J687</f>
        <v>2885584406</v>
      </c>
      <c r="K710" s="105">
        <f>K708+K687</f>
        <v>71324422</v>
      </c>
      <c r="L710" s="105">
        <f>L708+L687</f>
        <v>79009952</v>
      </c>
      <c r="M710" s="105">
        <f>M708+M687</f>
        <v>0</v>
      </c>
      <c r="N710" s="105">
        <f>N708+N687</f>
        <v>0</v>
      </c>
      <c r="O710" s="105">
        <f>O708+O687</f>
        <v>0</v>
      </c>
      <c r="P710" s="105">
        <f>P708+P687</f>
        <v>2923467695</v>
      </c>
    </row>
    <row r="711" spans="7:7">
      <c r="G711" s="122" t="s">
        <v>2026</v>
      </c>
    </row>
    <row r="712" spans="7:7">
      <c r="G712" s="40" t="n">
        <v>0</v>
      </c>
    </row>
    <row r="713" spans="7:7">
      <c r="G713" s="40" t="n">
        <v>0</v>
      </c>
    </row>
    <row r="714" spans="7:7">
      <c r="G714" s="40" t="n">
        <v>0</v>
      </c>
    </row>
    <row r="715" spans="7:7">
      <c r="G715" s="56"/>
    </row>
    <row r="716" spans="7:7">
      <c r="G716" s="60"/>
    </row>
    <row r="717" spans="7:7">
      <c r="G717" s="122" t="s">
        <v>20</v>
      </c>
    </row>
    <row r="718" spans="7:7">
      <c r="G718" s="122" t="s">
        <v>20</v>
      </c>
    </row>
    <row r="719" spans="7:7">
      <c r="G719" s="122" t="s">
        <v>20</v>
      </c>
    </row>
    <row r="720" spans="7:7">
      <c r="G720" s="122" t="s">
        <v>20</v>
      </c>
    </row>
    <row r="721" spans="7:7">
      <c r="G721" s="122" t="s">
        <v>20</v>
      </c>
    </row>
    <row r="722" spans="7:7">
      <c r="G722" s="122" t="s">
        <v>20</v>
      </c>
    </row>
    <row r="723" spans="7:7">
      <c r="G723" s="122" t="s">
        <v>20</v>
      </c>
    </row>
    <row r="724" spans="7:7">
      <c r="G724" s="122" t="s">
        <v>20</v>
      </c>
    </row>
    <row r="725" spans="7:7">
      <c r="G725" s="40" t="n">
        <v>0</v>
      </c>
    </row>
    <row r="726" spans="7:7">
      <c r="G726" s="40" t="n">
        <v>0</v>
      </c>
    </row>
    <row r="727" spans="7:7">
      <c r="G727" s="40" t="n">
        <v>0</v>
      </c>
    </row>
    <row r="728" spans="7:7">
      <c r="G728" s="122" t="s">
        <v>20</v>
      </c>
    </row>
    <row r="729" spans="7:7">
      <c r="G729" s="122" t="s">
        <v>20</v>
      </c>
    </row>
    <row r="730" spans="7:7">
      <c r="G730" s="40" t="n">
        <v>0</v>
      </c>
    </row>
    <row r="731" spans="7:7">
      <c r="G731" s="40" t="n">
        <v>0</v>
      </c>
    </row>
    <row r="732" spans="7:7">
      <c r="G732" s="64"/>
    </row>
    <row r="733" spans="7:7">
      <c r="G733" s="56"/>
    </row>
    <row r="734" spans="7:7">
      <c r="G734" s="67"/>
    </row>
    <row r="735" spans="7:7">
      <c r="G735" s="71"/>
    </row>
    <row r="736" spans="7:7">
      <c r="G736" s="74"/>
    </row>
    <row r="737" spans="7:7">
      <c r="G737" s="76"/>
    </row>
    <row r="738" spans="7:7">
      <c r="G738" s="76"/>
    </row>
    <row r="739" spans="7:7">
      <c r="G739" s="74"/>
    </row>
    <row r="740" spans="7:7">
      <c r="G740" s="74"/>
    </row>
    <row r="741" spans="7:7">
      <c r="G741" s="74"/>
    </row>
    <row r="742" spans="7:7">
      <c r="G742" s="74"/>
    </row>
    <row r="743" spans="7:7">
      <c r="G743" s="74"/>
    </row>
    <row r="744" spans="7:7">
      <c r="G744" s="74"/>
    </row>
    <row r="745" spans="7:7">
      <c r="G745" s="80"/>
    </row>
    <row r="746" spans="7:7">
      <c r="G746" s="84"/>
    </row>
    <row r="747" spans="7:7">
      <c r="G747" s="86"/>
    </row>
  </sheetData>
  <mergeCells count="1">
    <mergeCell ref="D5:E5"/>
  </mergeCells>
  <conditionalFormatting sqref="B703:B705">
    <cfRule type="duplicateValues" dxfId="0" priority="1"/>
  </conditionalFormatting>
  <conditionalFormatting sqref="H703:H705">
    <cfRule type="duplicateValues" dxfId="1" priority="2"/>
  </conditionalFormatting>
  <conditionalFormatting sqref="B703:B705">
    <cfRule type="duplicateValues" dxfId="2" priority="3"/>
  </conditionalFormatting>
  <conditionalFormatting sqref="F703:F705">
    <cfRule type="duplicateValues" dxfId="3" priority="4"/>
  </conditionalFormatting>
  <conditionalFormatting sqref="F703:F705">
    <cfRule type="duplicateValues" dxfId="4" priority="5"/>
  </conditionalFormatting>
  <conditionalFormatting sqref="B702">
    <cfRule type="duplicateValues" dxfId="5" priority="6"/>
  </conditionalFormatting>
  <conditionalFormatting sqref="H702">
    <cfRule type="duplicateValues" dxfId="6" priority="7"/>
  </conditionalFormatting>
  <conditionalFormatting sqref="B702">
    <cfRule type="duplicateValues" dxfId="7" priority="8"/>
  </conditionalFormatting>
  <conditionalFormatting sqref="F702">
    <cfRule type="duplicateValues" dxfId="8" priority="9"/>
  </conditionalFormatting>
  <conditionalFormatting sqref="F702">
    <cfRule type="duplicateValues" dxfId="9" priority="10"/>
  </conditionalFormatting>
  <conditionalFormatting sqref="F707:F708">
    <cfRule type="duplicateValues" dxfId="10" priority="11"/>
  </conditionalFormatting>
  <conditionalFormatting sqref="H707:H708">
    <cfRule type="duplicateValues" dxfId="11" priority="12"/>
  </conditionalFormatting>
  <conditionalFormatting sqref="F687">
    <cfRule type="duplicateValues" dxfId="12" priority="13"/>
  </conditionalFormatting>
  <conditionalFormatting sqref="H687">
    <cfRule type="duplicateValues" dxfId="13" priority="14"/>
  </conditionalFormatting>
  <conditionalFormatting sqref="H706">
    <cfRule type="duplicateValues" dxfId="14" priority="15"/>
  </conditionalFormatting>
  <conditionalFormatting sqref="B706">
    <cfRule type="duplicateValues" dxfId="15" priority="16"/>
  </conditionalFormatting>
  <conditionalFormatting sqref="F706">
    <cfRule type="duplicateValues" dxfId="16" priority="17"/>
  </conditionalFormatting>
  <conditionalFormatting sqref="H573:H576">
    <cfRule type="duplicateValues" dxfId="17" priority="18"/>
  </conditionalFormatting>
  <conditionalFormatting sqref="B573:B576">
    <cfRule type="duplicateValues" dxfId="18" priority="19"/>
  </conditionalFormatting>
  <conditionalFormatting sqref="F573:F576">
    <cfRule type="duplicateValues" dxfId="19" priority="20"/>
  </conditionalFormatting>
  <conditionalFormatting sqref="H440:H471">
    <cfRule type="duplicateValues" dxfId="20" priority="21"/>
  </conditionalFormatting>
  <conditionalFormatting sqref="B440:B471">
    <cfRule type="duplicateValues" dxfId="21" priority="22"/>
  </conditionalFormatting>
  <conditionalFormatting sqref="F440:F471">
    <cfRule type="duplicateValues" dxfId="22" priority="23"/>
  </conditionalFormatting>
  <conditionalFormatting sqref="F440:F471">
    <cfRule type="duplicateValues" dxfId="23" priority="24"/>
  </conditionalFormatting>
  <conditionalFormatting sqref="H202:H439 H472:H572 H577:H686 H688:H689 H692:H701">
    <cfRule type="duplicateValues" dxfId="24" priority="25"/>
  </conditionalFormatting>
  <conditionalFormatting sqref="B202:B439 B472:B572 B577:B686 B688:B689 B692:B701">
    <cfRule type="duplicateValues" dxfId="25" priority="26"/>
  </conditionalFormatting>
  <conditionalFormatting sqref="F202:F439 F472:F572 F577:F686 F688:F689 F692:F701">
    <cfRule type="duplicateValues" dxfId="26" priority="27"/>
  </conditionalFormatting>
  <conditionalFormatting sqref="F131">
    <cfRule type="duplicateValues" dxfId="27" priority="28"/>
  </conditionalFormatting>
  <conditionalFormatting sqref="H131">
    <cfRule type="duplicateValues" dxfId="28" priority="29"/>
  </conditionalFormatting>
  <conditionalFormatting sqref="B131">
    <cfRule type="duplicateValues" dxfId="29" priority="30"/>
  </conditionalFormatting>
  <conditionalFormatting sqref="H142:H146">
    <cfRule type="duplicateValues" dxfId="30" priority="31"/>
  </conditionalFormatting>
  <conditionalFormatting sqref="B142:B146">
    <cfRule type="duplicateValues" dxfId="31" priority="32"/>
  </conditionalFormatting>
  <conditionalFormatting sqref="F142:F146">
    <cfRule type="duplicateValues" dxfId="32" priority="33"/>
  </conditionalFormatting>
  <conditionalFormatting sqref="H132:H141 H690:H691">
    <cfRule type="duplicateValues" dxfId="33" priority="34"/>
  </conditionalFormatting>
  <conditionalFormatting sqref="B132:B141 B690:B691">
    <cfRule type="duplicateValues" dxfId="34" priority="35"/>
  </conditionalFormatting>
  <conditionalFormatting sqref="F132:F141 F690:F691">
    <cfRule type="duplicateValues" dxfId="35" priority="36"/>
  </conditionalFormatting>
  <conditionalFormatting sqref="H162:H201">
    <cfRule type="duplicateValues" dxfId="36" priority="37"/>
  </conditionalFormatting>
  <conditionalFormatting sqref="B162:B201">
    <cfRule type="duplicateValues" dxfId="37" priority="38"/>
  </conditionalFormatting>
  <conditionalFormatting sqref="F162:F201">
    <cfRule type="duplicateValues" dxfId="38" priority="39"/>
  </conditionalFormatting>
  <conditionalFormatting sqref="F131 F147:F201 F706">
    <cfRule type="duplicateValues" dxfId="39" priority="40"/>
  </conditionalFormatting>
  <conditionalFormatting sqref="F93:F130">
    <cfRule type="duplicateValues" dxfId="40" priority="41"/>
  </conditionalFormatting>
  <conditionalFormatting sqref="F93:F130">
    <cfRule type="duplicateValues" dxfId="41" priority="42"/>
  </conditionalFormatting>
  <conditionalFormatting sqref="H93:H130">
    <cfRule type="duplicateValues" dxfId="42" priority="43"/>
  </conditionalFormatting>
  <conditionalFormatting sqref="B93:B130">
    <cfRule type="duplicateValues" dxfId="43" priority="44"/>
  </conditionalFormatting>
  <conditionalFormatting sqref="F25">
    <cfRule type="duplicateValues" dxfId="44" priority="45"/>
  </conditionalFormatting>
  <conditionalFormatting sqref="H25">
    <cfRule type="duplicateValues" dxfId="45" priority="46"/>
  </conditionalFormatting>
  <conditionalFormatting sqref="B25">
    <cfRule type="duplicateValues" dxfId="46" priority="47"/>
  </conditionalFormatting>
  <conditionalFormatting sqref="B2:B701 B706:B710">
    <cfRule type="duplicateValues" dxfId="47" priority="48"/>
  </conditionalFormatting>
  <conditionalFormatting sqref="F2:F6 F131 F147:F201 F709:F710">
    <cfRule type="duplicateValues" dxfId="48" priority="49"/>
  </conditionalFormatting>
  <conditionalFormatting sqref="H2:H24 H26:H92 H131 H147:H201 H709:H710">
    <cfRule type="duplicateValues" dxfId="49" priority="50"/>
  </conditionalFormatting>
  <conditionalFormatting sqref="B7:B24 B26:B92 B131 B147:B201">
    <cfRule type="duplicateValues" dxfId="50" priority="51"/>
  </conditionalFormatting>
  <conditionalFormatting sqref="F7:F24 F26:F92">
    <cfRule type="duplicateValues" dxfId="51" priority="52"/>
  </conditionalFormatting>
  <printOptions>
    <extLst>
      <ext uri="smNativeData">
        <pm:pageFlags xmlns:pm="smNativeData" id="175973252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9732528" l="56" r="56" t="56" b="56" borderId="0" fillId="0" vertical="0"/>
        <pm:footer xmlns:pm="smNativeData" id="1759732528" l="56" r="56" t="56" b="56" borderId="0" fillId="0" vertical="2"/>
      </ext>
    </extLst>
  </headerFooter>
  <extLst>
    <ext uri="smNativeData">
      <pm:sheetPrefs xmlns:pm="smNativeData" day="175973252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P747"/>
  <sheetViews>
    <sheetView tabSelected="1" view="normal" zoomScale="90" workbookViewId="0">
      <selection activeCell="G24" sqref="G24"/>
    </sheetView>
  </sheetViews>
  <sheetFormatPr defaultRowHeight="15.40"/>
  <cols>
    <col min="1" max="1" width="5.178571" customWidth="1"/>
    <col min="2" max="2" width="34.455357" customWidth="1"/>
    <col min="3" max="3" width="8.776786" customWidth="1"/>
    <col min="4" max="4" width="6.758929" customWidth="1"/>
    <col min="5" max="5" width="6.642857" customWidth="1"/>
    <col min="6" max="6" width="19.375000" customWidth="1"/>
    <col min="7" max="7" width="19.732143" customWidth="1"/>
    <col min="8" max="8" width="16.196429" customWidth="1"/>
    <col min="9" max="9" width="13.946429" customWidth="1"/>
    <col min="10" max="10" width="17.526786" customWidth="1"/>
    <col min="11" max="12" width="14.928571" customWidth="1"/>
    <col min="13" max="15" width="7.232143" customWidth="1"/>
    <col min="16" max="16" width="17.053571" customWidth="1"/>
    <col min="17" max="16384" width="10.000000" customWidth="1"/>
  </cols>
  <sheetData>
    <row r="1" spans="1:16">
      <c r="A1" s="6"/>
      <c r="B1" s="7" t="s">
        <v>0</v>
      </c>
      <c r="C1" s="7"/>
      <c r="D1" s="7"/>
      <c r="E1" s="7"/>
      <c r="F1" s="8"/>
      <c r="G1" s="8"/>
      <c r="H1" s="8"/>
      <c r="I1" s="9"/>
      <c r="J1" s="10"/>
      <c r="K1" s="10"/>
      <c r="L1" s="10"/>
      <c r="M1" s="10"/>
      <c r="N1" s="10"/>
      <c r="O1" s="10"/>
      <c r="P1" s="7"/>
    </row>
    <row r="2" spans="1:16">
      <c r="A2" s="11"/>
      <c r="B2" s="12" t="s">
        <v>2056</v>
      </c>
      <c r="C2" s="12"/>
      <c r="D2" s="12"/>
      <c r="E2" s="12"/>
      <c r="F2" s="13"/>
      <c r="G2" s="8"/>
      <c r="H2" s="8"/>
      <c r="I2" s="9"/>
      <c r="J2" s="10"/>
      <c r="K2" s="10"/>
      <c r="L2" s="10"/>
      <c r="M2" s="10"/>
      <c r="N2" s="10"/>
      <c r="O2" s="10"/>
      <c r="P2" s="7"/>
    </row>
    <row r="3" spans="1:16">
      <c r="A3" s="14"/>
      <c r="B3" s="15" t="s">
        <v>2057</v>
      </c>
      <c r="C3" s="15"/>
      <c r="D3" s="15"/>
      <c r="E3" s="15"/>
      <c r="F3" s="16"/>
      <c r="G3" s="16"/>
      <c r="H3" s="16"/>
      <c r="I3" s="17"/>
      <c r="J3" s="18"/>
      <c r="K3" s="18"/>
      <c r="L3" s="18"/>
      <c r="M3" s="18"/>
      <c r="N3" s="18"/>
      <c r="O3" s="18"/>
      <c r="P3" s="15"/>
    </row>
    <row r="4" spans="1:16">
      <c r="A4" s="19"/>
      <c r="B4" s="20"/>
      <c r="C4" s="21"/>
      <c r="D4" s="21"/>
      <c r="E4" s="21"/>
      <c r="F4" s="20"/>
      <c r="G4" s="22"/>
      <c r="H4" s="22"/>
      <c r="I4" s="23"/>
      <c r="J4" s="23"/>
      <c r="K4" s="23"/>
      <c r="L4" s="23"/>
      <c r="M4" s="23"/>
      <c r="N4" s="23"/>
      <c r="O4" s="23"/>
      <c r="P4" s="24"/>
    </row>
    <row r="5" spans="1:16">
      <c r="A5" s="25" t="s">
        <v>3</v>
      </c>
      <c r="B5" s="26" t="s">
        <v>4</v>
      </c>
      <c r="C5" s="27" t="s">
        <v>5</v>
      </c>
      <c r="D5" s="27" t="s">
        <v>6</v>
      </c>
      <c r="E5" s="27"/>
      <c r="F5" s="28" t="s">
        <v>7</v>
      </c>
      <c r="G5" s="28" t="s">
        <v>8</v>
      </c>
      <c r="H5" s="28" t="s">
        <v>9</v>
      </c>
      <c r="I5" s="120" t="s">
        <v>10</v>
      </c>
      <c r="J5" s="29" t="s">
        <v>11</v>
      </c>
      <c r="K5" s="120" t="s">
        <v>12</v>
      </c>
      <c r="L5" s="120" t="s">
        <v>13</v>
      </c>
      <c r="M5" s="120" t="s">
        <v>14</v>
      </c>
      <c r="N5" s="120" t="s">
        <v>15</v>
      </c>
      <c r="O5" s="120" t="s">
        <v>16</v>
      </c>
      <c r="P5" s="30" t="s">
        <v>17</v>
      </c>
    </row>
    <row r="6" spans="1:16">
      <c r="A6" s="31"/>
      <c r="B6" s="32"/>
      <c r="C6" s="33"/>
      <c r="D6" s="33"/>
      <c r="E6" s="33"/>
      <c r="F6" s="26"/>
      <c r="G6" s="34"/>
      <c r="H6" s="34"/>
      <c r="I6" s="35"/>
      <c r="J6" s="35"/>
      <c r="K6" s="35"/>
      <c r="L6" s="35"/>
      <c r="M6" s="35"/>
      <c r="N6" s="35"/>
      <c r="O6" s="35"/>
      <c r="P6" s="36"/>
    </row>
    <row r="7" spans="1:16">
      <c r="A7" s="37" t="n">
        <v>1</v>
      </c>
      <c r="B7" s="116" t="s">
        <v>18</v>
      </c>
      <c r="C7" s="117" t="s">
        <v>19</v>
      </c>
      <c r="D7" s="117" t="s">
        <v>20</v>
      </c>
      <c r="E7" s="117" t="s">
        <v>21</v>
      </c>
      <c r="F7" s="116" t="s">
        <v>22</v>
      </c>
      <c r="G7" s="125" t="s">
        <v>23</v>
      </c>
      <c r="H7" s="125" t="s">
        <v>24</v>
      </c>
      <c r="I7" s="118" t="n">
        <v>2205614</v>
      </c>
      <c r="J7" s="118" t="n">
        <v>2205614</v>
      </c>
      <c r="K7" s="118" t="n">
        <v>0</v>
      </c>
      <c r="L7" s="118" t="n">
        <v>330842</v>
      </c>
      <c r="M7" s="118" t="n">
        <v>0</v>
      </c>
      <c r="N7" s="118" t="n">
        <v>0</v>
      </c>
      <c r="O7" s="118" t="n">
        <v>0</v>
      </c>
      <c r="P7" s="119" t="n">
        <v>1874772</v>
      </c>
    </row>
    <row r="8" spans="1:16">
      <c r="A8" s="37" t="n">
        <v>2</v>
      </c>
      <c r="B8" s="116" t="s">
        <v>25</v>
      </c>
      <c r="C8" s="117" t="s">
        <v>19</v>
      </c>
      <c r="D8" s="117" t="s">
        <v>20</v>
      </c>
      <c r="E8" s="117" t="s">
        <v>21</v>
      </c>
      <c r="F8" s="116" t="s">
        <v>26</v>
      </c>
      <c r="G8" s="125" t="s">
        <v>27</v>
      </c>
      <c r="H8" s="125" t="s">
        <v>28</v>
      </c>
      <c r="I8" s="118" t="n">
        <v>1543927</v>
      </c>
      <c r="J8" s="118" t="n">
        <v>1543927</v>
      </c>
      <c r="K8" s="118" t="n">
        <v>0</v>
      </c>
      <c r="L8" s="118" t="n">
        <v>231589</v>
      </c>
      <c r="M8" s="118" t="n">
        <v>0</v>
      </c>
      <c r="N8" s="118" t="n">
        <v>0</v>
      </c>
      <c r="O8" s="118" t="n">
        <v>0</v>
      </c>
      <c r="P8" s="119" t="n">
        <v>1312338</v>
      </c>
    </row>
    <row r="9" spans="1:16">
      <c r="A9" s="37" t="n">
        <v>3</v>
      </c>
      <c r="B9" s="116" t="s">
        <v>2058</v>
      </c>
      <c r="C9" s="117" t="s">
        <v>19</v>
      </c>
      <c r="D9" s="117" t="s">
        <v>20</v>
      </c>
      <c r="E9" s="117" t="s">
        <v>21</v>
      </c>
      <c r="F9" s="116" t="s">
        <v>34</v>
      </c>
      <c r="G9" s="125" t="s">
        <v>31</v>
      </c>
      <c r="H9" s="125" t="s">
        <v>36</v>
      </c>
      <c r="I9" s="118" t="n">
        <v>882244</v>
      </c>
      <c r="J9" s="118" t="n">
        <v>882244</v>
      </c>
      <c r="K9" s="118" t="n">
        <v>0</v>
      </c>
      <c r="L9" s="118" t="n">
        <v>132337</v>
      </c>
      <c r="M9" s="118" t="n">
        <v>0</v>
      </c>
      <c r="N9" s="118" t="n">
        <v>0</v>
      </c>
      <c r="O9" s="118" t="n">
        <v>0</v>
      </c>
      <c r="P9" s="119" t="n">
        <v>749907</v>
      </c>
    </row>
    <row r="10" spans="1:16">
      <c r="A10" s="37" t="n">
        <v>4</v>
      </c>
      <c r="B10" s="116" t="s">
        <v>29</v>
      </c>
      <c r="C10" s="117" t="s">
        <v>19</v>
      </c>
      <c r="D10" s="117" t="s">
        <v>20</v>
      </c>
      <c r="E10" s="117" t="s">
        <v>21</v>
      </c>
      <c r="F10" s="116" t="s">
        <v>30</v>
      </c>
      <c r="G10" s="125" t="s">
        <v>35</v>
      </c>
      <c r="H10" s="125" t="s">
        <v>32</v>
      </c>
      <c r="I10" s="118" t="n">
        <v>1058693</v>
      </c>
      <c r="J10" s="118" t="n">
        <v>1058693</v>
      </c>
      <c r="K10" s="118" t="n">
        <v>0</v>
      </c>
      <c r="L10" s="118" t="n">
        <v>158804</v>
      </c>
      <c r="M10" s="118" t="n">
        <v>0</v>
      </c>
      <c r="N10" s="118" t="n">
        <v>0</v>
      </c>
      <c r="O10" s="118" t="n">
        <v>0</v>
      </c>
      <c r="P10" s="119" t="n">
        <v>899889</v>
      </c>
    </row>
    <row r="11" spans="1:16">
      <c r="A11" s="37" t="n">
        <v>5</v>
      </c>
      <c r="B11" s="116" t="s">
        <v>37</v>
      </c>
      <c r="C11" s="117" t="s">
        <v>19</v>
      </c>
      <c r="D11" s="117" t="s">
        <v>20</v>
      </c>
      <c r="E11" s="117" t="s">
        <v>21</v>
      </c>
      <c r="F11" s="116" t="s">
        <v>38</v>
      </c>
      <c r="G11" s="125" t="s">
        <v>39</v>
      </c>
      <c r="H11" s="125" t="s">
        <v>40</v>
      </c>
      <c r="I11" s="118" t="n">
        <v>882244</v>
      </c>
      <c r="J11" s="118" t="n">
        <v>882244</v>
      </c>
      <c r="K11" s="118" t="n">
        <v>0</v>
      </c>
      <c r="L11" s="118" t="n">
        <v>132337</v>
      </c>
      <c r="M11" s="118" t="n">
        <v>0</v>
      </c>
      <c r="N11" s="118" t="n">
        <v>0</v>
      </c>
      <c r="O11" s="118" t="n">
        <v>0</v>
      </c>
      <c r="P11" s="119" t="n">
        <v>749907</v>
      </c>
    </row>
    <row r="12" spans="1:16">
      <c r="A12" s="37" t="n">
        <v>6</v>
      </c>
      <c r="B12" s="116" t="s">
        <v>2059</v>
      </c>
      <c r="C12" s="117" t="s">
        <v>19</v>
      </c>
      <c r="D12" s="117" t="s">
        <v>20</v>
      </c>
      <c r="E12" s="117" t="s">
        <v>21</v>
      </c>
      <c r="F12" s="116" t="s">
        <v>42</v>
      </c>
      <c r="G12" s="125" t="s">
        <v>43</v>
      </c>
      <c r="H12" s="125" t="s">
        <v>44</v>
      </c>
      <c r="I12" s="118" t="n">
        <v>882244</v>
      </c>
      <c r="J12" s="118" t="n">
        <v>882244</v>
      </c>
      <c r="K12" s="118" t="n">
        <v>0</v>
      </c>
      <c r="L12" s="118" t="n">
        <v>132337</v>
      </c>
      <c r="M12" s="118" t="n">
        <v>0</v>
      </c>
      <c r="N12" s="118" t="n">
        <v>0</v>
      </c>
      <c r="O12" s="118" t="n">
        <v>0</v>
      </c>
      <c r="P12" s="119" t="n">
        <v>749907</v>
      </c>
    </row>
    <row r="13" spans="1:16">
      <c r="A13" s="37" t="n">
        <v>7</v>
      </c>
      <c r="B13" s="116" t="s">
        <v>2060</v>
      </c>
      <c r="C13" s="117" t="s">
        <v>19</v>
      </c>
      <c r="D13" s="117" t="s">
        <v>20</v>
      </c>
      <c r="E13" s="117" t="s">
        <v>21</v>
      </c>
      <c r="F13" s="116" t="s">
        <v>46</v>
      </c>
      <c r="G13" s="125" t="s">
        <v>47</v>
      </c>
      <c r="H13" s="125" t="s">
        <v>48</v>
      </c>
      <c r="I13" s="118" t="n">
        <v>882244</v>
      </c>
      <c r="J13" s="118" t="n">
        <v>882244</v>
      </c>
      <c r="K13" s="118" t="n">
        <v>0</v>
      </c>
      <c r="L13" s="118" t="n">
        <v>132337</v>
      </c>
      <c r="M13" s="118" t="n">
        <v>0</v>
      </c>
      <c r="N13" s="118" t="n">
        <v>0</v>
      </c>
      <c r="O13" s="118" t="n">
        <v>0</v>
      </c>
      <c r="P13" s="119" t="n">
        <v>749907</v>
      </c>
    </row>
    <row r="14" spans="1:16">
      <c r="A14" s="37" t="n">
        <v>8</v>
      </c>
      <c r="B14" s="116" t="s">
        <v>2061</v>
      </c>
      <c r="C14" s="117" t="s">
        <v>19</v>
      </c>
      <c r="D14" s="117" t="s">
        <v>20</v>
      </c>
      <c r="E14" s="117" t="s">
        <v>21</v>
      </c>
      <c r="F14" s="116" t="s">
        <v>50</v>
      </c>
      <c r="G14" s="125" t="s">
        <v>51</v>
      </c>
      <c r="H14" s="125" t="s">
        <v>52</v>
      </c>
      <c r="I14" s="118" t="n">
        <v>882244</v>
      </c>
      <c r="J14" s="118" t="n">
        <v>882244</v>
      </c>
      <c r="K14" s="118" t="n">
        <v>0</v>
      </c>
      <c r="L14" s="118" t="n">
        <v>132337</v>
      </c>
      <c r="M14" s="118" t="n">
        <v>0</v>
      </c>
      <c r="N14" s="118" t="n">
        <v>0</v>
      </c>
      <c r="O14" s="118" t="n">
        <v>0</v>
      </c>
      <c r="P14" s="119" t="n">
        <v>749907</v>
      </c>
    </row>
    <row r="15" spans="1:16">
      <c r="A15" s="37" t="n">
        <v>10</v>
      </c>
      <c r="B15" s="38" t="s">
        <v>53</v>
      </c>
      <c r="C15" s="39" t="s">
        <v>19</v>
      </c>
      <c r="D15" s="39" t="s">
        <v>20</v>
      </c>
      <c r="E15" s="39" t="s">
        <v>21</v>
      </c>
      <c r="F15" s="38" t="s">
        <v>54</v>
      </c>
      <c r="G15" s="122" t="s">
        <v>55</v>
      </c>
      <c r="H15" s="122" t="s">
        <v>56</v>
      </c>
      <c r="I15" s="41" t="n">
        <v>683739</v>
      </c>
      <c r="J15" s="41" t="n">
        <v>683739</v>
      </c>
      <c r="K15" s="41" t="n">
        <v>0</v>
      </c>
      <c r="L15" s="41" t="n">
        <v>102561</v>
      </c>
      <c r="M15" s="41" t="n">
        <v>0</v>
      </c>
      <c r="N15" s="41" t="n">
        <v>0</v>
      </c>
      <c r="O15" s="41" t="n">
        <v>0</v>
      </c>
      <c r="P15" s="42" t="n">
        <v>581178</v>
      </c>
    </row>
    <row r="16" spans="1:16">
      <c r="A16" s="37" t="n">
        <v>11</v>
      </c>
      <c r="B16" s="38" t="s">
        <v>57</v>
      </c>
      <c r="C16" s="39" t="s">
        <v>58</v>
      </c>
      <c r="D16" s="39" t="s">
        <v>20</v>
      </c>
      <c r="E16" s="39" t="s">
        <v>21</v>
      </c>
      <c r="F16" s="38" t="s">
        <v>59</v>
      </c>
      <c r="G16" s="122" t="s">
        <v>60</v>
      </c>
      <c r="H16" s="122" t="s">
        <v>61</v>
      </c>
      <c r="I16" s="41" t="n">
        <v>683739</v>
      </c>
      <c r="J16" s="41" t="n">
        <v>683739</v>
      </c>
      <c r="K16" s="41" t="n">
        <v>34187</v>
      </c>
      <c r="L16" s="41" t="n">
        <v>0</v>
      </c>
      <c r="M16" s="41" t="n">
        <v>0</v>
      </c>
      <c r="N16" s="41" t="n">
        <v>0</v>
      </c>
      <c r="O16" s="41" t="n">
        <v>0</v>
      </c>
      <c r="P16" s="42" t="n">
        <v>649552</v>
      </c>
    </row>
    <row r="17" spans="1:16">
      <c r="A17" s="37" t="n">
        <v>12</v>
      </c>
      <c r="B17" s="38" t="s">
        <v>2062</v>
      </c>
      <c r="C17" s="39" t="s">
        <v>58</v>
      </c>
      <c r="D17" s="39" t="s">
        <v>20</v>
      </c>
      <c r="E17" s="39" t="s">
        <v>21</v>
      </c>
      <c r="F17" s="38" t="s">
        <v>63</v>
      </c>
      <c r="G17" s="122" t="s">
        <v>64</v>
      </c>
      <c r="H17" s="122" t="s">
        <v>65</v>
      </c>
      <c r="I17" s="41" t="n">
        <v>683739</v>
      </c>
      <c r="J17" s="41" t="n">
        <v>683739</v>
      </c>
      <c r="K17" s="41" t="n">
        <v>34187</v>
      </c>
      <c r="L17" s="41" t="n">
        <v>0</v>
      </c>
      <c r="M17" s="41" t="n">
        <v>0</v>
      </c>
      <c r="N17" s="41" t="n">
        <v>0</v>
      </c>
      <c r="O17" s="41" t="n">
        <v>0</v>
      </c>
      <c r="P17" s="42" t="n">
        <v>649552</v>
      </c>
    </row>
    <row r="18" spans="1:16">
      <c r="A18" s="37" t="n">
        <v>13</v>
      </c>
      <c r="B18" s="38" t="s">
        <v>2063</v>
      </c>
      <c r="C18" s="39" t="s">
        <v>58</v>
      </c>
      <c r="D18" s="39" t="s">
        <v>20</v>
      </c>
      <c r="E18" s="39" t="s">
        <v>21</v>
      </c>
      <c r="F18" s="38" t="s">
        <v>67</v>
      </c>
      <c r="G18" s="122" t="s">
        <v>68</v>
      </c>
      <c r="H18" s="122" t="s">
        <v>69</v>
      </c>
      <c r="I18" s="41" t="n">
        <v>661683</v>
      </c>
      <c r="J18" s="41" t="n">
        <v>661683</v>
      </c>
      <c r="K18" s="41" t="n">
        <v>33084</v>
      </c>
      <c r="L18" s="41" t="n">
        <v>0</v>
      </c>
      <c r="M18" s="41" t="n">
        <v>0</v>
      </c>
      <c r="N18" s="41" t="n">
        <v>0</v>
      </c>
      <c r="O18" s="41" t="n">
        <v>0</v>
      </c>
      <c r="P18" s="42" t="n">
        <v>628599</v>
      </c>
    </row>
    <row r="19" spans="1:16">
      <c r="A19" s="37" t="n">
        <v>14</v>
      </c>
      <c r="B19" s="38" t="s">
        <v>307</v>
      </c>
      <c r="C19" s="39" t="s">
        <v>58</v>
      </c>
      <c r="D19" s="39" t="s">
        <v>20</v>
      </c>
      <c r="E19" s="39" t="s">
        <v>21</v>
      </c>
      <c r="F19" s="38" t="s">
        <v>308</v>
      </c>
      <c r="G19" s="122" t="s">
        <v>72</v>
      </c>
      <c r="H19" s="122" t="s">
        <v>309</v>
      </c>
      <c r="I19" s="41" t="n">
        <v>562430</v>
      </c>
      <c r="J19" s="41" t="n">
        <v>562430</v>
      </c>
      <c r="K19" s="41" t="n">
        <v>28122</v>
      </c>
      <c r="L19" s="41" t="n">
        <v>0</v>
      </c>
      <c r="M19" s="41" t="n">
        <v>0</v>
      </c>
      <c r="N19" s="41" t="n">
        <v>0</v>
      </c>
      <c r="O19" s="41" t="n">
        <v>0</v>
      </c>
      <c r="P19" s="42" t="n">
        <v>534308</v>
      </c>
    </row>
    <row r="20" spans="1:16">
      <c r="A20" s="37" t="n">
        <v>15</v>
      </c>
      <c r="B20" s="38" t="s">
        <v>70</v>
      </c>
      <c r="C20" s="39" t="s">
        <v>58</v>
      </c>
      <c r="D20" s="39" t="s">
        <v>20</v>
      </c>
      <c r="E20" s="39" t="s">
        <v>21</v>
      </c>
      <c r="F20" s="38" t="s">
        <v>71</v>
      </c>
      <c r="G20" s="122" t="s">
        <v>76</v>
      </c>
      <c r="H20" s="122" t="s">
        <v>73</v>
      </c>
      <c r="I20" s="41" t="n">
        <v>512804</v>
      </c>
      <c r="J20" s="41" t="n">
        <v>512804</v>
      </c>
      <c r="K20" s="41" t="n">
        <v>25640</v>
      </c>
      <c r="L20" s="41" t="n">
        <v>0</v>
      </c>
      <c r="M20" s="41" t="n">
        <v>0</v>
      </c>
      <c r="N20" s="41" t="n">
        <v>0</v>
      </c>
      <c r="O20" s="41" t="n">
        <v>0</v>
      </c>
      <c r="P20" s="42" t="n">
        <v>487164</v>
      </c>
    </row>
    <row r="21" spans="1:16">
      <c r="A21" s="37" t="n">
        <v>16</v>
      </c>
      <c r="B21" s="38" t="s">
        <v>2064</v>
      </c>
      <c r="C21" s="39" t="s">
        <v>58</v>
      </c>
      <c r="D21" s="39" t="s">
        <v>20</v>
      </c>
      <c r="E21" s="39" t="s">
        <v>21</v>
      </c>
      <c r="F21" s="38" t="s">
        <v>75</v>
      </c>
      <c r="G21" s="122" t="s">
        <v>80</v>
      </c>
      <c r="H21" s="122" t="s">
        <v>77</v>
      </c>
      <c r="I21" s="41" t="n">
        <v>188947</v>
      </c>
      <c r="J21" s="41" t="n">
        <v>188947</v>
      </c>
      <c r="K21" s="41" t="n">
        <v>9447</v>
      </c>
      <c r="L21" s="41" t="n">
        <v>0</v>
      </c>
      <c r="M21" s="41" t="n">
        <v>0</v>
      </c>
      <c r="N21" s="41" t="n">
        <v>0</v>
      </c>
      <c r="O21" s="41" t="n">
        <v>0</v>
      </c>
      <c r="P21" s="42" t="n">
        <v>179500</v>
      </c>
    </row>
    <row r="22" spans="1:16">
      <c r="A22" s="37" t="n">
        <v>17</v>
      </c>
      <c r="B22" s="38" t="s">
        <v>2065</v>
      </c>
      <c r="C22" s="39" t="s">
        <v>58</v>
      </c>
      <c r="D22" s="39" t="s">
        <v>20</v>
      </c>
      <c r="E22" s="39" t="s">
        <v>21</v>
      </c>
      <c r="F22" s="38" t="s">
        <v>79</v>
      </c>
      <c r="G22" s="122" t="s">
        <v>84</v>
      </c>
      <c r="H22" s="122" t="s">
        <v>81</v>
      </c>
      <c r="I22" s="41" t="n">
        <v>512804</v>
      </c>
      <c r="J22" s="41" t="n">
        <v>512804</v>
      </c>
      <c r="K22" s="41" t="n">
        <v>25640</v>
      </c>
      <c r="L22" s="41" t="n">
        <v>0</v>
      </c>
      <c r="M22" s="41" t="n">
        <v>0</v>
      </c>
      <c r="N22" s="41" t="n">
        <v>0</v>
      </c>
      <c r="O22" s="41" t="n">
        <v>0</v>
      </c>
      <c r="P22" s="42" t="n">
        <v>487164</v>
      </c>
    </row>
    <row r="23" spans="1:16">
      <c r="A23" s="37" t="n">
        <v>18</v>
      </c>
      <c r="B23" s="38" t="s">
        <v>2066</v>
      </c>
      <c r="C23" s="39" t="s">
        <v>58</v>
      </c>
      <c r="D23" s="39" t="s">
        <v>20</v>
      </c>
      <c r="E23" s="39" t="s">
        <v>21</v>
      </c>
      <c r="F23" s="38" t="s">
        <v>147</v>
      </c>
      <c r="G23" s="122" t="s">
        <v>88</v>
      </c>
      <c r="H23" s="122" t="s">
        <v>148</v>
      </c>
      <c r="I23" s="41" t="n">
        <v>258424</v>
      </c>
      <c r="J23" s="41" t="n">
        <v>258424</v>
      </c>
      <c r="K23" s="41" t="n">
        <v>12921</v>
      </c>
      <c r="L23" s="41" t="n">
        <v>0</v>
      </c>
      <c r="M23" s="41" t="n">
        <v>0</v>
      </c>
      <c r="N23" s="41" t="n">
        <v>0</v>
      </c>
      <c r="O23" s="41" t="n">
        <v>0</v>
      </c>
      <c r="P23" s="42" t="n">
        <v>245503</v>
      </c>
    </row>
    <row r="24" spans="1:16">
      <c r="A24" s="37" t="n">
        <v>19</v>
      </c>
      <c r="B24" s="38" t="s">
        <v>149</v>
      </c>
      <c r="C24" s="39" t="s">
        <v>58</v>
      </c>
      <c r="D24" s="39" t="s">
        <v>20</v>
      </c>
      <c r="E24" s="39" t="s">
        <v>21</v>
      </c>
      <c r="F24" s="38" t="s">
        <v>150</v>
      </c>
      <c r="G24" s="122" t="s">
        <v>92</v>
      </c>
      <c r="H24" s="122" t="s">
        <v>151</v>
      </c>
      <c r="I24" s="41" t="n">
        <v>308785</v>
      </c>
      <c r="J24" s="41" t="n">
        <v>308785</v>
      </c>
      <c r="K24" s="41" t="n">
        <v>15439</v>
      </c>
      <c r="L24" s="41" t="n">
        <v>0</v>
      </c>
      <c r="M24" s="41" t="n">
        <v>0</v>
      </c>
      <c r="N24" s="41" t="n">
        <v>0</v>
      </c>
      <c r="O24" s="41" t="n">
        <v>0</v>
      </c>
      <c r="P24" s="42" t="n">
        <v>293346</v>
      </c>
    </row>
    <row r="25" spans="1:16">
      <c r="A25" s="37" t="n">
        <v>20</v>
      </c>
      <c r="B25" s="38" t="s">
        <v>2067</v>
      </c>
      <c r="C25" s="39" t="s">
        <v>58</v>
      </c>
      <c r="D25" s="39" t="s">
        <v>20</v>
      </c>
      <c r="E25" s="39" t="s">
        <v>21</v>
      </c>
      <c r="F25" s="38" t="s">
        <v>153</v>
      </c>
      <c r="G25" s="122" t="s">
        <v>96</v>
      </c>
      <c r="H25" s="122" t="s">
        <v>155</v>
      </c>
      <c r="I25" s="41" t="n">
        <v>254013</v>
      </c>
      <c r="J25" s="41" t="n">
        <v>254013</v>
      </c>
      <c r="K25" s="41" t="n">
        <v>12701</v>
      </c>
      <c r="L25" s="41" t="n">
        <v>0</v>
      </c>
      <c r="M25" s="41" t="n">
        <v>0</v>
      </c>
      <c r="N25" s="41" t="n">
        <v>0</v>
      </c>
      <c r="O25" s="41" t="n">
        <v>0</v>
      </c>
      <c r="P25" s="42" t="n">
        <v>241312</v>
      </c>
    </row>
    <row r="26" spans="1:16">
      <c r="A26" s="37" t="n">
        <v>21</v>
      </c>
      <c r="B26" s="38" t="s">
        <v>156</v>
      </c>
      <c r="C26" s="39" t="s">
        <v>58</v>
      </c>
      <c r="D26" s="39" t="s">
        <v>20</v>
      </c>
      <c r="E26" s="39" t="s">
        <v>21</v>
      </c>
      <c r="F26" s="38" t="s">
        <v>157</v>
      </c>
      <c r="G26" s="122" t="s">
        <v>100</v>
      </c>
      <c r="H26" s="122" t="s">
        <v>159</v>
      </c>
      <c r="I26" s="41" t="n">
        <v>240411</v>
      </c>
      <c r="J26" s="41" t="n">
        <v>240411</v>
      </c>
      <c r="K26" s="41" t="n">
        <v>12021</v>
      </c>
      <c r="L26" s="41" t="n">
        <v>0</v>
      </c>
      <c r="M26" s="41" t="n">
        <v>0</v>
      </c>
      <c r="N26" s="41" t="n">
        <v>0</v>
      </c>
      <c r="O26" s="41" t="n">
        <v>0</v>
      </c>
      <c r="P26" s="42" t="n">
        <v>228390</v>
      </c>
    </row>
    <row r="27" spans="1:16">
      <c r="A27" s="37" t="n">
        <v>22</v>
      </c>
      <c r="B27" s="38" t="s">
        <v>2068</v>
      </c>
      <c r="C27" s="39" t="s">
        <v>58</v>
      </c>
      <c r="D27" s="39" t="s">
        <v>20</v>
      </c>
      <c r="E27" s="39" t="s">
        <v>21</v>
      </c>
      <c r="F27" s="38" t="s">
        <v>165</v>
      </c>
      <c r="G27" s="122" t="s">
        <v>104</v>
      </c>
      <c r="H27" s="122" t="s">
        <v>167</v>
      </c>
      <c r="I27" s="41" t="n">
        <v>138586</v>
      </c>
      <c r="J27" s="41" t="n">
        <v>138586</v>
      </c>
      <c r="K27" s="41" t="n">
        <v>6929</v>
      </c>
      <c r="L27" s="41" t="n">
        <v>0</v>
      </c>
      <c r="M27" s="41" t="n">
        <v>0</v>
      </c>
      <c r="N27" s="41" t="n">
        <v>0</v>
      </c>
      <c r="O27" s="41" t="n">
        <v>0</v>
      </c>
      <c r="P27" s="42" t="n">
        <v>131657</v>
      </c>
    </row>
    <row r="28" spans="1:16">
      <c r="A28" s="37" t="n">
        <v>23</v>
      </c>
      <c r="B28" s="38" t="s">
        <v>168</v>
      </c>
      <c r="C28" s="39" t="s">
        <v>58</v>
      </c>
      <c r="D28" s="39" t="s">
        <v>20</v>
      </c>
      <c r="E28" s="39" t="s">
        <v>21</v>
      </c>
      <c r="F28" s="38" t="s">
        <v>169</v>
      </c>
      <c r="G28" s="122" t="s">
        <v>108</v>
      </c>
      <c r="H28" s="122" t="s">
        <v>171</v>
      </c>
      <c r="I28" s="41" t="n">
        <v>132704</v>
      </c>
      <c r="J28" s="41" t="n">
        <v>132704</v>
      </c>
      <c r="K28" s="41" t="n">
        <v>6635</v>
      </c>
      <c r="L28" s="41" t="n">
        <v>0</v>
      </c>
      <c r="M28" s="41" t="n">
        <v>0</v>
      </c>
      <c r="N28" s="41" t="n">
        <v>0</v>
      </c>
      <c r="O28" s="41" t="n">
        <v>0</v>
      </c>
      <c r="P28" s="42" t="n">
        <v>126069</v>
      </c>
    </row>
    <row r="29" spans="1:16">
      <c r="A29" s="37" t="n">
        <v>25</v>
      </c>
      <c r="B29" s="38" t="s">
        <v>172</v>
      </c>
      <c r="C29" s="39" t="s">
        <v>111</v>
      </c>
      <c r="D29" s="39" t="s">
        <v>20</v>
      </c>
      <c r="E29" s="39" t="s">
        <v>21</v>
      </c>
      <c r="F29" s="38" t="s">
        <v>173</v>
      </c>
      <c r="G29" s="122" t="s">
        <v>113</v>
      </c>
      <c r="H29" s="122" t="s">
        <v>2069</v>
      </c>
      <c r="I29" s="41" t="n">
        <v>146305</v>
      </c>
      <c r="J29" s="41" t="n">
        <v>146305</v>
      </c>
      <c r="K29" s="41" t="n">
        <v>0</v>
      </c>
      <c r="L29" s="41" t="n">
        <v>0</v>
      </c>
      <c r="M29" s="41" t="n">
        <v>0</v>
      </c>
      <c r="N29" s="41" t="n">
        <v>0</v>
      </c>
      <c r="O29" s="41" t="n">
        <v>0</v>
      </c>
      <c r="P29" s="42" t="n">
        <v>146305</v>
      </c>
    </row>
    <row r="30" spans="1:16">
      <c r="A30" s="37" t="n">
        <v>26</v>
      </c>
      <c r="B30" s="38" t="s">
        <v>176</v>
      </c>
      <c r="C30" s="39" t="s">
        <v>58</v>
      </c>
      <c r="D30" s="39" t="s">
        <v>20</v>
      </c>
      <c r="E30" s="39" t="s">
        <v>21</v>
      </c>
      <c r="F30" s="38" t="s">
        <v>177</v>
      </c>
      <c r="G30" s="122" t="s">
        <v>117</v>
      </c>
      <c r="H30" s="122" t="s">
        <v>179</v>
      </c>
      <c r="I30" s="41" t="n">
        <v>134175</v>
      </c>
      <c r="J30" s="41" t="n">
        <v>134175</v>
      </c>
      <c r="K30" s="41" t="n">
        <v>6709</v>
      </c>
      <c r="L30" s="41" t="n">
        <v>0</v>
      </c>
      <c r="M30" s="41" t="n">
        <v>0</v>
      </c>
      <c r="N30" s="41" t="n">
        <v>0</v>
      </c>
      <c r="O30" s="41" t="n">
        <v>0</v>
      </c>
      <c r="P30" s="42" t="n">
        <v>127466</v>
      </c>
    </row>
    <row r="31" spans="1:16">
      <c r="A31" s="37" t="n">
        <v>27</v>
      </c>
      <c r="B31" s="38" t="s">
        <v>501</v>
      </c>
      <c r="C31" s="39" t="s">
        <v>111</v>
      </c>
      <c r="D31" s="39" t="s">
        <v>20</v>
      </c>
      <c r="E31" s="39" t="s">
        <v>21</v>
      </c>
      <c r="F31" s="38" t="n">
        <v>0</v>
      </c>
      <c r="G31" s="40" t="n">
        <v>0</v>
      </c>
      <c r="H31" s="122" t="s">
        <v>503</v>
      </c>
      <c r="I31" s="41" t="n">
        <v>136380</v>
      </c>
      <c r="J31" s="41" t="n">
        <v>136380</v>
      </c>
      <c r="K31" s="41" t="n">
        <v>0</v>
      </c>
      <c r="L31" s="41" t="n">
        <v>0</v>
      </c>
      <c r="M31" s="41" t="n">
        <v>0</v>
      </c>
      <c r="N31" s="41" t="n">
        <v>0</v>
      </c>
      <c r="O31" s="41" t="n">
        <v>0</v>
      </c>
      <c r="P31" s="42" t="n">
        <v>136380</v>
      </c>
    </row>
    <row r="32" spans="1:16">
      <c r="A32" s="37" t="n">
        <v>28</v>
      </c>
      <c r="B32" s="38" t="s">
        <v>160</v>
      </c>
      <c r="C32" s="39" t="s">
        <v>58</v>
      </c>
      <c r="D32" s="39" t="s">
        <v>20</v>
      </c>
      <c r="E32" s="39" t="s">
        <v>21</v>
      </c>
      <c r="F32" s="38" t="s">
        <v>161</v>
      </c>
      <c r="G32" s="122" t="s">
        <v>125</v>
      </c>
      <c r="H32" s="122" t="s">
        <v>163</v>
      </c>
      <c r="I32" s="41" t="n">
        <v>88960</v>
      </c>
      <c r="J32" s="41" t="n">
        <v>88960</v>
      </c>
      <c r="K32" s="41" t="n">
        <v>4448</v>
      </c>
      <c r="L32" s="41" t="n">
        <v>0</v>
      </c>
      <c r="M32" s="41" t="n">
        <v>0</v>
      </c>
      <c r="N32" s="41" t="n">
        <v>0</v>
      </c>
      <c r="O32" s="41" t="n">
        <v>0</v>
      </c>
      <c r="P32" s="42" t="n">
        <v>84512</v>
      </c>
    </row>
    <row r="33" spans="1:16">
      <c r="A33" s="37" t="n">
        <v>29</v>
      </c>
      <c r="B33" s="38" t="s">
        <v>180</v>
      </c>
      <c r="C33" s="39" t="s">
        <v>120</v>
      </c>
      <c r="D33" s="39" t="s">
        <v>137</v>
      </c>
      <c r="E33" s="39" t="s">
        <v>14</v>
      </c>
      <c r="F33" s="38" t="n">
        <v>0</v>
      </c>
      <c r="G33" s="122" t="s">
        <v>20</v>
      </c>
      <c r="H33" s="122" t="s">
        <v>182</v>
      </c>
      <c r="I33" s="41" t="n">
        <v>148511</v>
      </c>
      <c r="J33" s="41" t="n">
        <v>148511</v>
      </c>
      <c r="K33" s="41" t="n">
        <v>0</v>
      </c>
      <c r="L33" s="41" t="n">
        <v>0</v>
      </c>
      <c r="M33" s="41" t="n">
        <v>0</v>
      </c>
      <c r="N33" s="41" t="n">
        <v>0</v>
      </c>
      <c r="O33" s="41" t="n">
        <v>0</v>
      </c>
      <c r="P33" s="42" t="n">
        <v>148511</v>
      </c>
    </row>
    <row r="34" spans="1:16">
      <c r="A34" s="37" t="n">
        <v>30</v>
      </c>
      <c r="B34" s="38" t="s">
        <v>183</v>
      </c>
      <c r="C34" s="39" t="s">
        <v>120</v>
      </c>
      <c r="D34" s="39" t="s">
        <v>128</v>
      </c>
      <c r="E34" s="39" t="s">
        <v>15</v>
      </c>
      <c r="F34" s="38" t="n">
        <v>0</v>
      </c>
      <c r="G34" s="122" t="s">
        <v>20</v>
      </c>
      <c r="H34" s="122" t="s">
        <v>185</v>
      </c>
      <c r="I34" s="41" t="n">
        <v>138586</v>
      </c>
      <c r="J34" s="41" t="n">
        <v>138586</v>
      </c>
      <c r="K34" s="41" t="n">
        <v>0</v>
      </c>
      <c r="L34" s="41" t="n">
        <v>0</v>
      </c>
      <c r="M34" s="41" t="n">
        <v>0</v>
      </c>
      <c r="N34" s="41" t="n">
        <v>0</v>
      </c>
      <c r="O34" s="41" t="n">
        <v>0</v>
      </c>
      <c r="P34" s="42" t="n">
        <v>138586</v>
      </c>
    </row>
    <row r="35" spans="1:16">
      <c r="A35" s="37" t="n">
        <v>31</v>
      </c>
      <c r="B35" s="38" t="s">
        <v>186</v>
      </c>
      <c r="C35" s="39" t="s">
        <v>120</v>
      </c>
      <c r="D35" s="39" t="s">
        <v>187</v>
      </c>
      <c r="E35" s="39" t="s">
        <v>14</v>
      </c>
      <c r="F35" s="38" t="n">
        <v>0</v>
      </c>
      <c r="G35" s="122" t="s">
        <v>20</v>
      </c>
      <c r="H35" s="122" t="s">
        <v>188</v>
      </c>
      <c r="I35" s="41" t="n">
        <v>138586</v>
      </c>
      <c r="J35" s="41" t="n">
        <v>138586</v>
      </c>
      <c r="K35" s="41" t="n">
        <v>0</v>
      </c>
      <c r="L35" s="41" t="n">
        <v>0</v>
      </c>
      <c r="M35" s="41" t="n">
        <v>0</v>
      </c>
      <c r="N35" s="41" t="n">
        <v>0</v>
      </c>
      <c r="O35" s="41" t="n">
        <v>0</v>
      </c>
      <c r="P35" s="42" t="n">
        <v>138586</v>
      </c>
    </row>
    <row r="36" spans="1:16">
      <c r="A36" s="37" t="n">
        <v>32</v>
      </c>
      <c r="B36" s="38" t="s">
        <v>189</v>
      </c>
      <c r="C36" s="39" t="s">
        <v>120</v>
      </c>
      <c r="D36" s="39" t="s">
        <v>128</v>
      </c>
      <c r="E36" s="39" t="s">
        <v>15</v>
      </c>
      <c r="F36" s="38" t="n">
        <v>0</v>
      </c>
      <c r="G36" s="122" t="s">
        <v>138</v>
      </c>
      <c r="H36" s="122" t="s">
        <v>190</v>
      </c>
      <c r="I36" s="41" t="n">
        <v>135277</v>
      </c>
      <c r="J36" s="41" t="n">
        <v>135277</v>
      </c>
      <c r="K36" s="41" t="n">
        <v>0</v>
      </c>
      <c r="L36" s="41" t="n">
        <v>0</v>
      </c>
      <c r="M36" s="41" t="n">
        <v>0</v>
      </c>
      <c r="N36" s="41" t="n">
        <v>0</v>
      </c>
      <c r="O36" s="41" t="n">
        <v>0</v>
      </c>
      <c r="P36" s="42" t="n">
        <v>135277</v>
      </c>
    </row>
    <row r="37" spans="1:16">
      <c r="A37" s="37" t="n">
        <v>33</v>
      </c>
      <c r="B37" s="38" t="s">
        <v>191</v>
      </c>
      <c r="C37" s="39" t="s">
        <v>120</v>
      </c>
      <c r="D37" s="39" t="s">
        <v>128</v>
      </c>
      <c r="E37" s="39" t="s">
        <v>15</v>
      </c>
      <c r="F37" s="38" t="n">
        <v>0</v>
      </c>
      <c r="G37" s="122" t="s">
        <v>20</v>
      </c>
      <c r="H37" s="122" t="s">
        <v>192</v>
      </c>
      <c r="I37" s="41" t="n">
        <v>135277</v>
      </c>
      <c r="J37" s="41" t="n">
        <v>135277</v>
      </c>
      <c r="K37" s="41" t="n">
        <v>0</v>
      </c>
      <c r="L37" s="41" t="n">
        <v>0</v>
      </c>
      <c r="M37" s="41" t="n">
        <v>0</v>
      </c>
      <c r="N37" s="41" t="n">
        <v>0</v>
      </c>
      <c r="O37" s="41" t="n">
        <v>0</v>
      </c>
      <c r="P37" s="42" t="n">
        <v>135277</v>
      </c>
    </row>
    <row r="38" spans="1:16">
      <c r="A38" s="37" t="n">
        <v>34</v>
      </c>
      <c r="B38" s="38" t="s">
        <v>193</v>
      </c>
      <c r="C38" s="39" t="s">
        <v>95</v>
      </c>
      <c r="D38" s="39" t="s">
        <v>128</v>
      </c>
      <c r="E38" s="39" t="s">
        <v>15</v>
      </c>
      <c r="F38" s="38" t="n">
        <v>0</v>
      </c>
      <c r="G38" s="122" t="s">
        <v>20</v>
      </c>
      <c r="H38" s="122" t="s">
        <v>194</v>
      </c>
      <c r="I38" s="41" t="n">
        <v>152922</v>
      </c>
      <c r="J38" s="41" t="n">
        <v>152922</v>
      </c>
      <c r="K38" s="41" t="n">
        <v>0</v>
      </c>
      <c r="L38" s="41" t="n">
        <v>0</v>
      </c>
      <c r="M38" s="41" t="n">
        <v>0</v>
      </c>
      <c r="N38" s="41" t="n">
        <v>0</v>
      </c>
      <c r="O38" s="41" t="n">
        <v>0</v>
      </c>
      <c r="P38" s="42" t="n">
        <v>152922</v>
      </c>
    </row>
    <row r="39" spans="1:16">
      <c r="A39" s="37" t="n">
        <v>35</v>
      </c>
      <c r="B39" s="38" t="s">
        <v>406</v>
      </c>
      <c r="C39" s="39" t="s">
        <v>95</v>
      </c>
      <c r="D39" s="39" t="s">
        <v>137</v>
      </c>
      <c r="E39" s="39" t="s">
        <v>14</v>
      </c>
      <c r="F39" s="38" t="n">
        <v>0</v>
      </c>
      <c r="G39" s="122" t="s">
        <v>20</v>
      </c>
      <c r="H39" s="122" t="s">
        <v>407</v>
      </c>
      <c r="I39" s="41" t="n">
        <v>124249</v>
      </c>
      <c r="J39" s="41" t="n">
        <v>124249</v>
      </c>
      <c r="K39" s="41" t="n">
        <v>0</v>
      </c>
      <c r="L39" s="41" t="n">
        <v>0</v>
      </c>
      <c r="M39" s="41" t="n">
        <v>0</v>
      </c>
      <c r="N39" s="41" t="n">
        <v>0</v>
      </c>
      <c r="O39" s="41" t="n">
        <v>0</v>
      </c>
      <c r="P39" s="42" t="n">
        <v>124249</v>
      </c>
    </row>
    <row r="40" spans="1:16">
      <c r="A40" s="37" t="n">
        <v>36</v>
      </c>
      <c r="B40" s="38" t="s">
        <v>195</v>
      </c>
      <c r="C40" s="39" t="s">
        <v>95</v>
      </c>
      <c r="D40" s="39" t="s">
        <v>121</v>
      </c>
      <c r="E40" s="39" t="s">
        <v>14</v>
      </c>
      <c r="F40" s="38" t="n">
        <v>0</v>
      </c>
      <c r="G40" s="122" t="s">
        <v>20</v>
      </c>
      <c r="H40" s="122" t="s">
        <v>196</v>
      </c>
      <c r="I40" s="41" t="n">
        <v>138586</v>
      </c>
      <c r="J40" s="41" t="n">
        <v>138586</v>
      </c>
      <c r="K40" s="41" t="n">
        <v>0</v>
      </c>
      <c r="L40" s="41" t="n">
        <v>0</v>
      </c>
      <c r="M40" s="41" t="n">
        <v>0</v>
      </c>
      <c r="N40" s="41" t="n">
        <v>0</v>
      </c>
      <c r="O40" s="41" t="n">
        <v>0</v>
      </c>
      <c r="P40" s="42" t="n">
        <v>138586</v>
      </c>
    </row>
    <row r="41" spans="1:16">
      <c r="A41" s="37" t="n">
        <v>37</v>
      </c>
      <c r="B41" s="38" t="s">
        <v>94</v>
      </c>
      <c r="C41" s="39" t="s">
        <v>95</v>
      </c>
      <c r="D41" s="39" t="s">
        <v>20</v>
      </c>
      <c r="E41" s="39" t="s">
        <v>21</v>
      </c>
      <c r="F41" s="38" t="n">
        <v>0</v>
      </c>
      <c r="G41" s="40" t="n">
        <v>0</v>
      </c>
      <c r="H41" s="122" t="s">
        <v>97</v>
      </c>
      <c r="I41" s="41" t="n">
        <v>193358</v>
      </c>
      <c r="J41" s="41" t="n">
        <v>193358</v>
      </c>
      <c r="K41" s="41" t="n">
        <v>0</v>
      </c>
      <c r="L41" s="41" t="n">
        <v>0</v>
      </c>
      <c r="M41" s="41" t="n">
        <v>0</v>
      </c>
      <c r="N41" s="41" t="n">
        <v>0</v>
      </c>
      <c r="O41" s="41" t="n">
        <v>0</v>
      </c>
      <c r="P41" s="42" t="n">
        <v>193358</v>
      </c>
    </row>
    <row r="42" spans="1:16">
      <c r="A42" s="37" t="n">
        <v>38</v>
      </c>
      <c r="B42" s="38" t="s">
        <v>2070</v>
      </c>
      <c r="C42" s="39" t="s">
        <v>58</v>
      </c>
      <c r="D42" s="39" t="s">
        <v>20</v>
      </c>
      <c r="E42" s="39" t="s">
        <v>21</v>
      </c>
      <c r="F42" s="38" t="s">
        <v>99</v>
      </c>
      <c r="G42" s="122" t="s">
        <v>154</v>
      </c>
      <c r="H42" s="122" t="s">
        <v>101</v>
      </c>
      <c r="I42" s="41" t="n">
        <v>237471</v>
      </c>
      <c r="J42" s="41" t="n">
        <v>237471</v>
      </c>
      <c r="K42" s="41" t="n">
        <v>11874</v>
      </c>
      <c r="L42" s="41" t="n">
        <v>0</v>
      </c>
      <c r="M42" s="41" t="n">
        <v>0</v>
      </c>
      <c r="N42" s="41" t="n">
        <v>0</v>
      </c>
      <c r="O42" s="41" t="n">
        <v>0</v>
      </c>
      <c r="P42" s="42" t="n">
        <v>225597</v>
      </c>
    </row>
    <row r="43" spans="1:16">
      <c r="A43" s="37" t="n">
        <v>39</v>
      </c>
      <c r="B43" s="38" t="s">
        <v>102</v>
      </c>
      <c r="C43" s="39" t="s">
        <v>58</v>
      </c>
      <c r="D43" s="39" t="s">
        <v>20</v>
      </c>
      <c r="E43" s="39" t="s">
        <v>21</v>
      </c>
      <c r="F43" s="38" t="s">
        <v>103</v>
      </c>
      <c r="G43" s="122" t="s">
        <v>158</v>
      </c>
      <c r="H43" s="122" t="s">
        <v>105</v>
      </c>
      <c r="I43" s="41" t="n">
        <v>154393</v>
      </c>
      <c r="J43" s="41" t="n">
        <v>154393</v>
      </c>
      <c r="K43" s="41" t="n">
        <v>7720</v>
      </c>
      <c r="L43" s="41" t="n">
        <v>0</v>
      </c>
      <c r="M43" s="41" t="n">
        <v>0</v>
      </c>
      <c r="N43" s="41" t="n">
        <v>0</v>
      </c>
      <c r="O43" s="41" t="n">
        <v>0</v>
      </c>
      <c r="P43" s="42" t="n">
        <v>146673</v>
      </c>
    </row>
    <row r="44" spans="1:16">
      <c r="A44" s="37" t="n">
        <v>40</v>
      </c>
      <c r="B44" s="38" t="s">
        <v>106</v>
      </c>
      <c r="C44" s="39" t="s">
        <v>58</v>
      </c>
      <c r="D44" s="39" t="s">
        <v>20</v>
      </c>
      <c r="E44" s="39" t="s">
        <v>21</v>
      </c>
      <c r="F44" s="38" t="s">
        <v>107</v>
      </c>
      <c r="G44" s="122" t="s">
        <v>162</v>
      </c>
      <c r="H44" s="122" t="s">
        <v>109</v>
      </c>
      <c r="I44" s="41" t="n">
        <v>144467</v>
      </c>
      <c r="J44" s="41" t="n">
        <v>144467</v>
      </c>
      <c r="K44" s="41" t="n">
        <v>7223</v>
      </c>
      <c r="L44" s="41" t="n">
        <v>0</v>
      </c>
      <c r="M44" s="41" t="n">
        <v>0</v>
      </c>
      <c r="N44" s="41" t="n">
        <v>0</v>
      </c>
      <c r="O44" s="41" t="n">
        <v>0</v>
      </c>
      <c r="P44" s="42" t="n">
        <v>137244</v>
      </c>
    </row>
    <row r="45" spans="1:16">
      <c r="A45" s="37" t="n">
        <v>41</v>
      </c>
      <c r="B45" s="38" t="s">
        <v>2071</v>
      </c>
      <c r="C45" s="39" t="s">
        <v>111</v>
      </c>
      <c r="D45" s="39" t="s">
        <v>20</v>
      </c>
      <c r="E45" s="39" t="s">
        <v>21</v>
      </c>
      <c r="F45" s="38" t="s">
        <v>112</v>
      </c>
      <c r="G45" s="122" t="s">
        <v>166</v>
      </c>
      <c r="H45" s="122" t="s">
        <v>114</v>
      </c>
      <c r="I45" s="41" t="n">
        <v>135277</v>
      </c>
      <c r="J45" s="41" t="n">
        <v>135277</v>
      </c>
      <c r="K45" s="41" t="n">
        <v>0</v>
      </c>
      <c r="L45" s="41" t="n">
        <v>0</v>
      </c>
      <c r="M45" s="41" t="n">
        <v>0</v>
      </c>
      <c r="N45" s="41" t="n">
        <v>0</v>
      </c>
      <c r="O45" s="41" t="n">
        <v>0</v>
      </c>
      <c r="P45" s="42" t="n">
        <v>135277</v>
      </c>
    </row>
    <row r="46" spans="1:16">
      <c r="A46" s="37" t="n">
        <v>42</v>
      </c>
      <c r="B46" s="38" t="s">
        <v>115</v>
      </c>
      <c r="C46" s="39" t="s">
        <v>111</v>
      </c>
      <c r="D46" s="39" t="s">
        <v>20</v>
      </c>
      <c r="E46" s="39" t="s">
        <v>21</v>
      </c>
      <c r="F46" s="38" t="s">
        <v>116</v>
      </c>
      <c r="G46" s="122" t="s">
        <v>170</v>
      </c>
      <c r="H46" s="122" t="s">
        <v>118</v>
      </c>
      <c r="I46" s="41" t="n">
        <v>142262</v>
      </c>
      <c r="J46" s="41" t="n">
        <v>142262</v>
      </c>
      <c r="K46" s="41" t="n">
        <v>0</v>
      </c>
      <c r="L46" s="41" t="n">
        <v>0</v>
      </c>
      <c r="M46" s="41" t="n">
        <v>0</v>
      </c>
      <c r="N46" s="41" t="n">
        <v>0</v>
      </c>
      <c r="O46" s="41" t="n">
        <v>0</v>
      </c>
      <c r="P46" s="42" t="n">
        <v>142262</v>
      </c>
    </row>
    <row r="47" spans="1:16">
      <c r="A47" s="37" t="n">
        <v>43</v>
      </c>
      <c r="B47" s="38" t="s">
        <v>119</v>
      </c>
      <c r="C47" s="39" t="s">
        <v>120</v>
      </c>
      <c r="D47" s="39" t="s">
        <v>121</v>
      </c>
      <c r="E47" s="39" t="s">
        <v>14</v>
      </c>
      <c r="F47" s="38" t="n">
        <v>0</v>
      </c>
      <c r="G47" s="122" t="s">
        <v>174</v>
      </c>
      <c r="H47" s="122" t="s">
        <v>122</v>
      </c>
      <c r="I47" s="41" t="n">
        <v>154393</v>
      </c>
      <c r="J47" s="41" t="n">
        <v>154393</v>
      </c>
      <c r="K47" s="41" t="n">
        <v>0</v>
      </c>
      <c r="L47" s="41" t="n">
        <v>0</v>
      </c>
      <c r="M47" s="41" t="n">
        <v>0</v>
      </c>
      <c r="N47" s="41" t="n">
        <v>0</v>
      </c>
      <c r="O47" s="41" t="n">
        <v>0</v>
      </c>
      <c r="P47" s="42" t="n">
        <v>154393</v>
      </c>
    </row>
    <row r="48" spans="1:16">
      <c r="A48" s="37" t="n">
        <v>44</v>
      </c>
      <c r="B48" s="38" t="s">
        <v>123</v>
      </c>
      <c r="C48" s="39" t="s">
        <v>120</v>
      </c>
      <c r="D48" s="39" t="s">
        <v>124</v>
      </c>
      <c r="E48" s="39" t="s">
        <v>15</v>
      </c>
      <c r="F48" s="38" t="n">
        <v>0</v>
      </c>
      <c r="G48" s="122" t="s">
        <v>178</v>
      </c>
      <c r="H48" s="122" t="s">
        <v>126</v>
      </c>
      <c r="I48" s="41" t="n">
        <v>131234</v>
      </c>
      <c r="J48" s="41" t="n">
        <v>131234</v>
      </c>
      <c r="K48" s="41" t="n">
        <v>0</v>
      </c>
      <c r="L48" s="41" t="n">
        <v>0</v>
      </c>
      <c r="M48" s="41" t="n">
        <v>0</v>
      </c>
      <c r="N48" s="41" t="n">
        <v>0</v>
      </c>
      <c r="O48" s="41" t="n">
        <v>0</v>
      </c>
      <c r="P48" s="42" t="n">
        <v>131234</v>
      </c>
    </row>
    <row r="49" spans="1:16">
      <c r="A49" s="37" t="n">
        <v>45</v>
      </c>
      <c r="B49" s="38" t="s">
        <v>127</v>
      </c>
      <c r="C49" s="39" t="s">
        <v>120</v>
      </c>
      <c r="D49" s="39" t="s">
        <v>128</v>
      </c>
      <c r="E49" s="39" t="s">
        <v>15</v>
      </c>
      <c r="F49" s="38" t="n">
        <v>0</v>
      </c>
      <c r="G49" s="122" t="s">
        <v>181</v>
      </c>
      <c r="H49" s="122" t="s">
        <v>129</v>
      </c>
      <c r="I49" s="41" t="n">
        <v>131234</v>
      </c>
      <c r="J49" s="41" t="n">
        <v>131234</v>
      </c>
      <c r="K49" s="41" t="n">
        <v>0</v>
      </c>
      <c r="L49" s="41" t="n">
        <v>0</v>
      </c>
      <c r="M49" s="41" t="n">
        <v>0</v>
      </c>
      <c r="N49" s="41" t="n">
        <v>0</v>
      </c>
      <c r="O49" s="41" t="n">
        <v>0</v>
      </c>
      <c r="P49" s="42" t="n">
        <v>131234</v>
      </c>
    </row>
    <row r="50" spans="1:16">
      <c r="A50" s="37" t="n">
        <v>46</v>
      </c>
      <c r="B50" s="38" t="s">
        <v>130</v>
      </c>
      <c r="C50" s="39" t="s">
        <v>131</v>
      </c>
      <c r="D50" s="39" t="s">
        <v>121</v>
      </c>
      <c r="E50" s="39" t="s">
        <v>14</v>
      </c>
      <c r="F50" s="38" t="s">
        <v>132</v>
      </c>
      <c r="G50" s="122" t="s">
        <v>184</v>
      </c>
      <c r="H50" s="122" t="s">
        <v>133</v>
      </c>
      <c r="I50" s="41" t="n">
        <v>154393</v>
      </c>
      <c r="J50" s="41" t="n">
        <v>154393</v>
      </c>
      <c r="K50" s="41" t="n">
        <v>7720</v>
      </c>
      <c r="L50" s="41" t="n">
        <v>0</v>
      </c>
      <c r="M50" s="41" t="n">
        <v>0</v>
      </c>
      <c r="N50" s="41" t="n">
        <v>0</v>
      </c>
      <c r="O50" s="41" t="n">
        <v>0</v>
      </c>
      <c r="P50" s="42" t="n">
        <v>146673</v>
      </c>
    </row>
    <row r="51" spans="1:16">
      <c r="A51" s="37" t="n">
        <v>47</v>
      </c>
      <c r="B51" s="38" t="s">
        <v>134</v>
      </c>
      <c r="C51" s="39" t="s">
        <v>95</v>
      </c>
      <c r="D51" s="39" t="s">
        <v>124</v>
      </c>
      <c r="E51" s="39" t="s">
        <v>15</v>
      </c>
      <c r="F51" s="38" t="n">
        <v>0</v>
      </c>
      <c r="G51" s="122" t="s">
        <v>20</v>
      </c>
      <c r="H51" s="122" t="s">
        <v>135</v>
      </c>
      <c r="I51" s="41" t="n">
        <v>145570</v>
      </c>
      <c r="J51" s="41" t="n">
        <v>145570</v>
      </c>
      <c r="K51" s="41" t="n">
        <v>0</v>
      </c>
      <c r="L51" s="41" t="n">
        <v>0</v>
      </c>
      <c r="M51" s="41" t="n">
        <v>0</v>
      </c>
      <c r="N51" s="41" t="n">
        <v>0</v>
      </c>
      <c r="O51" s="41" t="n">
        <v>0</v>
      </c>
      <c r="P51" s="42" t="n">
        <v>145570</v>
      </c>
    </row>
    <row r="52" spans="1:16">
      <c r="A52" s="37" t="n">
        <v>48</v>
      </c>
      <c r="B52" s="38" t="s">
        <v>136</v>
      </c>
      <c r="C52" s="39" t="s">
        <v>95</v>
      </c>
      <c r="D52" s="39" t="s">
        <v>137</v>
      </c>
      <c r="E52" s="39" t="s">
        <v>14</v>
      </c>
      <c r="F52" s="38" t="n">
        <v>0</v>
      </c>
      <c r="G52" s="122" t="s">
        <v>20</v>
      </c>
      <c r="H52" s="122" t="s">
        <v>139</v>
      </c>
      <c r="I52" s="41" t="n">
        <v>145570</v>
      </c>
      <c r="J52" s="41" t="n">
        <v>145570</v>
      </c>
      <c r="K52" s="41" t="n">
        <v>0</v>
      </c>
      <c r="L52" s="41" t="n">
        <v>0</v>
      </c>
      <c r="M52" s="41" t="n">
        <v>0</v>
      </c>
      <c r="N52" s="41" t="n">
        <v>0</v>
      </c>
      <c r="O52" s="41" t="n">
        <v>0</v>
      </c>
      <c r="P52" s="42" t="n">
        <v>145570</v>
      </c>
    </row>
    <row r="53" spans="1:16">
      <c r="A53" s="37" t="n">
        <v>49</v>
      </c>
      <c r="B53" s="38" t="s">
        <v>140</v>
      </c>
      <c r="C53" s="39" t="s">
        <v>95</v>
      </c>
      <c r="D53" s="39" t="s">
        <v>121</v>
      </c>
      <c r="E53" s="39" t="s">
        <v>14</v>
      </c>
      <c r="F53" s="38" t="n">
        <v>0</v>
      </c>
      <c r="G53" s="122" t="s">
        <v>20</v>
      </c>
      <c r="H53" s="122" t="s">
        <v>141</v>
      </c>
      <c r="I53" s="41" t="n">
        <v>133439</v>
      </c>
      <c r="J53" s="41" t="n">
        <v>133439</v>
      </c>
      <c r="K53" s="41" t="n">
        <v>0</v>
      </c>
      <c r="L53" s="41" t="n">
        <v>0</v>
      </c>
      <c r="M53" s="41" t="n">
        <v>0</v>
      </c>
      <c r="N53" s="41" t="n">
        <v>0</v>
      </c>
      <c r="O53" s="41" t="n">
        <v>0</v>
      </c>
      <c r="P53" s="42" t="n">
        <v>133439</v>
      </c>
    </row>
    <row r="54" spans="1:16">
      <c r="A54" s="37" t="n">
        <v>50</v>
      </c>
      <c r="B54" s="38" t="s">
        <v>142</v>
      </c>
      <c r="C54" s="39" t="s">
        <v>95</v>
      </c>
      <c r="D54" s="39" t="s">
        <v>137</v>
      </c>
      <c r="E54" s="39" t="s">
        <v>14</v>
      </c>
      <c r="F54" s="38" t="n">
        <v>0</v>
      </c>
      <c r="G54" s="122" t="s">
        <v>20</v>
      </c>
      <c r="H54" s="122" t="s">
        <v>143</v>
      </c>
      <c r="I54" s="41" t="n">
        <v>134542</v>
      </c>
      <c r="J54" s="41" t="n">
        <v>134542</v>
      </c>
      <c r="K54" s="41" t="n">
        <v>0</v>
      </c>
      <c r="L54" s="41" t="n">
        <v>0</v>
      </c>
      <c r="M54" s="41" t="n">
        <v>0</v>
      </c>
      <c r="N54" s="41" t="n">
        <v>0</v>
      </c>
      <c r="O54" s="41" t="n">
        <v>0</v>
      </c>
      <c r="P54" s="42" t="n">
        <v>134542</v>
      </c>
    </row>
    <row r="55" spans="1:16">
      <c r="A55" s="37" t="n">
        <v>51</v>
      </c>
      <c r="B55" s="38" t="s">
        <v>144</v>
      </c>
      <c r="C55" s="39" t="s">
        <v>95</v>
      </c>
      <c r="D55" s="39" t="s">
        <v>137</v>
      </c>
      <c r="E55" s="39" t="s">
        <v>14</v>
      </c>
      <c r="F55" s="38" t="n">
        <v>0</v>
      </c>
      <c r="G55" s="122" t="s">
        <v>20</v>
      </c>
      <c r="H55" s="122" t="s">
        <v>145</v>
      </c>
      <c r="I55" s="41" t="n">
        <v>133439</v>
      </c>
      <c r="J55" s="41" t="n">
        <v>133439</v>
      </c>
      <c r="K55" s="41" t="n">
        <v>0</v>
      </c>
      <c r="L55" s="41" t="n">
        <v>0</v>
      </c>
      <c r="M55" s="41" t="n">
        <v>0</v>
      </c>
      <c r="N55" s="41" t="n">
        <v>0</v>
      </c>
      <c r="O55" s="41" t="n">
        <v>0</v>
      </c>
      <c r="P55" s="42" t="n">
        <v>133439</v>
      </c>
    </row>
    <row r="56" spans="1:16">
      <c r="A56" s="37" t="n">
        <v>52</v>
      </c>
      <c r="B56" s="38" t="s">
        <v>220</v>
      </c>
      <c r="C56" s="39" t="s">
        <v>58</v>
      </c>
      <c r="D56" s="39" t="s">
        <v>20</v>
      </c>
      <c r="E56" s="39" t="s">
        <v>21</v>
      </c>
      <c r="F56" s="38" t="s">
        <v>221</v>
      </c>
      <c r="G56" s="122" t="s">
        <v>198</v>
      </c>
      <c r="H56" s="122" t="s">
        <v>223</v>
      </c>
      <c r="I56" s="41" t="n">
        <v>211003</v>
      </c>
      <c r="J56" s="41" t="n">
        <v>211003</v>
      </c>
      <c r="K56" s="41" t="n">
        <v>10550</v>
      </c>
      <c r="L56" s="41" t="n">
        <v>0</v>
      </c>
      <c r="M56" s="41" t="n">
        <v>0</v>
      </c>
      <c r="N56" s="41" t="n">
        <v>0</v>
      </c>
      <c r="O56" s="41" t="n">
        <v>0</v>
      </c>
      <c r="P56" s="42" t="n">
        <v>200453</v>
      </c>
    </row>
    <row r="57" spans="1:16">
      <c r="A57" s="37" t="n">
        <v>53</v>
      </c>
      <c r="B57" s="38" t="s">
        <v>2072</v>
      </c>
      <c r="C57" s="39" t="s">
        <v>58</v>
      </c>
      <c r="D57" s="39" t="s">
        <v>20</v>
      </c>
      <c r="E57" s="39" t="s">
        <v>21</v>
      </c>
      <c r="F57" s="38" t="s">
        <v>229</v>
      </c>
      <c r="G57" s="122" t="s">
        <v>202</v>
      </c>
      <c r="H57" s="122" t="s">
        <v>231</v>
      </c>
      <c r="I57" s="41" t="n">
        <v>124249</v>
      </c>
      <c r="J57" s="41" t="n">
        <v>124249</v>
      </c>
      <c r="K57" s="41" t="n">
        <v>6212</v>
      </c>
      <c r="L57" s="41" t="n">
        <v>0</v>
      </c>
      <c r="M57" s="41" t="n">
        <v>0</v>
      </c>
      <c r="N57" s="41" t="n">
        <v>0</v>
      </c>
      <c r="O57" s="41" t="n">
        <v>0</v>
      </c>
      <c r="P57" s="42" t="n">
        <v>118037</v>
      </c>
    </row>
    <row r="58" spans="1:16">
      <c r="A58" s="37" t="n">
        <v>54</v>
      </c>
      <c r="B58" s="38" t="s">
        <v>224</v>
      </c>
      <c r="C58" s="39" t="s">
        <v>58</v>
      </c>
      <c r="D58" s="39" t="s">
        <v>20</v>
      </c>
      <c r="E58" s="39" t="s">
        <v>21</v>
      </c>
      <c r="F58" s="38" t="s">
        <v>225</v>
      </c>
      <c r="G58" s="122" t="s">
        <v>206</v>
      </c>
      <c r="H58" s="122" t="s">
        <v>227</v>
      </c>
      <c r="I58" s="41" t="n">
        <v>127190</v>
      </c>
      <c r="J58" s="41" t="n">
        <v>127190</v>
      </c>
      <c r="K58" s="41" t="n">
        <v>6360</v>
      </c>
      <c r="L58" s="41" t="n">
        <v>0</v>
      </c>
      <c r="M58" s="41" t="n">
        <v>0</v>
      </c>
      <c r="N58" s="41" t="n">
        <v>0</v>
      </c>
      <c r="O58" s="41" t="n">
        <v>0</v>
      </c>
      <c r="P58" s="42" t="n">
        <v>120830</v>
      </c>
    </row>
    <row r="59" spans="1:16">
      <c r="A59" s="37" t="n">
        <v>55</v>
      </c>
      <c r="B59" s="38" t="s">
        <v>232</v>
      </c>
      <c r="C59" s="39" t="s">
        <v>58</v>
      </c>
      <c r="D59" s="39" t="s">
        <v>20</v>
      </c>
      <c r="E59" s="39" t="s">
        <v>21</v>
      </c>
      <c r="F59" s="38" t="s">
        <v>233</v>
      </c>
      <c r="G59" s="122" t="s">
        <v>210</v>
      </c>
      <c r="H59" s="122" t="s">
        <v>235</v>
      </c>
      <c r="I59" s="41" t="n">
        <v>135471</v>
      </c>
      <c r="J59" s="41" t="n">
        <v>135471</v>
      </c>
      <c r="K59" s="41" t="n">
        <v>6774</v>
      </c>
      <c r="L59" s="41" t="n">
        <v>0</v>
      </c>
      <c r="M59" s="41" t="n">
        <v>0</v>
      </c>
      <c r="N59" s="41" t="n">
        <v>0</v>
      </c>
      <c r="O59" s="41" t="n">
        <v>0</v>
      </c>
      <c r="P59" s="42" t="n">
        <v>128697</v>
      </c>
    </row>
    <row r="60" spans="1:16">
      <c r="A60" s="37" t="n">
        <v>56</v>
      </c>
      <c r="B60" s="38" t="s">
        <v>236</v>
      </c>
      <c r="C60" s="39" t="s">
        <v>131</v>
      </c>
      <c r="D60" s="39" t="s">
        <v>20</v>
      </c>
      <c r="E60" s="39" t="s">
        <v>21</v>
      </c>
      <c r="F60" s="38" t="s">
        <v>237</v>
      </c>
      <c r="G60" s="122" t="s">
        <v>214</v>
      </c>
      <c r="H60" s="122" t="s">
        <v>239</v>
      </c>
      <c r="I60" s="41" t="n">
        <v>108075</v>
      </c>
      <c r="J60" s="41" t="n">
        <v>108075</v>
      </c>
      <c r="K60" s="41" t="n">
        <v>5404</v>
      </c>
      <c r="L60" s="41" t="n">
        <v>0</v>
      </c>
      <c r="M60" s="41" t="n">
        <v>0</v>
      </c>
      <c r="N60" s="41" t="n">
        <v>0</v>
      </c>
      <c r="O60" s="41" t="n">
        <v>0</v>
      </c>
      <c r="P60" s="42" t="n">
        <v>102671</v>
      </c>
    </row>
    <row r="61" spans="1:16">
      <c r="A61" s="37" t="n">
        <v>57</v>
      </c>
      <c r="B61" s="38" t="s">
        <v>240</v>
      </c>
      <c r="C61" s="39" t="s">
        <v>131</v>
      </c>
      <c r="D61" s="39" t="s">
        <v>20</v>
      </c>
      <c r="E61" s="39" t="s">
        <v>21</v>
      </c>
      <c r="F61" s="38" t="s">
        <v>241</v>
      </c>
      <c r="G61" s="122" t="s">
        <v>218</v>
      </c>
      <c r="H61" s="122" t="s">
        <v>242</v>
      </c>
      <c r="I61" s="41" t="n">
        <v>184536</v>
      </c>
      <c r="J61" s="41" t="n">
        <v>184536</v>
      </c>
      <c r="K61" s="41" t="n">
        <v>9227</v>
      </c>
      <c r="L61" s="41" t="n">
        <v>0</v>
      </c>
      <c r="M61" s="41" t="n">
        <v>0</v>
      </c>
      <c r="N61" s="41" t="n">
        <v>0</v>
      </c>
      <c r="O61" s="41" t="n">
        <v>0</v>
      </c>
      <c r="P61" s="42" t="n">
        <v>175309</v>
      </c>
    </row>
    <row r="62" spans="1:16">
      <c r="A62" s="37" t="n">
        <v>58</v>
      </c>
      <c r="B62" s="38" t="s">
        <v>243</v>
      </c>
      <c r="C62" s="39" t="s">
        <v>111</v>
      </c>
      <c r="D62" s="39" t="s">
        <v>20</v>
      </c>
      <c r="E62" s="39" t="s">
        <v>21</v>
      </c>
      <c r="F62" s="38" t="s">
        <v>244</v>
      </c>
      <c r="G62" s="122" t="s">
        <v>222</v>
      </c>
      <c r="H62" s="122" t="s">
        <v>246</v>
      </c>
      <c r="I62" s="41" t="n">
        <v>11216</v>
      </c>
      <c r="J62" s="41" t="n">
        <v>11216</v>
      </c>
      <c r="K62" s="41" t="n">
        <v>0</v>
      </c>
      <c r="L62" s="41" t="n">
        <v>0</v>
      </c>
      <c r="M62" s="41" t="n">
        <v>0</v>
      </c>
      <c r="N62" s="41" t="n">
        <v>0</v>
      </c>
      <c r="O62" s="41" t="n">
        <v>0</v>
      </c>
      <c r="P62" s="42" t="n">
        <v>11216</v>
      </c>
    </row>
    <row r="63" spans="1:16">
      <c r="A63" s="37" t="n">
        <v>59</v>
      </c>
      <c r="B63" s="38" t="s">
        <v>247</v>
      </c>
      <c r="C63" s="39" t="s">
        <v>111</v>
      </c>
      <c r="D63" s="39" t="s">
        <v>20</v>
      </c>
      <c r="E63" s="39" t="s">
        <v>21</v>
      </c>
      <c r="F63" s="38" t="s">
        <v>248</v>
      </c>
      <c r="G63" s="122" t="s">
        <v>226</v>
      </c>
      <c r="H63" s="122" t="s">
        <v>249</v>
      </c>
      <c r="I63" s="41" t="n">
        <v>114324</v>
      </c>
      <c r="J63" s="41" t="n">
        <v>114324</v>
      </c>
      <c r="K63" s="41" t="n">
        <v>0</v>
      </c>
      <c r="L63" s="41" t="n">
        <v>0</v>
      </c>
      <c r="M63" s="41" t="n">
        <v>0</v>
      </c>
      <c r="N63" s="41" t="n">
        <v>0</v>
      </c>
      <c r="O63" s="41" t="n">
        <v>0</v>
      </c>
      <c r="P63" s="42" t="n">
        <v>114324</v>
      </c>
    </row>
    <row r="64" spans="1:16">
      <c r="A64" s="37" t="n">
        <v>60</v>
      </c>
      <c r="B64" s="38" t="s">
        <v>250</v>
      </c>
      <c r="C64" s="39" t="s">
        <v>120</v>
      </c>
      <c r="D64" s="39" t="s">
        <v>128</v>
      </c>
      <c r="E64" s="39" t="s">
        <v>15</v>
      </c>
      <c r="F64" s="38" t="n">
        <v>0</v>
      </c>
      <c r="G64" s="122" t="s">
        <v>230</v>
      </c>
      <c r="H64" s="122" t="s">
        <v>251</v>
      </c>
      <c r="I64" s="41" t="n">
        <v>63963</v>
      </c>
      <c r="J64" s="41" t="n">
        <v>63963</v>
      </c>
      <c r="K64" s="41" t="n">
        <v>0</v>
      </c>
      <c r="L64" s="41" t="n">
        <v>0</v>
      </c>
      <c r="M64" s="41" t="n">
        <v>0</v>
      </c>
      <c r="N64" s="41" t="n">
        <v>0</v>
      </c>
      <c r="O64" s="41" t="n">
        <v>0</v>
      </c>
      <c r="P64" s="42" t="n">
        <v>63963</v>
      </c>
    </row>
    <row r="65" spans="1:16">
      <c r="A65" s="37" t="n">
        <v>61</v>
      </c>
      <c r="B65" s="38" t="s">
        <v>252</v>
      </c>
      <c r="C65" s="39" t="s">
        <v>120</v>
      </c>
      <c r="D65" s="39" t="s">
        <v>137</v>
      </c>
      <c r="E65" s="39" t="s">
        <v>14</v>
      </c>
      <c r="F65" s="38" t="n">
        <v>0</v>
      </c>
      <c r="G65" s="122" t="s">
        <v>234</v>
      </c>
      <c r="H65" s="122" t="s">
        <v>253</v>
      </c>
      <c r="I65" s="41" t="n">
        <v>62308</v>
      </c>
      <c r="J65" s="41" t="n">
        <v>62308</v>
      </c>
      <c r="K65" s="41" t="n">
        <v>0</v>
      </c>
      <c r="L65" s="41" t="n">
        <v>0</v>
      </c>
      <c r="M65" s="41" t="n">
        <v>0</v>
      </c>
      <c r="N65" s="41" t="n">
        <v>0</v>
      </c>
      <c r="O65" s="41" t="n">
        <v>0</v>
      </c>
      <c r="P65" s="42" t="n">
        <v>62308</v>
      </c>
    </row>
    <row r="66" spans="1:16">
      <c r="A66" s="37" t="n">
        <v>62</v>
      </c>
      <c r="B66" s="38" t="s">
        <v>254</v>
      </c>
      <c r="C66" s="39" t="s">
        <v>120</v>
      </c>
      <c r="D66" s="39" t="s">
        <v>128</v>
      </c>
      <c r="E66" s="39" t="s">
        <v>15</v>
      </c>
      <c r="F66" s="38" t="n">
        <v>0</v>
      </c>
      <c r="G66" s="122" t="s">
        <v>238</v>
      </c>
      <c r="H66" s="122" t="s">
        <v>255</v>
      </c>
      <c r="I66" s="41" t="n">
        <v>57897</v>
      </c>
      <c r="J66" s="41" t="n">
        <v>57897</v>
      </c>
      <c r="K66" s="41" t="n">
        <v>0</v>
      </c>
      <c r="L66" s="41" t="n">
        <v>0</v>
      </c>
      <c r="M66" s="41" t="n">
        <v>0</v>
      </c>
      <c r="N66" s="41" t="n">
        <v>0</v>
      </c>
      <c r="O66" s="41" t="n">
        <v>0</v>
      </c>
      <c r="P66" s="42" t="n">
        <v>57897</v>
      </c>
    </row>
    <row r="67" spans="1:16">
      <c r="A67" s="37" t="n">
        <v>63</v>
      </c>
      <c r="B67" s="38" t="s">
        <v>256</v>
      </c>
      <c r="C67" s="39" t="s">
        <v>120</v>
      </c>
      <c r="D67" s="39" t="s">
        <v>128</v>
      </c>
      <c r="E67" s="39" t="s">
        <v>15</v>
      </c>
      <c r="F67" s="38" t="n">
        <v>0</v>
      </c>
      <c r="G67" s="122" t="s">
        <v>20</v>
      </c>
      <c r="H67" s="122" t="s">
        <v>258</v>
      </c>
      <c r="I67" s="41" t="n">
        <v>54589</v>
      </c>
      <c r="J67" s="41" t="n">
        <v>54589</v>
      </c>
      <c r="K67" s="41" t="n">
        <v>0</v>
      </c>
      <c r="L67" s="41" t="n">
        <v>0</v>
      </c>
      <c r="M67" s="41" t="n">
        <v>0</v>
      </c>
      <c r="N67" s="41" t="n">
        <v>0</v>
      </c>
      <c r="O67" s="41" t="n">
        <v>0</v>
      </c>
      <c r="P67" s="42" t="n">
        <v>54589</v>
      </c>
    </row>
    <row r="68" spans="1:16">
      <c r="A68" s="37" t="n">
        <v>64</v>
      </c>
      <c r="B68" s="38" t="s">
        <v>259</v>
      </c>
      <c r="C68" s="39" t="s">
        <v>120</v>
      </c>
      <c r="D68" s="39" t="s">
        <v>124</v>
      </c>
      <c r="E68" s="39" t="s">
        <v>15</v>
      </c>
      <c r="F68" s="38" t="n">
        <v>0</v>
      </c>
      <c r="G68" s="122" t="s">
        <v>245</v>
      </c>
      <c r="H68" s="122" t="s">
        <v>261</v>
      </c>
      <c r="I68" s="41" t="n">
        <v>107707</v>
      </c>
      <c r="J68" s="41" t="n">
        <v>107707</v>
      </c>
      <c r="K68" s="41" t="n">
        <v>0</v>
      </c>
      <c r="L68" s="41" t="n">
        <v>0</v>
      </c>
      <c r="M68" s="41" t="n">
        <v>0</v>
      </c>
      <c r="N68" s="41" t="n">
        <v>0</v>
      </c>
      <c r="O68" s="41" t="n">
        <v>0</v>
      </c>
      <c r="P68" s="42" t="n">
        <v>107707</v>
      </c>
    </row>
    <row r="69" spans="1:16">
      <c r="A69" s="37" t="n">
        <v>65</v>
      </c>
      <c r="B69" s="38" t="s">
        <v>262</v>
      </c>
      <c r="C69" s="39" t="s">
        <v>120</v>
      </c>
      <c r="D69" s="39" t="s">
        <v>128</v>
      </c>
      <c r="E69" s="39" t="s">
        <v>15</v>
      </c>
      <c r="F69" s="38" t="n">
        <v>0</v>
      </c>
      <c r="G69" s="122" t="s">
        <v>20</v>
      </c>
      <c r="H69" s="122" t="s">
        <v>263</v>
      </c>
      <c r="I69" s="41" t="n">
        <v>122044</v>
      </c>
      <c r="J69" s="41" t="n">
        <v>122044</v>
      </c>
      <c r="K69" s="41" t="n">
        <v>0</v>
      </c>
      <c r="L69" s="41" t="n">
        <v>0</v>
      </c>
      <c r="M69" s="41" t="n">
        <v>0</v>
      </c>
      <c r="N69" s="41" t="n">
        <v>0</v>
      </c>
      <c r="O69" s="41" t="n">
        <v>0</v>
      </c>
      <c r="P69" s="42" t="n">
        <v>122044</v>
      </c>
    </row>
    <row r="70" spans="1:16">
      <c r="A70" s="37" t="n">
        <v>66</v>
      </c>
      <c r="B70" s="38" t="s">
        <v>548</v>
      </c>
      <c r="C70" s="39" t="s">
        <v>58</v>
      </c>
      <c r="D70" s="39" t="s">
        <v>20</v>
      </c>
      <c r="E70" s="39" t="s">
        <v>21</v>
      </c>
      <c r="F70" s="38" t="s">
        <v>549</v>
      </c>
      <c r="G70" s="40" t="n">
        <v>0</v>
      </c>
      <c r="H70" s="122" t="s">
        <v>550</v>
      </c>
      <c r="I70" s="41" t="n">
        <v>77196</v>
      </c>
      <c r="J70" s="41" t="n">
        <v>77196</v>
      </c>
      <c r="K70" s="41" t="n">
        <v>3860</v>
      </c>
      <c r="L70" s="41" t="n">
        <v>0</v>
      </c>
      <c r="M70" s="41" t="n">
        <v>0</v>
      </c>
      <c r="N70" s="41" t="n">
        <v>0</v>
      </c>
      <c r="O70" s="41" t="n">
        <v>0</v>
      </c>
      <c r="P70" s="42" t="n">
        <v>73336</v>
      </c>
    </row>
    <row r="71" spans="1:16">
      <c r="A71" s="37" t="n">
        <v>67</v>
      </c>
      <c r="B71" s="38" t="s">
        <v>264</v>
      </c>
      <c r="C71" s="39" t="s">
        <v>120</v>
      </c>
      <c r="D71" s="39" t="s">
        <v>128</v>
      </c>
      <c r="E71" s="39" t="s">
        <v>15</v>
      </c>
      <c r="F71" s="38" t="n">
        <v>0</v>
      </c>
      <c r="G71" s="122" t="s">
        <v>20</v>
      </c>
      <c r="H71" s="122" t="s">
        <v>266</v>
      </c>
      <c r="I71" s="41" t="n">
        <v>5486</v>
      </c>
      <c r="J71" s="41" t="n">
        <v>5486</v>
      </c>
      <c r="K71" s="41" t="n">
        <v>0</v>
      </c>
      <c r="L71" s="41" t="n">
        <v>0</v>
      </c>
      <c r="M71" s="41" t="n">
        <v>0</v>
      </c>
      <c r="N71" s="41" t="n">
        <v>0</v>
      </c>
      <c r="O71" s="41" t="n">
        <v>0</v>
      </c>
      <c r="P71" s="42" t="n">
        <v>5486</v>
      </c>
    </row>
    <row r="72" spans="1:16">
      <c r="A72" s="37" t="n">
        <v>68</v>
      </c>
      <c r="B72" s="38" t="s">
        <v>585</v>
      </c>
      <c r="C72" s="39" t="s">
        <v>111</v>
      </c>
      <c r="D72" s="39" t="s">
        <v>20</v>
      </c>
      <c r="E72" s="39" t="s">
        <v>21</v>
      </c>
      <c r="F72" s="38" t="s">
        <v>586</v>
      </c>
      <c r="G72" s="40" t="n">
        <v>0</v>
      </c>
      <c r="H72" s="122" t="s">
        <v>588</v>
      </c>
      <c r="I72" s="41" t="n">
        <v>50913</v>
      </c>
      <c r="J72" s="41" t="n">
        <v>50913</v>
      </c>
      <c r="K72" s="41" t="n">
        <v>0</v>
      </c>
      <c r="L72" s="41" t="n">
        <v>0</v>
      </c>
      <c r="M72" s="41" t="n">
        <v>0</v>
      </c>
      <c r="N72" s="41" t="n">
        <v>0</v>
      </c>
      <c r="O72" s="41" t="n">
        <v>0</v>
      </c>
      <c r="P72" s="42" t="n">
        <v>50913</v>
      </c>
    </row>
    <row r="73" spans="1:16">
      <c r="A73" s="37" t="n">
        <v>69</v>
      </c>
      <c r="B73" s="38" t="s">
        <v>267</v>
      </c>
      <c r="C73" s="39" t="s">
        <v>120</v>
      </c>
      <c r="D73" s="39" t="s">
        <v>128</v>
      </c>
      <c r="E73" s="39" t="s">
        <v>15</v>
      </c>
      <c r="F73" s="38" t="n">
        <v>0</v>
      </c>
      <c r="G73" s="122" t="s">
        <v>257</v>
      </c>
      <c r="H73" s="122" t="s">
        <v>269</v>
      </c>
      <c r="I73" s="41" t="n">
        <v>137663</v>
      </c>
      <c r="J73" s="41" t="n">
        <v>137663</v>
      </c>
      <c r="K73" s="41" t="n">
        <v>0</v>
      </c>
      <c r="L73" s="41" t="n">
        <v>0</v>
      </c>
      <c r="M73" s="41" t="n">
        <v>0</v>
      </c>
      <c r="N73" s="41" t="n">
        <v>0</v>
      </c>
      <c r="O73" s="41" t="n">
        <v>0</v>
      </c>
      <c r="P73" s="42" t="n">
        <v>137663</v>
      </c>
    </row>
    <row r="74" spans="1:16">
      <c r="A74" s="37" t="n">
        <v>70</v>
      </c>
      <c r="B74" s="38" t="s">
        <v>412</v>
      </c>
      <c r="C74" s="39" t="s">
        <v>95</v>
      </c>
      <c r="D74" s="39" t="s">
        <v>128</v>
      </c>
      <c r="E74" s="39" t="s">
        <v>15</v>
      </c>
      <c r="F74" s="38" t="n">
        <v>0</v>
      </c>
      <c r="G74" s="122" t="s">
        <v>260</v>
      </c>
      <c r="H74" s="122" t="s">
        <v>414</v>
      </c>
      <c r="I74" s="41" t="n">
        <v>50178</v>
      </c>
      <c r="J74" s="41" t="n">
        <v>50178</v>
      </c>
      <c r="K74" s="41" t="n">
        <v>0</v>
      </c>
      <c r="L74" s="41" t="n">
        <v>0</v>
      </c>
      <c r="M74" s="41" t="n">
        <v>0</v>
      </c>
      <c r="N74" s="41" t="n">
        <v>0</v>
      </c>
      <c r="O74" s="41" t="n">
        <v>0</v>
      </c>
      <c r="P74" s="42" t="n">
        <v>50178</v>
      </c>
    </row>
    <row r="75" spans="1:16">
      <c r="A75" s="37" t="n">
        <v>71</v>
      </c>
      <c r="B75" s="38" t="s">
        <v>396</v>
      </c>
      <c r="C75" s="39" t="s">
        <v>95</v>
      </c>
      <c r="D75" s="39" t="s">
        <v>124</v>
      </c>
      <c r="E75" s="39" t="s">
        <v>15</v>
      </c>
      <c r="F75" s="38" t="n">
        <v>0</v>
      </c>
      <c r="G75" s="122" t="s">
        <v>20</v>
      </c>
      <c r="H75" s="122" t="s">
        <v>398</v>
      </c>
      <c r="I75" s="41" t="n">
        <v>131234</v>
      </c>
      <c r="J75" s="41" t="n">
        <v>131234</v>
      </c>
      <c r="K75" s="41" t="n">
        <v>0</v>
      </c>
      <c r="L75" s="41" t="n">
        <v>0</v>
      </c>
      <c r="M75" s="41" t="n">
        <v>0</v>
      </c>
      <c r="N75" s="41" t="n">
        <v>0</v>
      </c>
      <c r="O75" s="41" t="n">
        <v>0</v>
      </c>
      <c r="P75" s="42" t="n">
        <v>131234</v>
      </c>
    </row>
    <row r="76" spans="1:16">
      <c r="A76" s="37" t="n">
        <v>74</v>
      </c>
      <c r="B76" s="38" t="s">
        <v>295</v>
      </c>
      <c r="C76" s="39" t="s">
        <v>58</v>
      </c>
      <c r="D76" s="39" t="s">
        <v>20</v>
      </c>
      <c r="E76" s="39" t="s">
        <v>21</v>
      </c>
      <c r="F76" s="38" t="s">
        <v>296</v>
      </c>
      <c r="G76" s="122" t="s">
        <v>265</v>
      </c>
      <c r="H76" s="122" t="s">
        <v>298</v>
      </c>
      <c r="I76" s="41" t="n">
        <v>173508</v>
      </c>
      <c r="J76" s="41" t="n">
        <v>173508</v>
      </c>
      <c r="K76" s="41" t="n">
        <v>8675</v>
      </c>
      <c r="L76" s="41" t="n">
        <v>0</v>
      </c>
      <c r="M76" s="41" t="n">
        <v>0</v>
      </c>
      <c r="N76" s="41" t="n">
        <v>0</v>
      </c>
      <c r="O76" s="41" t="n">
        <v>0</v>
      </c>
      <c r="P76" s="42" t="n">
        <v>164833</v>
      </c>
    </row>
    <row r="77" spans="1:16">
      <c r="A77" s="37" t="n">
        <v>75</v>
      </c>
      <c r="B77" s="38" t="s">
        <v>299</v>
      </c>
      <c r="C77" s="39" t="s">
        <v>58</v>
      </c>
      <c r="D77" s="39" t="s">
        <v>20</v>
      </c>
      <c r="E77" s="39" t="s">
        <v>21</v>
      </c>
      <c r="F77" s="38" t="s">
        <v>300</v>
      </c>
      <c r="G77" s="122" t="s">
        <v>268</v>
      </c>
      <c r="H77" s="122" t="s">
        <v>302</v>
      </c>
      <c r="I77" s="41" t="n">
        <v>151084</v>
      </c>
      <c r="J77" s="41" t="n">
        <v>151084</v>
      </c>
      <c r="K77" s="41" t="n">
        <v>7554</v>
      </c>
      <c r="L77" s="41" t="n">
        <v>0</v>
      </c>
      <c r="M77" s="41" t="n">
        <v>0</v>
      </c>
      <c r="N77" s="41" t="n">
        <v>0</v>
      </c>
      <c r="O77" s="41" t="n">
        <v>0</v>
      </c>
      <c r="P77" s="42" t="n">
        <v>143530</v>
      </c>
    </row>
    <row r="78" spans="1:16">
      <c r="A78" s="37" t="n">
        <v>76</v>
      </c>
      <c r="B78" s="38" t="s">
        <v>303</v>
      </c>
      <c r="C78" s="39" t="s">
        <v>111</v>
      </c>
      <c r="D78" s="39" t="s">
        <v>20</v>
      </c>
      <c r="E78" s="39" t="s">
        <v>21</v>
      </c>
      <c r="F78" s="38" t="s">
        <v>304</v>
      </c>
      <c r="G78" s="122" t="s">
        <v>271</v>
      </c>
      <c r="H78" s="122" t="s">
        <v>306</v>
      </c>
      <c r="I78" s="41" t="n">
        <v>149981</v>
      </c>
      <c r="J78" s="41" t="n">
        <v>149981</v>
      </c>
      <c r="K78" s="41" t="n">
        <v>0</v>
      </c>
      <c r="L78" s="41" t="n">
        <v>0</v>
      </c>
      <c r="M78" s="41" t="n">
        <v>0</v>
      </c>
      <c r="N78" s="41" t="n">
        <v>0</v>
      </c>
      <c r="O78" s="41" t="n">
        <v>0</v>
      </c>
      <c r="P78" s="42" t="n">
        <v>149981</v>
      </c>
    </row>
    <row r="79" spans="1:16">
      <c r="A79" s="37" t="n">
        <v>77</v>
      </c>
      <c r="B79" s="38" t="s">
        <v>317</v>
      </c>
      <c r="C79" s="39" t="s">
        <v>58</v>
      </c>
      <c r="D79" s="39" t="s">
        <v>20</v>
      </c>
      <c r="E79" s="39" t="s">
        <v>21</v>
      </c>
      <c r="F79" s="38" t="s">
        <v>318</v>
      </c>
      <c r="G79" s="122" t="s">
        <v>275</v>
      </c>
      <c r="H79" s="122" t="s">
        <v>320</v>
      </c>
      <c r="I79" s="41" t="n">
        <v>167626</v>
      </c>
      <c r="J79" s="41" t="n">
        <v>167626</v>
      </c>
      <c r="K79" s="41" t="n">
        <v>8381</v>
      </c>
      <c r="L79" s="41" t="n">
        <v>0</v>
      </c>
      <c r="M79" s="41" t="n">
        <v>0</v>
      </c>
      <c r="N79" s="41" t="n">
        <v>0</v>
      </c>
      <c r="O79" s="41" t="n">
        <v>0</v>
      </c>
      <c r="P79" s="42" t="n">
        <v>159245</v>
      </c>
    </row>
    <row r="80" spans="1:16">
      <c r="A80" s="37" t="n">
        <v>78</v>
      </c>
      <c r="B80" s="38" t="s">
        <v>321</v>
      </c>
      <c r="C80" s="39" t="s">
        <v>120</v>
      </c>
      <c r="D80" s="39" t="s">
        <v>124</v>
      </c>
      <c r="E80" s="39" t="s">
        <v>15</v>
      </c>
      <c r="F80" s="38" t="n">
        <v>0</v>
      </c>
      <c r="G80" s="122" t="s">
        <v>20</v>
      </c>
      <c r="H80" s="122" t="s">
        <v>322</v>
      </c>
      <c r="I80" s="41" t="n">
        <v>155863</v>
      </c>
      <c r="J80" s="41" t="n">
        <v>155863</v>
      </c>
      <c r="K80" s="41" t="n">
        <v>0</v>
      </c>
      <c r="L80" s="41" t="n">
        <v>0</v>
      </c>
      <c r="M80" s="41" t="n">
        <v>0</v>
      </c>
      <c r="N80" s="41" t="n">
        <v>0</v>
      </c>
      <c r="O80" s="41" t="n">
        <v>0</v>
      </c>
      <c r="P80" s="42" t="n">
        <v>155863</v>
      </c>
    </row>
    <row r="81" spans="1:16">
      <c r="A81" s="37" t="n">
        <v>79</v>
      </c>
      <c r="B81" s="38" t="s">
        <v>323</v>
      </c>
      <c r="C81" s="39" t="s">
        <v>120</v>
      </c>
      <c r="D81" s="39" t="s">
        <v>124</v>
      </c>
      <c r="E81" s="39" t="s">
        <v>15</v>
      </c>
      <c r="F81" s="38" t="n">
        <v>0</v>
      </c>
      <c r="G81" s="122" t="s">
        <v>20</v>
      </c>
      <c r="H81" s="122" t="s">
        <v>324</v>
      </c>
      <c r="I81" s="41" t="n">
        <v>153290</v>
      </c>
      <c r="J81" s="41" t="n">
        <v>153290</v>
      </c>
      <c r="K81" s="41" t="n">
        <v>0</v>
      </c>
      <c r="L81" s="41" t="n">
        <v>0</v>
      </c>
      <c r="M81" s="41" t="n">
        <v>0</v>
      </c>
      <c r="N81" s="41" t="n">
        <v>0</v>
      </c>
      <c r="O81" s="41" t="n">
        <v>0</v>
      </c>
      <c r="P81" s="42" t="n">
        <v>153290</v>
      </c>
    </row>
    <row r="82" spans="1:16">
      <c r="A82" s="37" t="n">
        <v>80</v>
      </c>
      <c r="B82" s="38" t="s">
        <v>197</v>
      </c>
      <c r="C82" s="39" t="s">
        <v>95</v>
      </c>
      <c r="D82" s="39" t="s">
        <v>137</v>
      </c>
      <c r="E82" s="39" t="s">
        <v>14</v>
      </c>
      <c r="F82" s="38" t="n">
        <v>0</v>
      </c>
      <c r="G82" s="122" t="s">
        <v>284</v>
      </c>
      <c r="H82" s="122" t="s">
        <v>199</v>
      </c>
      <c r="I82" s="41" t="n">
        <v>132704</v>
      </c>
      <c r="J82" s="41" t="n">
        <v>132704</v>
      </c>
      <c r="K82" s="41" t="n">
        <v>0</v>
      </c>
      <c r="L82" s="41" t="n">
        <v>0</v>
      </c>
      <c r="M82" s="41" t="n">
        <v>0</v>
      </c>
      <c r="N82" s="41" t="n">
        <v>0</v>
      </c>
      <c r="O82" s="41" t="n">
        <v>0</v>
      </c>
      <c r="P82" s="42" t="n">
        <v>132704</v>
      </c>
    </row>
    <row r="83" spans="1:16">
      <c r="A83" s="37" t="n">
        <v>81</v>
      </c>
      <c r="B83" s="38" t="s">
        <v>1494</v>
      </c>
      <c r="C83" s="39" t="s">
        <v>58</v>
      </c>
      <c r="D83" s="39" t="s">
        <v>20</v>
      </c>
      <c r="E83" s="39" t="s">
        <v>21</v>
      </c>
      <c r="F83" s="38" t="s">
        <v>1495</v>
      </c>
      <c r="G83" s="122" t="s">
        <v>287</v>
      </c>
      <c r="H83" s="122" t="s">
        <v>1496</v>
      </c>
      <c r="I83" s="41" t="n">
        <v>152796</v>
      </c>
      <c r="J83" s="41" t="n">
        <v>152796</v>
      </c>
      <c r="K83" s="41" t="n">
        <v>7640</v>
      </c>
      <c r="L83" s="41" t="n">
        <v>0</v>
      </c>
      <c r="M83" s="41" t="n">
        <v>0</v>
      </c>
      <c r="N83" s="41" t="n">
        <v>0</v>
      </c>
      <c r="O83" s="41" t="n">
        <v>0</v>
      </c>
      <c r="P83" s="42" t="n">
        <v>145156</v>
      </c>
    </row>
    <row r="84" spans="1:16">
      <c r="A84" s="37" t="n">
        <v>82</v>
      </c>
      <c r="B84" s="38" t="s">
        <v>314</v>
      </c>
      <c r="C84" s="39" t="s">
        <v>58</v>
      </c>
      <c r="D84" s="39" t="s">
        <v>20</v>
      </c>
      <c r="E84" s="39" t="s">
        <v>21</v>
      </c>
      <c r="F84" s="38" t="s">
        <v>315</v>
      </c>
      <c r="G84" s="122" t="s">
        <v>290</v>
      </c>
      <c r="H84" s="122" t="s">
        <v>316</v>
      </c>
      <c r="I84" s="41" t="n">
        <v>133807</v>
      </c>
      <c r="J84" s="41" t="n">
        <v>133807</v>
      </c>
      <c r="K84" s="41" t="n">
        <v>6690</v>
      </c>
      <c r="L84" s="41" t="n">
        <v>0</v>
      </c>
      <c r="M84" s="41" t="n">
        <v>0</v>
      </c>
      <c r="N84" s="41" t="n">
        <v>0</v>
      </c>
      <c r="O84" s="41" t="n">
        <v>0</v>
      </c>
      <c r="P84" s="42" t="n">
        <v>127117</v>
      </c>
    </row>
    <row r="85" spans="1:16">
      <c r="A85" s="37" t="n">
        <v>83</v>
      </c>
      <c r="B85" s="38" t="s">
        <v>200</v>
      </c>
      <c r="C85" s="39" t="s">
        <v>58</v>
      </c>
      <c r="D85" s="39" t="s">
        <v>20</v>
      </c>
      <c r="E85" s="39" t="s">
        <v>21</v>
      </c>
      <c r="F85" s="38" t="s">
        <v>201</v>
      </c>
      <c r="G85" s="122" t="s">
        <v>293</v>
      </c>
      <c r="H85" s="122" t="s">
        <v>203</v>
      </c>
      <c r="I85" s="41" t="n">
        <v>191153</v>
      </c>
      <c r="J85" s="41" t="n">
        <v>191153</v>
      </c>
      <c r="K85" s="41" t="n">
        <v>9558</v>
      </c>
      <c r="L85" s="41" t="n">
        <v>0</v>
      </c>
      <c r="M85" s="41" t="n">
        <v>0</v>
      </c>
      <c r="N85" s="41" t="n">
        <v>0</v>
      </c>
      <c r="O85" s="41" t="n">
        <v>0</v>
      </c>
      <c r="P85" s="42" t="n">
        <v>181595</v>
      </c>
    </row>
    <row r="86" spans="1:16">
      <c r="A86" s="37" t="n">
        <v>84</v>
      </c>
      <c r="B86" s="38" t="s">
        <v>204</v>
      </c>
      <c r="C86" s="39" t="s">
        <v>58</v>
      </c>
      <c r="D86" s="39" t="s">
        <v>20</v>
      </c>
      <c r="E86" s="39" t="s">
        <v>21</v>
      </c>
      <c r="F86" s="38" t="s">
        <v>205</v>
      </c>
      <c r="G86" s="122" t="s">
        <v>297</v>
      </c>
      <c r="H86" s="122" t="s">
        <v>207</v>
      </c>
      <c r="I86" s="41" t="n">
        <v>204387</v>
      </c>
      <c r="J86" s="41" t="n">
        <v>204387</v>
      </c>
      <c r="K86" s="41" t="n">
        <v>10219</v>
      </c>
      <c r="L86" s="41" t="n">
        <v>0</v>
      </c>
      <c r="M86" s="41" t="n">
        <v>0</v>
      </c>
      <c r="N86" s="41" t="n">
        <v>0</v>
      </c>
      <c r="O86" s="41" t="n">
        <v>0</v>
      </c>
      <c r="P86" s="42" t="n">
        <v>194168</v>
      </c>
    </row>
    <row r="87" spans="1:16">
      <c r="A87" s="37" t="n">
        <v>85</v>
      </c>
      <c r="B87" s="38" t="s">
        <v>208</v>
      </c>
      <c r="C87" s="39" t="s">
        <v>58</v>
      </c>
      <c r="D87" s="39" t="s">
        <v>20</v>
      </c>
      <c r="E87" s="39" t="s">
        <v>21</v>
      </c>
      <c r="F87" s="38" t="s">
        <v>209</v>
      </c>
      <c r="G87" s="122" t="s">
        <v>301</v>
      </c>
      <c r="H87" s="122" t="s">
        <v>211</v>
      </c>
      <c r="I87" s="41" t="n">
        <v>140791</v>
      </c>
      <c r="J87" s="41" t="n">
        <v>140791</v>
      </c>
      <c r="K87" s="41" t="n">
        <v>7040</v>
      </c>
      <c r="L87" s="41" t="n">
        <v>0</v>
      </c>
      <c r="M87" s="41" t="n">
        <v>0</v>
      </c>
      <c r="N87" s="41" t="n">
        <v>0</v>
      </c>
      <c r="O87" s="41" t="n">
        <v>0</v>
      </c>
      <c r="P87" s="42" t="n">
        <v>133751</v>
      </c>
    </row>
    <row r="88" spans="1:16">
      <c r="A88" s="37" t="n">
        <v>86</v>
      </c>
      <c r="B88" s="38" t="s">
        <v>212</v>
      </c>
      <c r="C88" s="39" t="s">
        <v>131</v>
      </c>
      <c r="D88" s="39" t="s">
        <v>128</v>
      </c>
      <c r="E88" s="39" t="s">
        <v>15</v>
      </c>
      <c r="F88" s="38" t="s">
        <v>213</v>
      </c>
      <c r="G88" s="122" t="s">
        <v>305</v>
      </c>
      <c r="H88" s="122" t="s">
        <v>215</v>
      </c>
      <c r="I88" s="41" t="n">
        <v>135277</v>
      </c>
      <c r="J88" s="41" t="n">
        <v>135277</v>
      </c>
      <c r="K88" s="41" t="n">
        <v>6764</v>
      </c>
      <c r="L88" s="41" t="n">
        <v>0</v>
      </c>
      <c r="M88" s="41" t="n">
        <v>0</v>
      </c>
      <c r="N88" s="41" t="n">
        <v>0</v>
      </c>
      <c r="O88" s="41" t="n">
        <v>0</v>
      </c>
      <c r="P88" s="42" t="n">
        <v>128513</v>
      </c>
    </row>
    <row r="89" spans="1:16">
      <c r="A89" s="37" t="n">
        <v>87</v>
      </c>
      <c r="B89" s="38" t="s">
        <v>216</v>
      </c>
      <c r="C89" s="39" t="s">
        <v>58</v>
      </c>
      <c r="D89" s="39" t="s">
        <v>137</v>
      </c>
      <c r="E89" s="39" t="s">
        <v>14</v>
      </c>
      <c r="F89" s="38" t="s">
        <v>217</v>
      </c>
      <c r="G89" s="40" t="n">
        <v>0</v>
      </c>
      <c r="H89" s="122" t="s">
        <v>219</v>
      </c>
      <c r="I89" s="41" t="n">
        <v>135277</v>
      </c>
      <c r="J89" s="41" t="n">
        <v>135277</v>
      </c>
      <c r="K89" s="41" t="n">
        <v>6764</v>
      </c>
      <c r="L89" s="41" t="n">
        <v>0</v>
      </c>
      <c r="M89" s="41" t="n">
        <v>0</v>
      </c>
      <c r="N89" s="41" t="n">
        <v>0</v>
      </c>
      <c r="O89" s="41" t="n">
        <v>0</v>
      </c>
      <c r="P89" s="42" t="n">
        <v>128513</v>
      </c>
    </row>
    <row r="90" spans="1:16">
      <c r="A90" s="37" t="n">
        <v>88</v>
      </c>
      <c r="B90" s="38" t="s">
        <v>2073</v>
      </c>
      <c r="C90" s="39" t="s">
        <v>58</v>
      </c>
      <c r="D90" s="39" t="s">
        <v>20</v>
      </c>
      <c r="E90" s="39" t="s">
        <v>21</v>
      </c>
      <c r="F90" s="38" t="s">
        <v>274</v>
      </c>
      <c r="G90" s="122" t="s">
        <v>312</v>
      </c>
      <c r="H90" s="122" t="s">
        <v>276</v>
      </c>
      <c r="I90" s="41" t="n">
        <v>168362</v>
      </c>
      <c r="J90" s="41" t="n">
        <v>168362</v>
      </c>
      <c r="K90" s="41" t="n">
        <v>8418</v>
      </c>
      <c r="L90" s="41" t="n">
        <v>0</v>
      </c>
      <c r="M90" s="41" t="n">
        <v>0</v>
      </c>
      <c r="N90" s="41" t="n">
        <v>0</v>
      </c>
      <c r="O90" s="41" t="n">
        <v>0</v>
      </c>
      <c r="P90" s="42" t="n">
        <v>159944</v>
      </c>
    </row>
    <row r="91" spans="1:16">
      <c r="A91" s="37" t="n">
        <v>89</v>
      </c>
      <c r="B91" s="38" t="s">
        <v>277</v>
      </c>
      <c r="C91" s="39" t="s">
        <v>120</v>
      </c>
      <c r="D91" s="39" t="s">
        <v>278</v>
      </c>
      <c r="E91" s="39" t="s">
        <v>16</v>
      </c>
      <c r="F91" s="38" t="n">
        <v>0</v>
      </c>
      <c r="G91" s="122" t="s">
        <v>20</v>
      </c>
      <c r="H91" s="122" t="s">
        <v>279</v>
      </c>
      <c r="I91" s="41" t="n">
        <v>163215</v>
      </c>
      <c r="J91" s="41" t="n">
        <v>163215</v>
      </c>
      <c r="K91" s="41" t="n">
        <v>0</v>
      </c>
      <c r="L91" s="41" t="n">
        <v>0</v>
      </c>
      <c r="M91" s="41" t="n">
        <v>0</v>
      </c>
      <c r="N91" s="41" t="n">
        <v>0</v>
      </c>
      <c r="O91" s="41" t="n">
        <v>0</v>
      </c>
      <c r="P91" s="42" t="n">
        <v>163215</v>
      </c>
    </row>
    <row r="92" spans="1:16">
      <c r="A92" s="37" t="n">
        <v>90</v>
      </c>
      <c r="B92" s="38" t="s">
        <v>280</v>
      </c>
      <c r="C92" s="39" t="s">
        <v>120</v>
      </c>
      <c r="D92" s="39" t="s">
        <v>128</v>
      </c>
      <c r="E92" s="39" t="s">
        <v>15</v>
      </c>
      <c r="F92" s="38" t="n">
        <v>0</v>
      </c>
      <c r="G92" s="122" t="s">
        <v>319</v>
      </c>
      <c r="H92" s="122" t="s">
        <v>281</v>
      </c>
      <c r="I92" s="41" t="n">
        <v>148879</v>
      </c>
      <c r="J92" s="41" t="n">
        <v>148879</v>
      </c>
      <c r="K92" s="41" t="n">
        <v>0</v>
      </c>
      <c r="L92" s="41" t="n">
        <v>0</v>
      </c>
      <c r="M92" s="41" t="n">
        <v>0</v>
      </c>
      <c r="N92" s="41" t="n">
        <v>0</v>
      </c>
      <c r="O92" s="41" t="n">
        <v>0</v>
      </c>
      <c r="P92" s="42" t="n">
        <v>148879</v>
      </c>
    </row>
    <row r="93" spans="1:16">
      <c r="A93" s="37" t="n">
        <v>92</v>
      </c>
      <c r="B93" s="38" t="s">
        <v>286</v>
      </c>
      <c r="C93" s="39" t="s">
        <v>95</v>
      </c>
      <c r="D93" s="39" t="s">
        <v>124</v>
      </c>
      <c r="E93" s="39" t="s">
        <v>15</v>
      </c>
      <c r="F93" s="38" t="n">
        <v>0</v>
      </c>
      <c r="G93" s="122" t="s">
        <v>20</v>
      </c>
      <c r="H93" s="122" t="s">
        <v>288</v>
      </c>
      <c r="I93" s="41" t="n">
        <v>118000</v>
      </c>
      <c r="J93" s="41" t="n">
        <v>118000</v>
      </c>
      <c r="K93" s="41" t="n">
        <v>0</v>
      </c>
      <c r="L93" s="41" t="n">
        <v>0</v>
      </c>
      <c r="M93" s="41" t="n">
        <v>0</v>
      </c>
      <c r="N93" s="41" t="n">
        <v>0</v>
      </c>
      <c r="O93" s="41" t="n">
        <v>0</v>
      </c>
      <c r="P93" s="42" t="n">
        <v>118000</v>
      </c>
    </row>
    <row r="94" spans="1:16">
      <c r="A94" s="37" t="n">
        <v>93</v>
      </c>
      <c r="B94" s="38" t="s">
        <v>282</v>
      </c>
      <c r="C94" s="39" t="s">
        <v>283</v>
      </c>
      <c r="D94" s="39" t="s">
        <v>124</v>
      </c>
      <c r="E94" s="39" t="s">
        <v>15</v>
      </c>
      <c r="F94" s="38" t="n">
        <v>0</v>
      </c>
      <c r="G94" s="122" t="s">
        <v>20</v>
      </c>
      <c r="H94" s="122" t="s">
        <v>285</v>
      </c>
      <c r="I94" s="41" t="n">
        <v>151084</v>
      </c>
      <c r="J94" s="41" t="n">
        <v>151084</v>
      </c>
      <c r="K94" s="41" t="n">
        <v>0</v>
      </c>
      <c r="L94" s="41" t="n">
        <v>0</v>
      </c>
      <c r="M94" s="41" t="n">
        <v>0</v>
      </c>
      <c r="N94" s="41" t="n">
        <v>0</v>
      </c>
      <c r="O94" s="41" t="n">
        <v>0</v>
      </c>
      <c r="P94" s="42" t="n">
        <v>151084</v>
      </c>
    </row>
    <row r="95" spans="1:16">
      <c r="A95" s="37" t="n">
        <v>94</v>
      </c>
      <c r="B95" s="38" t="s">
        <v>289</v>
      </c>
      <c r="C95" s="39" t="s">
        <v>95</v>
      </c>
      <c r="D95" s="39" t="s">
        <v>128</v>
      </c>
      <c r="E95" s="39" t="s">
        <v>15</v>
      </c>
      <c r="F95" s="38" t="n">
        <v>0</v>
      </c>
      <c r="G95" s="122" t="s">
        <v>20</v>
      </c>
      <c r="H95" s="122" t="s">
        <v>291</v>
      </c>
      <c r="I95" s="41" t="n">
        <v>150665</v>
      </c>
      <c r="J95" s="41" t="n">
        <v>150665</v>
      </c>
      <c r="K95" s="41" t="n">
        <v>0</v>
      </c>
      <c r="L95" s="41" t="n">
        <v>0</v>
      </c>
      <c r="M95" s="41" t="n">
        <v>0</v>
      </c>
      <c r="N95" s="41" t="n">
        <v>0</v>
      </c>
      <c r="O95" s="41" t="n">
        <v>0</v>
      </c>
      <c r="P95" s="42" t="n">
        <v>150665</v>
      </c>
    </row>
    <row r="96" spans="1:16">
      <c r="A96" s="37" t="n">
        <v>95</v>
      </c>
      <c r="B96" s="38" t="s">
        <v>292</v>
      </c>
      <c r="C96" s="39" t="s">
        <v>95</v>
      </c>
      <c r="D96" s="39" t="s">
        <v>128</v>
      </c>
      <c r="E96" s="39" t="s">
        <v>15</v>
      </c>
      <c r="F96" s="38" t="n">
        <v>0</v>
      </c>
      <c r="G96" s="122" t="s">
        <v>20</v>
      </c>
      <c r="H96" s="122" t="s">
        <v>294</v>
      </c>
      <c r="I96" s="41" t="n">
        <v>150665</v>
      </c>
      <c r="J96" s="41" t="n">
        <v>150665</v>
      </c>
      <c r="K96" s="41" t="n">
        <v>0</v>
      </c>
      <c r="L96" s="41" t="n">
        <v>0</v>
      </c>
      <c r="M96" s="41" t="n">
        <v>0</v>
      </c>
      <c r="N96" s="41" t="n">
        <v>0</v>
      </c>
      <c r="O96" s="41" t="n">
        <v>0</v>
      </c>
      <c r="P96" s="42" t="n">
        <v>150665</v>
      </c>
    </row>
    <row r="97" spans="1:16">
      <c r="A97" s="37" t="n">
        <v>96</v>
      </c>
      <c r="B97" s="38" t="s">
        <v>461</v>
      </c>
      <c r="C97" s="39" t="s">
        <v>58</v>
      </c>
      <c r="D97" s="39" t="s">
        <v>20</v>
      </c>
      <c r="E97" s="39" t="s">
        <v>21</v>
      </c>
      <c r="F97" s="38" t="s">
        <v>462</v>
      </c>
      <c r="G97" s="122" t="s">
        <v>333</v>
      </c>
      <c r="H97" s="122" t="s">
        <v>464</v>
      </c>
      <c r="I97" s="41" t="n">
        <v>199975</v>
      </c>
      <c r="J97" s="41" t="n">
        <v>199975</v>
      </c>
      <c r="K97" s="41" t="n">
        <v>9999</v>
      </c>
      <c r="L97" s="41" t="n">
        <v>0</v>
      </c>
      <c r="M97" s="41" t="n">
        <v>0</v>
      </c>
      <c r="N97" s="41" t="n">
        <v>0</v>
      </c>
      <c r="O97" s="41" t="n">
        <v>0</v>
      </c>
      <c r="P97" s="42" t="n">
        <v>189976</v>
      </c>
    </row>
    <row r="98" spans="1:16">
      <c r="A98" s="37" t="n">
        <v>97</v>
      </c>
      <c r="B98" s="38" t="s">
        <v>1896</v>
      </c>
      <c r="C98" s="39" t="s">
        <v>58</v>
      </c>
      <c r="D98" s="39" t="s">
        <v>20</v>
      </c>
      <c r="E98" s="39" t="s">
        <v>21</v>
      </c>
      <c r="F98" s="38" t="s">
        <v>1897</v>
      </c>
      <c r="G98" s="122" t="s">
        <v>336</v>
      </c>
      <c r="H98" s="122" t="s">
        <v>1898</v>
      </c>
      <c r="I98" s="41" t="n">
        <v>145938</v>
      </c>
      <c r="J98" s="41" t="n">
        <v>145938</v>
      </c>
      <c r="K98" s="41" t="n">
        <v>7297</v>
      </c>
      <c r="L98" s="41" t="n">
        <v>0</v>
      </c>
      <c r="M98" s="41" t="n">
        <v>0</v>
      </c>
      <c r="N98" s="41" t="n">
        <v>0</v>
      </c>
      <c r="O98" s="41" t="n">
        <v>0</v>
      </c>
      <c r="P98" s="42" t="n">
        <v>138641</v>
      </c>
    </row>
    <row r="99" spans="1:16">
      <c r="A99" s="37" t="n">
        <v>98</v>
      </c>
      <c r="B99" s="38" t="s">
        <v>1899</v>
      </c>
      <c r="C99" s="39" t="s">
        <v>58</v>
      </c>
      <c r="D99" s="39" t="s">
        <v>20</v>
      </c>
      <c r="E99" s="39" t="s">
        <v>21</v>
      </c>
      <c r="F99" s="38" t="s">
        <v>1900</v>
      </c>
      <c r="G99" s="122" t="s">
        <v>339</v>
      </c>
      <c r="H99" s="122" t="s">
        <v>1901</v>
      </c>
      <c r="I99" s="41" t="n">
        <v>108442</v>
      </c>
      <c r="J99" s="41" t="n">
        <v>108442</v>
      </c>
      <c r="K99" s="41" t="n">
        <v>5422</v>
      </c>
      <c r="L99" s="41" t="n">
        <v>0</v>
      </c>
      <c r="M99" s="41" t="n">
        <v>0</v>
      </c>
      <c r="N99" s="41" t="n">
        <v>0</v>
      </c>
      <c r="O99" s="41" t="n">
        <v>0</v>
      </c>
      <c r="P99" s="42" t="n">
        <v>103020</v>
      </c>
    </row>
    <row r="100" spans="1:16">
      <c r="A100" s="37" t="n">
        <v>99</v>
      </c>
      <c r="B100" s="38" t="s">
        <v>1902</v>
      </c>
      <c r="C100" s="39" t="s">
        <v>58</v>
      </c>
      <c r="D100" s="39" t="s">
        <v>20</v>
      </c>
      <c r="E100" s="39" t="s">
        <v>21</v>
      </c>
      <c r="F100" s="38" t="s">
        <v>1903</v>
      </c>
      <c r="G100" s="122" t="s">
        <v>343</v>
      </c>
      <c r="H100" s="122" t="s">
        <v>1904</v>
      </c>
      <c r="I100" s="41" t="n">
        <v>134910</v>
      </c>
      <c r="J100" s="41" t="n">
        <v>134910</v>
      </c>
      <c r="K100" s="41" t="n">
        <v>6746</v>
      </c>
      <c r="L100" s="41" t="n">
        <v>0</v>
      </c>
      <c r="M100" s="41" t="n">
        <v>0</v>
      </c>
      <c r="N100" s="41" t="n">
        <v>0</v>
      </c>
      <c r="O100" s="41" t="n">
        <v>0</v>
      </c>
      <c r="P100" s="42" t="n">
        <v>128164</v>
      </c>
    </row>
    <row r="101" spans="1:16">
      <c r="A101" s="37" t="n">
        <v>100</v>
      </c>
      <c r="B101" s="38" t="s">
        <v>1905</v>
      </c>
      <c r="C101" s="39" t="s">
        <v>120</v>
      </c>
      <c r="D101" s="39" t="s">
        <v>128</v>
      </c>
      <c r="E101" s="39" t="s">
        <v>15</v>
      </c>
      <c r="F101" s="38" t="n">
        <v>0</v>
      </c>
      <c r="G101" s="122" t="s">
        <v>20</v>
      </c>
      <c r="H101" s="122" t="s">
        <v>1906</v>
      </c>
      <c r="I101" s="41" t="n">
        <v>93371</v>
      </c>
      <c r="J101" s="41" t="n">
        <v>93371</v>
      </c>
      <c r="K101" s="41" t="n">
        <v>0</v>
      </c>
      <c r="L101" s="41" t="n">
        <v>0</v>
      </c>
      <c r="M101" s="41" t="n">
        <v>0</v>
      </c>
      <c r="N101" s="41" t="n">
        <v>0</v>
      </c>
      <c r="O101" s="41" t="n">
        <v>0</v>
      </c>
      <c r="P101" s="42" t="n">
        <v>93371</v>
      </c>
    </row>
    <row r="102" spans="1:16">
      <c r="A102" s="37" t="n">
        <v>101</v>
      </c>
      <c r="B102" s="38" t="s">
        <v>1907</v>
      </c>
      <c r="C102" s="39" t="s">
        <v>120</v>
      </c>
      <c r="D102" s="39" t="s">
        <v>124</v>
      </c>
      <c r="E102" s="39" t="s">
        <v>15</v>
      </c>
      <c r="F102" s="38" t="n">
        <v>0</v>
      </c>
      <c r="G102" s="122" t="s">
        <v>20</v>
      </c>
      <c r="H102" s="122" t="s">
        <v>1908</v>
      </c>
      <c r="I102" s="41" t="n">
        <v>120941</v>
      </c>
      <c r="J102" s="41" t="n">
        <v>120941</v>
      </c>
      <c r="K102" s="41" t="n">
        <v>0</v>
      </c>
      <c r="L102" s="41" t="n">
        <v>0</v>
      </c>
      <c r="M102" s="41" t="n">
        <v>0</v>
      </c>
      <c r="N102" s="41" t="n">
        <v>0</v>
      </c>
      <c r="O102" s="41" t="n">
        <v>0</v>
      </c>
      <c r="P102" s="42" t="n">
        <v>120941</v>
      </c>
    </row>
    <row r="103" spans="1:16">
      <c r="A103" s="37" t="n">
        <v>102</v>
      </c>
      <c r="B103" s="38" t="s">
        <v>1909</v>
      </c>
      <c r="C103" s="39" t="s">
        <v>95</v>
      </c>
      <c r="D103" s="39" t="s">
        <v>124</v>
      </c>
      <c r="E103" s="39" t="s">
        <v>15</v>
      </c>
      <c r="F103" s="38" t="n">
        <v>0</v>
      </c>
      <c r="G103" s="122" t="s">
        <v>20</v>
      </c>
      <c r="H103" s="122" t="s">
        <v>1910</v>
      </c>
      <c r="I103" s="41" t="n">
        <v>90062</v>
      </c>
      <c r="J103" s="41" t="n">
        <v>90062</v>
      </c>
      <c r="K103" s="41" t="n">
        <v>0</v>
      </c>
      <c r="L103" s="41" t="n">
        <v>0</v>
      </c>
      <c r="M103" s="41" t="n">
        <v>0</v>
      </c>
      <c r="N103" s="41" t="n">
        <v>0</v>
      </c>
      <c r="O103" s="41" t="n">
        <v>0</v>
      </c>
      <c r="P103" s="42" t="n">
        <v>90062</v>
      </c>
    </row>
    <row r="104" spans="1:16">
      <c r="A104" s="37" t="n">
        <v>103</v>
      </c>
      <c r="B104" s="38" t="s">
        <v>1911</v>
      </c>
      <c r="C104" s="39" t="s">
        <v>95</v>
      </c>
      <c r="D104" s="39" t="s">
        <v>124</v>
      </c>
      <c r="E104" s="39" t="s">
        <v>15</v>
      </c>
      <c r="F104" s="38" t="n">
        <v>0</v>
      </c>
      <c r="G104" s="122" t="s">
        <v>20</v>
      </c>
      <c r="H104" s="122" t="s">
        <v>1912</v>
      </c>
      <c r="I104" s="41" t="n">
        <v>90062</v>
      </c>
      <c r="J104" s="41" t="n">
        <v>90062</v>
      </c>
      <c r="K104" s="41" t="n">
        <v>0</v>
      </c>
      <c r="L104" s="41" t="n">
        <v>0</v>
      </c>
      <c r="M104" s="41" t="n">
        <v>0</v>
      </c>
      <c r="N104" s="41" t="n">
        <v>0</v>
      </c>
      <c r="O104" s="41" t="n">
        <v>0</v>
      </c>
      <c r="P104" s="42" t="n">
        <v>90062</v>
      </c>
    </row>
    <row r="105" spans="1:16">
      <c r="A105" s="37" t="n">
        <v>104</v>
      </c>
      <c r="B105" s="38" t="s">
        <v>1913</v>
      </c>
      <c r="C105" s="39" t="s">
        <v>95</v>
      </c>
      <c r="D105" s="39" t="s">
        <v>128</v>
      </c>
      <c r="E105" s="39" t="s">
        <v>15</v>
      </c>
      <c r="F105" s="38" t="n">
        <v>0</v>
      </c>
      <c r="G105" s="122" t="s">
        <v>20</v>
      </c>
      <c r="H105" s="122" t="s">
        <v>1914</v>
      </c>
      <c r="I105" s="41" t="n">
        <v>90062</v>
      </c>
      <c r="J105" s="41" t="n">
        <v>90062</v>
      </c>
      <c r="K105" s="41" t="n">
        <v>0</v>
      </c>
      <c r="L105" s="41" t="n">
        <v>0</v>
      </c>
      <c r="M105" s="41" t="n">
        <v>0</v>
      </c>
      <c r="N105" s="41" t="n">
        <v>0</v>
      </c>
      <c r="O105" s="41" t="n">
        <v>0</v>
      </c>
      <c r="P105" s="42" t="n">
        <v>90062</v>
      </c>
    </row>
    <row r="106" spans="1:16">
      <c r="A106" s="37" t="n">
        <v>105</v>
      </c>
      <c r="B106" s="38" t="s">
        <v>1915</v>
      </c>
      <c r="C106" s="39" t="s">
        <v>111</v>
      </c>
      <c r="D106" s="39" t="s">
        <v>20</v>
      </c>
      <c r="E106" s="39" t="s">
        <v>21</v>
      </c>
      <c r="F106" s="38" t="s">
        <v>1916</v>
      </c>
      <c r="G106" s="122" t="s">
        <v>358</v>
      </c>
      <c r="H106" s="122" t="s">
        <v>1917</v>
      </c>
      <c r="I106" s="41" t="n">
        <v>90062</v>
      </c>
      <c r="J106" s="41" t="n">
        <v>90062</v>
      </c>
      <c r="K106" s="41" t="n">
        <v>0</v>
      </c>
      <c r="L106" s="41" t="n">
        <v>0</v>
      </c>
      <c r="M106" s="41" t="n">
        <v>0</v>
      </c>
      <c r="N106" s="41" t="n">
        <v>0</v>
      </c>
      <c r="O106" s="41" t="n">
        <v>0</v>
      </c>
      <c r="P106" s="42" t="n">
        <v>90062</v>
      </c>
    </row>
    <row r="107" spans="1:16">
      <c r="A107" s="37" t="n">
        <v>106</v>
      </c>
      <c r="B107" s="38" t="s">
        <v>1918</v>
      </c>
      <c r="C107" s="39" t="s">
        <v>95</v>
      </c>
      <c r="D107" s="39" t="s">
        <v>128</v>
      </c>
      <c r="E107" s="39" t="s">
        <v>15</v>
      </c>
      <c r="F107" s="38" t="n">
        <v>0</v>
      </c>
      <c r="G107" s="122" t="s">
        <v>20</v>
      </c>
      <c r="H107" s="122" t="s">
        <v>1919</v>
      </c>
      <c r="I107" s="41" t="n">
        <v>90062</v>
      </c>
      <c r="J107" s="41" t="n">
        <v>90062</v>
      </c>
      <c r="K107" s="41" t="n">
        <v>0</v>
      </c>
      <c r="L107" s="41" t="n">
        <v>0</v>
      </c>
      <c r="M107" s="41" t="n">
        <v>0</v>
      </c>
      <c r="N107" s="41" t="n">
        <v>0</v>
      </c>
      <c r="O107" s="41" t="n">
        <v>0</v>
      </c>
      <c r="P107" s="42" t="n">
        <v>90062</v>
      </c>
    </row>
    <row r="108" spans="1:16">
      <c r="A108" s="37" t="n">
        <v>107</v>
      </c>
      <c r="B108" s="38" t="s">
        <v>1922</v>
      </c>
      <c r="C108" s="39" t="s">
        <v>95</v>
      </c>
      <c r="D108" s="39" t="s">
        <v>121</v>
      </c>
      <c r="E108" s="39" t="s">
        <v>14</v>
      </c>
      <c r="F108" s="38" t="n">
        <v>0</v>
      </c>
      <c r="G108" s="122" t="s">
        <v>20</v>
      </c>
      <c r="H108" s="122" t="s">
        <v>1923</v>
      </c>
      <c r="I108" s="41" t="n">
        <v>119838</v>
      </c>
      <c r="J108" s="41" t="n">
        <v>119838</v>
      </c>
      <c r="K108" s="41" t="n">
        <v>0</v>
      </c>
      <c r="L108" s="41" t="n">
        <v>0</v>
      </c>
      <c r="M108" s="41" t="n">
        <v>0</v>
      </c>
      <c r="N108" s="41" t="n">
        <v>0</v>
      </c>
      <c r="O108" s="41" t="n">
        <v>0</v>
      </c>
      <c r="P108" s="42" t="n">
        <v>119838</v>
      </c>
    </row>
    <row r="109" spans="1:16">
      <c r="A109" s="37" t="n">
        <v>108</v>
      </c>
      <c r="B109" s="38" t="s">
        <v>1920</v>
      </c>
      <c r="C109" s="39" t="s">
        <v>95</v>
      </c>
      <c r="D109" s="39" t="s">
        <v>128</v>
      </c>
      <c r="E109" s="39" t="s">
        <v>15</v>
      </c>
      <c r="F109" s="38" t="n">
        <v>0</v>
      </c>
      <c r="G109" s="122" t="s">
        <v>20</v>
      </c>
      <c r="H109" s="122" t="s">
        <v>1921</v>
      </c>
      <c r="I109" s="41" t="n">
        <v>90062</v>
      </c>
      <c r="J109" s="41" t="n">
        <v>90062</v>
      </c>
      <c r="K109" s="41" t="n">
        <v>0</v>
      </c>
      <c r="L109" s="41" t="n">
        <v>0</v>
      </c>
      <c r="M109" s="41" t="n">
        <v>0</v>
      </c>
      <c r="N109" s="41" t="n">
        <v>0</v>
      </c>
      <c r="O109" s="41" t="n">
        <v>0</v>
      </c>
      <c r="P109" s="42" t="n">
        <v>90062</v>
      </c>
    </row>
    <row r="110" spans="1:16">
      <c r="A110" s="37" t="n">
        <v>109</v>
      </c>
      <c r="B110" s="38" t="s">
        <v>325</v>
      </c>
      <c r="C110" s="39" t="s">
        <v>131</v>
      </c>
      <c r="D110" s="39" t="s">
        <v>20</v>
      </c>
      <c r="E110" s="39" t="s">
        <v>21</v>
      </c>
      <c r="F110" s="38" t="s">
        <v>326</v>
      </c>
      <c r="G110" s="122" t="s">
        <v>367</v>
      </c>
      <c r="H110" s="122" t="s">
        <v>327</v>
      </c>
      <c r="I110" s="41" t="n">
        <v>171302</v>
      </c>
      <c r="J110" s="41" t="n">
        <v>171302</v>
      </c>
      <c r="K110" s="41" t="n">
        <v>8565</v>
      </c>
      <c r="L110" s="41" t="n">
        <v>0</v>
      </c>
      <c r="M110" s="41" t="n">
        <v>0</v>
      </c>
      <c r="N110" s="41" t="n">
        <v>0</v>
      </c>
      <c r="O110" s="41" t="n">
        <v>0</v>
      </c>
      <c r="P110" s="42" t="n">
        <v>162737</v>
      </c>
    </row>
    <row r="111" spans="1:16">
      <c r="A111" s="37" t="n">
        <v>110</v>
      </c>
      <c r="B111" s="38" t="s">
        <v>328</v>
      </c>
      <c r="C111" s="39" t="s">
        <v>131</v>
      </c>
      <c r="D111" s="39" t="s">
        <v>20</v>
      </c>
      <c r="E111" s="39" t="s">
        <v>21</v>
      </c>
      <c r="F111" s="38" t="s">
        <v>329</v>
      </c>
      <c r="G111" s="122" t="s">
        <v>370</v>
      </c>
      <c r="H111" s="122" t="s">
        <v>330</v>
      </c>
      <c r="I111" s="41" t="n">
        <v>136748</v>
      </c>
      <c r="J111" s="41" t="n">
        <v>136748</v>
      </c>
      <c r="K111" s="41" t="n">
        <v>6837</v>
      </c>
      <c r="L111" s="41" t="n">
        <v>0</v>
      </c>
      <c r="M111" s="41" t="n">
        <v>0</v>
      </c>
      <c r="N111" s="41" t="n">
        <v>0</v>
      </c>
      <c r="O111" s="41" t="n">
        <v>0</v>
      </c>
      <c r="P111" s="42" t="n">
        <v>129911</v>
      </c>
    </row>
    <row r="112" spans="1:16">
      <c r="A112" s="37" t="n">
        <v>111</v>
      </c>
      <c r="B112" s="38" t="s">
        <v>331</v>
      </c>
      <c r="C112" s="39" t="s">
        <v>58</v>
      </c>
      <c r="D112" s="39" t="s">
        <v>20</v>
      </c>
      <c r="E112" s="39" t="s">
        <v>21</v>
      </c>
      <c r="F112" s="38" t="s">
        <v>332</v>
      </c>
      <c r="G112" s="122" t="s">
        <v>373</v>
      </c>
      <c r="H112" s="122" t="s">
        <v>334</v>
      </c>
      <c r="I112" s="41" t="n">
        <v>122044</v>
      </c>
      <c r="J112" s="41" t="n">
        <v>122044</v>
      </c>
      <c r="K112" s="41" t="n">
        <v>6102</v>
      </c>
      <c r="L112" s="41" t="n">
        <v>0</v>
      </c>
      <c r="M112" s="41" t="n">
        <v>0</v>
      </c>
      <c r="N112" s="41" t="n">
        <v>0</v>
      </c>
      <c r="O112" s="41" t="n">
        <v>0</v>
      </c>
      <c r="P112" s="42" t="n">
        <v>115942</v>
      </c>
    </row>
    <row r="113" spans="1:16">
      <c r="A113" s="37" t="n">
        <v>112</v>
      </c>
      <c r="B113" s="38" t="s">
        <v>335</v>
      </c>
      <c r="C113" s="39" t="s">
        <v>283</v>
      </c>
      <c r="D113" s="39" t="s">
        <v>20</v>
      </c>
      <c r="E113" s="39" t="s">
        <v>21</v>
      </c>
      <c r="F113" s="38" t="n">
        <v>0</v>
      </c>
      <c r="G113" s="122" t="s">
        <v>20</v>
      </c>
      <c r="H113" s="122" t="s">
        <v>337</v>
      </c>
      <c r="I113" s="41" t="n">
        <v>111383</v>
      </c>
      <c r="J113" s="41" t="n">
        <v>111383</v>
      </c>
      <c r="K113" s="41" t="n">
        <v>0</v>
      </c>
      <c r="L113" s="41" t="n">
        <v>0</v>
      </c>
      <c r="M113" s="41" t="n">
        <v>0</v>
      </c>
      <c r="N113" s="41" t="n">
        <v>0</v>
      </c>
      <c r="O113" s="41" t="n">
        <v>0</v>
      </c>
      <c r="P113" s="42" t="n">
        <v>111383</v>
      </c>
    </row>
    <row r="114" spans="1:16">
      <c r="A114" s="37" t="n">
        <v>113</v>
      </c>
      <c r="B114" s="38" t="s">
        <v>338</v>
      </c>
      <c r="C114" s="39" t="s">
        <v>95</v>
      </c>
      <c r="D114" s="39" t="s">
        <v>124</v>
      </c>
      <c r="E114" s="39" t="s">
        <v>15</v>
      </c>
      <c r="F114" s="38" t="n">
        <v>0</v>
      </c>
      <c r="G114" s="122" t="s">
        <v>20</v>
      </c>
      <c r="H114" s="122" t="s">
        <v>340</v>
      </c>
      <c r="I114" s="41" t="n">
        <v>111016</v>
      </c>
      <c r="J114" s="41" t="n">
        <v>111016</v>
      </c>
      <c r="K114" s="41" t="n">
        <v>0</v>
      </c>
      <c r="L114" s="41" t="n">
        <v>0</v>
      </c>
      <c r="M114" s="41" t="n">
        <v>0</v>
      </c>
      <c r="N114" s="41" t="n">
        <v>0</v>
      </c>
      <c r="O114" s="41" t="n">
        <v>0</v>
      </c>
      <c r="P114" s="42" t="n">
        <v>111016</v>
      </c>
    </row>
    <row r="115" spans="1:16">
      <c r="A115" s="37" t="n">
        <v>115</v>
      </c>
      <c r="B115" s="38" t="s">
        <v>341</v>
      </c>
      <c r="C115" s="39" t="s">
        <v>111</v>
      </c>
      <c r="D115" s="39" t="s">
        <v>20</v>
      </c>
      <c r="E115" s="39" t="s">
        <v>21</v>
      </c>
      <c r="F115" s="38" t="s">
        <v>342</v>
      </c>
      <c r="G115" s="122" t="s">
        <v>380</v>
      </c>
      <c r="H115" s="122" t="s">
        <v>344</v>
      </c>
      <c r="I115" s="41" t="n">
        <v>97414</v>
      </c>
      <c r="J115" s="41" t="n">
        <v>97414</v>
      </c>
      <c r="K115" s="41" t="n">
        <v>0</v>
      </c>
      <c r="L115" s="41" t="n">
        <v>0</v>
      </c>
      <c r="M115" s="41" t="n">
        <v>0</v>
      </c>
      <c r="N115" s="41" t="n">
        <v>0</v>
      </c>
      <c r="O115" s="41" t="n">
        <v>0</v>
      </c>
      <c r="P115" s="42" t="n">
        <v>97414</v>
      </c>
    </row>
    <row r="116" spans="1:16">
      <c r="A116" s="37" t="n">
        <v>116</v>
      </c>
      <c r="B116" s="38" t="s">
        <v>345</v>
      </c>
      <c r="C116" s="39" t="s">
        <v>120</v>
      </c>
      <c r="D116" s="39" t="s">
        <v>128</v>
      </c>
      <c r="E116" s="39" t="s">
        <v>15</v>
      </c>
      <c r="F116" s="38" t="n">
        <v>0</v>
      </c>
      <c r="G116" s="122" t="s">
        <v>20</v>
      </c>
      <c r="H116" s="122" t="s">
        <v>346</v>
      </c>
      <c r="I116" s="41" t="n">
        <v>94841</v>
      </c>
      <c r="J116" s="41" t="n">
        <v>94841</v>
      </c>
      <c r="K116" s="41" t="n">
        <v>0</v>
      </c>
      <c r="L116" s="41" t="n">
        <v>0</v>
      </c>
      <c r="M116" s="41" t="n">
        <v>0</v>
      </c>
      <c r="N116" s="41" t="n">
        <v>0</v>
      </c>
      <c r="O116" s="41" t="n">
        <v>0</v>
      </c>
      <c r="P116" s="42" t="n">
        <v>94841</v>
      </c>
    </row>
    <row r="117" spans="1:16">
      <c r="A117" s="37" t="n">
        <v>117</v>
      </c>
      <c r="B117" s="38" t="s">
        <v>347</v>
      </c>
      <c r="C117" s="39" t="s">
        <v>95</v>
      </c>
      <c r="D117" s="39" t="s">
        <v>137</v>
      </c>
      <c r="E117" s="39" t="s">
        <v>14</v>
      </c>
      <c r="F117" s="38" t="n">
        <v>0</v>
      </c>
      <c r="G117" s="122" t="s">
        <v>20</v>
      </c>
      <c r="H117" s="122" t="s">
        <v>348</v>
      </c>
      <c r="I117" s="41" t="n">
        <v>94841</v>
      </c>
      <c r="J117" s="41" t="n">
        <v>94841</v>
      </c>
      <c r="K117" s="41" t="n">
        <v>0</v>
      </c>
      <c r="L117" s="41" t="n">
        <v>0</v>
      </c>
      <c r="M117" s="41" t="n">
        <v>0</v>
      </c>
      <c r="N117" s="41" t="n">
        <v>0</v>
      </c>
      <c r="O117" s="41" t="n">
        <v>0</v>
      </c>
      <c r="P117" s="42" t="n">
        <v>94841</v>
      </c>
    </row>
    <row r="118" spans="1:16">
      <c r="A118" s="37" t="n">
        <v>118</v>
      </c>
      <c r="B118" s="38" t="s">
        <v>349</v>
      </c>
      <c r="C118" s="39" t="s">
        <v>95</v>
      </c>
      <c r="D118" s="39" t="s">
        <v>128</v>
      </c>
      <c r="E118" s="39" t="s">
        <v>15</v>
      </c>
      <c r="F118" s="38" t="n">
        <v>0</v>
      </c>
      <c r="G118" s="122" t="s">
        <v>20</v>
      </c>
      <c r="H118" s="122" t="s">
        <v>350</v>
      </c>
      <c r="I118" s="41" t="n">
        <v>93003</v>
      </c>
      <c r="J118" s="41" t="n">
        <v>93003</v>
      </c>
      <c r="K118" s="41" t="n">
        <v>0</v>
      </c>
      <c r="L118" s="41" t="n">
        <v>0</v>
      </c>
      <c r="M118" s="41" t="n">
        <v>0</v>
      </c>
      <c r="N118" s="41" t="n">
        <v>0</v>
      </c>
      <c r="O118" s="41" t="n">
        <v>0</v>
      </c>
      <c r="P118" s="42" t="n">
        <v>93003</v>
      </c>
    </row>
    <row r="119" spans="1:16">
      <c r="A119" s="37" t="n">
        <v>119</v>
      </c>
      <c r="B119" s="38" t="s">
        <v>351</v>
      </c>
      <c r="C119" s="39" t="s">
        <v>111</v>
      </c>
      <c r="D119" s="39" t="s">
        <v>20</v>
      </c>
      <c r="E119" s="39" t="s">
        <v>21</v>
      </c>
      <c r="F119" s="38" t="s">
        <v>352</v>
      </c>
      <c r="G119" s="122" t="s">
        <v>389</v>
      </c>
      <c r="H119" s="122" t="s">
        <v>353</v>
      </c>
      <c r="I119" s="41" t="n">
        <v>93003</v>
      </c>
      <c r="J119" s="41" t="n">
        <v>93003</v>
      </c>
      <c r="K119" s="41" t="n">
        <v>0</v>
      </c>
      <c r="L119" s="41" t="n">
        <v>0</v>
      </c>
      <c r="M119" s="41" t="n">
        <v>0</v>
      </c>
      <c r="N119" s="41" t="n">
        <v>0</v>
      </c>
      <c r="O119" s="41" t="n">
        <v>0</v>
      </c>
      <c r="P119" s="42" t="n">
        <v>93003</v>
      </c>
    </row>
    <row r="120" spans="1:16">
      <c r="A120" s="37" t="n">
        <v>120</v>
      </c>
      <c r="B120" s="38" t="s">
        <v>354</v>
      </c>
      <c r="C120" s="39" t="s">
        <v>120</v>
      </c>
      <c r="D120" s="39" t="s">
        <v>128</v>
      </c>
      <c r="E120" s="39" t="s">
        <v>15</v>
      </c>
      <c r="F120" s="38" t="n">
        <v>0</v>
      </c>
      <c r="G120" s="122" t="s">
        <v>20</v>
      </c>
      <c r="H120" s="122" t="s">
        <v>355</v>
      </c>
      <c r="I120" s="41" t="n">
        <v>91900</v>
      </c>
      <c r="J120" s="41" t="n">
        <v>91900</v>
      </c>
      <c r="K120" s="41" t="n">
        <v>0</v>
      </c>
      <c r="L120" s="41" t="n">
        <v>0</v>
      </c>
      <c r="M120" s="41" t="n">
        <v>0</v>
      </c>
      <c r="N120" s="41" t="n">
        <v>0</v>
      </c>
      <c r="O120" s="41" t="n">
        <v>0</v>
      </c>
      <c r="P120" s="42" t="n">
        <v>91900</v>
      </c>
    </row>
    <row r="121" spans="1:16">
      <c r="A121" s="37" t="n">
        <v>121</v>
      </c>
      <c r="B121" s="38" t="s">
        <v>356</v>
      </c>
      <c r="C121" s="39" t="s">
        <v>58</v>
      </c>
      <c r="D121" s="39" t="s">
        <v>20</v>
      </c>
      <c r="E121" s="39" t="s">
        <v>21</v>
      </c>
      <c r="F121" s="38" t="s">
        <v>357</v>
      </c>
      <c r="G121" s="122" t="s">
        <v>394</v>
      </c>
      <c r="H121" s="122" t="s">
        <v>359</v>
      </c>
      <c r="I121" s="41" t="n">
        <v>136748</v>
      </c>
      <c r="J121" s="41" t="n">
        <v>136748</v>
      </c>
      <c r="K121" s="41" t="n">
        <v>6837</v>
      </c>
      <c r="L121" s="41" t="n">
        <v>0</v>
      </c>
      <c r="M121" s="41" t="n">
        <v>0</v>
      </c>
      <c r="N121" s="41" t="n">
        <v>0</v>
      </c>
      <c r="O121" s="41" t="n">
        <v>0</v>
      </c>
      <c r="P121" s="42" t="n">
        <v>129911</v>
      </c>
    </row>
    <row r="122" spans="1:16">
      <c r="A122" s="37" t="n">
        <v>122</v>
      </c>
      <c r="B122" s="38" t="s">
        <v>360</v>
      </c>
      <c r="C122" s="39" t="s">
        <v>120</v>
      </c>
      <c r="D122" s="39" t="s">
        <v>128</v>
      </c>
      <c r="E122" s="39" t="s">
        <v>15</v>
      </c>
      <c r="F122" s="38" t="n">
        <v>0</v>
      </c>
      <c r="G122" s="122" t="s">
        <v>397</v>
      </c>
      <c r="H122" s="122" t="s">
        <v>361</v>
      </c>
      <c r="I122" s="41" t="n">
        <v>107707</v>
      </c>
      <c r="J122" s="41" t="n">
        <v>107707</v>
      </c>
      <c r="K122" s="41" t="n">
        <v>0</v>
      </c>
      <c r="L122" s="41" t="n">
        <v>0</v>
      </c>
      <c r="M122" s="41" t="n">
        <v>0</v>
      </c>
      <c r="N122" s="41" t="n">
        <v>0</v>
      </c>
      <c r="O122" s="41" t="n">
        <v>0</v>
      </c>
      <c r="P122" s="42" t="n">
        <v>107707</v>
      </c>
    </row>
    <row r="123" spans="1:16">
      <c r="A123" s="37" t="n">
        <v>123</v>
      </c>
      <c r="B123" s="38" t="s">
        <v>362</v>
      </c>
      <c r="C123" s="39" t="s">
        <v>120</v>
      </c>
      <c r="D123" s="39" t="s">
        <v>278</v>
      </c>
      <c r="E123" s="39" t="s">
        <v>16</v>
      </c>
      <c r="F123" s="38" t="n">
        <v>0</v>
      </c>
      <c r="G123" s="122" t="s">
        <v>20</v>
      </c>
      <c r="H123" s="122" t="s">
        <v>363</v>
      </c>
      <c r="I123" s="41" t="n">
        <v>87122</v>
      </c>
      <c r="J123" s="41" t="n">
        <v>87122</v>
      </c>
      <c r="K123" s="41" t="n">
        <v>0</v>
      </c>
      <c r="L123" s="41" t="n">
        <v>0</v>
      </c>
      <c r="M123" s="41" t="n">
        <v>0</v>
      </c>
      <c r="N123" s="41" t="n">
        <v>0</v>
      </c>
      <c r="O123" s="41" t="n">
        <v>0</v>
      </c>
      <c r="P123" s="42" t="n">
        <v>87122</v>
      </c>
    </row>
    <row r="124" spans="1:16">
      <c r="A124" s="37" t="n">
        <v>124</v>
      </c>
      <c r="B124" s="38" t="s">
        <v>364</v>
      </c>
      <c r="C124" s="39" t="s">
        <v>95</v>
      </c>
      <c r="D124" s="39" t="s">
        <v>124</v>
      </c>
      <c r="E124" s="39" t="s">
        <v>15</v>
      </c>
      <c r="F124" s="38" t="n">
        <v>0</v>
      </c>
      <c r="G124" s="122" t="s">
        <v>402</v>
      </c>
      <c r="H124" s="122" t="s">
        <v>365</v>
      </c>
      <c r="I124" s="41" t="n">
        <v>106604</v>
      </c>
      <c r="J124" s="41" t="n">
        <v>106604</v>
      </c>
      <c r="K124" s="41" t="n">
        <v>0</v>
      </c>
      <c r="L124" s="41" t="n">
        <v>0</v>
      </c>
      <c r="M124" s="41" t="n">
        <v>0</v>
      </c>
      <c r="N124" s="41" t="n">
        <v>0</v>
      </c>
      <c r="O124" s="41" t="n">
        <v>0</v>
      </c>
      <c r="P124" s="42" t="n">
        <v>106604</v>
      </c>
    </row>
    <row r="125" spans="1:16">
      <c r="A125" s="37" t="n">
        <v>125</v>
      </c>
      <c r="B125" s="38" t="s">
        <v>366</v>
      </c>
      <c r="C125" s="39" t="s">
        <v>95</v>
      </c>
      <c r="D125" s="39" t="s">
        <v>124</v>
      </c>
      <c r="E125" s="39" t="s">
        <v>15</v>
      </c>
      <c r="F125" s="38" t="n">
        <v>0</v>
      </c>
      <c r="G125" s="122" t="s">
        <v>20</v>
      </c>
      <c r="H125" s="122" t="s">
        <v>368</v>
      </c>
      <c r="I125" s="41" t="n">
        <v>106604</v>
      </c>
      <c r="J125" s="41" t="n">
        <v>106604</v>
      </c>
      <c r="K125" s="41" t="n">
        <v>0</v>
      </c>
      <c r="L125" s="41" t="n">
        <v>0</v>
      </c>
      <c r="M125" s="41" t="n">
        <v>0</v>
      </c>
      <c r="N125" s="41" t="n">
        <v>0</v>
      </c>
      <c r="O125" s="41" t="n">
        <v>0</v>
      </c>
      <c r="P125" s="42" t="n">
        <v>106604</v>
      </c>
    </row>
    <row r="126" spans="1:16">
      <c r="A126" s="37" t="n">
        <v>126</v>
      </c>
      <c r="B126" s="38" t="s">
        <v>369</v>
      </c>
      <c r="C126" s="39" t="s">
        <v>120</v>
      </c>
      <c r="D126" s="39" t="s">
        <v>124</v>
      </c>
      <c r="E126" s="39" t="s">
        <v>15</v>
      </c>
      <c r="F126" s="38" t="n">
        <v>0</v>
      </c>
      <c r="G126" s="122" t="s">
        <v>20</v>
      </c>
      <c r="H126" s="122" t="s">
        <v>371</v>
      </c>
      <c r="I126" s="41" t="n">
        <v>107707</v>
      </c>
      <c r="J126" s="41" t="n">
        <v>107707</v>
      </c>
      <c r="K126" s="41" t="n">
        <v>0</v>
      </c>
      <c r="L126" s="41" t="n">
        <v>0</v>
      </c>
      <c r="M126" s="41" t="n">
        <v>0</v>
      </c>
      <c r="N126" s="41" t="n">
        <v>0</v>
      </c>
      <c r="O126" s="41" t="n">
        <v>0</v>
      </c>
      <c r="P126" s="42" t="n">
        <v>107707</v>
      </c>
    </row>
    <row r="127" spans="1:16">
      <c r="A127" s="37" t="n">
        <v>127</v>
      </c>
      <c r="B127" s="38" t="s">
        <v>372</v>
      </c>
      <c r="C127" s="39" t="s">
        <v>95</v>
      </c>
      <c r="D127" s="39" t="s">
        <v>128</v>
      </c>
      <c r="E127" s="39" t="s">
        <v>15</v>
      </c>
      <c r="F127" s="38" t="n">
        <v>0</v>
      </c>
      <c r="G127" s="122" t="s">
        <v>20</v>
      </c>
      <c r="H127" s="122" t="s">
        <v>374</v>
      </c>
      <c r="I127" s="41" t="n">
        <v>106604</v>
      </c>
      <c r="J127" s="41" t="n">
        <v>106604</v>
      </c>
      <c r="K127" s="41" t="n">
        <v>0</v>
      </c>
      <c r="L127" s="41" t="n">
        <v>0</v>
      </c>
      <c r="M127" s="41" t="n">
        <v>0</v>
      </c>
      <c r="N127" s="41" t="n">
        <v>0</v>
      </c>
      <c r="O127" s="41" t="n">
        <v>0</v>
      </c>
      <c r="P127" s="42" t="n">
        <v>106604</v>
      </c>
    </row>
    <row r="128" spans="1:16">
      <c r="A128" s="37" t="n">
        <v>128</v>
      </c>
      <c r="B128" s="38" t="s">
        <v>375</v>
      </c>
      <c r="C128" s="39" t="s">
        <v>120</v>
      </c>
      <c r="D128" s="39" t="s">
        <v>128</v>
      </c>
      <c r="E128" s="39" t="s">
        <v>15</v>
      </c>
      <c r="F128" s="38" t="n">
        <v>0</v>
      </c>
      <c r="G128" s="122" t="s">
        <v>20</v>
      </c>
      <c r="H128" s="122" t="s">
        <v>376</v>
      </c>
      <c r="I128" s="41" t="n">
        <v>104399</v>
      </c>
      <c r="J128" s="41" t="n">
        <v>104399</v>
      </c>
      <c r="K128" s="41" t="n">
        <v>0</v>
      </c>
      <c r="L128" s="41" t="n">
        <v>0</v>
      </c>
      <c r="M128" s="41" t="n">
        <v>0</v>
      </c>
      <c r="N128" s="41" t="n">
        <v>0</v>
      </c>
      <c r="O128" s="41" t="n">
        <v>0</v>
      </c>
      <c r="P128" s="42" t="n">
        <v>104399</v>
      </c>
    </row>
    <row r="129" spans="1:16">
      <c r="A129" s="37" t="n">
        <v>129</v>
      </c>
      <c r="B129" s="38" t="s">
        <v>377</v>
      </c>
      <c r="C129" s="39" t="s">
        <v>95</v>
      </c>
      <c r="D129" s="39" t="s">
        <v>128</v>
      </c>
      <c r="E129" s="39" t="s">
        <v>15</v>
      </c>
      <c r="F129" s="38" t="n">
        <v>0</v>
      </c>
      <c r="G129" s="122" t="s">
        <v>413</v>
      </c>
      <c r="H129" s="122" t="s">
        <v>378</v>
      </c>
      <c r="I129" s="41" t="n">
        <v>103296</v>
      </c>
      <c r="J129" s="41" t="n">
        <v>103296</v>
      </c>
      <c r="K129" s="41" t="n">
        <v>0</v>
      </c>
      <c r="L129" s="41" t="n">
        <v>0</v>
      </c>
      <c r="M129" s="41" t="n">
        <v>0</v>
      </c>
      <c r="N129" s="41" t="n">
        <v>0</v>
      </c>
      <c r="O129" s="41" t="n">
        <v>0</v>
      </c>
      <c r="P129" s="42" t="n">
        <v>103296</v>
      </c>
    </row>
    <row r="130" spans="1:16">
      <c r="A130" s="37" t="n">
        <v>130</v>
      </c>
      <c r="B130" s="38" t="s">
        <v>379</v>
      </c>
      <c r="C130" s="39" t="s">
        <v>120</v>
      </c>
      <c r="D130" s="39" t="s">
        <v>278</v>
      </c>
      <c r="E130" s="39" t="s">
        <v>16</v>
      </c>
      <c r="F130" s="38" t="n">
        <v>0</v>
      </c>
      <c r="G130" s="122" t="s">
        <v>20</v>
      </c>
      <c r="H130" s="122" t="s">
        <v>381</v>
      </c>
      <c r="I130" s="41" t="n">
        <v>103296</v>
      </c>
      <c r="J130" s="41" t="n">
        <v>103296</v>
      </c>
      <c r="K130" s="41" t="n">
        <v>0</v>
      </c>
      <c r="L130" s="41" t="n">
        <v>0</v>
      </c>
      <c r="M130" s="41" t="n">
        <v>0</v>
      </c>
      <c r="N130" s="41" t="n">
        <v>0</v>
      </c>
      <c r="O130" s="41" t="n">
        <v>0</v>
      </c>
      <c r="P130" s="42" t="n">
        <v>103296</v>
      </c>
    </row>
    <row r="131" spans="1:16">
      <c r="A131" s="37" t="n">
        <v>131</v>
      </c>
      <c r="B131" s="38" t="s">
        <v>382</v>
      </c>
      <c r="C131" s="39" t="s">
        <v>95</v>
      </c>
      <c r="D131" s="39" t="s">
        <v>137</v>
      </c>
      <c r="E131" s="39" t="s">
        <v>14</v>
      </c>
      <c r="F131" s="38" t="n">
        <v>0</v>
      </c>
      <c r="G131" s="122" t="s">
        <v>20</v>
      </c>
      <c r="H131" s="122" t="s">
        <v>383</v>
      </c>
      <c r="I131" s="41" t="n">
        <v>103289</v>
      </c>
      <c r="J131" s="41" t="n">
        <v>103289</v>
      </c>
      <c r="K131" s="41" t="n">
        <v>0</v>
      </c>
      <c r="L131" s="41" t="n">
        <v>0</v>
      </c>
      <c r="M131" s="41" t="n">
        <v>0</v>
      </c>
      <c r="N131" s="41" t="n">
        <v>0</v>
      </c>
      <c r="O131" s="41" t="n">
        <v>0</v>
      </c>
      <c r="P131" s="42" t="n">
        <v>103289</v>
      </c>
    </row>
    <row r="132" spans="1:16">
      <c r="A132" s="37" t="n">
        <v>132</v>
      </c>
      <c r="B132" s="38" t="s">
        <v>384</v>
      </c>
      <c r="C132" s="39" t="s">
        <v>95</v>
      </c>
      <c r="D132" s="39" t="s">
        <v>124</v>
      </c>
      <c r="E132" s="39" t="s">
        <v>15</v>
      </c>
      <c r="F132" s="38" t="n">
        <v>0</v>
      </c>
      <c r="G132" s="122" t="s">
        <v>20</v>
      </c>
      <c r="H132" s="122" t="s">
        <v>385</v>
      </c>
      <c r="I132" s="41" t="n">
        <v>103296</v>
      </c>
      <c r="J132" s="41" t="n">
        <v>103296</v>
      </c>
      <c r="K132" s="41" t="n">
        <v>0</v>
      </c>
      <c r="L132" s="41" t="n">
        <v>0</v>
      </c>
      <c r="M132" s="41" t="n">
        <v>0</v>
      </c>
      <c r="N132" s="41" t="n">
        <v>0</v>
      </c>
      <c r="O132" s="41" t="n">
        <v>0</v>
      </c>
      <c r="P132" s="42" t="n">
        <v>103296</v>
      </c>
    </row>
    <row r="133" spans="1:16">
      <c r="A133" s="37" t="n">
        <v>133</v>
      </c>
      <c r="B133" s="38" t="s">
        <v>401</v>
      </c>
      <c r="C133" s="39" t="s">
        <v>95</v>
      </c>
      <c r="D133" s="39" t="s">
        <v>128</v>
      </c>
      <c r="E133" s="39" t="s">
        <v>15</v>
      </c>
      <c r="F133" s="38" t="n">
        <v>0</v>
      </c>
      <c r="G133" s="122" t="s">
        <v>20</v>
      </c>
      <c r="H133" s="122" t="s">
        <v>403</v>
      </c>
      <c r="I133" s="41" t="n">
        <v>103296</v>
      </c>
      <c r="J133" s="41" t="n">
        <v>103296</v>
      </c>
      <c r="K133" s="41" t="n">
        <v>0</v>
      </c>
      <c r="L133" s="41" t="n">
        <v>0</v>
      </c>
      <c r="M133" s="41" t="n">
        <v>0</v>
      </c>
      <c r="N133" s="41" t="n">
        <v>0</v>
      </c>
      <c r="O133" s="41" t="n">
        <v>0</v>
      </c>
      <c r="P133" s="42" t="n">
        <v>103296</v>
      </c>
    </row>
    <row r="134" spans="1:16">
      <c r="A134" s="37" t="n">
        <v>134</v>
      </c>
      <c r="B134" s="38" t="s">
        <v>617</v>
      </c>
      <c r="C134" s="39" t="s">
        <v>58</v>
      </c>
      <c r="D134" s="39" t="s">
        <v>20</v>
      </c>
      <c r="E134" s="39" t="s">
        <v>21</v>
      </c>
      <c r="F134" s="38" t="s">
        <v>2074</v>
      </c>
      <c r="G134" s="122" t="s">
        <v>428</v>
      </c>
      <c r="H134" s="122" t="s">
        <v>619</v>
      </c>
      <c r="I134" s="41" t="n">
        <v>12344</v>
      </c>
      <c r="J134" s="41" t="n">
        <v>12344</v>
      </c>
      <c r="K134" s="41" t="n">
        <v>617</v>
      </c>
      <c r="L134" s="41" t="n">
        <v>0</v>
      </c>
      <c r="M134" s="41" t="n">
        <v>0</v>
      </c>
      <c r="N134" s="41" t="n">
        <v>0</v>
      </c>
      <c r="O134" s="41" t="n">
        <v>0</v>
      </c>
      <c r="P134" s="42" t="n">
        <v>11727</v>
      </c>
    </row>
    <row r="135" spans="1:16">
      <c r="A135" s="37" t="n">
        <v>135</v>
      </c>
      <c r="B135" s="38" t="s">
        <v>620</v>
      </c>
      <c r="C135" s="39" t="s">
        <v>58</v>
      </c>
      <c r="D135" s="39" t="s">
        <v>20</v>
      </c>
      <c r="E135" s="39" t="s">
        <v>21</v>
      </c>
      <c r="F135" s="38" t="s">
        <v>2074</v>
      </c>
      <c r="G135" s="122" t="s">
        <v>432</v>
      </c>
      <c r="H135" s="122" t="s">
        <v>622</v>
      </c>
      <c r="I135" s="41" t="n">
        <v>21143</v>
      </c>
      <c r="J135" s="41" t="n">
        <v>21143</v>
      </c>
      <c r="K135" s="41" t="n">
        <v>1057</v>
      </c>
      <c r="L135" s="41" t="n">
        <v>0</v>
      </c>
      <c r="M135" s="41" t="n">
        <v>0</v>
      </c>
      <c r="N135" s="41" t="n">
        <v>0</v>
      </c>
      <c r="O135" s="41" t="n">
        <v>0</v>
      </c>
      <c r="P135" s="42" t="n">
        <v>20086</v>
      </c>
    </row>
    <row r="136" spans="1:16">
      <c r="A136" s="37" t="n">
        <v>136</v>
      </c>
      <c r="B136" s="38" t="s">
        <v>627</v>
      </c>
      <c r="C136" s="39" t="s">
        <v>58</v>
      </c>
      <c r="D136" s="39" t="s">
        <v>20</v>
      </c>
      <c r="E136" s="39" t="s">
        <v>21</v>
      </c>
      <c r="F136" s="38" t="s">
        <v>2074</v>
      </c>
      <c r="G136" s="122" t="s">
        <v>436</v>
      </c>
      <c r="H136" s="122" t="s">
        <v>630</v>
      </c>
      <c r="I136" s="41" t="n">
        <v>10058</v>
      </c>
      <c r="J136" s="41" t="n">
        <v>10058</v>
      </c>
      <c r="K136" s="41" t="n">
        <v>503</v>
      </c>
      <c r="L136" s="41" t="n">
        <v>0</v>
      </c>
      <c r="M136" s="41" t="n">
        <v>0</v>
      </c>
      <c r="N136" s="41" t="n">
        <v>0</v>
      </c>
      <c r="O136" s="41" t="n">
        <v>0</v>
      </c>
      <c r="P136" s="42" t="n">
        <v>9555</v>
      </c>
    </row>
    <row r="137" spans="1:16">
      <c r="A137" s="37" t="n">
        <v>137</v>
      </c>
      <c r="B137" s="38" t="s">
        <v>623</v>
      </c>
      <c r="C137" s="39" t="s">
        <v>58</v>
      </c>
      <c r="D137" s="39" t="s">
        <v>20</v>
      </c>
      <c r="E137" s="39" t="s">
        <v>21</v>
      </c>
      <c r="F137" s="38" t="s">
        <v>2074</v>
      </c>
      <c r="G137" s="122" t="s">
        <v>440</v>
      </c>
      <c r="H137" s="122" t="s">
        <v>626</v>
      </c>
      <c r="I137" s="41" t="n">
        <v>10973</v>
      </c>
      <c r="J137" s="41" t="n">
        <v>10973</v>
      </c>
      <c r="K137" s="41" t="n">
        <v>549</v>
      </c>
      <c r="L137" s="41" t="n">
        <v>0</v>
      </c>
      <c r="M137" s="41" t="n">
        <v>0</v>
      </c>
      <c r="N137" s="41" t="n">
        <v>0</v>
      </c>
      <c r="O137" s="41" t="n">
        <v>0</v>
      </c>
      <c r="P137" s="42" t="n">
        <v>10424</v>
      </c>
    </row>
    <row r="138" spans="1:16">
      <c r="A138" s="37" t="n">
        <v>138</v>
      </c>
      <c r="B138" s="38" t="s">
        <v>631</v>
      </c>
      <c r="C138" s="39" t="s">
        <v>58</v>
      </c>
      <c r="D138" s="39" t="s">
        <v>20</v>
      </c>
      <c r="E138" s="39" t="s">
        <v>21</v>
      </c>
      <c r="F138" s="38" t="s">
        <v>2074</v>
      </c>
      <c r="G138" s="122" t="s">
        <v>444</v>
      </c>
      <c r="H138" s="122" t="s">
        <v>634</v>
      </c>
      <c r="I138" s="41" t="n">
        <v>10058</v>
      </c>
      <c r="J138" s="41" t="n">
        <v>10058</v>
      </c>
      <c r="K138" s="41" t="n">
        <v>503</v>
      </c>
      <c r="L138" s="41" t="n">
        <v>0</v>
      </c>
      <c r="M138" s="41" t="n">
        <v>0</v>
      </c>
      <c r="N138" s="41" t="n">
        <v>0</v>
      </c>
      <c r="O138" s="41" t="n">
        <v>0</v>
      </c>
      <c r="P138" s="42" t="n">
        <v>9555</v>
      </c>
    </row>
    <row r="139" spans="1:16">
      <c r="A139" s="37" t="n">
        <v>139</v>
      </c>
      <c r="B139" s="38" t="s">
        <v>635</v>
      </c>
      <c r="C139" s="39" t="s">
        <v>58</v>
      </c>
      <c r="D139" s="39" t="s">
        <v>20</v>
      </c>
      <c r="E139" s="39" t="s">
        <v>21</v>
      </c>
      <c r="F139" s="38" t="s">
        <v>2074</v>
      </c>
      <c r="G139" s="122" t="s">
        <v>448</v>
      </c>
      <c r="H139" s="122" t="s">
        <v>638</v>
      </c>
      <c r="I139" s="41" t="n">
        <v>10058</v>
      </c>
      <c r="J139" s="41" t="n">
        <v>10058</v>
      </c>
      <c r="K139" s="41" t="n">
        <v>503</v>
      </c>
      <c r="L139" s="41" t="n">
        <v>0</v>
      </c>
      <c r="M139" s="41" t="n">
        <v>0</v>
      </c>
      <c r="N139" s="41" t="n">
        <v>0</v>
      </c>
      <c r="O139" s="41" t="n">
        <v>0</v>
      </c>
      <c r="P139" s="42" t="n">
        <v>9555</v>
      </c>
    </row>
    <row r="140" spans="1:16">
      <c r="A140" s="37" t="n">
        <v>140</v>
      </c>
      <c r="B140" s="38" t="s">
        <v>639</v>
      </c>
      <c r="C140" s="39" t="s">
        <v>58</v>
      </c>
      <c r="D140" s="39" t="s">
        <v>20</v>
      </c>
      <c r="E140" s="39" t="s">
        <v>21</v>
      </c>
      <c r="F140" s="38" t="s">
        <v>644</v>
      </c>
      <c r="G140" s="40" t="n">
        <v>0</v>
      </c>
      <c r="H140" s="122" t="s">
        <v>642</v>
      </c>
      <c r="I140" s="41" t="n">
        <v>10058</v>
      </c>
      <c r="J140" s="41" t="n">
        <v>10058</v>
      </c>
      <c r="K140" s="41" t="n">
        <v>503</v>
      </c>
      <c r="L140" s="41" t="n">
        <v>0</v>
      </c>
      <c r="M140" s="41" t="n">
        <v>0</v>
      </c>
      <c r="N140" s="41" t="n">
        <v>0</v>
      </c>
      <c r="O140" s="41" t="n">
        <v>0</v>
      </c>
      <c r="P140" s="42" t="n">
        <v>9555</v>
      </c>
    </row>
    <row r="141" spans="1:16">
      <c r="A141" s="37" t="n">
        <v>142</v>
      </c>
      <c r="B141" s="38" t="s">
        <v>643</v>
      </c>
      <c r="C141" s="39" t="s">
        <v>58</v>
      </c>
      <c r="D141" s="39" t="s">
        <v>20</v>
      </c>
      <c r="E141" s="39" t="s">
        <v>21</v>
      </c>
      <c r="F141" s="38" t="s">
        <v>2074</v>
      </c>
      <c r="G141" s="40" t="n">
        <v>0</v>
      </c>
      <c r="H141" s="122" t="s">
        <v>645</v>
      </c>
      <c r="I141" s="41" t="n">
        <v>10058</v>
      </c>
      <c r="J141" s="41" t="n">
        <v>10058</v>
      </c>
      <c r="K141" s="41" t="n">
        <v>503</v>
      </c>
      <c r="L141" s="41" t="n">
        <v>0</v>
      </c>
      <c r="M141" s="41" t="n">
        <v>0</v>
      </c>
      <c r="N141" s="41" t="n">
        <v>0</v>
      </c>
      <c r="O141" s="41" t="n">
        <v>0</v>
      </c>
      <c r="P141" s="42" t="n">
        <v>9555</v>
      </c>
    </row>
    <row r="142" spans="1:16">
      <c r="A142" s="37" t="n">
        <v>143</v>
      </c>
      <c r="B142" s="38" t="s">
        <v>646</v>
      </c>
      <c r="C142" s="39" t="s">
        <v>283</v>
      </c>
      <c r="D142" s="39" t="s">
        <v>20</v>
      </c>
      <c r="E142" s="39" t="s">
        <v>21</v>
      </c>
      <c r="F142" s="38" t="s">
        <v>2074</v>
      </c>
      <c r="G142" s="40" t="n">
        <v>0</v>
      </c>
      <c r="H142" s="122" t="s">
        <v>647</v>
      </c>
      <c r="I142" s="41" t="n">
        <v>10058</v>
      </c>
      <c r="J142" s="41" t="n">
        <v>10058</v>
      </c>
      <c r="K142" s="41" t="n">
        <v>0</v>
      </c>
      <c r="L142" s="41" t="n">
        <v>0</v>
      </c>
      <c r="M142" s="41" t="n">
        <v>0</v>
      </c>
      <c r="N142" s="41" t="n">
        <v>0</v>
      </c>
      <c r="O142" s="41" t="n">
        <v>0</v>
      </c>
      <c r="P142" s="42" t="n">
        <v>10058</v>
      </c>
    </row>
    <row r="143" spans="1:16">
      <c r="A143" s="37" t="n">
        <v>144</v>
      </c>
      <c r="B143" s="38" t="s">
        <v>648</v>
      </c>
      <c r="C143" s="39" t="s">
        <v>283</v>
      </c>
      <c r="D143" s="39" t="s">
        <v>20</v>
      </c>
      <c r="E143" s="39" t="s">
        <v>21</v>
      </c>
      <c r="F143" s="38" t="s">
        <v>2074</v>
      </c>
      <c r="G143" s="40" t="n">
        <v>0</v>
      </c>
      <c r="H143" s="122" t="s">
        <v>649</v>
      </c>
      <c r="I143" s="41" t="n">
        <v>10058</v>
      </c>
      <c r="J143" s="41" t="n">
        <v>10058</v>
      </c>
      <c r="K143" s="41" t="n">
        <v>0</v>
      </c>
      <c r="L143" s="41" t="n">
        <v>0</v>
      </c>
      <c r="M143" s="41" t="n">
        <v>0</v>
      </c>
      <c r="N143" s="41" t="n">
        <v>0</v>
      </c>
      <c r="O143" s="41" t="n">
        <v>0</v>
      </c>
      <c r="P143" s="42" t="n">
        <v>10058</v>
      </c>
    </row>
    <row r="144" spans="1:16">
      <c r="A144" s="37" t="n">
        <v>145</v>
      </c>
      <c r="B144" s="38" t="s">
        <v>270</v>
      </c>
      <c r="C144" s="39" t="s">
        <v>95</v>
      </c>
      <c r="D144" s="39" t="s">
        <v>137</v>
      </c>
      <c r="E144" s="39" t="s">
        <v>14</v>
      </c>
      <c r="F144" s="38" t="n">
        <v>0</v>
      </c>
      <c r="G144" s="122" t="s">
        <v>463</v>
      </c>
      <c r="H144" s="122" t="s">
        <v>272</v>
      </c>
      <c r="I144" s="41" t="n">
        <v>403906</v>
      </c>
      <c r="J144" s="41" t="n">
        <v>403906</v>
      </c>
      <c r="K144" s="41" t="n">
        <v>0</v>
      </c>
      <c r="L144" s="41" t="n">
        <v>0</v>
      </c>
      <c r="M144" s="41" t="n">
        <v>0</v>
      </c>
      <c r="N144" s="41" t="n">
        <v>0</v>
      </c>
      <c r="O144" s="41" t="n">
        <v>0</v>
      </c>
      <c r="P144" s="42" t="n">
        <v>403906</v>
      </c>
    </row>
    <row r="145" spans="1:16">
      <c r="A145" s="37" t="n">
        <v>146</v>
      </c>
      <c r="B145" s="38" t="s">
        <v>391</v>
      </c>
      <c r="C145" s="39" t="s">
        <v>95</v>
      </c>
      <c r="D145" s="39" t="s">
        <v>128</v>
      </c>
      <c r="E145" s="39" t="s">
        <v>15</v>
      </c>
      <c r="F145" s="38" t="n">
        <v>0</v>
      </c>
      <c r="G145" s="40" t="n">
        <v>0</v>
      </c>
      <c r="H145" s="122" t="s">
        <v>392</v>
      </c>
      <c r="I145" s="41" t="n">
        <v>8230</v>
      </c>
      <c r="J145" s="41" t="n">
        <v>8230</v>
      </c>
      <c r="K145" s="41" t="n">
        <v>0</v>
      </c>
      <c r="L145" s="41" t="n">
        <v>0</v>
      </c>
      <c r="M145" s="41" t="n">
        <v>0</v>
      </c>
      <c r="N145" s="41" t="n">
        <v>0</v>
      </c>
      <c r="O145" s="41" t="n">
        <v>0</v>
      </c>
      <c r="P145" s="42" t="n">
        <v>8230</v>
      </c>
    </row>
    <row r="146" spans="1:16">
      <c r="A146" s="37" t="n">
        <v>147</v>
      </c>
      <c r="B146" s="38" t="s">
        <v>393</v>
      </c>
      <c r="C146" s="39" t="s">
        <v>95</v>
      </c>
      <c r="D146" s="39" t="s">
        <v>128</v>
      </c>
      <c r="E146" s="39" t="s">
        <v>15</v>
      </c>
      <c r="F146" s="38" t="n">
        <v>0</v>
      </c>
      <c r="G146" s="40" t="n">
        <v>0</v>
      </c>
      <c r="H146" s="122" t="s">
        <v>395</v>
      </c>
      <c r="I146" s="41" t="n">
        <v>127966</v>
      </c>
      <c r="J146" s="41" t="n">
        <v>127966</v>
      </c>
      <c r="K146" s="41" t="n">
        <v>0</v>
      </c>
      <c r="L146" s="41" t="n">
        <v>0</v>
      </c>
      <c r="M146" s="41" t="n">
        <v>0</v>
      </c>
      <c r="N146" s="41" t="n">
        <v>0</v>
      </c>
      <c r="O146" s="41" t="n">
        <v>0</v>
      </c>
      <c r="P146" s="42" t="n">
        <v>127966</v>
      </c>
    </row>
    <row r="147" spans="1:16">
      <c r="A147" s="37" t="n">
        <v>148</v>
      </c>
      <c r="B147" s="38" t="s">
        <v>399</v>
      </c>
      <c r="C147" s="39" t="s">
        <v>95</v>
      </c>
      <c r="D147" s="39" t="s">
        <v>128</v>
      </c>
      <c r="E147" s="39" t="s">
        <v>15</v>
      </c>
      <c r="F147" s="38" t="n">
        <v>0</v>
      </c>
      <c r="G147" s="40" t="n">
        <v>0</v>
      </c>
      <c r="H147" s="122" t="s">
        <v>400</v>
      </c>
      <c r="I147" s="41" t="n">
        <v>98532</v>
      </c>
      <c r="J147" s="41" t="n">
        <v>98532</v>
      </c>
      <c r="K147" s="41" t="n">
        <v>0</v>
      </c>
      <c r="L147" s="41" t="n">
        <v>0</v>
      </c>
      <c r="M147" s="41" t="n">
        <v>0</v>
      </c>
      <c r="N147" s="41" t="n">
        <v>0</v>
      </c>
      <c r="O147" s="41" t="n">
        <v>0</v>
      </c>
      <c r="P147" s="42" t="n">
        <v>98532</v>
      </c>
    </row>
    <row r="148" spans="1:16">
      <c r="A148" s="37" t="n">
        <v>149</v>
      </c>
      <c r="B148" s="38" t="s">
        <v>404</v>
      </c>
      <c r="C148" s="39" t="s">
        <v>95</v>
      </c>
      <c r="D148" s="39" t="s">
        <v>124</v>
      </c>
      <c r="E148" s="39" t="s">
        <v>15</v>
      </c>
      <c r="F148" s="38" t="n">
        <v>0</v>
      </c>
      <c r="G148" s="122" t="s">
        <v>463</v>
      </c>
      <c r="H148" s="122" t="s">
        <v>405</v>
      </c>
      <c r="I148" s="41" t="n">
        <v>8230</v>
      </c>
      <c r="J148" s="41" t="n">
        <v>8230</v>
      </c>
      <c r="K148" s="41" t="n">
        <v>0</v>
      </c>
      <c r="L148" s="41" t="n">
        <v>0</v>
      </c>
      <c r="M148" s="41" t="n">
        <v>0</v>
      </c>
      <c r="N148" s="41" t="n">
        <v>0</v>
      </c>
      <c r="O148" s="41" t="n">
        <v>0</v>
      </c>
      <c r="P148" s="42" t="n">
        <v>8230</v>
      </c>
    </row>
    <row r="149" spans="1:16">
      <c r="A149" s="37" t="n">
        <v>150</v>
      </c>
      <c r="B149" s="38" t="s">
        <v>408</v>
      </c>
      <c r="C149" s="39" t="s">
        <v>95</v>
      </c>
      <c r="D149" s="39" t="s">
        <v>137</v>
      </c>
      <c r="E149" s="39" t="s">
        <v>14</v>
      </c>
      <c r="F149" s="38" t="s">
        <v>2074</v>
      </c>
      <c r="G149" s="122" t="s">
        <v>463</v>
      </c>
      <c r="H149" s="122" t="s">
        <v>409</v>
      </c>
      <c r="I149" s="41" t="n">
        <v>48100</v>
      </c>
      <c r="J149" s="41" t="n">
        <v>48100</v>
      </c>
      <c r="K149" s="41" t="n">
        <v>0</v>
      </c>
      <c r="L149" s="41" t="n">
        <v>0</v>
      </c>
      <c r="M149" s="41" t="n">
        <v>0</v>
      </c>
      <c r="N149" s="41" t="n">
        <v>0</v>
      </c>
      <c r="O149" s="41" t="n">
        <v>0</v>
      </c>
      <c r="P149" s="42" t="n">
        <v>48100</v>
      </c>
    </row>
    <row r="150" spans="1:16">
      <c r="A150" s="37" t="n">
        <v>151</v>
      </c>
      <c r="B150" s="38" t="s">
        <v>410</v>
      </c>
      <c r="C150" s="39" t="s">
        <v>95</v>
      </c>
      <c r="D150" s="39" t="s">
        <v>137</v>
      </c>
      <c r="E150" s="39" t="s">
        <v>14</v>
      </c>
      <c r="F150" s="38" t="n">
        <v>0</v>
      </c>
      <c r="G150" s="40" t="n">
        <v>0</v>
      </c>
      <c r="H150" s="122" t="s">
        <v>411</v>
      </c>
      <c r="I150" s="41" t="n">
        <v>154852</v>
      </c>
      <c r="J150" s="41" t="n">
        <v>154852</v>
      </c>
      <c r="K150" s="41" t="n">
        <v>0</v>
      </c>
      <c r="L150" s="41" t="n">
        <v>0</v>
      </c>
      <c r="M150" s="41" t="n">
        <v>0</v>
      </c>
      <c r="N150" s="41" t="n">
        <v>0</v>
      </c>
      <c r="O150" s="41" t="n">
        <v>0</v>
      </c>
      <c r="P150" s="42" t="n">
        <v>154852</v>
      </c>
    </row>
    <row r="151" spans="1:16">
      <c r="A151" s="37" t="n">
        <v>152</v>
      </c>
      <c r="B151" s="38" t="s">
        <v>415</v>
      </c>
      <c r="C151" s="39" t="s">
        <v>95</v>
      </c>
      <c r="D151" s="39" t="s">
        <v>137</v>
      </c>
      <c r="E151" s="39" t="s">
        <v>14</v>
      </c>
      <c r="F151" s="38" t="n">
        <v>0</v>
      </c>
      <c r="G151" s="40" t="n">
        <v>0</v>
      </c>
      <c r="H151" s="122" t="s">
        <v>416</v>
      </c>
      <c r="I151" s="41" t="n">
        <v>9387</v>
      </c>
      <c r="J151" s="41" t="n">
        <v>9387</v>
      </c>
      <c r="K151" s="41" t="n">
        <v>0</v>
      </c>
      <c r="L151" s="41" t="n">
        <v>0</v>
      </c>
      <c r="M151" s="41" t="n">
        <v>0</v>
      </c>
      <c r="N151" s="41" t="n">
        <v>0</v>
      </c>
      <c r="O151" s="41" t="n">
        <v>0</v>
      </c>
      <c r="P151" s="42" t="n">
        <v>9387</v>
      </c>
    </row>
    <row r="152" spans="1:16">
      <c r="A152" s="37" t="n">
        <v>153</v>
      </c>
      <c r="B152" s="38" t="s">
        <v>386</v>
      </c>
      <c r="C152" s="39" t="s">
        <v>95</v>
      </c>
      <c r="D152" s="39" t="s">
        <v>124</v>
      </c>
      <c r="E152" s="39" t="s">
        <v>15</v>
      </c>
      <c r="F152" s="38" t="n">
        <v>0</v>
      </c>
      <c r="G152" s="40" t="n">
        <v>0</v>
      </c>
      <c r="H152" s="122" t="s">
        <v>387</v>
      </c>
      <c r="I152" s="41" t="n">
        <v>67271</v>
      </c>
      <c r="J152" s="41" t="n">
        <v>67271</v>
      </c>
      <c r="K152" s="41" t="n">
        <v>0</v>
      </c>
      <c r="L152" s="41" t="n">
        <v>0</v>
      </c>
      <c r="M152" s="41" t="n">
        <v>0</v>
      </c>
      <c r="N152" s="41" t="n">
        <v>0</v>
      </c>
      <c r="O152" s="41" t="n">
        <v>0</v>
      </c>
      <c r="P152" s="42" t="n">
        <v>67271</v>
      </c>
    </row>
    <row r="153" spans="1:16">
      <c r="A153" s="37" t="n">
        <v>154</v>
      </c>
      <c r="B153" s="38" t="s">
        <v>388</v>
      </c>
      <c r="C153" s="39" t="s">
        <v>95</v>
      </c>
      <c r="D153" s="39" t="s">
        <v>278</v>
      </c>
      <c r="E153" s="39" t="s">
        <v>16</v>
      </c>
      <c r="F153" s="38" t="n">
        <v>0</v>
      </c>
      <c r="G153" s="40" t="n">
        <v>1</v>
      </c>
      <c r="H153" s="122" t="s">
        <v>390</v>
      </c>
      <c r="I153" s="41" t="n">
        <v>8230</v>
      </c>
      <c r="J153" s="41" t="n">
        <v>8230</v>
      </c>
      <c r="K153" s="41" t="n">
        <v>0</v>
      </c>
      <c r="L153" s="41" t="n">
        <v>0</v>
      </c>
      <c r="M153" s="41" t="n">
        <v>0</v>
      </c>
      <c r="N153" s="41" t="n">
        <v>0</v>
      </c>
      <c r="O153" s="41" t="n">
        <v>0</v>
      </c>
      <c r="P153" s="42" t="n">
        <v>8230</v>
      </c>
    </row>
    <row r="154" spans="1:16">
      <c r="A154" s="37" t="n">
        <v>155</v>
      </c>
      <c r="B154" s="38" t="s">
        <v>650</v>
      </c>
      <c r="C154" s="39" t="s">
        <v>283</v>
      </c>
      <c r="D154" s="39" t="s">
        <v>20</v>
      </c>
      <c r="E154" s="39" t="s">
        <v>21</v>
      </c>
      <c r="F154" s="38" t="n">
        <v>0</v>
      </c>
      <c r="G154" s="40" t="n">
        <v>0</v>
      </c>
      <c r="H154" s="122" t="s">
        <v>651</v>
      </c>
      <c r="I154" s="41" t="n">
        <v>10058</v>
      </c>
      <c r="J154" s="41" t="n">
        <v>10058</v>
      </c>
      <c r="K154" s="41" t="n">
        <v>0</v>
      </c>
      <c r="L154" s="41" t="n">
        <v>0</v>
      </c>
      <c r="M154" s="41" t="n">
        <v>0</v>
      </c>
      <c r="N154" s="41" t="n">
        <v>0</v>
      </c>
      <c r="O154" s="41" t="n">
        <v>0</v>
      </c>
      <c r="P154" s="42" t="n">
        <v>10058</v>
      </c>
    </row>
    <row r="155" spans="1:16">
      <c r="A155" s="37" t="n">
        <v>156</v>
      </c>
      <c r="B155" s="38" t="s">
        <v>655</v>
      </c>
      <c r="C155" s="39" t="s">
        <v>283</v>
      </c>
      <c r="D155" s="39" t="s">
        <v>20</v>
      </c>
      <c r="E155" s="39" t="s">
        <v>21</v>
      </c>
      <c r="F155" s="38" t="n">
        <v>0</v>
      </c>
      <c r="G155" s="40" t="n">
        <v>0</v>
      </c>
      <c r="H155" s="122" t="s">
        <v>656</v>
      </c>
      <c r="I155" s="41" t="n">
        <v>10058</v>
      </c>
      <c r="J155" s="41" t="n">
        <v>10058</v>
      </c>
      <c r="K155" s="41" t="n">
        <v>0</v>
      </c>
      <c r="L155" s="41" t="n">
        <v>0</v>
      </c>
      <c r="M155" s="41" t="n">
        <v>0</v>
      </c>
      <c r="N155" s="41" t="n">
        <v>0</v>
      </c>
      <c r="O155" s="41" t="n">
        <v>0</v>
      </c>
      <c r="P155" s="42" t="n">
        <v>10058</v>
      </c>
    </row>
    <row r="156" spans="1:16">
      <c r="A156" s="37" t="n">
        <v>157</v>
      </c>
      <c r="B156" s="38" t="s">
        <v>652</v>
      </c>
      <c r="C156" s="39" t="s">
        <v>58</v>
      </c>
      <c r="D156" s="39" t="s">
        <v>20</v>
      </c>
      <c r="E156" s="39" t="s">
        <v>21</v>
      </c>
      <c r="F156" s="38" t="s">
        <v>653</v>
      </c>
      <c r="G156" s="40" t="n">
        <v>0</v>
      </c>
      <c r="H156" s="122" t="s">
        <v>654</v>
      </c>
      <c r="I156" s="41" t="n">
        <v>10973</v>
      </c>
      <c r="J156" s="41" t="n">
        <v>10973</v>
      </c>
      <c r="K156" s="41" t="n">
        <v>549</v>
      </c>
      <c r="L156" s="41" t="n">
        <v>0</v>
      </c>
      <c r="M156" s="41" t="n">
        <v>0</v>
      </c>
      <c r="N156" s="41" t="n">
        <v>0</v>
      </c>
      <c r="O156" s="41" t="n">
        <v>0</v>
      </c>
      <c r="P156" s="42" t="n">
        <v>10424</v>
      </c>
    </row>
    <row r="157" spans="1:16">
      <c r="A157" s="37" t="n">
        <v>158</v>
      </c>
      <c r="B157" s="38" t="s">
        <v>657</v>
      </c>
      <c r="C157" s="39" t="s">
        <v>283</v>
      </c>
      <c r="D157" s="39" t="s">
        <v>20</v>
      </c>
      <c r="E157" s="39" t="s">
        <v>21</v>
      </c>
      <c r="F157" s="38" t="n">
        <v>0</v>
      </c>
      <c r="G157" s="40" t="n">
        <v>0</v>
      </c>
      <c r="H157" s="122" t="s">
        <v>658</v>
      </c>
      <c r="I157" s="41" t="n">
        <v>10058</v>
      </c>
      <c r="J157" s="41" t="n">
        <v>10058</v>
      </c>
      <c r="K157" s="41" t="n">
        <v>0</v>
      </c>
      <c r="L157" s="41" t="n">
        <v>0</v>
      </c>
      <c r="M157" s="41" t="n">
        <v>0</v>
      </c>
      <c r="N157" s="41" t="n">
        <v>0</v>
      </c>
      <c r="O157" s="41" t="n">
        <v>0</v>
      </c>
      <c r="P157" s="42" t="n">
        <v>10058</v>
      </c>
    </row>
    <row r="158" spans="1:16">
      <c r="A158" s="37" t="n">
        <v>159</v>
      </c>
      <c r="B158" s="38" t="s">
        <v>659</v>
      </c>
      <c r="C158" s="39" t="s">
        <v>283</v>
      </c>
      <c r="D158" s="39" t="s">
        <v>20</v>
      </c>
      <c r="E158" s="39" t="s">
        <v>21</v>
      </c>
      <c r="F158" s="38" t="n">
        <v>0</v>
      </c>
      <c r="G158" s="122" t="s">
        <v>499</v>
      </c>
      <c r="H158" s="122" t="s">
        <v>660</v>
      </c>
      <c r="I158" s="41" t="n">
        <v>10058</v>
      </c>
      <c r="J158" s="41" t="n">
        <v>10058</v>
      </c>
      <c r="K158" s="41" t="n">
        <v>0</v>
      </c>
      <c r="L158" s="41" t="n">
        <v>0</v>
      </c>
      <c r="M158" s="41" t="n">
        <v>0</v>
      </c>
      <c r="N158" s="41" t="n">
        <v>0</v>
      </c>
      <c r="O158" s="41" t="n">
        <v>0</v>
      </c>
      <c r="P158" s="42" t="n">
        <v>10058</v>
      </c>
    </row>
    <row r="159" spans="1:16">
      <c r="A159" s="37" t="n">
        <v>160</v>
      </c>
      <c r="B159" s="38" t="s">
        <v>661</v>
      </c>
      <c r="C159" s="39" t="s">
        <v>283</v>
      </c>
      <c r="D159" s="39" t="s">
        <v>20</v>
      </c>
      <c r="E159" s="39" t="s">
        <v>21</v>
      </c>
      <c r="F159" s="38" t="n">
        <v>0</v>
      </c>
      <c r="G159" s="40" t="n">
        <v>0</v>
      </c>
      <c r="H159" s="122" t="s">
        <v>663</v>
      </c>
      <c r="I159" s="41" t="n">
        <v>10058</v>
      </c>
      <c r="J159" s="41" t="n">
        <v>10058</v>
      </c>
      <c r="K159" s="41" t="n">
        <v>0</v>
      </c>
      <c r="L159" s="41" t="n">
        <v>0</v>
      </c>
      <c r="M159" s="41" t="n">
        <v>0</v>
      </c>
      <c r="N159" s="41" t="n">
        <v>0</v>
      </c>
      <c r="O159" s="41" t="n">
        <v>0</v>
      </c>
      <c r="P159" s="42" t="n">
        <v>10058</v>
      </c>
    </row>
    <row r="160" spans="1:16">
      <c r="A160" s="37" t="n">
        <v>161</v>
      </c>
      <c r="B160" s="38" t="s">
        <v>664</v>
      </c>
      <c r="C160" s="39" t="s">
        <v>120</v>
      </c>
      <c r="D160" s="39" t="s">
        <v>124</v>
      </c>
      <c r="E160" s="39" t="s">
        <v>15</v>
      </c>
      <c r="F160" s="38" t="n">
        <v>0</v>
      </c>
      <c r="G160" s="40" t="n">
        <v>0</v>
      </c>
      <c r="H160" s="122" t="s">
        <v>665</v>
      </c>
      <c r="I160" s="41" t="n">
        <v>10058</v>
      </c>
      <c r="J160" s="41" t="n">
        <v>10058</v>
      </c>
      <c r="K160" s="41" t="n">
        <v>0</v>
      </c>
      <c r="L160" s="41" t="n">
        <v>0</v>
      </c>
      <c r="M160" s="41" t="n">
        <v>0</v>
      </c>
      <c r="N160" s="41" t="n">
        <v>0</v>
      </c>
      <c r="O160" s="41" t="n">
        <v>0</v>
      </c>
      <c r="P160" s="42" t="n">
        <v>10058</v>
      </c>
    </row>
    <row r="161" spans="1:16">
      <c r="A161" s="37" t="n">
        <v>162</v>
      </c>
      <c r="B161" s="38" t="s">
        <v>666</v>
      </c>
      <c r="C161" s="39" t="s">
        <v>283</v>
      </c>
      <c r="D161" s="39" t="s">
        <v>20</v>
      </c>
      <c r="E161" s="39" t="s">
        <v>21</v>
      </c>
      <c r="F161" s="38" t="n">
        <v>0</v>
      </c>
      <c r="G161" s="40" t="n">
        <v>0</v>
      </c>
      <c r="H161" s="122" t="s">
        <v>667</v>
      </c>
      <c r="I161" s="41" t="n">
        <v>10058</v>
      </c>
      <c r="J161" s="41" t="n">
        <v>10058</v>
      </c>
      <c r="K161" s="41" t="n">
        <v>0</v>
      </c>
      <c r="L161" s="41" t="n">
        <v>0</v>
      </c>
      <c r="M161" s="41" t="n">
        <v>0</v>
      </c>
      <c r="N161" s="41" t="n">
        <v>0</v>
      </c>
      <c r="O161" s="41" t="n">
        <v>0</v>
      </c>
      <c r="P161" s="42" t="n">
        <v>10058</v>
      </c>
    </row>
    <row r="162" spans="1:16">
      <c r="A162" s="37" t="n">
        <v>163</v>
      </c>
      <c r="B162" s="38" t="s">
        <v>668</v>
      </c>
      <c r="C162" s="39" t="s">
        <v>283</v>
      </c>
      <c r="D162" s="39" t="s">
        <v>20</v>
      </c>
      <c r="E162" s="39" t="s">
        <v>21</v>
      </c>
      <c r="F162" s="38" t="n">
        <v>0</v>
      </c>
      <c r="G162" s="40" t="n">
        <v>0</v>
      </c>
      <c r="H162" s="122" t="s">
        <v>669</v>
      </c>
      <c r="I162" s="41" t="n">
        <v>10058</v>
      </c>
      <c r="J162" s="41" t="n">
        <v>10058</v>
      </c>
      <c r="K162" s="41" t="n">
        <v>0</v>
      </c>
      <c r="L162" s="41" t="n">
        <v>0</v>
      </c>
      <c r="M162" s="41" t="n">
        <v>0</v>
      </c>
      <c r="N162" s="41" t="n">
        <v>0</v>
      </c>
      <c r="O162" s="41" t="n">
        <v>0</v>
      </c>
      <c r="P162" s="42" t="n">
        <v>10058</v>
      </c>
    </row>
    <row r="163" spans="1:16">
      <c r="A163" s="37" t="n">
        <v>165</v>
      </c>
      <c r="B163" s="38" t="s">
        <v>670</v>
      </c>
      <c r="C163" s="39" t="s">
        <v>131</v>
      </c>
      <c r="D163" s="39" t="s">
        <v>20</v>
      </c>
      <c r="E163" s="39" t="s">
        <v>21</v>
      </c>
      <c r="F163" s="38" t="s">
        <v>671</v>
      </c>
      <c r="G163" s="40" t="n">
        <v>0</v>
      </c>
      <c r="H163" s="122" t="s">
        <v>672</v>
      </c>
      <c r="I163" s="41" t="n">
        <v>99601</v>
      </c>
      <c r="J163" s="41" t="n">
        <v>99601</v>
      </c>
      <c r="K163" s="41" t="n">
        <v>4980</v>
      </c>
      <c r="L163" s="41" t="n">
        <v>0</v>
      </c>
      <c r="M163" s="41" t="n">
        <v>0</v>
      </c>
      <c r="N163" s="41" t="n">
        <v>0</v>
      </c>
      <c r="O163" s="41" t="n">
        <v>0</v>
      </c>
      <c r="P163" s="42" t="n">
        <v>94621</v>
      </c>
    </row>
    <row r="164" spans="1:16">
      <c r="A164" s="37" t="n">
        <v>166</v>
      </c>
      <c r="B164" s="38" t="s">
        <v>673</v>
      </c>
      <c r="C164" s="39" t="s">
        <v>283</v>
      </c>
      <c r="D164" s="39" t="s">
        <v>20</v>
      </c>
      <c r="E164" s="39" t="s">
        <v>21</v>
      </c>
      <c r="F164" s="38" t="n">
        <v>0</v>
      </c>
      <c r="G164" s="40" t="n">
        <v>0</v>
      </c>
      <c r="H164" s="122" t="s">
        <v>674</v>
      </c>
      <c r="I164" s="41" t="n">
        <v>10058</v>
      </c>
      <c r="J164" s="41" t="n">
        <v>10058</v>
      </c>
      <c r="K164" s="41" t="n">
        <v>0</v>
      </c>
      <c r="L164" s="41" t="n">
        <v>0</v>
      </c>
      <c r="M164" s="41" t="n">
        <v>0</v>
      </c>
      <c r="N164" s="41" t="n">
        <v>0</v>
      </c>
      <c r="O164" s="41" t="n">
        <v>0</v>
      </c>
      <c r="P164" s="42" t="n">
        <v>10058</v>
      </c>
    </row>
    <row r="165" spans="1:16">
      <c r="A165" s="37" t="n">
        <v>167</v>
      </c>
      <c r="B165" s="38" t="s">
        <v>675</v>
      </c>
      <c r="C165" s="39" t="s">
        <v>283</v>
      </c>
      <c r="D165" s="39" t="s">
        <v>20</v>
      </c>
      <c r="E165" s="39" t="s">
        <v>21</v>
      </c>
      <c r="F165" s="38" t="n">
        <v>0</v>
      </c>
      <c r="G165" s="122" t="s">
        <v>519</v>
      </c>
      <c r="H165" s="122" t="s">
        <v>676</v>
      </c>
      <c r="I165" s="41" t="n">
        <v>10058</v>
      </c>
      <c r="J165" s="41" t="n">
        <v>10058</v>
      </c>
      <c r="K165" s="41" t="n">
        <v>0</v>
      </c>
      <c r="L165" s="41" t="n">
        <v>0</v>
      </c>
      <c r="M165" s="41" t="n">
        <v>0</v>
      </c>
      <c r="N165" s="41" t="n">
        <v>0</v>
      </c>
      <c r="O165" s="41" t="n">
        <v>0</v>
      </c>
      <c r="P165" s="42" t="n">
        <v>10058</v>
      </c>
    </row>
    <row r="166" spans="1:16">
      <c r="A166" s="37" t="n">
        <v>168</v>
      </c>
      <c r="B166" s="38" t="s">
        <v>677</v>
      </c>
      <c r="C166" s="39" t="s">
        <v>120</v>
      </c>
      <c r="D166" s="39" t="s">
        <v>128</v>
      </c>
      <c r="E166" s="39" t="s">
        <v>15</v>
      </c>
      <c r="F166" s="38" t="n">
        <v>0</v>
      </c>
      <c r="G166" s="122" t="s">
        <v>522</v>
      </c>
      <c r="H166" s="122" t="s">
        <v>678</v>
      </c>
      <c r="I166" s="41" t="n">
        <v>10973</v>
      </c>
      <c r="J166" s="41" t="n">
        <v>10973</v>
      </c>
      <c r="K166" s="41" t="n">
        <v>0</v>
      </c>
      <c r="L166" s="41" t="n">
        <v>0</v>
      </c>
      <c r="M166" s="41" t="n">
        <v>0</v>
      </c>
      <c r="N166" s="41" t="n">
        <v>0</v>
      </c>
      <c r="O166" s="41" t="n">
        <v>0</v>
      </c>
      <c r="P166" s="42" t="n">
        <v>10973</v>
      </c>
    </row>
    <row r="167" spans="1:16">
      <c r="A167" s="37" t="n">
        <v>170</v>
      </c>
      <c r="B167" s="38" t="s">
        <v>681</v>
      </c>
      <c r="C167" s="39" t="s">
        <v>283</v>
      </c>
      <c r="D167" s="39" t="s">
        <v>20</v>
      </c>
      <c r="E167" s="39" t="s">
        <v>21</v>
      </c>
      <c r="F167" s="38" t="n">
        <v>0</v>
      </c>
      <c r="G167" s="40" t="n">
        <v>0</v>
      </c>
      <c r="H167" s="122" t="s">
        <v>683</v>
      </c>
      <c r="I167" s="41" t="n">
        <v>97772</v>
      </c>
      <c r="J167" s="41" t="n">
        <v>97772</v>
      </c>
      <c r="K167" s="41" t="n">
        <v>0</v>
      </c>
      <c r="L167" s="41" t="n">
        <v>0</v>
      </c>
      <c r="M167" s="41" t="n">
        <v>0</v>
      </c>
      <c r="N167" s="41" t="n">
        <v>0</v>
      </c>
      <c r="O167" s="41" t="n">
        <v>0</v>
      </c>
      <c r="P167" s="42" t="n">
        <v>97772</v>
      </c>
    </row>
    <row r="168" spans="1:16">
      <c r="A168" s="37" t="n">
        <v>171</v>
      </c>
      <c r="B168" s="38" t="s">
        <v>679</v>
      </c>
      <c r="C168" s="39" t="s">
        <v>283</v>
      </c>
      <c r="D168" s="39" t="s">
        <v>137</v>
      </c>
      <c r="E168" s="39" t="s">
        <v>14</v>
      </c>
      <c r="F168" s="38" t="n">
        <v>0</v>
      </c>
      <c r="G168" s="122" t="s">
        <v>527</v>
      </c>
      <c r="H168" s="122" t="s">
        <v>680</v>
      </c>
      <c r="I168" s="41" t="n">
        <v>192405</v>
      </c>
      <c r="J168" s="41" t="n">
        <v>192405</v>
      </c>
      <c r="K168" s="41" t="n">
        <v>0</v>
      </c>
      <c r="L168" s="41" t="n">
        <v>0</v>
      </c>
      <c r="M168" s="41" t="n">
        <v>0</v>
      </c>
      <c r="N168" s="41" t="n">
        <v>0</v>
      </c>
      <c r="O168" s="41" t="n">
        <v>0</v>
      </c>
      <c r="P168" s="42" t="n">
        <v>192405</v>
      </c>
    </row>
    <row r="169" spans="1:16">
      <c r="A169" s="37" t="n">
        <v>172</v>
      </c>
      <c r="B169" s="38" t="s">
        <v>684</v>
      </c>
      <c r="C169" s="39" t="s">
        <v>131</v>
      </c>
      <c r="D169" s="39" t="s">
        <v>137</v>
      </c>
      <c r="E169" s="39" t="s">
        <v>14</v>
      </c>
      <c r="F169" s="38" t="s">
        <v>2075</v>
      </c>
      <c r="G169" s="40" t="n">
        <v>0</v>
      </c>
      <c r="H169" s="122" t="s">
        <v>686</v>
      </c>
      <c r="I169" s="41" t="n">
        <v>10973</v>
      </c>
      <c r="J169" s="41" t="n">
        <v>10973</v>
      </c>
      <c r="K169" s="41" t="n">
        <v>549</v>
      </c>
      <c r="L169" s="41" t="n">
        <v>0</v>
      </c>
      <c r="M169" s="41" t="n">
        <v>0</v>
      </c>
      <c r="N169" s="41" t="n">
        <v>0</v>
      </c>
      <c r="O169" s="41" t="n">
        <v>0</v>
      </c>
      <c r="P169" s="42" t="n">
        <v>10424</v>
      </c>
    </row>
    <row r="170" spans="1:16">
      <c r="A170" s="37" t="n">
        <v>173</v>
      </c>
      <c r="B170" s="38" t="s">
        <v>2076</v>
      </c>
      <c r="C170" s="39" t="s">
        <v>58</v>
      </c>
      <c r="D170" s="39" t="s">
        <v>20</v>
      </c>
      <c r="E170" s="39" t="s">
        <v>21</v>
      </c>
      <c r="F170" s="38" t="s">
        <v>490</v>
      </c>
      <c r="G170" s="40" t="n">
        <v>0</v>
      </c>
      <c r="H170" s="122" t="s">
        <v>491</v>
      </c>
      <c r="I170" s="41" t="n">
        <v>10973</v>
      </c>
      <c r="J170" s="41" t="n">
        <v>10973</v>
      </c>
      <c r="K170" s="41" t="n">
        <v>549</v>
      </c>
      <c r="L170" s="41" t="n">
        <v>0</v>
      </c>
      <c r="M170" s="41" t="n">
        <v>0</v>
      </c>
      <c r="N170" s="41" t="n">
        <v>0</v>
      </c>
      <c r="O170" s="41" t="n">
        <v>0</v>
      </c>
      <c r="P170" s="42" t="n">
        <v>10424</v>
      </c>
    </row>
    <row r="171" spans="1:16">
      <c r="A171" s="37" t="n">
        <v>174</v>
      </c>
      <c r="B171" s="38" t="s">
        <v>687</v>
      </c>
      <c r="C171" s="39" t="s">
        <v>19</v>
      </c>
      <c r="D171" s="39" t="s">
        <v>20</v>
      </c>
      <c r="E171" s="39" t="s">
        <v>21</v>
      </c>
      <c r="F171" s="38" t="s">
        <v>688</v>
      </c>
      <c r="G171" s="122" t="s">
        <v>534</v>
      </c>
      <c r="H171" s="122" t="s">
        <v>689</v>
      </c>
      <c r="I171" s="41" t="n">
        <v>16002</v>
      </c>
      <c r="J171" s="41" t="n">
        <v>16002</v>
      </c>
      <c r="K171" s="41" t="n">
        <v>0</v>
      </c>
      <c r="L171" s="41" t="n">
        <v>2400</v>
      </c>
      <c r="M171" s="41" t="n">
        <v>0</v>
      </c>
      <c r="N171" s="41" t="n">
        <v>0</v>
      </c>
      <c r="O171" s="41" t="n">
        <v>0</v>
      </c>
      <c r="P171" s="42" t="n">
        <v>13602</v>
      </c>
    </row>
    <row r="172" spans="1:16">
      <c r="A172" s="37" t="n">
        <v>175</v>
      </c>
      <c r="B172" s="38" t="s">
        <v>690</v>
      </c>
      <c r="C172" s="39" t="s">
        <v>58</v>
      </c>
      <c r="D172" s="39" t="s">
        <v>20</v>
      </c>
      <c r="E172" s="39" t="s">
        <v>21</v>
      </c>
      <c r="F172" s="38" t="s">
        <v>691</v>
      </c>
      <c r="G172" s="122" t="s">
        <v>537</v>
      </c>
      <c r="H172" s="122" t="s">
        <v>692</v>
      </c>
      <c r="I172" s="41" t="n">
        <v>14630</v>
      </c>
      <c r="J172" s="41" t="n">
        <v>14630</v>
      </c>
      <c r="K172" s="41" t="n">
        <v>732</v>
      </c>
      <c r="L172" s="41" t="n">
        <v>0</v>
      </c>
      <c r="M172" s="41" t="n">
        <v>0</v>
      </c>
      <c r="N172" s="41" t="n">
        <v>0</v>
      </c>
      <c r="O172" s="41" t="n">
        <v>0</v>
      </c>
      <c r="P172" s="42" t="n">
        <v>13898</v>
      </c>
    </row>
    <row r="173" spans="1:16">
      <c r="A173" s="37" t="n">
        <v>176</v>
      </c>
      <c r="B173" s="38" t="s">
        <v>693</v>
      </c>
      <c r="C173" s="39" t="s">
        <v>58</v>
      </c>
      <c r="D173" s="39" t="s">
        <v>20</v>
      </c>
      <c r="E173" s="39" t="s">
        <v>21</v>
      </c>
      <c r="F173" s="38" t="s">
        <v>694</v>
      </c>
      <c r="G173" s="122" t="s">
        <v>541</v>
      </c>
      <c r="H173" s="122" t="s">
        <v>695</v>
      </c>
      <c r="I173" s="41" t="n">
        <v>12802</v>
      </c>
      <c r="J173" s="41" t="n">
        <v>12802</v>
      </c>
      <c r="K173" s="41" t="n">
        <v>640</v>
      </c>
      <c r="L173" s="41" t="n">
        <v>0</v>
      </c>
      <c r="M173" s="41" t="n">
        <v>0</v>
      </c>
      <c r="N173" s="41" t="n">
        <v>0</v>
      </c>
      <c r="O173" s="41" t="n">
        <v>0</v>
      </c>
      <c r="P173" s="42" t="n">
        <v>12162</v>
      </c>
    </row>
    <row r="174" spans="1:16">
      <c r="A174" s="37" t="n">
        <v>177</v>
      </c>
      <c r="B174" s="38" t="s">
        <v>696</v>
      </c>
      <c r="C174" s="39" t="s">
        <v>283</v>
      </c>
      <c r="D174" s="39" t="s">
        <v>20</v>
      </c>
      <c r="E174" s="39" t="s">
        <v>21</v>
      </c>
      <c r="F174" s="38" t="n">
        <v>0</v>
      </c>
      <c r="G174" s="40" t="n">
        <v>0</v>
      </c>
      <c r="H174" s="122" t="s">
        <v>697</v>
      </c>
      <c r="I174" s="41" t="n">
        <v>12802</v>
      </c>
      <c r="J174" s="41" t="n">
        <v>12802</v>
      </c>
      <c r="K174" s="41" t="n">
        <v>0</v>
      </c>
      <c r="L174" s="41" t="n">
        <v>0</v>
      </c>
      <c r="M174" s="41" t="n">
        <v>0</v>
      </c>
      <c r="N174" s="41" t="n">
        <v>0</v>
      </c>
      <c r="O174" s="41" t="n">
        <v>0</v>
      </c>
      <c r="P174" s="42" t="n">
        <v>12802</v>
      </c>
    </row>
    <row r="175" spans="1:16">
      <c r="A175" s="37" t="n">
        <v>178</v>
      </c>
      <c r="B175" s="38" t="s">
        <v>698</v>
      </c>
      <c r="C175" s="39" t="s">
        <v>131</v>
      </c>
      <c r="D175" s="39" t="s">
        <v>20</v>
      </c>
      <c r="E175" s="39" t="s">
        <v>21</v>
      </c>
      <c r="F175" s="38" t="s">
        <v>699</v>
      </c>
      <c r="G175" s="40" t="n">
        <v>0</v>
      </c>
      <c r="H175" s="122" t="s">
        <v>700</v>
      </c>
      <c r="I175" s="41" t="n">
        <v>14630</v>
      </c>
      <c r="J175" s="41" t="n">
        <v>14630</v>
      </c>
      <c r="K175" s="41" t="n">
        <v>732</v>
      </c>
      <c r="L175" s="41" t="n">
        <v>0</v>
      </c>
      <c r="M175" s="41" t="n">
        <v>0</v>
      </c>
      <c r="N175" s="41" t="n">
        <v>0</v>
      </c>
      <c r="O175" s="41" t="n">
        <v>0</v>
      </c>
      <c r="P175" s="42" t="n">
        <v>13898</v>
      </c>
    </row>
    <row r="176" spans="1:16">
      <c r="A176" s="37" t="n">
        <v>179</v>
      </c>
      <c r="B176" s="38" t="s">
        <v>701</v>
      </c>
      <c r="C176" s="39" t="s">
        <v>283</v>
      </c>
      <c r="D176" s="39" t="s">
        <v>20</v>
      </c>
      <c r="E176" s="39" t="s">
        <v>21</v>
      </c>
      <c r="F176" s="38" t="n">
        <v>0</v>
      </c>
      <c r="G176" s="40" t="n">
        <v>0</v>
      </c>
      <c r="H176" s="122" t="s">
        <v>702</v>
      </c>
      <c r="I176" s="41" t="n">
        <v>12802</v>
      </c>
      <c r="J176" s="41" t="n">
        <v>12802</v>
      </c>
      <c r="K176" s="41" t="n">
        <v>0</v>
      </c>
      <c r="L176" s="41" t="n">
        <v>0</v>
      </c>
      <c r="M176" s="41" t="n">
        <v>0</v>
      </c>
      <c r="N176" s="41" t="n">
        <v>0</v>
      </c>
      <c r="O176" s="41" t="n">
        <v>0</v>
      </c>
      <c r="P176" s="42" t="n">
        <v>12802</v>
      </c>
    </row>
    <row r="177" spans="1:16">
      <c r="A177" s="37" t="n">
        <v>180</v>
      </c>
      <c r="B177" s="38" t="s">
        <v>703</v>
      </c>
      <c r="C177" s="39" t="s">
        <v>283</v>
      </c>
      <c r="D177" s="39" t="s">
        <v>20</v>
      </c>
      <c r="E177" s="39" t="s">
        <v>21</v>
      </c>
      <c r="F177" s="38" t="n">
        <v>0</v>
      </c>
      <c r="G177" s="122" t="s">
        <v>553</v>
      </c>
      <c r="H177" s="122" t="s">
        <v>704</v>
      </c>
      <c r="I177" s="41" t="n">
        <v>12802</v>
      </c>
      <c r="J177" s="41" t="n">
        <v>12802</v>
      </c>
      <c r="K177" s="41" t="n">
        <v>0</v>
      </c>
      <c r="L177" s="41" t="n">
        <v>0</v>
      </c>
      <c r="M177" s="41" t="n">
        <v>0</v>
      </c>
      <c r="N177" s="41" t="n">
        <v>0</v>
      </c>
      <c r="O177" s="41" t="n">
        <v>0</v>
      </c>
      <c r="P177" s="42" t="n">
        <v>12802</v>
      </c>
    </row>
    <row r="178" spans="1:16">
      <c r="A178" s="37" t="n">
        <v>181</v>
      </c>
      <c r="B178" s="38" t="s">
        <v>705</v>
      </c>
      <c r="C178" s="39" t="s">
        <v>111</v>
      </c>
      <c r="D178" s="39" t="s">
        <v>20</v>
      </c>
      <c r="E178" s="39" t="s">
        <v>21</v>
      </c>
      <c r="F178" s="38" t="s">
        <v>706</v>
      </c>
      <c r="G178" s="40" t="n">
        <v>0</v>
      </c>
      <c r="H178" s="122" t="s">
        <v>708</v>
      </c>
      <c r="I178" s="41" t="n">
        <v>12802</v>
      </c>
      <c r="J178" s="41" t="n">
        <v>12802</v>
      </c>
      <c r="K178" s="41" t="n">
        <v>0</v>
      </c>
      <c r="L178" s="41" t="n">
        <v>0</v>
      </c>
      <c r="M178" s="41" t="n">
        <v>0</v>
      </c>
      <c r="N178" s="41" t="n">
        <v>0</v>
      </c>
      <c r="O178" s="41" t="n">
        <v>0</v>
      </c>
      <c r="P178" s="42" t="n">
        <v>12802</v>
      </c>
    </row>
    <row r="179" spans="1:16">
      <c r="A179" s="37" t="n">
        <v>182</v>
      </c>
      <c r="B179" s="38" t="s">
        <v>709</v>
      </c>
      <c r="C179" s="39" t="s">
        <v>111</v>
      </c>
      <c r="D179" s="39" t="s">
        <v>20</v>
      </c>
      <c r="E179" s="39" t="s">
        <v>21</v>
      </c>
      <c r="F179" s="38" t="s">
        <v>710</v>
      </c>
      <c r="G179" s="122" t="s">
        <v>559</v>
      </c>
      <c r="H179" s="122" t="s">
        <v>711</v>
      </c>
      <c r="I179" s="41" t="n">
        <v>12802</v>
      </c>
      <c r="J179" s="41" t="n">
        <v>12802</v>
      </c>
      <c r="K179" s="41" t="n">
        <v>0</v>
      </c>
      <c r="L179" s="41" t="n">
        <v>0</v>
      </c>
      <c r="M179" s="41" t="n">
        <v>0</v>
      </c>
      <c r="N179" s="41" t="n">
        <v>0</v>
      </c>
      <c r="O179" s="41" t="n">
        <v>0</v>
      </c>
      <c r="P179" s="42" t="n">
        <v>12802</v>
      </c>
    </row>
    <row r="180" spans="1:16">
      <c r="A180" s="37" t="n">
        <v>183</v>
      </c>
      <c r="B180" s="38" t="s">
        <v>712</v>
      </c>
      <c r="C180" s="39" t="s">
        <v>111</v>
      </c>
      <c r="D180" s="39" t="s">
        <v>20</v>
      </c>
      <c r="E180" s="39" t="s">
        <v>21</v>
      </c>
      <c r="F180" s="38" t="s">
        <v>713</v>
      </c>
      <c r="G180" s="40" t="n">
        <v>0</v>
      </c>
      <c r="H180" s="122" t="s">
        <v>714</v>
      </c>
      <c r="I180" s="41" t="n">
        <v>12802</v>
      </c>
      <c r="J180" s="41" t="n">
        <v>12802</v>
      </c>
      <c r="K180" s="41" t="n">
        <v>0</v>
      </c>
      <c r="L180" s="41" t="n">
        <v>0</v>
      </c>
      <c r="M180" s="41" t="n">
        <v>0</v>
      </c>
      <c r="N180" s="41" t="n">
        <v>0</v>
      </c>
      <c r="O180" s="41" t="n">
        <v>0</v>
      </c>
      <c r="P180" s="42" t="n">
        <v>12802</v>
      </c>
    </row>
    <row r="181" spans="1:16">
      <c r="A181" s="37" t="n">
        <v>184</v>
      </c>
      <c r="B181" s="38" t="s">
        <v>715</v>
      </c>
      <c r="C181" s="39" t="s">
        <v>283</v>
      </c>
      <c r="D181" s="39" t="s">
        <v>20</v>
      </c>
      <c r="E181" s="39" t="s">
        <v>21</v>
      </c>
      <c r="F181" s="38" t="n">
        <v>0</v>
      </c>
      <c r="G181" s="40" t="n">
        <v>0</v>
      </c>
      <c r="H181" s="122" t="s">
        <v>716</v>
      </c>
      <c r="I181" s="41" t="n">
        <v>12802</v>
      </c>
      <c r="J181" s="41" t="n">
        <v>12802</v>
      </c>
      <c r="K181" s="41" t="n">
        <v>0</v>
      </c>
      <c r="L181" s="41" t="n">
        <v>0</v>
      </c>
      <c r="M181" s="41" t="n">
        <v>0</v>
      </c>
      <c r="N181" s="41" t="n">
        <v>0</v>
      </c>
      <c r="O181" s="41" t="n">
        <v>0</v>
      </c>
      <c r="P181" s="42" t="n">
        <v>12802</v>
      </c>
    </row>
    <row r="182" spans="1:16">
      <c r="A182" s="37" t="n">
        <v>185</v>
      </c>
      <c r="B182" s="38" t="s">
        <v>717</v>
      </c>
      <c r="C182" s="39" t="s">
        <v>283</v>
      </c>
      <c r="D182" s="39" t="s">
        <v>20</v>
      </c>
      <c r="E182" s="39" t="s">
        <v>21</v>
      </c>
      <c r="F182" s="38" t="n">
        <v>0</v>
      </c>
      <c r="G182" s="40" t="n">
        <v>0</v>
      </c>
      <c r="H182" s="122" t="s">
        <v>718</v>
      </c>
      <c r="I182" s="41" t="n">
        <v>12802</v>
      </c>
      <c r="J182" s="41" t="n">
        <v>12802</v>
      </c>
      <c r="K182" s="41" t="n">
        <v>0</v>
      </c>
      <c r="L182" s="41" t="n">
        <v>0</v>
      </c>
      <c r="M182" s="41" t="n">
        <v>0</v>
      </c>
      <c r="N182" s="41" t="n">
        <v>0</v>
      </c>
      <c r="O182" s="41" t="n">
        <v>0</v>
      </c>
      <c r="P182" s="42" t="n">
        <v>12802</v>
      </c>
    </row>
    <row r="183" spans="1:16">
      <c r="A183" s="37" t="n">
        <v>186</v>
      </c>
      <c r="B183" s="38" t="s">
        <v>719</v>
      </c>
      <c r="C183" s="39" t="s">
        <v>111</v>
      </c>
      <c r="D183" s="39" t="s">
        <v>20</v>
      </c>
      <c r="E183" s="39" t="s">
        <v>21</v>
      </c>
      <c r="F183" s="38" t="s">
        <v>720</v>
      </c>
      <c r="G183" s="40" t="n">
        <v>0</v>
      </c>
      <c r="H183" s="122" t="s">
        <v>721</v>
      </c>
      <c r="I183" s="41" t="n">
        <v>12802</v>
      </c>
      <c r="J183" s="41" t="n">
        <v>12802</v>
      </c>
      <c r="K183" s="41" t="n">
        <v>0</v>
      </c>
      <c r="L183" s="41" t="n">
        <v>0</v>
      </c>
      <c r="M183" s="41" t="n">
        <v>0</v>
      </c>
      <c r="N183" s="41" t="n">
        <v>0</v>
      </c>
      <c r="O183" s="41" t="n">
        <v>0</v>
      </c>
      <c r="P183" s="42" t="n">
        <v>12802</v>
      </c>
    </row>
    <row r="184" spans="1:16">
      <c r="A184" s="37" t="n">
        <v>187</v>
      </c>
      <c r="B184" s="38" t="s">
        <v>722</v>
      </c>
      <c r="C184" s="39" t="s">
        <v>283</v>
      </c>
      <c r="D184" s="39" t="s">
        <v>20</v>
      </c>
      <c r="E184" s="39" t="s">
        <v>21</v>
      </c>
      <c r="F184" s="38" t="n">
        <v>0</v>
      </c>
      <c r="G184" s="40" t="n">
        <v>0</v>
      </c>
      <c r="H184" s="122" t="s">
        <v>723</v>
      </c>
      <c r="I184" s="41" t="n">
        <v>12802</v>
      </c>
      <c r="J184" s="41" t="n">
        <v>12802</v>
      </c>
      <c r="K184" s="41" t="n">
        <v>0</v>
      </c>
      <c r="L184" s="41" t="n">
        <v>0</v>
      </c>
      <c r="M184" s="41" t="n">
        <v>0</v>
      </c>
      <c r="N184" s="41" t="n">
        <v>0</v>
      </c>
      <c r="O184" s="41" t="n">
        <v>0</v>
      </c>
      <c r="P184" s="42" t="n">
        <v>12802</v>
      </c>
    </row>
    <row r="185" spans="1:16">
      <c r="A185" s="37" t="n">
        <v>188</v>
      </c>
      <c r="B185" s="38" t="s">
        <v>724</v>
      </c>
      <c r="C185" s="39" t="s">
        <v>131</v>
      </c>
      <c r="D185" s="39" t="s">
        <v>20</v>
      </c>
      <c r="E185" s="39" t="s">
        <v>21</v>
      </c>
      <c r="F185" s="38" t="s">
        <v>725</v>
      </c>
      <c r="G185" s="40" t="n">
        <v>0</v>
      </c>
      <c r="H185" s="40" t="n">
        <v>1612201028</v>
      </c>
      <c r="I185" s="41" t="n">
        <v>14630</v>
      </c>
      <c r="J185" s="41" t="n">
        <v>14630</v>
      </c>
      <c r="K185" s="41" t="n">
        <v>732</v>
      </c>
      <c r="L185" s="41" t="n">
        <v>0</v>
      </c>
      <c r="M185" s="41" t="n">
        <v>0</v>
      </c>
      <c r="N185" s="41" t="n">
        <v>0</v>
      </c>
      <c r="O185" s="41" t="n">
        <v>0</v>
      </c>
      <c r="P185" s="42" t="n">
        <v>13898</v>
      </c>
    </row>
    <row r="186" spans="1:16">
      <c r="A186" s="37" t="n">
        <v>189</v>
      </c>
      <c r="B186" s="38" t="s">
        <v>727</v>
      </c>
      <c r="C186" s="39" t="s">
        <v>95</v>
      </c>
      <c r="D186" s="39" t="s">
        <v>124</v>
      </c>
      <c r="E186" s="39" t="s">
        <v>15</v>
      </c>
      <c r="F186" s="38" t="n">
        <v>0</v>
      </c>
      <c r="G186" s="40" t="n">
        <v>0</v>
      </c>
      <c r="H186" s="122" t="s">
        <v>728</v>
      </c>
      <c r="I186" s="41" t="n">
        <v>12802</v>
      </c>
      <c r="J186" s="41" t="n">
        <v>12802</v>
      </c>
      <c r="K186" s="41" t="n">
        <v>0</v>
      </c>
      <c r="L186" s="41" t="n">
        <v>0</v>
      </c>
      <c r="M186" s="41" t="n">
        <v>0</v>
      </c>
      <c r="N186" s="41" t="n">
        <v>0</v>
      </c>
      <c r="O186" s="41" t="n">
        <v>0</v>
      </c>
      <c r="P186" s="42" t="n">
        <v>12802</v>
      </c>
    </row>
    <row r="187" spans="1:16">
      <c r="A187" s="37" t="n">
        <v>190</v>
      </c>
      <c r="B187" s="38" t="s">
        <v>729</v>
      </c>
      <c r="C187" s="39" t="s">
        <v>95</v>
      </c>
      <c r="D187" s="39" t="s">
        <v>124</v>
      </c>
      <c r="E187" s="39" t="s">
        <v>15</v>
      </c>
      <c r="F187" s="38" t="n">
        <v>0</v>
      </c>
      <c r="G187" s="40" t="n">
        <v>0</v>
      </c>
      <c r="H187" s="122" t="s">
        <v>731</v>
      </c>
      <c r="I187" s="41" t="n">
        <v>12802</v>
      </c>
      <c r="J187" s="41" t="n">
        <v>12802</v>
      </c>
      <c r="K187" s="41" t="n">
        <v>0</v>
      </c>
      <c r="L187" s="41" t="n">
        <v>0</v>
      </c>
      <c r="M187" s="41" t="n">
        <v>0</v>
      </c>
      <c r="N187" s="41" t="n">
        <v>0</v>
      </c>
      <c r="O187" s="41" t="n">
        <v>0</v>
      </c>
      <c r="P187" s="42" t="n">
        <v>12802</v>
      </c>
    </row>
    <row r="188" spans="1:16">
      <c r="A188" s="37" t="n">
        <v>191</v>
      </c>
      <c r="B188" s="38" t="s">
        <v>732</v>
      </c>
      <c r="C188" s="39" t="s">
        <v>95</v>
      </c>
      <c r="D188" s="39" t="s">
        <v>121</v>
      </c>
      <c r="E188" s="39" t="s">
        <v>14</v>
      </c>
      <c r="F188" s="38" t="n">
        <v>0</v>
      </c>
      <c r="G188" s="122" t="s">
        <v>580</v>
      </c>
      <c r="H188" s="122" t="s">
        <v>734</v>
      </c>
      <c r="I188" s="41" t="n">
        <v>12802</v>
      </c>
      <c r="J188" s="41" t="n">
        <v>12802</v>
      </c>
      <c r="K188" s="41" t="n">
        <v>0</v>
      </c>
      <c r="L188" s="41" t="n">
        <v>0</v>
      </c>
      <c r="M188" s="41" t="n">
        <v>0</v>
      </c>
      <c r="N188" s="41" t="n">
        <v>0</v>
      </c>
      <c r="O188" s="41" t="n">
        <v>0</v>
      </c>
      <c r="P188" s="42" t="n">
        <v>12802</v>
      </c>
    </row>
    <row r="189" spans="1:16">
      <c r="A189" s="37" t="n">
        <v>192</v>
      </c>
      <c r="B189" s="38" t="s">
        <v>735</v>
      </c>
      <c r="C189" s="39" t="s">
        <v>95</v>
      </c>
      <c r="D189" s="39" t="s">
        <v>121</v>
      </c>
      <c r="E189" s="39" t="s">
        <v>14</v>
      </c>
      <c r="F189" s="38" t="n">
        <v>0</v>
      </c>
      <c r="G189" s="122" t="s">
        <v>583</v>
      </c>
      <c r="H189" s="122" t="s">
        <v>737</v>
      </c>
      <c r="I189" s="41" t="n">
        <v>14630</v>
      </c>
      <c r="J189" s="41" t="n">
        <v>14630</v>
      </c>
      <c r="K189" s="41" t="n">
        <v>0</v>
      </c>
      <c r="L189" s="41" t="n">
        <v>0</v>
      </c>
      <c r="M189" s="41" t="n">
        <v>0</v>
      </c>
      <c r="N189" s="41" t="n">
        <v>0</v>
      </c>
      <c r="O189" s="41" t="n">
        <v>0</v>
      </c>
      <c r="P189" s="42" t="n">
        <v>14630</v>
      </c>
    </row>
    <row r="190" spans="1:16">
      <c r="A190" s="37" t="n">
        <v>193</v>
      </c>
      <c r="B190" s="38" t="s">
        <v>738</v>
      </c>
      <c r="C190" s="39" t="s">
        <v>111</v>
      </c>
      <c r="D190" s="39" t="s">
        <v>124</v>
      </c>
      <c r="E190" s="39" t="s">
        <v>15</v>
      </c>
      <c r="F190" s="38" t="n">
        <v>0</v>
      </c>
      <c r="G190" s="122" t="s">
        <v>587</v>
      </c>
      <c r="H190" s="122" t="s">
        <v>740</v>
      </c>
      <c r="I190" s="41" t="n">
        <v>12802</v>
      </c>
      <c r="J190" s="41" t="n">
        <v>12802</v>
      </c>
      <c r="K190" s="41" t="n">
        <v>0</v>
      </c>
      <c r="L190" s="41" t="n">
        <v>0</v>
      </c>
      <c r="M190" s="41" t="n">
        <v>0</v>
      </c>
      <c r="N190" s="41" t="n">
        <v>0</v>
      </c>
      <c r="O190" s="41" t="n">
        <v>0</v>
      </c>
      <c r="P190" s="42" t="n">
        <v>12802</v>
      </c>
    </row>
    <row r="191" spans="1:16">
      <c r="A191" s="37" t="n">
        <v>194</v>
      </c>
      <c r="B191" s="38" t="s">
        <v>741</v>
      </c>
      <c r="C191" s="39" t="s">
        <v>95</v>
      </c>
      <c r="D191" s="39" t="s">
        <v>121</v>
      </c>
      <c r="E191" s="39" t="s">
        <v>14</v>
      </c>
      <c r="F191" s="38" t="n">
        <v>0</v>
      </c>
      <c r="G191" s="122" t="s">
        <v>590</v>
      </c>
      <c r="H191" s="122" t="s">
        <v>742</v>
      </c>
      <c r="I191" s="41" t="n">
        <v>12802</v>
      </c>
      <c r="J191" s="41" t="n">
        <v>12802</v>
      </c>
      <c r="K191" s="41" t="n">
        <v>0</v>
      </c>
      <c r="L191" s="41" t="n">
        <v>0</v>
      </c>
      <c r="M191" s="41" t="n">
        <v>0</v>
      </c>
      <c r="N191" s="41" t="n">
        <v>0</v>
      </c>
      <c r="O191" s="41" t="n">
        <v>0</v>
      </c>
      <c r="P191" s="42" t="n">
        <v>12802</v>
      </c>
    </row>
    <row r="192" spans="1:16">
      <c r="A192" s="37" t="n">
        <v>195</v>
      </c>
      <c r="B192" s="38" t="s">
        <v>743</v>
      </c>
      <c r="C192" s="39" t="s">
        <v>95</v>
      </c>
      <c r="D192" s="39" t="s">
        <v>121</v>
      </c>
      <c r="E192" s="39" t="s">
        <v>14</v>
      </c>
      <c r="F192" s="38" t="n">
        <v>0</v>
      </c>
      <c r="G192" s="122" t="s">
        <v>593</v>
      </c>
      <c r="H192" s="122" t="s">
        <v>744</v>
      </c>
      <c r="I192" s="41" t="n">
        <v>14630</v>
      </c>
      <c r="J192" s="41" t="n">
        <v>14630</v>
      </c>
      <c r="K192" s="41" t="n">
        <v>0</v>
      </c>
      <c r="L192" s="41" t="n">
        <v>0</v>
      </c>
      <c r="M192" s="41" t="n">
        <v>0</v>
      </c>
      <c r="N192" s="41" t="n">
        <v>0</v>
      </c>
      <c r="O192" s="41" t="n">
        <v>0</v>
      </c>
      <c r="P192" s="42" t="n">
        <v>14630</v>
      </c>
    </row>
    <row r="193" spans="1:16">
      <c r="A193" s="37" t="n">
        <v>196</v>
      </c>
      <c r="B193" s="38" t="s">
        <v>745</v>
      </c>
      <c r="C193" s="39" t="s">
        <v>58</v>
      </c>
      <c r="D193" s="39" t="s">
        <v>124</v>
      </c>
      <c r="E193" s="39" t="s">
        <v>15</v>
      </c>
      <c r="F193" s="38" t="n">
        <v>0</v>
      </c>
      <c r="G193" s="40" t="n">
        <v>0</v>
      </c>
      <c r="H193" s="40" t="n">
        <v>1612039000</v>
      </c>
      <c r="I193" s="41" t="n">
        <v>14630</v>
      </c>
      <c r="J193" s="41" t="n">
        <v>14630</v>
      </c>
      <c r="K193" s="41" t="n">
        <v>732</v>
      </c>
      <c r="L193" s="41" t="n">
        <v>0</v>
      </c>
      <c r="M193" s="41" t="n">
        <v>0</v>
      </c>
      <c r="N193" s="41" t="n">
        <v>0</v>
      </c>
      <c r="O193" s="41" t="n">
        <v>0</v>
      </c>
      <c r="P193" s="42" t="n">
        <v>13898</v>
      </c>
    </row>
    <row r="194" spans="1:16">
      <c r="A194" s="37" t="n">
        <v>197</v>
      </c>
      <c r="B194" s="38" t="s">
        <v>504</v>
      </c>
      <c r="C194" s="39" t="s">
        <v>58</v>
      </c>
      <c r="D194" s="39" t="s">
        <v>20</v>
      </c>
      <c r="E194" s="39" t="s">
        <v>21</v>
      </c>
      <c r="F194" s="38" t="s">
        <v>505</v>
      </c>
      <c r="G194" s="40" t="n">
        <v>0</v>
      </c>
      <c r="H194" s="122" t="s">
        <v>506</v>
      </c>
      <c r="I194" s="41" t="n">
        <v>45514</v>
      </c>
      <c r="J194" s="41" t="n">
        <v>45514</v>
      </c>
      <c r="K194" s="41" t="n">
        <v>2276</v>
      </c>
      <c r="L194" s="41" t="n">
        <v>0</v>
      </c>
      <c r="M194" s="41" t="n">
        <v>0</v>
      </c>
      <c r="N194" s="41" t="n">
        <v>0</v>
      </c>
      <c r="O194" s="41" t="n">
        <v>0</v>
      </c>
      <c r="P194" s="42" t="n">
        <v>43238</v>
      </c>
    </row>
    <row r="195" spans="1:16">
      <c r="A195" s="37" t="n">
        <v>198</v>
      </c>
      <c r="B195" s="38" t="s">
        <v>746</v>
      </c>
      <c r="C195" s="39" t="s">
        <v>58</v>
      </c>
      <c r="D195" s="39" t="s">
        <v>20</v>
      </c>
      <c r="E195" s="39" t="s">
        <v>21</v>
      </c>
      <c r="F195" s="38" t="s">
        <v>747</v>
      </c>
      <c r="G195" s="122" t="s">
        <v>601</v>
      </c>
      <c r="H195" s="122" t="s">
        <v>748</v>
      </c>
      <c r="I195" s="41" t="n">
        <v>16002</v>
      </c>
      <c r="J195" s="41" t="n">
        <v>16002</v>
      </c>
      <c r="K195" s="41" t="n">
        <v>800</v>
      </c>
      <c r="L195" s="41" t="n">
        <v>0</v>
      </c>
      <c r="M195" s="41" t="n">
        <v>0</v>
      </c>
      <c r="N195" s="41" t="n">
        <v>0</v>
      </c>
      <c r="O195" s="41" t="n">
        <v>0</v>
      </c>
      <c r="P195" s="42" t="n">
        <v>15202</v>
      </c>
    </row>
    <row r="196" spans="1:16">
      <c r="A196" s="37" t="n">
        <v>199</v>
      </c>
      <c r="B196" s="38" t="s">
        <v>749</v>
      </c>
      <c r="C196" s="39" t="s">
        <v>58</v>
      </c>
      <c r="D196" s="39" t="s">
        <v>20</v>
      </c>
      <c r="E196" s="39" t="s">
        <v>21</v>
      </c>
      <c r="F196" s="38" t="s">
        <v>750</v>
      </c>
      <c r="G196" s="40" t="n">
        <v>0</v>
      </c>
      <c r="H196" s="122" t="s">
        <v>752</v>
      </c>
      <c r="I196" s="41" t="n">
        <v>14630</v>
      </c>
      <c r="J196" s="41" t="n">
        <v>14630</v>
      </c>
      <c r="K196" s="41" t="n">
        <v>732</v>
      </c>
      <c r="L196" s="41" t="n">
        <v>0</v>
      </c>
      <c r="M196" s="41" t="n">
        <v>0</v>
      </c>
      <c r="N196" s="41" t="n">
        <v>0</v>
      </c>
      <c r="O196" s="41" t="n">
        <v>0</v>
      </c>
      <c r="P196" s="42" t="n">
        <v>13898</v>
      </c>
    </row>
    <row r="197" spans="1:16">
      <c r="A197" s="37" t="n">
        <v>200</v>
      </c>
      <c r="B197" s="38" t="s">
        <v>753</v>
      </c>
      <c r="C197" s="39" t="s">
        <v>58</v>
      </c>
      <c r="D197" s="39" t="s">
        <v>20</v>
      </c>
      <c r="E197" s="39" t="s">
        <v>21</v>
      </c>
      <c r="F197" s="38" t="s">
        <v>754</v>
      </c>
      <c r="G197" s="40" t="n">
        <v>0</v>
      </c>
      <c r="H197" s="122" t="s">
        <v>756</v>
      </c>
      <c r="I197" s="41" t="n">
        <v>12802</v>
      </c>
      <c r="J197" s="41" t="n">
        <v>12802</v>
      </c>
      <c r="K197" s="41" t="n">
        <v>640</v>
      </c>
      <c r="L197" s="41" t="n">
        <v>0</v>
      </c>
      <c r="M197" s="41" t="n">
        <v>0</v>
      </c>
      <c r="N197" s="41" t="n">
        <v>0</v>
      </c>
      <c r="O197" s="41" t="n">
        <v>0</v>
      </c>
      <c r="P197" s="42" t="n">
        <v>12162</v>
      </c>
    </row>
    <row r="198" spans="1:16">
      <c r="A198" s="37" t="n">
        <v>201</v>
      </c>
      <c r="B198" s="38" t="s">
        <v>757</v>
      </c>
      <c r="C198" s="39" t="s">
        <v>131</v>
      </c>
      <c r="D198" s="39" t="s">
        <v>20</v>
      </c>
      <c r="E198" s="39" t="s">
        <v>21</v>
      </c>
      <c r="F198" s="38" t="s">
        <v>758</v>
      </c>
      <c r="G198" s="40" t="n">
        <v>0</v>
      </c>
      <c r="H198" s="122" t="s">
        <v>759</v>
      </c>
      <c r="I198" s="41" t="n">
        <v>14630</v>
      </c>
      <c r="J198" s="41" t="n">
        <v>14630</v>
      </c>
      <c r="K198" s="41" t="n">
        <v>732</v>
      </c>
      <c r="L198" s="41" t="n">
        <v>0</v>
      </c>
      <c r="M198" s="41" t="n">
        <v>0</v>
      </c>
      <c r="N198" s="41" t="n">
        <v>0</v>
      </c>
      <c r="O198" s="41" t="n">
        <v>0</v>
      </c>
      <c r="P198" s="42" t="n">
        <v>13898</v>
      </c>
    </row>
    <row r="199" spans="1:16">
      <c r="A199" s="37" t="n">
        <v>202</v>
      </c>
      <c r="B199" s="38" t="s">
        <v>760</v>
      </c>
      <c r="C199" s="39" t="s">
        <v>283</v>
      </c>
      <c r="D199" s="39" t="s">
        <v>20</v>
      </c>
      <c r="E199" s="39" t="s">
        <v>21</v>
      </c>
      <c r="F199" s="38" t="n">
        <v>0</v>
      </c>
      <c r="G199" s="40" t="n">
        <v>0</v>
      </c>
      <c r="H199" s="122" t="s">
        <v>762</v>
      </c>
      <c r="I199" s="41" t="n">
        <v>12802</v>
      </c>
      <c r="J199" s="41" t="n">
        <v>12802</v>
      </c>
      <c r="K199" s="41" t="n">
        <v>0</v>
      </c>
      <c r="L199" s="41" t="n">
        <v>0</v>
      </c>
      <c r="M199" s="41" t="n">
        <v>0</v>
      </c>
      <c r="N199" s="41" t="n">
        <v>0</v>
      </c>
      <c r="O199" s="41" t="n">
        <v>0</v>
      </c>
      <c r="P199" s="42" t="n">
        <v>12802</v>
      </c>
    </row>
    <row r="200" spans="1:16">
      <c r="A200" s="37" t="n">
        <v>203</v>
      </c>
      <c r="B200" s="38" t="s">
        <v>763</v>
      </c>
      <c r="C200" s="39" t="s">
        <v>283</v>
      </c>
      <c r="D200" s="39" t="s">
        <v>20</v>
      </c>
      <c r="E200" s="39" t="s">
        <v>21</v>
      </c>
      <c r="F200" s="38" t="n">
        <v>0</v>
      </c>
      <c r="G200" s="40" t="n">
        <v>0</v>
      </c>
      <c r="H200" s="122" t="s">
        <v>765</v>
      </c>
      <c r="I200" s="41" t="n">
        <v>12802</v>
      </c>
      <c r="J200" s="41" t="n">
        <v>12802</v>
      </c>
      <c r="K200" s="41" t="n">
        <v>0</v>
      </c>
      <c r="L200" s="41" t="n">
        <v>0</v>
      </c>
      <c r="M200" s="41" t="n">
        <v>0</v>
      </c>
      <c r="N200" s="41" t="n">
        <v>0</v>
      </c>
      <c r="O200" s="41" t="n">
        <v>0</v>
      </c>
      <c r="P200" s="42" t="n">
        <v>12802</v>
      </c>
    </row>
    <row r="201" spans="1:16">
      <c r="A201" s="37" t="n">
        <v>204</v>
      </c>
      <c r="B201" s="38" t="s">
        <v>766</v>
      </c>
      <c r="C201" s="39" t="s">
        <v>58</v>
      </c>
      <c r="D201" s="39" t="s">
        <v>20</v>
      </c>
      <c r="E201" s="39" t="s">
        <v>21</v>
      </c>
      <c r="F201" s="38" t="s">
        <v>767</v>
      </c>
      <c r="G201" s="40" t="n">
        <v>0</v>
      </c>
      <c r="H201" s="122" t="s">
        <v>768</v>
      </c>
      <c r="I201" s="41" t="n">
        <v>14630</v>
      </c>
      <c r="J201" s="41" t="n">
        <v>14630</v>
      </c>
      <c r="K201" s="41" t="n">
        <v>732</v>
      </c>
      <c r="L201" s="41" t="n">
        <v>0</v>
      </c>
      <c r="M201" s="41" t="n">
        <v>0</v>
      </c>
      <c r="N201" s="41" t="n">
        <v>0</v>
      </c>
      <c r="O201" s="41" t="n">
        <v>0</v>
      </c>
      <c r="P201" s="42" t="n">
        <v>13898</v>
      </c>
    </row>
    <row r="202" spans="1:16">
      <c r="A202" s="37" t="n">
        <v>205</v>
      </c>
      <c r="B202" s="38" t="s">
        <v>769</v>
      </c>
      <c r="C202" s="39" t="s">
        <v>283</v>
      </c>
      <c r="D202" s="39" t="s">
        <v>20</v>
      </c>
      <c r="E202" s="39" t="s">
        <v>21</v>
      </c>
      <c r="F202" s="38" t="n">
        <v>0</v>
      </c>
      <c r="G202" s="40" t="n">
        <v>0</v>
      </c>
      <c r="H202" s="122" t="s">
        <v>770</v>
      </c>
      <c r="I202" s="41" t="n">
        <v>12802</v>
      </c>
      <c r="J202" s="41" t="n">
        <v>12802</v>
      </c>
      <c r="K202" s="41" t="n">
        <v>0</v>
      </c>
      <c r="L202" s="41" t="n">
        <v>0</v>
      </c>
      <c r="M202" s="41" t="n">
        <v>0</v>
      </c>
      <c r="N202" s="41" t="n">
        <v>0</v>
      </c>
      <c r="O202" s="41" t="n">
        <v>0</v>
      </c>
      <c r="P202" s="42" t="n">
        <v>12802</v>
      </c>
    </row>
    <row r="203" spans="1:16">
      <c r="A203" s="37" t="n">
        <v>206</v>
      </c>
      <c r="B203" s="38" t="s">
        <v>771</v>
      </c>
      <c r="C203" s="39" t="s">
        <v>283</v>
      </c>
      <c r="D203" s="39" t="s">
        <v>20</v>
      </c>
      <c r="E203" s="39" t="s">
        <v>21</v>
      </c>
      <c r="F203" s="38" t="n">
        <v>0</v>
      </c>
      <c r="G203" s="40" t="n">
        <v>0</v>
      </c>
      <c r="H203" s="122" t="s">
        <v>772</v>
      </c>
      <c r="I203" s="41" t="n">
        <v>12802</v>
      </c>
      <c r="J203" s="41" t="n">
        <v>12802</v>
      </c>
      <c r="K203" s="41" t="n">
        <v>0</v>
      </c>
      <c r="L203" s="41" t="n">
        <v>0</v>
      </c>
      <c r="M203" s="41" t="n">
        <v>0</v>
      </c>
      <c r="N203" s="41" t="n">
        <v>0</v>
      </c>
      <c r="O203" s="41" t="n">
        <v>0</v>
      </c>
      <c r="P203" s="42" t="n">
        <v>12802</v>
      </c>
    </row>
    <row r="204" spans="1:16">
      <c r="A204" s="37" t="n">
        <v>207</v>
      </c>
      <c r="B204" s="38" t="s">
        <v>773</v>
      </c>
      <c r="C204" s="39" t="s">
        <v>283</v>
      </c>
      <c r="D204" s="39" t="s">
        <v>20</v>
      </c>
      <c r="E204" s="39" t="s">
        <v>21</v>
      </c>
      <c r="F204" s="38" t="n">
        <v>0</v>
      </c>
      <c r="G204" s="122" t="s">
        <v>625</v>
      </c>
      <c r="H204" s="122" t="s">
        <v>774</v>
      </c>
      <c r="I204" s="41" t="n">
        <v>12802</v>
      </c>
      <c r="J204" s="41" t="n">
        <v>12802</v>
      </c>
      <c r="K204" s="41" t="n">
        <v>0</v>
      </c>
      <c r="L204" s="41" t="n">
        <v>0</v>
      </c>
      <c r="M204" s="41" t="n">
        <v>0</v>
      </c>
      <c r="N204" s="41" t="n">
        <v>0</v>
      </c>
      <c r="O204" s="41" t="n">
        <v>0</v>
      </c>
      <c r="P204" s="42" t="n">
        <v>12802</v>
      </c>
    </row>
    <row r="205" spans="1:16">
      <c r="A205" s="37" t="n">
        <v>208</v>
      </c>
      <c r="B205" s="38" t="s">
        <v>775</v>
      </c>
      <c r="C205" s="39" t="s">
        <v>95</v>
      </c>
      <c r="D205" s="39" t="s">
        <v>124</v>
      </c>
      <c r="E205" s="39" t="s">
        <v>15</v>
      </c>
      <c r="F205" s="38" t="n">
        <v>0</v>
      </c>
      <c r="G205" s="122" t="s">
        <v>629</v>
      </c>
      <c r="H205" s="122" t="s">
        <v>776</v>
      </c>
      <c r="I205" s="41" t="n">
        <v>12802</v>
      </c>
      <c r="J205" s="41" t="n">
        <v>12802</v>
      </c>
      <c r="K205" s="41" t="n">
        <v>0</v>
      </c>
      <c r="L205" s="41" t="n">
        <v>0</v>
      </c>
      <c r="M205" s="41" t="n">
        <v>0</v>
      </c>
      <c r="N205" s="41" t="n">
        <v>0</v>
      </c>
      <c r="O205" s="41" t="n">
        <v>0</v>
      </c>
      <c r="P205" s="42" t="n">
        <v>12802</v>
      </c>
    </row>
    <row r="206" spans="1:16">
      <c r="A206" s="37" t="n">
        <v>209</v>
      </c>
      <c r="B206" s="38" t="s">
        <v>777</v>
      </c>
      <c r="C206" s="39" t="s">
        <v>283</v>
      </c>
      <c r="D206" s="39" t="s">
        <v>20</v>
      </c>
      <c r="E206" s="39" t="s">
        <v>21</v>
      </c>
      <c r="F206" s="38" t="n">
        <v>0</v>
      </c>
      <c r="G206" s="122" t="s">
        <v>633</v>
      </c>
      <c r="H206" s="122" t="s">
        <v>778</v>
      </c>
      <c r="I206" s="41" t="n">
        <v>12802</v>
      </c>
      <c r="J206" s="41" t="n">
        <v>12802</v>
      </c>
      <c r="K206" s="41" t="n">
        <v>0</v>
      </c>
      <c r="L206" s="41" t="n">
        <v>0</v>
      </c>
      <c r="M206" s="41" t="n">
        <v>0</v>
      </c>
      <c r="N206" s="41" t="n">
        <v>0</v>
      </c>
      <c r="O206" s="41" t="n">
        <v>0</v>
      </c>
      <c r="P206" s="42" t="n">
        <v>12802</v>
      </c>
    </row>
    <row r="207" spans="1:16">
      <c r="A207" s="37" t="n">
        <v>210</v>
      </c>
      <c r="B207" s="38" t="s">
        <v>779</v>
      </c>
      <c r="C207" s="39" t="s">
        <v>95</v>
      </c>
      <c r="D207" s="39" t="s">
        <v>137</v>
      </c>
      <c r="E207" s="39" t="s">
        <v>14</v>
      </c>
      <c r="F207" s="38" t="n">
        <v>0</v>
      </c>
      <c r="G207" s="122" t="s">
        <v>637</v>
      </c>
      <c r="H207" s="122" t="s">
        <v>780</v>
      </c>
      <c r="I207" s="41" t="n">
        <v>12802</v>
      </c>
      <c r="J207" s="41" t="n">
        <v>12802</v>
      </c>
      <c r="K207" s="41" t="n">
        <v>0</v>
      </c>
      <c r="L207" s="41" t="n">
        <v>0</v>
      </c>
      <c r="M207" s="41" t="n">
        <v>0</v>
      </c>
      <c r="N207" s="41" t="n">
        <v>0</v>
      </c>
      <c r="O207" s="41" t="n">
        <v>0</v>
      </c>
      <c r="P207" s="42" t="n">
        <v>12802</v>
      </c>
    </row>
    <row r="208" spans="1:16">
      <c r="A208" s="37" t="n">
        <v>211</v>
      </c>
      <c r="B208" s="38" t="s">
        <v>781</v>
      </c>
      <c r="C208" s="39" t="s">
        <v>95</v>
      </c>
      <c r="D208" s="39" t="s">
        <v>137</v>
      </c>
      <c r="E208" s="39" t="s">
        <v>14</v>
      </c>
      <c r="F208" s="38" t="n">
        <v>0</v>
      </c>
      <c r="G208" s="122" t="s">
        <v>641</v>
      </c>
      <c r="H208" s="122" t="s">
        <v>782</v>
      </c>
      <c r="I208" s="41" t="n">
        <v>12802</v>
      </c>
      <c r="J208" s="41" t="n">
        <v>12802</v>
      </c>
      <c r="K208" s="41" t="n">
        <v>0</v>
      </c>
      <c r="L208" s="41" t="n">
        <v>0</v>
      </c>
      <c r="M208" s="41" t="n">
        <v>0</v>
      </c>
      <c r="N208" s="41" t="n">
        <v>0</v>
      </c>
      <c r="O208" s="41" t="n">
        <v>0</v>
      </c>
      <c r="P208" s="42" t="n">
        <v>12802</v>
      </c>
    </row>
    <row r="209" spans="1:16">
      <c r="A209" s="37" t="n">
        <v>212</v>
      </c>
      <c r="B209" s="38" t="s">
        <v>518</v>
      </c>
      <c r="C209" s="39" t="s">
        <v>95</v>
      </c>
      <c r="D209" s="39" t="s">
        <v>128</v>
      </c>
      <c r="E209" s="39" t="s">
        <v>15</v>
      </c>
      <c r="F209" s="38" t="n">
        <v>0</v>
      </c>
      <c r="G209" s="40" t="n">
        <v>0</v>
      </c>
      <c r="H209" s="122" t="s">
        <v>520</v>
      </c>
      <c r="I209" s="41" t="n">
        <v>8230</v>
      </c>
      <c r="J209" s="41" t="n">
        <v>8230</v>
      </c>
      <c r="K209" s="41" t="n">
        <v>0</v>
      </c>
      <c r="L209" s="41" t="n">
        <v>0</v>
      </c>
      <c r="M209" s="41" t="n">
        <v>0</v>
      </c>
      <c r="N209" s="41" t="n">
        <v>0</v>
      </c>
      <c r="O209" s="41" t="n">
        <v>0</v>
      </c>
      <c r="P209" s="42" t="n">
        <v>8230</v>
      </c>
    </row>
    <row r="210" spans="1:16">
      <c r="A210" s="37" t="n">
        <v>213</v>
      </c>
      <c r="B210" s="38" t="s">
        <v>783</v>
      </c>
      <c r="C210" s="39" t="s">
        <v>58</v>
      </c>
      <c r="D210" s="39" t="s">
        <v>20</v>
      </c>
      <c r="E210" s="39" t="s">
        <v>21</v>
      </c>
      <c r="F210" s="38" t="s">
        <v>784</v>
      </c>
      <c r="G210" s="40" t="n">
        <v>0</v>
      </c>
      <c r="H210" s="122" t="s">
        <v>785</v>
      </c>
      <c r="I210" s="41" t="n">
        <v>77130</v>
      </c>
      <c r="J210" s="41" t="n">
        <v>77130</v>
      </c>
      <c r="K210" s="41" t="n">
        <v>3857</v>
      </c>
      <c r="L210" s="41" t="n">
        <v>0</v>
      </c>
      <c r="M210" s="41" t="n">
        <v>0</v>
      </c>
      <c r="N210" s="41" t="n">
        <v>0</v>
      </c>
      <c r="O210" s="41" t="n">
        <v>0</v>
      </c>
      <c r="P210" s="42" t="n">
        <v>73273</v>
      </c>
    </row>
    <row r="211" spans="1:16">
      <c r="A211" s="37" t="n">
        <v>214</v>
      </c>
      <c r="B211" s="38" t="s">
        <v>786</v>
      </c>
      <c r="C211" s="39" t="s">
        <v>58</v>
      </c>
      <c r="D211" s="39" t="s">
        <v>20</v>
      </c>
      <c r="E211" s="39" t="s">
        <v>21</v>
      </c>
      <c r="F211" s="38" t="s">
        <v>787</v>
      </c>
      <c r="G211" s="40" t="n">
        <v>0</v>
      </c>
      <c r="H211" s="122" t="s">
        <v>788</v>
      </c>
      <c r="I211" s="41" t="n">
        <v>53707</v>
      </c>
      <c r="J211" s="41" t="n">
        <v>53707</v>
      </c>
      <c r="K211" s="41" t="n">
        <v>2685</v>
      </c>
      <c r="L211" s="41" t="n">
        <v>0</v>
      </c>
      <c r="M211" s="41" t="n">
        <v>0</v>
      </c>
      <c r="N211" s="41" t="n">
        <v>0</v>
      </c>
      <c r="O211" s="41" t="n">
        <v>0</v>
      </c>
      <c r="P211" s="42" t="n">
        <v>51022</v>
      </c>
    </row>
    <row r="212" spans="1:16">
      <c r="A212" s="37" t="n">
        <v>215</v>
      </c>
      <c r="B212" s="38" t="s">
        <v>789</v>
      </c>
      <c r="C212" s="39" t="s">
        <v>58</v>
      </c>
      <c r="D212" s="39" t="s">
        <v>20</v>
      </c>
      <c r="E212" s="39" t="s">
        <v>21</v>
      </c>
      <c r="F212" s="38" t="s">
        <v>790</v>
      </c>
      <c r="G212" s="40" t="n">
        <v>0</v>
      </c>
      <c r="H212" s="122" t="s">
        <v>792</v>
      </c>
      <c r="I212" s="41" t="n">
        <v>53707</v>
      </c>
      <c r="J212" s="41" t="n">
        <v>53707</v>
      </c>
      <c r="K212" s="41" t="n">
        <v>2685</v>
      </c>
      <c r="L212" s="41" t="n">
        <v>0</v>
      </c>
      <c r="M212" s="41" t="n">
        <v>0</v>
      </c>
      <c r="N212" s="41" t="n">
        <v>0</v>
      </c>
      <c r="O212" s="41" t="n">
        <v>0</v>
      </c>
      <c r="P212" s="42" t="n">
        <v>51022</v>
      </c>
    </row>
    <row r="213" spans="1:16">
      <c r="A213" s="37" t="n">
        <v>216</v>
      </c>
      <c r="B213" s="38" t="s">
        <v>793</v>
      </c>
      <c r="C213" s="39" t="s">
        <v>58</v>
      </c>
      <c r="D213" s="39" t="s">
        <v>20</v>
      </c>
      <c r="E213" s="39" t="s">
        <v>21</v>
      </c>
      <c r="F213" s="38" t="s">
        <v>794</v>
      </c>
      <c r="G213" s="40" t="n">
        <v>0</v>
      </c>
      <c r="H213" s="122" t="s">
        <v>796</v>
      </c>
      <c r="I213" s="41" t="n">
        <v>48565</v>
      </c>
      <c r="J213" s="41" t="n">
        <v>48565</v>
      </c>
      <c r="K213" s="41" t="n">
        <v>2428</v>
      </c>
      <c r="L213" s="41" t="n">
        <v>0</v>
      </c>
      <c r="M213" s="41" t="n">
        <v>0</v>
      </c>
      <c r="N213" s="41" t="n">
        <v>0</v>
      </c>
      <c r="O213" s="41" t="n">
        <v>0</v>
      </c>
      <c r="P213" s="42" t="n">
        <v>46137</v>
      </c>
    </row>
    <row r="214" spans="1:16">
      <c r="A214" s="37" t="n">
        <v>217</v>
      </c>
      <c r="B214" s="38" t="s">
        <v>797</v>
      </c>
      <c r="C214" s="39" t="s">
        <v>111</v>
      </c>
      <c r="D214" s="39" t="s">
        <v>20</v>
      </c>
      <c r="E214" s="39" t="s">
        <v>21</v>
      </c>
      <c r="F214" s="38" t="s">
        <v>798</v>
      </c>
      <c r="G214" s="40" t="n">
        <v>0</v>
      </c>
      <c r="H214" s="122" t="s">
        <v>800</v>
      </c>
      <c r="I214" s="41" t="n">
        <v>46736</v>
      </c>
      <c r="J214" s="41" t="n">
        <v>46736</v>
      </c>
      <c r="K214" s="41" t="n">
        <v>0</v>
      </c>
      <c r="L214" s="41" t="n">
        <v>0</v>
      </c>
      <c r="M214" s="41" t="n">
        <v>0</v>
      </c>
      <c r="N214" s="41" t="n">
        <v>0</v>
      </c>
      <c r="O214" s="41" t="n">
        <v>0</v>
      </c>
      <c r="P214" s="42" t="n">
        <v>46736</v>
      </c>
    </row>
    <row r="215" spans="1:16">
      <c r="A215" s="37" t="n">
        <v>218</v>
      </c>
      <c r="B215" s="38" t="s">
        <v>801</v>
      </c>
      <c r="C215" s="39" t="s">
        <v>120</v>
      </c>
      <c r="D215" s="39" t="s">
        <v>137</v>
      </c>
      <c r="E215" s="39" t="s">
        <v>14</v>
      </c>
      <c r="F215" s="38" t="n">
        <v>0</v>
      </c>
      <c r="G215" s="40" t="n">
        <v>0</v>
      </c>
      <c r="H215" s="122" t="s">
        <v>802</v>
      </c>
      <c r="I215" s="41" t="n">
        <v>48565</v>
      </c>
      <c r="J215" s="41" t="n">
        <v>48565</v>
      </c>
      <c r="K215" s="41" t="n">
        <v>0</v>
      </c>
      <c r="L215" s="41" t="n">
        <v>0</v>
      </c>
      <c r="M215" s="41" t="n">
        <v>0</v>
      </c>
      <c r="N215" s="41" t="n">
        <v>0</v>
      </c>
      <c r="O215" s="41" t="n">
        <v>0</v>
      </c>
      <c r="P215" s="42" t="n">
        <v>48565</v>
      </c>
    </row>
    <row r="216" spans="1:16">
      <c r="A216" s="37" t="n">
        <v>219</v>
      </c>
      <c r="B216" s="38" t="s">
        <v>803</v>
      </c>
      <c r="C216" s="39" t="s">
        <v>283</v>
      </c>
      <c r="D216" s="39" t="s">
        <v>20</v>
      </c>
      <c r="E216" s="39" t="s">
        <v>21</v>
      </c>
      <c r="F216" s="38" t="n">
        <v>0</v>
      </c>
      <c r="G216" s="40" t="n">
        <v>0</v>
      </c>
      <c r="H216" s="122" t="s">
        <v>804</v>
      </c>
      <c r="I216" s="41" t="n">
        <v>46736</v>
      </c>
      <c r="J216" s="41" t="n">
        <v>46736</v>
      </c>
      <c r="K216" s="41" t="n">
        <v>0</v>
      </c>
      <c r="L216" s="41" t="n">
        <v>0</v>
      </c>
      <c r="M216" s="41" t="n">
        <v>0</v>
      </c>
      <c r="N216" s="41" t="n">
        <v>0</v>
      </c>
      <c r="O216" s="41" t="n">
        <v>0</v>
      </c>
      <c r="P216" s="42" t="n">
        <v>46736</v>
      </c>
    </row>
    <row r="217" spans="1:16">
      <c r="A217" s="37" t="n">
        <v>220</v>
      </c>
      <c r="B217" s="38" t="s">
        <v>805</v>
      </c>
      <c r="C217" s="39" t="s">
        <v>120</v>
      </c>
      <c r="D217" s="39" t="s">
        <v>278</v>
      </c>
      <c r="E217" s="39" t="s">
        <v>16</v>
      </c>
      <c r="F217" s="38" t="n">
        <v>0</v>
      </c>
      <c r="G217" s="122" t="s">
        <v>662</v>
      </c>
      <c r="H217" s="122" t="s">
        <v>807</v>
      </c>
      <c r="I217" s="41" t="n">
        <v>46736</v>
      </c>
      <c r="J217" s="41" t="n">
        <v>46736</v>
      </c>
      <c r="K217" s="41" t="n">
        <v>0</v>
      </c>
      <c r="L217" s="41" t="n">
        <v>0</v>
      </c>
      <c r="M217" s="41" t="n">
        <v>0</v>
      </c>
      <c r="N217" s="41" t="n">
        <v>0</v>
      </c>
      <c r="O217" s="41" t="n">
        <v>0</v>
      </c>
      <c r="P217" s="42" t="n">
        <v>46736</v>
      </c>
    </row>
    <row r="218" spans="1:16">
      <c r="A218" s="37" t="n">
        <v>221</v>
      </c>
      <c r="B218" s="38" t="s">
        <v>808</v>
      </c>
      <c r="C218" s="39" t="s">
        <v>283</v>
      </c>
      <c r="D218" s="39" t="s">
        <v>20</v>
      </c>
      <c r="E218" s="39" t="s">
        <v>21</v>
      </c>
      <c r="F218" s="38" t="n">
        <v>0</v>
      </c>
      <c r="G218" s="40" t="n">
        <v>0</v>
      </c>
      <c r="H218" s="122" t="s">
        <v>810</v>
      </c>
      <c r="I218" s="41" t="n">
        <v>46736</v>
      </c>
      <c r="J218" s="41" t="n">
        <v>46736</v>
      </c>
      <c r="K218" s="41" t="n">
        <v>0</v>
      </c>
      <c r="L218" s="41" t="n">
        <v>0</v>
      </c>
      <c r="M218" s="41" t="n">
        <v>0</v>
      </c>
      <c r="N218" s="41" t="n">
        <v>0</v>
      </c>
      <c r="O218" s="41" t="n">
        <v>0</v>
      </c>
      <c r="P218" s="42" t="n">
        <v>46736</v>
      </c>
    </row>
    <row r="219" spans="1:16">
      <c r="A219" s="37" t="n">
        <v>222</v>
      </c>
      <c r="B219" s="38" t="s">
        <v>813</v>
      </c>
      <c r="C219" s="39" t="s">
        <v>95</v>
      </c>
      <c r="D219" s="39" t="s">
        <v>137</v>
      </c>
      <c r="E219" s="39" t="s">
        <v>14</v>
      </c>
      <c r="F219" s="38" t="n">
        <v>0</v>
      </c>
      <c r="G219" s="40" t="n">
        <v>0</v>
      </c>
      <c r="H219" s="122" t="s">
        <v>814</v>
      </c>
      <c r="I219" s="41" t="n">
        <v>48565</v>
      </c>
      <c r="J219" s="41" t="n">
        <v>48565</v>
      </c>
      <c r="K219" s="41" t="n">
        <v>0</v>
      </c>
      <c r="L219" s="41" t="n">
        <v>0</v>
      </c>
      <c r="M219" s="41" t="n">
        <v>0</v>
      </c>
      <c r="N219" s="41" t="n">
        <v>0</v>
      </c>
      <c r="O219" s="41" t="n">
        <v>0</v>
      </c>
      <c r="P219" s="42" t="n">
        <v>48565</v>
      </c>
    </row>
    <row r="220" spans="1:16">
      <c r="A220" s="37" t="n">
        <v>223</v>
      </c>
      <c r="B220" s="38" t="s">
        <v>821</v>
      </c>
      <c r="C220" s="39" t="s">
        <v>95</v>
      </c>
      <c r="D220" s="39" t="s">
        <v>124</v>
      </c>
      <c r="E220" s="39" t="s">
        <v>15</v>
      </c>
      <c r="F220" s="38" t="n">
        <v>0</v>
      </c>
      <c r="G220" s="40" t="n">
        <v>0</v>
      </c>
      <c r="H220" s="122" t="s">
        <v>822</v>
      </c>
      <c r="I220" s="41" t="n">
        <v>46736</v>
      </c>
      <c r="J220" s="41" t="n">
        <v>46736</v>
      </c>
      <c r="K220" s="41" t="n">
        <v>0</v>
      </c>
      <c r="L220" s="41" t="n">
        <v>0</v>
      </c>
      <c r="M220" s="41" t="n">
        <v>0</v>
      </c>
      <c r="N220" s="41" t="n">
        <v>0</v>
      </c>
      <c r="O220" s="41" t="n">
        <v>0</v>
      </c>
      <c r="P220" s="42" t="n">
        <v>46736</v>
      </c>
    </row>
    <row r="221" spans="1:16">
      <c r="A221" s="37" t="n">
        <v>224</v>
      </c>
      <c r="B221" s="38" t="s">
        <v>811</v>
      </c>
      <c r="C221" s="39" t="s">
        <v>120</v>
      </c>
      <c r="D221" s="39" t="s">
        <v>128</v>
      </c>
      <c r="E221" s="39" t="s">
        <v>15</v>
      </c>
      <c r="F221" s="38" t="n">
        <v>0</v>
      </c>
      <c r="G221" s="40" t="n">
        <v>0</v>
      </c>
      <c r="H221" s="122" t="s">
        <v>812</v>
      </c>
      <c r="I221" s="41" t="n">
        <v>43423</v>
      </c>
      <c r="J221" s="41" t="n">
        <v>43423</v>
      </c>
      <c r="K221" s="41" t="n">
        <v>0</v>
      </c>
      <c r="L221" s="41" t="n">
        <v>0</v>
      </c>
      <c r="M221" s="41" t="n">
        <v>0</v>
      </c>
      <c r="N221" s="41" t="n">
        <v>0</v>
      </c>
      <c r="O221" s="41" t="n">
        <v>0</v>
      </c>
      <c r="P221" s="42" t="n">
        <v>43423</v>
      </c>
    </row>
    <row r="222" spans="1:16">
      <c r="A222" s="37" t="n">
        <v>225</v>
      </c>
      <c r="B222" s="38" t="s">
        <v>815</v>
      </c>
      <c r="C222" s="39" t="s">
        <v>95</v>
      </c>
      <c r="D222" s="39" t="s">
        <v>137</v>
      </c>
      <c r="E222" s="39" t="s">
        <v>14</v>
      </c>
      <c r="F222" s="38" t="n">
        <v>0</v>
      </c>
      <c r="G222" s="40" t="n">
        <v>0</v>
      </c>
      <c r="H222" s="122" t="s">
        <v>817</v>
      </c>
      <c r="I222" s="41" t="n">
        <v>41594</v>
      </c>
      <c r="J222" s="41" t="n">
        <v>41594</v>
      </c>
      <c r="K222" s="41" t="n">
        <v>0</v>
      </c>
      <c r="L222" s="41" t="n">
        <v>0</v>
      </c>
      <c r="M222" s="41" t="n">
        <v>0</v>
      </c>
      <c r="N222" s="41" t="n">
        <v>0</v>
      </c>
      <c r="O222" s="41" t="n">
        <v>0</v>
      </c>
      <c r="P222" s="42" t="n">
        <v>41594</v>
      </c>
    </row>
    <row r="223" spans="1:16">
      <c r="A223" s="37" t="n">
        <v>226</v>
      </c>
      <c r="B223" s="38" t="s">
        <v>818</v>
      </c>
      <c r="C223" s="39" t="s">
        <v>58</v>
      </c>
      <c r="D223" s="39" t="s">
        <v>20</v>
      </c>
      <c r="E223" s="39" t="s">
        <v>21</v>
      </c>
      <c r="F223" s="38" t="n">
        <v>0</v>
      </c>
      <c r="G223" s="40" t="n">
        <v>0</v>
      </c>
      <c r="H223" s="122" t="s">
        <v>820</v>
      </c>
      <c r="I223" s="41" t="n">
        <v>43423</v>
      </c>
      <c r="J223" s="41" t="n">
        <v>43423</v>
      </c>
      <c r="K223" s="41" t="n">
        <v>2171</v>
      </c>
      <c r="L223" s="41" t="n">
        <v>0</v>
      </c>
      <c r="M223" s="41" t="n">
        <v>0</v>
      </c>
      <c r="N223" s="41" t="n">
        <v>0</v>
      </c>
      <c r="O223" s="41" t="n">
        <v>0</v>
      </c>
      <c r="P223" s="42" t="n">
        <v>41252</v>
      </c>
    </row>
    <row r="224" spans="1:16">
      <c r="A224" s="37" t="n">
        <v>227</v>
      </c>
      <c r="B224" s="38" t="s">
        <v>823</v>
      </c>
      <c r="C224" s="39" t="s">
        <v>95</v>
      </c>
      <c r="D224" s="39" t="s">
        <v>137</v>
      </c>
      <c r="E224" s="39" t="s">
        <v>14</v>
      </c>
      <c r="F224" s="38" t="n">
        <v>0</v>
      </c>
      <c r="G224" s="40" t="n">
        <v>0</v>
      </c>
      <c r="H224" s="122" t="s">
        <v>824</v>
      </c>
      <c r="I224" s="41" t="n">
        <v>33140</v>
      </c>
      <c r="J224" s="41" t="n">
        <v>33140</v>
      </c>
      <c r="K224" s="41" t="n">
        <v>0</v>
      </c>
      <c r="L224" s="41" t="n">
        <v>0</v>
      </c>
      <c r="M224" s="41" t="n">
        <v>0</v>
      </c>
      <c r="N224" s="41" t="n">
        <v>0</v>
      </c>
      <c r="O224" s="41" t="n">
        <v>0</v>
      </c>
      <c r="P224" s="42" t="n">
        <v>33140</v>
      </c>
    </row>
    <row r="225" spans="1:16">
      <c r="A225" s="37" t="n">
        <v>228</v>
      </c>
      <c r="B225" s="38" t="s">
        <v>825</v>
      </c>
      <c r="C225" s="39" t="s">
        <v>95</v>
      </c>
      <c r="D225" s="39" t="s">
        <v>121</v>
      </c>
      <c r="E225" s="39" t="s">
        <v>14</v>
      </c>
      <c r="F225" s="38" t="n">
        <v>0</v>
      </c>
      <c r="G225" s="40" t="n">
        <v>0</v>
      </c>
      <c r="H225" s="122" t="s">
        <v>826</v>
      </c>
      <c r="I225" s="41" t="n">
        <v>31311</v>
      </c>
      <c r="J225" s="41" t="n">
        <v>31311</v>
      </c>
      <c r="K225" s="41" t="n">
        <v>0</v>
      </c>
      <c r="L225" s="41" t="n">
        <v>0</v>
      </c>
      <c r="M225" s="41" t="n">
        <v>0</v>
      </c>
      <c r="N225" s="41" t="n">
        <v>0</v>
      </c>
      <c r="O225" s="41" t="n">
        <v>0</v>
      </c>
      <c r="P225" s="42" t="n">
        <v>31311</v>
      </c>
    </row>
    <row r="226" spans="1:16">
      <c r="A226" s="37" t="n">
        <v>229</v>
      </c>
      <c r="B226" s="38" t="s">
        <v>827</v>
      </c>
      <c r="C226" s="39" t="s">
        <v>95</v>
      </c>
      <c r="D226" s="39" t="s">
        <v>128</v>
      </c>
      <c r="E226" s="39" t="s">
        <v>15</v>
      </c>
      <c r="F226" s="38" t="n">
        <v>0</v>
      </c>
      <c r="G226" s="122" t="s">
        <v>682</v>
      </c>
      <c r="H226" s="122" t="s">
        <v>828</v>
      </c>
      <c r="I226" s="41" t="n">
        <v>21027</v>
      </c>
      <c r="J226" s="41" t="n">
        <v>21027</v>
      </c>
      <c r="K226" s="41" t="n">
        <v>0</v>
      </c>
      <c r="L226" s="41" t="n">
        <v>0</v>
      </c>
      <c r="M226" s="41" t="n">
        <v>0</v>
      </c>
      <c r="N226" s="41" t="n">
        <v>0</v>
      </c>
      <c r="O226" s="41" t="n">
        <v>0</v>
      </c>
      <c r="P226" s="42" t="n">
        <v>21027</v>
      </c>
    </row>
    <row r="227" spans="1:16">
      <c r="A227" s="37" t="n">
        <v>230</v>
      </c>
      <c r="B227" s="38" t="s">
        <v>2077</v>
      </c>
      <c r="C227" s="39" t="s">
        <v>95</v>
      </c>
      <c r="D227" s="39" t="s">
        <v>124</v>
      </c>
      <c r="E227" s="39" t="s">
        <v>15</v>
      </c>
      <c r="F227" s="38" t="n">
        <v>0</v>
      </c>
      <c r="G227" s="122" t="s">
        <v>685</v>
      </c>
      <c r="H227" s="122" t="s">
        <v>831</v>
      </c>
      <c r="I227" s="41" t="n">
        <v>21027</v>
      </c>
      <c r="J227" s="41" t="n">
        <v>21027</v>
      </c>
      <c r="K227" s="41" t="n">
        <v>0</v>
      </c>
      <c r="L227" s="41" t="n">
        <v>0</v>
      </c>
      <c r="M227" s="41" t="n">
        <v>0</v>
      </c>
      <c r="N227" s="41" t="n">
        <v>0</v>
      </c>
      <c r="O227" s="41" t="n">
        <v>0</v>
      </c>
      <c r="P227" s="42" t="n">
        <v>21027</v>
      </c>
    </row>
    <row r="228" spans="1:16">
      <c r="A228" s="37" t="n">
        <v>231</v>
      </c>
      <c r="B228" s="38" t="s">
        <v>2078</v>
      </c>
      <c r="C228" s="39" t="s">
        <v>120</v>
      </c>
      <c r="D228" s="39" t="s">
        <v>278</v>
      </c>
      <c r="E228" s="39" t="s">
        <v>16</v>
      </c>
      <c r="F228" s="38" t="n">
        <v>0</v>
      </c>
      <c r="G228" s="40" t="n">
        <v>0</v>
      </c>
      <c r="H228" s="122" t="s">
        <v>834</v>
      </c>
      <c r="I228" s="41" t="n">
        <v>10744</v>
      </c>
      <c r="J228" s="41" t="n">
        <v>10744</v>
      </c>
      <c r="K228" s="41" t="n">
        <v>0</v>
      </c>
      <c r="L228" s="41" t="n">
        <v>0</v>
      </c>
      <c r="M228" s="41" t="n">
        <v>0</v>
      </c>
      <c r="N228" s="41" t="n">
        <v>0</v>
      </c>
      <c r="O228" s="41" t="n">
        <v>0</v>
      </c>
      <c r="P228" s="42" t="n">
        <v>10744</v>
      </c>
    </row>
    <row r="229" spans="1:16">
      <c r="A229" s="37" t="n">
        <v>233</v>
      </c>
      <c r="B229" s="38" t="s">
        <v>838</v>
      </c>
      <c r="C229" s="39" t="s">
        <v>95</v>
      </c>
      <c r="D229" s="39" t="s">
        <v>121</v>
      </c>
      <c r="E229" s="39" t="s">
        <v>14</v>
      </c>
      <c r="F229" s="38" t="n">
        <v>0</v>
      </c>
      <c r="G229" s="40" t="n">
        <v>0</v>
      </c>
      <c r="H229" s="122" t="s">
        <v>839</v>
      </c>
      <c r="I229" s="41" t="n">
        <v>21027</v>
      </c>
      <c r="J229" s="41" t="n">
        <v>21027</v>
      </c>
      <c r="K229" s="41" t="n">
        <v>0</v>
      </c>
      <c r="L229" s="41" t="n">
        <v>0</v>
      </c>
      <c r="M229" s="41" t="n">
        <v>0</v>
      </c>
      <c r="N229" s="41" t="n">
        <v>0</v>
      </c>
      <c r="O229" s="41" t="n">
        <v>0</v>
      </c>
      <c r="P229" s="42" t="n">
        <v>21027</v>
      </c>
    </row>
    <row r="230" spans="1:16">
      <c r="A230" s="37" t="n">
        <v>234</v>
      </c>
      <c r="B230" s="38" t="s">
        <v>482</v>
      </c>
      <c r="C230" s="39" t="s">
        <v>120</v>
      </c>
      <c r="D230" s="39" t="s">
        <v>278</v>
      </c>
      <c r="E230" s="39" t="s">
        <v>16</v>
      </c>
      <c r="F230" s="38" t="n">
        <v>0</v>
      </c>
      <c r="G230" s="40" t="n">
        <v>0</v>
      </c>
      <c r="H230" s="122" t="s">
        <v>483</v>
      </c>
      <c r="I230" s="41" t="n">
        <v>23655</v>
      </c>
      <c r="J230" s="41" t="n">
        <v>23655</v>
      </c>
      <c r="K230" s="41" t="n">
        <v>0</v>
      </c>
      <c r="L230" s="41" t="n">
        <v>0</v>
      </c>
      <c r="M230" s="41" t="n">
        <v>0</v>
      </c>
      <c r="N230" s="41" t="n">
        <v>0</v>
      </c>
      <c r="O230" s="41" t="n">
        <v>0</v>
      </c>
      <c r="P230" s="42" t="n">
        <v>23655</v>
      </c>
    </row>
    <row r="231" spans="1:16">
      <c r="A231" s="37" t="n">
        <v>235</v>
      </c>
      <c r="B231" s="38" t="s">
        <v>840</v>
      </c>
      <c r="C231" s="39" t="s">
        <v>58</v>
      </c>
      <c r="D231" s="39" t="s">
        <v>20</v>
      </c>
      <c r="E231" s="39" t="s">
        <v>21</v>
      </c>
      <c r="F231" s="38" t="s">
        <v>841</v>
      </c>
      <c r="G231" s="40" t="n">
        <v>0</v>
      </c>
      <c r="H231" s="122" t="s">
        <v>842</v>
      </c>
      <c r="I231" s="41" t="n">
        <v>168362</v>
      </c>
      <c r="J231" s="41" t="n">
        <v>168362</v>
      </c>
      <c r="K231" s="41" t="n">
        <v>8418</v>
      </c>
      <c r="L231" s="41" t="n">
        <v>0</v>
      </c>
      <c r="M231" s="41" t="n">
        <v>0</v>
      </c>
      <c r="N231" s="41" t="n">
        <v>0</v>
      </c>
      <c r="O231" s="41" t="n">
        <v>0</v>
      </c>
      <c r="P231" s="42" t="n">
        <v>159944</v>
      </c>
    </row>
    <row r="232" spans="1:16">
      <c r="A232" s="37" t="n">
        <v>236</v>
      </c>
      <c r="B232" s="38" t="s">
        <v>843</v>
      </c>
      <c r="C232" s="39" t="s">
        <v>58</v>
      </c>
      <c r="D232" s="39" t="s">
        <v>20</v>
      </c>
      <c r="E232" s="39" t="s">
        <v>21</v>
      </c>
      <c r="F232" s="38" t="s">
        <v>844</v>
      </c>
      <c r="G232" s="40" t="n">
        <v>0</v>
      </c>
      <c r="H232" s="122" t="s">
        <v>846</v>
      </c>
      <c r="I232" s="41" t="n">
        <v>10744</v>
      </c>
      <c r="J232" s="41" t="n">
        <v>10744</v>
      </c>
      <c r="K232" s="41" t="n">
        <v>537</v>
      </c>
      <c r="L232" s="41" t="n">
        <v>0</v>
      </c>
      <c r="M232" s="41" t="n">
        <v>0</v>
      </c>
      <c r="N232" s="41" t="n">
        <v>0</v>
      </c>
      <c r="O232" s="41" t="n">
        <v>0</v>
      </c>
      <c r="P232" s="42" t="n">
        <v>10207</v>
      </c>
    </row>
    <row r="233" spans="1:16">
      <c r="A233" s="37" t="n">
        <v>237</v>
      </c>
      <c r="B233" s="38" t="s">
        <v>847</v>
      </c>
      <c r="C233" s="39" t="s">
        <v>58</v>
      </c>
      <c r="D233" s="39" t="s">
        <v>20</v>
      </c>
      <c r="E233" s="39" t="s">
        <v>21</v>
      </c>
      <c r="F233" s="38" t="s">
        <v>848</v>
      </c>
      <c r="G233" s="40" t="n">
        <v>0</v>
      </c>
      <c r="H233" s="122" t="s">
        <v>850</v>
      </c>
      <c r="I233" s="41" t="n">
        <v>12802</v>
      </c>
      <c r="J233" s="41" t="n">
        <v>12802</v>
      </c>
      <c r="K233" s="41" t="n">
        <v>640</v>
      </c>
      <c r="L233" s="41" t="n">
        <v>0</v>
      </c>
      <c r="M233" s="41" t="n">
        <v>0</v>
      </c>
      <c r="N233" s="41" t="n">
        <v>0</v>
      </c>
      <c r="O233" s="41" t="n">
        <v>0</v>
      </c>
      <c r="P233" s="42" t="n">
        <v>12162</v>
      </c>
    </row>
    <row r="234" spans="1:16">
      <c r="A234" s="37" t="n">
        <v>238</v>
      </c>
      <c r="B234" s="38" t="s">
        <v>851</v>
      </c>
      <c r="C234" s="39" t="s">
        <v>283</v>
      </c>
      <c r="D234" s="39" t="s">
        <v>20</v>
      </c>
      <c r="E234" s="39" t="s">
        <v>21</v>
      </c>
      <c r="F234" s="38" t="n">
        <v>0</v>
      </c>
      <c r="G234" s="40" t="n">
        <v>0</v>
      </c>
      <c r="H234" s="122" t="s">
        <v>853</v>
      </c>
      <c r="I234" s="41" t="n">
        <v>10744</v>
      </c>
      <c r="J234" s="41" t="n">
        <v>10744</v>
      </c>
      <c r="K234" s="41" t="n">
        <v>0</v>
      </c>
      <c r="L234" s="41" t="n">
        <v>0</v>
      </c>
      <c r="M234" s="41" t="n">
        <v>0</v>
      </c>
      <c r="N234" s="41" t="n">
        <v>0</v>
      </c>
      <c r="O234" s="41" t="n">
        <v>0</v>
      </c>
      <c r="P234" s="42" t="n">
        <v>10744</v>
      </c>
    </row>
    <row r="235" spans="1:16">
      <c r="A235" s="37" t="n">
        <v>239</v>
      </c>
      <c r="B235" s="38" t="s">
        <v>854</v>
      </c>
      <c r="C235" s="39" t="s">
        <v>283</v>
      </c>
      <c r="D235" s="39" t="s">
        <v>20</v>
      </c>
      <c r="E235" s="39" t="s">
        <v>21</v>
      </c>
      <c r="F235" s="38" t="n">
        <v>0</v>
      </c>
      <c r="G235" s="122" t="s">
        <v>707</v>
      </c>
      <c r="H235" s="122" t="s">
        <v>856</v>
      </c>
      <c r="I235" s="41" t="n">
        <v>10744</v>
      </c>
      <c r="J235" s="41" t="n">
        <v>10744</v>
      </c>
      <c r="K235" s="41" t="n">
        <v>0</v>
      </c>
      <c r="L235" s="41" t="n">
        <v>0</v>
      </c>
      <c r="M235" s="41" t="n">
        <v>0</v>
      </c>
      <c r="N235" s="41" t="n">
        <v>0</v>
      </c>
      <c r="O235" s="41" t="n">
        <v>0</v>
      </c>
      <c r="P235" s="42" t="n">
        <v>10744</v>
      </c>
    </row>
    <row r="236" spans="1:16">
      <c r="A236" s="37" t="n">
        <v>240</v>
      </c>
      <c r="B236" s="38" t="s">
        <v>857</v>
      </c>
      <c r="C236" s="39" t="s">
        <v>120</v>
      </c>
      <c r="D236" s="39" t="s">
        <v>137</v>
      </c>
      <c r="E236" s="39" t="s">
        <v>14</v>
      </c>
      <c r="F236" s="38" t="n">
        <v>0</v>
      </c>
      <c r="G236" s="40" t="n">
        <v>0</v>
      </c>
      <c r="H236" s="122" t="s">
        <v>859</v>
      </c>
      <c r="I236" s="41" t="n">
        <v>10744</v>
      </c>
      <c r="J236" s="41" t="n">
        <v>10744</v>
      </c>
      <c r="K236" s="41" t="n">
        <v>0</v>
      </c>
      <c r="L236" s="41" t="n">
        <v>0</v>
      </c>
      <c r="M236" s="41" t="n">
        <v>0</v>
      </c>
      <c r="N236" s="41" t="n">
        <v>0</v>
      </c>
      <c r="O236" s="41" t="n">
        <v>0</v>
      </c>
      <c r="P236" s="42" t="n">
        <v>10744</v>
      </c>
    </row>
    <row r="237" spans="1:16">
      <c r="A237" s="37" t="n">
        <v>241</v>
      </c>
      <c r="B237" s="38" t="s">
        <v>2079</v>
      </c>
      <c r="C237" s="39" t="s">
        <v>283</v>
      </c>
      <c r="D237" s="39" t="s">
        <v>20</v>
      </c>
      <c r="E237" s="39" t="s">
        <v>21</v>
      </c>
      <c r="F237" s="38" t="n">
        <v>0</v>
      </c>
      <c r="G237" s="122" t="s">
        <v>20</v>
      </c>
      <c r="H237" s="122" t="s">
        <v>861</v>
      </c>
      <c r="I237" s="41" t="n">
        <v>10744</v>
      </c>
      <c r="J237" s="41" t="n">
        <v>10744</v>
      </c>
      <c r="K237" s="41" t="n">
        <v>0</v>
      </c>
      <c r="L237" s="41" t="n">
        <v>0</v>
      </c>
      <c r="M237" s="41" t="n">
        <v>0</v>
      </c>
      <c r="N237" s="41" t="n">
        <v>0</v>
      </c>
      <c r="O237" s="41" t="n">
        <v>0</v>
      </c>
      <c r="P237" s="42" t="n">
        <v>10744</v>
      </c>
    </row>
    <row r="238" spans="1:16">
      <c r="A238" s="37" t="n">
        <v>242</v>
      </c>
      <c r="B238" s="38" t="s">
        <v>864</v>
      </c>
      <c r="C238" s="39" t="s">
        <v>120</v>
      </c>
      <c r="D238" s="39" t="s">
        <v>278</v>
      </c>
      <c r="E238" s="39" t="s">
        <v>16</v>
      </c>
      <c r="F238" s="38" t="n">
        <v>0</v>
      </c>
      <c r="G238" s="40" t="n">
        <v>0</v>
      </c>
      <c r="H238" s="122" t="s">
        <v>865</v>
      </c>
      <c r="I238" s="41" t="n">
        <v>97772</v>
      </c>
      <c r="J238" s="41" t="n">
        <v>97772</v>
      </c>
      <c r="K238" s="41" t="n">
        <v>0</v>
      </c>
      <c r="L238" s="41" t="n">
        <v>0</v>
      </c>
      <c r="M238" s="41" t="n">
        <v>0</v>
      </c>
      <c r="N238" s="41" t="n">
        <v>0</v>
      </c>
      <c r="O238" s="41" t="n">
        <v>0</v>
      </c>
      <c r="P238" s="42" t="n">
        <v>97772</v>
      </c>
    </row>
    <row r="239" spans="1:16">
      <c r="A239" s="37" t="n">
        <v>243</v>
      </c>
      <c r="B239" s="38" t="s">
        <v>866</v>
      </c>
      <c r="C239" s="39" t="s">
        <v>283</v>
      </c>
      <c r="D239" s="39" t="s">
        <v>20</v>
      </c>
      <c r="E239" s="39" t="s">
        <v>21</v>
      </c>
      <c r="F239" s="38" t="n">
        <v>0</v>
      </c>
      <c r="G239" s="40" t="n">
        <v>0</v>
      </c>
      <c r="H239" s="122" t="s">
        <v>867</v>
      </c>
      <c r="I239" s="41" t="n">
        <v>10744</v>
      </c>
      <c r="J239" s="41" t="n">
        <v>10744</v>
      </c>
      <c r="K239" s="41" t="n">
        <v>0</v>
      </c>
      <c r="L239" s="41" t="n">
        <v>0</v>
      </c>
      <c r="M239" s="41" t="n">
        <v>0</v>
      </c>
      <c r="N239" s="41" t="n">
        <v>0</v>
      </c>
      <c r="O239" s="41" t="n">
        <v>0</v>
      </c>
      <c r="P239" s="42" t="n">
        <v>10744</v>
      </c>
    </row>
    <row r="240" spans="1:16">
      <c r="A240" s="37" t="n">
        <v>244</v>
      </c>
      <c r="B240" s="38" t="s">
        <v>862</v>
      </c>
      <c r="C240" s="39" t="s">
        <v>283</v>
      </c>
      <c r="D240" s="39" t="s">
        <v>20</v>
      </c>
      <c r="E240" s="39" t="s">
        <v>21</v>
      </c>
      <c r="F240" s="38" t="n">
        <v>0</v>
      </c>
      <c r="G240" s="40" t="n">
        <v>0</v>
      </c>
      <c r="H240" s="122" t="s">
        <v>863</v>
      </c>
      <c r="I240" s="41" t="n">
        <v>10744</v>
      </c>
      <c r="J240" s="41" t="n">
        <v>10744</v>
      </c>
      <c r="K240" s="41" t="n">
        <v>0</v>
      </c>
      <c r="L240" s="41" t="n">
        <v>0</v>
      </c>
      <c r="M240" s="41" t="n">
        <v>0</v>
      </c>
      <c r="N240" s="41" t="n">
        <v>0</v>
      </c>
      <c r="O240" s="41" t="n">
        <v>0</v>
      </c>
      <c r="P240" s="42" t="n">
        <v>10744</v>
      </c>
    </row>
    <row r="241" spans="1:16">
      <c r="A241" s="37" t="n">
        <v>245</v>
      </c>
      <c r="B241" s="38" t="s">
        <v>868</v>
      </c>
      <c r="C241" s="39" t="s">
        <v>283</v>
      </c>
      <c r="D241" s="39" t="s">
        <v>20</v>
      </c>
      <c r="E241" s="39" t="s">
        <v>21</v>
      </c>
      <c r="F241" s="38" t="n">
        <v>0</v>
      </c>
      <c r="G241" s="40" t="n">
        <v>0</v>
      </c>
      <c r="H241" s="122" t="s">
        <v>869</v>
      </c>
      <c r="I241" s="41" t="n">
        <v>10744</v>
      </c>
      <c r="J241" s="41" t="n">
        <v>10744</v>
      </c>
      <c r="K241" s="41" t="n">
        <v>0</v>
      </c>
      <c r="L241" s="41" t="n">
        <v>0</v>
      </c>
      <c r="M241" s="41" t="n">
        <v>0</v>
      </c>
      <c r="N241" s="41" t="n">
        <v>0</v>
      </c>
      <c r="O241" s="41" t="n">
        <v>0</v>
      </c>
      <c r="P241" s="42" t="n">
        <v>10744</v>
      </c>
    </row>
    <row r="242" spans="1:16">
      <c r="A242" s="37" t="n">
        <v>246</v>
      </c>
      <c r="B242" s="38" t="s">
        <v>870</v>
      </c>
      <c r="C242" s="39" t="s">
        <v>131</v>
      </c>
      <c r="D242" s="39" t="s">
        <v>20</v>
      </c>
      <c r="E242" s="39" t="s">
        <v>21</v>
      </c>
      <c r="F242" s="38" t="s">
        <v>871</v>
      </c>
      <c r="G242" s="40" t="n">
        <v>0</v>
      </c>
      <c r="H242" s="122" t="s">
        <v>872</v>
      </c>
      <c r="I242" s="41" t="n">
        <v>10973</v>
      </c>
      <c r="J242" s="41" t="n">
        <v>10973</v>
      </c>
      <c r="K242" s="41" t="n">
        <v>549</v>
      </c>
      <c r="L242" s="41" t="n">
        <v>0</v>
      </c>
      <c r="M242" s="41" t="n">
        <v>0</v>
      </c>
      <c r="N242" s="41" t="n">
        <v>0</v>
      </c>
      <c r="O242" s="41" t="n">
        <v>0</v>
      </c>
      <c r="P242" s="42" t="n">
        <v>10424</v>
      </c>
    </row>
    <row r="243" spans="1:16">
      <c r="A243" s="37" t="n">
        <v>247</v>
      </c>
      <c r="B243" s="38" t="s">
        <v>2080</v>
      </c>
      <c r="C243" s="39" t="s">
        <v>95</v>
      </c>
      <c r="D243" s="39" t="s">
        <v>124</v>
      </c>
      <c r="E243" s="39" t="s">
        <v>15</v>
      </c>
      <c r="F243" s="38" t="n">
        <v>0</v>
      </c>
      <c r="G243" s="40" t="n">
        <v>0</v>
      </c>
      <c r="H243" s="122" t="s">
        <v>874</v>
      </c>
      <c r="I243" s="41" t="n">
        <v>97772</v>
      </c>
      <c r="J243" s="41" t="n">
        <v>97772</v>
      </c>
      <c r="K243" s="41" t="n">
        <v>0</v>
      </c>
      <c r="L243" s="41" t="n">
        <v>0</v>
      </c>
      <c r="M243" s="41" t="n">
        <v>0</v>
      </c>
      <c r="N243" s="41" t="n">
        <v>0</v>
      </c>
      <c r="O243" s="41" t="n">
        <v>0</v>
      </c>
      <c r="P243" s="42" t="n">
        <v>97772</v>
      </c>
    </row>
    <row r="244" spans="1:16">
      <c r="A244" s="37" t="n">
        <v>248</v>
      </c>
      <c r="B244" s="38" t="s">
        <v>875</v>
      </c>
      <c r="C244" s="39" t="s">
        <v>58</v>
      </c>
      <c r="D244" s="39" t="s">
        <v>20</v>
      </c>
      <c r="E244" s="39" t="s">
        <v>21</v>
      </c>
      <c r="F244" s="38" t="s">
        <v>876</v>
      </c>
      <c r="G244" s="122" t="s">
        <v>730</v>
      </c>
      <c r="H244" s="122" t="s">
        <v>877</v>
      </c>
      <c r="I244" s="41" t="n">
        <v>12573</v>
      </c>
      <c r="J244" s="41" t="n">
        <v>12573</v>
      </c>
      <c r="K244" s="41" t="n">
        <v>629</v>
      </c>
      <c r="L244" s="41" t="n">
        <v>0</v>
      </c>
      <c r="M244" s="41" t="n">
        <v>0</v>
      </c>
      <c r="N244" s="41" t="n">
        <v>0</v>
      </c>
      <c r="O244" s="41" t="n">
        <v>0</v>
      </c>
      <c r="P244" s="42" t="n">
        <v>11944</v>
      </c>
    </row>
    <row r="245" spans="1:16">
      <c r="A245" s="37" t="n">
        <v>249</v>
      </c>
      <c r="B245" s="38" t="s">
        <v>878</v>
      </c>
      <c r="C245" s="39" t="s">
        <v>120</v>
      </c>
      <c r="D245" s="39" t="s">
        <v>124</v>
      </c>
      <c r="E245" s="39" t="s">
        <v>15</v>
      </c>
      <c r="F245" s="38" t="n">
        <v>0</v>
      </c>
      <c r="G245" s="122" t="s">
        <v>733</v>
      </c>
      <c r="H245" s="122" t="s">
        <v>880</v>
      </c>
      <c r="I245" s="41" t="n">
        <v>8047</v>
      </c>
      <c r="J245" s="41" t="n">
        <v>8047</v>
      </c>
      <c r="K245" s="41" t="n">
        <v>0</v>
      </c>
      <c r="L245" s="41" t="n">
        <v>0</v>
      </c>
      <c r="M245" s="41" t="n">
        <v>0</v>
      </c>
      <c r="N245" s="41" t="n">
        <v>0</v>
      </c>
      <c r="O245" s="41" t="n">
        <v>0</v>
      </c>
      <c r="P245" s="42" t="n">
        <v>8047</v>
      </c>
    </row>
    <row r="246" spans="1:16">
      <c r="A246" s="37" t="n">
        <v>250</v>
      </c>
      <c r="B246" s="38" t="s">
        <v>881</v>
      </c>
      <c r="C246" s="39" t="s">
        <v>95</v>
      </c>
      <c r="D246" s="39" t="s">
        <v>121</v>
      </c>
      <c r="E246" s="39" t="s">
        <v>14</v>
      </c>
      <c r="F246" s="38" t="n">
        <v>0</v>
      </c>
      <c r="G246" s="122" t="s">
        <v>736</v>
      </c>
      <c r="H246" s="122" t="s">
        <v>883</v>
      </c>
      <c r="I246" s="41" t="n">
        <v>10744</v>
      </c>
      <c r="J246" s="41" t="n">
        <v>10744</v>
      </c>
      <c r="K246" s="41" t="n">
        <v>0</v>
      </c>
      <c r="L246" s="41" t="n">
        <v>0</v>
      </c>
      <c r="M246" s="41" t="n">
        <v>0</v>
      </c>
      <c r="N246" s="41" t="n">
        <v>0</v>
      </c>
      <c r="O246" s="41" t="n">
        <v>0</v>
      </c>
      <c r="P246" s="42" t="n">
        <v>10744</v>
      </c>
    </row>
    <row r="247" spans="1:16">
      <c r="A247" s="37" t="n">
        <v>251</v>
      </c>
      <c r="B247" s="38" t="s">
        <v>884</v>
      </c>
      <c r="C247" s="39" t="s">
        <v>95</v>
      </c>
      <c r="D247" s="39" t="s">
        <v>121</v>
      </c>
      <c r="E247" s="39" t="s">
        <v>14</v>
      </c>
      <c r="F247" s="38" t="n">
        <v>0</v>
      </c>
      <c r="G247" s="122" t="s">
        <v>739</v>
      </c>
      <c r="H247" s="122" t="s">
        <v>886</v>
      </c>
      <c r="I247" s="41" t="n">
        <v>13945</v>
      </c>
      <c r="J247" s="41" t="n">
        <v>13945</v>
      </c>
      <c r="K247" s="41" t="n">
        <v>0</v>
      </c>
      <c r="L247" s="41" t="n">
        <v>0</v>
      </c>
      <c r="M247" s="41" t="n">
        <v>0</v>
      </c>
      <c r="N247" s="41" t="n">
        <v>0</v>
      </c>
      <c r="O247" s="41" t="n">
        <v>0</v>
      </c>
      <c r="P247" s="42" t="n">
        <v>13945</v>
      </c>
    </row>
    <row r="248" spans="1:16">
      <c r="A248" s="37" t="n">
        <v>252</v>
      </c>
      <c r="B248" s="38" t="s">
        <v>887</v>
      </c>
      <c r="C248" s="39" t="s">
        <v>95</v>
      </c>
      <c r="D248" s="39" t="s">
        <v>128</v>
      </c>
      <c r="E248" s="39" t="s">
        <v>15</v>
      </c>
      <c r="F248" s="38" t="n">
        <v>0</v>
      </c>
      <c r="G248" s="40" t="n">
        <v>0</v>
      </c>
      <c r="H248" s="122" t="s">
        <v>888</v>
      </c>
      <c r="I248" s="41" t="n">
        <v>12573</v>
      </c>
      <c r="J248" s="41" t="n">
        <v>12573</v>
      </c>
      <c r="K248" s="41" t="n">
        <v>0</v>
      </c>
      <c r="L248" s="41" t="n">
        <v>0</v>
      </c>
      <c r="M248" s="41" t="n">
        <v>0</v>
      </c>
      <c r="N248" s="41" t="n">
        <v>0</v>
      </c>
      <c r="O248" s="41" t="n">
        <v>0</v>
      </c>
      <c r="P248" s="42" t="n">
        <v>12573</v>
      </c>
    </row>
    <row r="249" spans="1:16">
      <c r="A249" s="37" t="n">
        <v>253</v>
      </c>
      <c r="B249" s="38" t="s">
        <v>889</v>
      </c>
      <c r="C249" s="39" t="s">
        <v>95</v>
      </c>
      <c r="D249" s="39" t="s">
        <v>128</v>
      </c>
      <c r="E249" s="39" t="s">
        <v>15</v>
      </c>
      <c r="F249" s="38" t="n">
        <v>0</v>
      </c>
      <c r="G249" s="40" t="n">
        <v>0</v>
      </c>
      <c r="H249" s="40" t="n">
        <v>1903024115</v>
      </c>
      <c r="I249" s="41" t="n">
        <v>11887</v>
      </c>
      <c r="J249" s="41" t="n">
        <v>11887</v>
      </c>
      <c r="K249" s="41" t="n">
        <v>0</v>
      </c>
      <c r="L249" s="41" t="n">
        <v>0</v>
      </c>
      <c r="M249" s="41" t="n">
        <v>0</v>
      </c>
      <c r="N249" s="41" t="n">
        <v>0</v>
      </c>
      <c r="O249" s="41" t="n">
        <v>0</v>
      </c>
      <c r="P249" s="42" t="n">
        <v>11887</v>
      </c>
    </row>
    <row r="250" spans="1:16">
      <c r="A250" s="37" t="n">
        <v>254</v>
      </c>
      <c r="B250" s="38" t="s">
        <v>2081</v>
      </c>
      <c r="C250" s="39" t="s">
        <v>95</v>
      </c>
      <c r="D250" s="39" t="s">
        <v>128</v>
      </c>
      <c r="E250" s="39" t="s">
        <v>15</v>
      </c>
      <c r="F250" s="38" t="n">
        <v>0</v>
      </c>
      <c r="G250" s="40" t="n">
        <v>0</v>
      </c>
      <c r="H250" s="122" t="s">
        <v>2082</v>
      </c>
      <c r="I250" s="41" t="n">
        <v>13945</v>
      </c>
      <c r="J250" s="41" t="n">
        <v>13945</v>
      </c>
      <c r="K250" s="41" t="n">
        <v>0</v>
      </c>
      <c r="L250" s="41" t="n">
        <v>0</v>
      </c>
      <c r="M250" s="41" t="n">
        <v>0</v>
      </c>
      <c r="N250" s="41" t="n">
        <v>0</v>
      </c>
      <c r="O250" s="41" t="n">
        <v>0</v>
      </c>
      <c r="P250" s="42" t="n">
        <v>13945</v>
      </c>
    </row>
    <row r="251" spans="1:16">
      <c r="A251" s="37" t="n">
        <v>255</v>
      </c>
      <c r="B251" s="38" t="s">
        <v>890</v>
      </c>
      <c r="C251" s="39" t="s">
        <v>58</v>
      </c>
      <c r="D251" s="39" t="s">
        <v>20</v>
      </c>
      <c r="E251" s="39" t="s">
        <v>21</v>
      </c>
      <c r="F251" s="38" t="s">
        <v>891</v>
      </c>
      <c r="G251" s="40" t="n">
        <v>0</v>
      </c>
      <c r="H251" s="122" t="s">
        <v>893</v>
      </c>
      <c r="I251" s="41" t="n">
        <v>896150</v>
      </c>
      <c r="J251" s="41" t="n">
        <v>896150</v>
      </c>
      <c r="K251" s="41" t="n">
        <v>44808</v>
      </c>
      <c r="L251" s="41" t="n">
        <v>0</v>
      </c>
      <c r="M251" s="41" t="n">
        <v>0</v>
      </c>
      <c r="N251" s="41" t="n">
        <v>0</v>
      </c>
      <c r="O251" s="41" t="n">
        <v>0</v>
      </c>
      <c r="P251" s="42" t="n">
        <v>851342</v>
      </c>
    </row>
    <row r="252" spans="1:16">
      <c r="A252" s="37" t="n">
        <v>256</v>
      </c>
      <c r="B252" s="38" t="s">
        <v>894</v>
      </c>
      <c r="C252" s="39" t="s">
        <v>58</v>
      </c>
      <c r="D252" s="39" t="s">
        <v>20</v>
      </c>
      <c r="E252" s="39" t="s">
        <v>21</v>
      </c>
      <c r="F252" s="38" t="s">
        <v>895</v>
      </c>
      <c r="G252" s="122" t="s">
        <v>751</v>
      </c>
      <c r="H252" s="122" t="s">
        <v>896</v>
      </c>
      <c r="I252" s="41" t="n">
        <v>611954</v>
      </c>
      <c r="J252" s="41" t="n">
        <v>611954</v>
      </c>
      <c r="K252" s="41" t="n">
        <v>30598</v>
      </c>
      <c r="L252" s="41" t="n">
        <v>0</v>
      </c>
      <c r="M252" s="41" t="n">
        <v>0</v>
      </c>
      <c r="N252" s="41" t="n">
        <v>0</v>
      </c>
      <c r="O252" s="41" t="n">
        <v>0</v>
      </c>
      <c r="P252" s="42" t="n">
        <v>581356</v>
      </c>
    </row>
    <row r="253" spans="1:16">
      <c r="A253" s="37" t="n">
        <v>257</v>
      </c>
      <c r="B253" s="38" t="s">
        <v>897</v>
      </c>
      <c r="C253" s="39" t="s">
        <v>58</v>
      </c>
      <c r="D253" s="39" t="s">
        <v>20</v>
      </c>
      <c r="E253" s="39" t="s">
        <v>21</v>
      </c>
      <c r="F253" s="38" t="s">
        <v>898</v>
      </c>
      <c r="G253" s="122" t="s">
        <v>755</v>
      </c>
      <c r="H253" s="122" t="s">
        <v>900</v>
      </c>
      <c r="I253" s="41" t="n">
        <v>483444</v>
      </c>
      <c r="J253" s="41" t="n">
        <v>483444</v>
      </c>
      <c r="K253" s="41" t="n">
        <v>24172</v>
      </c>
      <c r="L253" s="41" t="n">
        <v>0</v>
      </c>
      <c r="M253" s="41" t="n">
        <v>0</v>
      </c>
      <c r="N253" s="41" t="n">
        <v>0</v>
      </c>
      <c r="O253" s="41" t="n">
        <v>0</v>
      </c>
      <c r="P253" s="42" t="n">
        <v>459272</v>
      </c>
    </row>
    <row r="254" spans="1:16">
      <c r="A254" s="37" t="n">
        <v>258</v>
      </c>
      <c r="B254" s="38" t="s">
        <v>901</v>
      </c>
      <c r="C254" s="39" t="s">
        <v>111</v>
      </c>
      <c r="D254" s="39" t="s">
        <v>20</v>
      </c>
      <c r="E254" s="39" t="s">
        <v>21</v>
      </c>
      <c r="F254" s="38" t="s">
        <v>902</v>
      </c>
      <c r="G254" s="40" t="n">
        <v>0</v>
      </c>
      <c r="H254" s="122" t="s">
        <v>903</v>
      </c>
      <c r="I254" s="41" t="n">
        <v>121694</v>
      </c>
      <c r="J254" s="41" t="n">
        <v>121694</v>
      </c>
      <c r="K254" s="41" t="n">
        <v>0</v>
      </c>
      <c r="L254" s="41" t="n">
        <v>0</v>
      </c>
      <c r="M254" s="41" t="n">
        <v>0</v>
      </c>
      <c r="N254" s="41" t="n">
        <v>0</v>
      </c>
      <c r="O254" s="41" t="n">
        <v>0</v>
      </c>
      <c r="P254" s="42" t="n">
        <v>121694</v>
      </c>
    </row>
    <row r="255" spans="1:16">
      <c r="A255" s="37" t="n">
        <v>259</v>
      </c>
      <c r="B255" s="38" t="s">
        <v>904</v>
      </c>
      <c r="C255" s="39" t="s">
        <v>283</v>
      </c>
      <c r="D255" s="39" t="s">
        <v>20</v>
      </c>
      <c r="E255" s="39" t="s">
        <v>21</v>
      </c>
      <c r="F255" s="38" t="n">
        <v>0</v>
      </c>
      <c r="G255" s="122" t="s">
        <v>761</v>
      </c>
      <c r="H255" s="122" t="s">
        <v>905</v>
      </c>
      <c r="I255" s="41" t="n">
        <v>458966</v>
      </c>
      <c r="J255" s="41" t="n">
        <v>458966</v>
      </c>
      <c r="K255" s="41" t="n">
        <v>0</v>
      </c>
      <c r="L255" s="41" t="n">
        <v>0</v>
      </c>
      <c r="M255" s="41" t="n">
        <v>0</v>
      </c>
      <c r="N255" s="41" t="n">
        <v>0</v>
      </c>
      <c r="O255" s="41" t="n">
        <v>0</v>
      </c>
      <c r="P255" s="42" t="n">
        <v>458966</v>
      </c>
    </row>
    <row r="256" spans="1:16">
      <c r="A256" s="37" t="n">
        <v>260</v>
      </c>
      <c r="B256" s="38" t="s">
        <v>906</v>
      </c>
      <c r="C256" s="39" t="s">
        <v>283</v>
      </c>
      <c r="D256" s="39" t="s">
        <v>20</v>
      </c>
      <c r="E256" s="39" t="s">
        <v>21</v>
      </c>
      <c r="F256" s="38" t="n">
        <v>0</v>
      </c>
      <c r="G256" s="122" t="s">
        <v>764</v>
      </c>
      <c r="H256" s="122" t="s">
        <v>907</v>
      </c>
      <c r="I256" s="41" t="n">
        <v>611954</v>
      </c>
      <c r="J256" s="41" t="n">
        <v>611954</v>
      </c>
      <c r="K256" s="41" t="n">
        <v>0</v>
      </c>
      <c r="L256" s="41" t="n">
        <v>0</v>
      </c>
      <c r="M256" s="41" t="n">
        <v>0</v>
      </c>
      <c r="N256" s="41" t="n">
        <v>0</v>
      </c>
      <c r="O256" s="41" t="n">
        <v>0</v>
      </c>
      <c r="P256" s="42" t="n">
        <v>611954</v>
      </c>
    </row>
    <row r="257" spans="1:16">
      <c r="A257" s="37" t="n">
        <v>261</v>
      </c>
      <c r="B257" s="38" t="s">
        <v>908</v>
      </c>
      <c r="C257" s="39" t="s">
        <v>283</v>
      </c>
      <c r="D257" s="39" t="s">
        <v>20</v>
      </c>
      <c r="E257" s="39" t="s">
        <v>21</v>
      </c>
      <c r="F257" s="38" t="n">
        <v>0</v>
      </c>
      <c r="G257" s="40" t="n">
        <v>0</v>
      </c>
      <c r="H257" s="122" t="s">
        <v>910</v>
      </c>
      <c r="I257" s="41" t="n">
        <v>458966</v>
      </c>
      <c r="J257" s="41" t="n">
        <v>458966</v>
      </c>
      <c r="K257" s="41" t="n">
        <v>0</v>
      </c>
      <c r="L257" s="41" t="n">
        <v>0</v>
      </c>
      <c r="M257" s="41" t="n">
        <v>0</v>
      </c>
      <c r="N257" s="41" t="n">
        <v>0</v>
      </c>
      <c r="O257" s="41" t="n">
        <v>0</v>
      </c>
      <c r="P257" s="42" t="n">
        <v>458966</v>
      </c>
    </row>
    <row r="258" spans="1:16">
      <c r="A258" s="37" t="n">
        <v>262</v>
      </c>
      <c r="B258" s="38" t="s">
        <v>911</v>
      </c>
      <c r="C258" s="39" t="s">
        <v>283</v>
      </c>
      <c r="D258" s="39" t="s">
        <v>20</v>
      </c>
      <c r="E258" s="39" t="s">
        <v>21</v>
      </c>
      <c r="F258" s="38" t="n">
        <v>0</v>
      </c>
      <c r="G258" s="40" t="n">
        <v>0</v>
      </c>
      <c r="H258" s="122" t="s">
        <v>912</v>
      </c>
      <c r="I258" s="41" t="n">
        <v>121694</v>
      </c>
      <c r="J258" s="41" t="n">
        <v>121694</v>
      </c>
      <c r="K258" s="41" t="n">
        <v>0</v>
      </c>
      <c r="L258" s="41" t="n">
        <v>0</v>
      </c>
      <c r="M258" s="41" t="n">
        <v>0</v>
      </c>
      <c r="N258" s="41" t="n">
        <v>0</v>
      </c>
      <c r="O258" s="41" t="n">
        <v>0</v>
      </c>
      <c r="P258" s="42" t="n">
        <v>121694</v>
      </c>
    </row>
    <row r="259" spans="1:16">
      <c r="A259" s="37" t="n">
        <v>263</v>
      </c>
      <c r="B259" s="38" t="s">
        <v>913</v>
      </c>
      <c r="C259" s="39" t="s">
        <v>111</v>
      </c>
      <c r="D259" s="39" t="s">
        <v>20</v>
      </c>
      <c r="E259" s="39" t="s">
        <v>21</v>
      </c>
      <c r="F259" s="38" t="s">
        <v>914</v>
      </c>
      <c r="G259" s="40" t="n">
        <v>0</v>
      </c>
      <c r="H259" s="122" t="s">
        <v>915</v>
      </c>
      <c r="I259" s="41" t="n">
        <v>413069</v>
      </c>
      <c r="J259" s="41" t="n">
        <v>413069</v>
      </c>
      <c r="K259" s="41" t="n">
        <v>0</v>
      </c>
      <c r="L259" s="41" t="n">
        <v>0</v>
      </c>
      <c r="M259" s="41" t="n">
        <v>0</v>
      </c>
      <c r="N259" s="41" t="n">
        <v>0</v>
      </c>
      <c r="O259" s="41" t="n">
        <v>0</v>
      </c>
      <c r="P259" s="42" t="n">
        <v>413069</v>
      </c>
    </row>
    <row r="260" spans="1:16">
      <c r="A260" s="37" t="n">
        <v>264</v>
      </c>
      <c r="B260" s="38" t="s">
        <v>934</v>
      </c>
      <c r="C260" s="39" t="s">
        <v>111</v>
      </c>
      <c r="D260" s="39" t="s">
        <v>20</v>
      </c>
      <c r="E260" s="39" t="s">
        <v>21</v>
      </c>
      <c r="F260" s="38" t="s">
        <v>935</v>
      </c>
      <c r="G260" s="40" t="n">
        <v>0</v>
      </c>
      <c r="H260" s="122" t="s">
        <v>937</v>
      </c>
      <c r="I260" s="41" t="n">
        <v>413069</v>
      </c>
      <c r="J260" s="41" t="n">
        <v>413069</v>
      </c>
      <c r="K260" s="41" t="n">
        <v>0</v>
      </c>
      <c r="L260" s="41" t="n">
        <v>0</v>
      </c>
      <c r="M260" s="41" t="n">
        <v>0</v>
      </c>
      <c r="N260" s="41" t="n">
        <v>0</v>
      </c>
      <c r="O260" s="41" t="n">
        <v>0</v>
      </c>
      <c r="P260" s="42" t="n">
        <v>413069</v>
      </c>
    </row>
    <row r="261" spans="1:16">
      <c r="A261" s="37" t="n">
        <v>265</v>
      </c>
      <c r="B261" s="38" t="s">
        <v>928</v>
      </c>
      <c r="C261" s="39" t="s">
        <v>283</v>
      </c>
      <c r="D261" s="39" t="s">
        <v>20</v>
      </c>
      <c r="E261" s="39" t="s">
        <v>21</v>
      </c>
      <c r="F261" s="38" t="n">
        <v>0</v>
      </c>
      <c r="G261" s="40" t="n">
        <v>0</v>
      </c>
      <c r="H261" s="122" t="s">
        <v>930</v>
      </c>
      <c r="I261" s="41" t="n">
        <v>413069</v>
      </c>
      <c r="J261" s="41" t="n">
        <v>413069</v>
      </c>
      <c r="K261" s="41" t="n">
        <v>0</v>
      </c>
      <c r="L261" s="41" t="n">
        <v>0</v>
      </c>
      <c r="M261" s="41" t="n">
        <v>0</v>
      </c>
      <c r="N261" s="41" t="n">
        <v>0</v>
      </c>
      <c r="O261" s="41" t="n">
        <v>0</v>
      </c>
      <c r="P261" s="42" t="n">
        <v>413069</v>
      </c>
    </row>
    <row r="262" spans="1:16">
      <c r="A262" s="37" t="n">
        <v>266</v>
      </c>
      <c r="B262" s="38" t="s">
        <v>919</v>
      </c>
      <c r="C262" s="39" t="s">
        <v>131</v>
      </c>
      <c r="D262" s="39" t="s">
        <v>20</v>
      </c>
      <c r="E262" s="39" t="s">
        <v>21</v>
      </c>
      <c r="F262" s="38" t="s">
        <v>920</v>
      </c>
      <c r="G262" s="40" t="n">
        <v>0</v>
      </c>
      <c r="H262" s="122" t="s">
        <v>921</v>
      </c>
      <c r="I262" s="41" t="n">
        <v>123523</v>
      </c>
      <c r="J262" s="41" t="n">
        <v>123523</v>
      </c>
      <c r="K262" s="41" t="n">
        <v>6176</v>
      </c>
      <c r="L262" s="41" t="n">
        <v>0</v>
      </c>
      <c r="M262" s="41" t="n">
        <v>0</v>
      </c>
      <c r="N262" s="41" t="n">
        <v>0</v>
      </c>
      <c r="O262" s="41" t="n">
        <v>0</v>
      </c>
      <c r="P262" s="42" t="n">
        <v>117347</v>
      </c>
    </row>
    <row r="263" spans="1:16">
      <c r="A263" s="37" t="n">
        <v>267</v>
      </c>
      <c r="B263" s="38" t="s">
        <v>916</v>
      </c>
      <c r="C263" s="39" t="s">
        <v>111</v>
      </c>
      <c r="D263" s="39" t="s">
        <v>20</v>
      </c>
      <c r="E263" s="39" t="s">
        <v>21</v>
      </c>
      <c r="F263" s="38" t="s">
        <v>917</v>
      </c>
      <c r="G263" s="40" t="n">
        <v>0</v>
      </c>
      <c r="H263" s="122" t="s">
        <v>918</v>
      </c>
      <c r="I263" s="41" t="n">
        <v>121694</v>
      </c>
      <c r="J263" s="41" t="n">
        <v>121694</v>
      </c>
      <c r="K263" s="41" t="n">
        <v>0</v>
      </c>
      <c r="L263" s="41" t="n">
        <v>0</v>
      </c>
      <c r="M263" s="41" t="n">
        <v>0</v>
      </c>
      <c r="N263" s="41" t="n">
        <v>0</v>
      </c>
      <c r="O263" s="41" t="n">
        <v>0</v>
      </c>
      <c r="P263" s="42" t="n">
        <v>121694</v>
      </c>
    </row>
    <row r="264" spans="1:16">
      <c r="A264" s="37" t="n">
        <v>268</v>
      </c>
      <c r="B264" s="38" t="s">
        <v>931</v>
      </c>
      <c r="C264" s="39" t="s">
        <v>120</v>
      </c>
      <c r="D264" s="39" t="s">
        <v>124</v>
      </c>
      <c r="E264" s="39" t="s">
        <v>15</v>
      </c>
      <c r="F264" s="38" t="n">
        <v>0</v>
      </c>
      <c r="G264" s="40" t="n">
        <v>0</v>
      </c>
      <c r="H264" s="122" t="s">
        <v>933</v>
      </c>
      <c r="I264" s="41" t="n">
        <v>397770</v>
      </c>
      <c r="J264" s="41" t="n">
        <v>397770</v>
      </c>
      <c r="K264" s="41" t="n">
        <v>0</v>
      </c>
      <c r="L264" s="41" t="n">
        <v>0</v>
      </c>
      <c r="M264" s="41" t="n">
        <v>0</v>
      </c>
      <c r="N264" s="41" t="n">
        <v>0</v>
      </c>
      <c r="O264" s="41" t="n">
        <v>0</v>
      </c>
      <c r="P264" s="42" t="n">
        <v>397770</v>
      </c>
    </row>
    <row r="265" spans="1:16">
      <c r="A265" s="37" t="n">
        <v>269</v>
      </c>
      <c r="B265" s="38" t="s">
        <v>938</v>
      </c>
      <c r="C265" s="39" t="s">
        <v>283</v>
      </c>
      <c r="D265" s="39" t="s">
        <v>137</v>
      </c>
      <c r="E265" s="39" t="s">
        <v>14</v>
      </c>
      <c r="F265" s="38" t="n">
        <v>0</v>
      </c>
      <c r="G265" s="40" t="n">
        <v>0</v>
      </c>
      <c r="H265" s="122" t="s">
        <v>939</v>
      </c>
      <c r="I265" s="41" t="n">
        <v>382472</v>
      </c>
      <c r="J265" s="41" t="n">
        <v>382472</v>
      </c>
      <c r="K265" s="41" t="n">
        <v>0</v>
      </c>
      <c r="L265" s="41" t="n">
        <v>0</v>
      </c>
      <c r="M265" s="41" t="n">
        <v>0</v>
      </c>
      <c r="N265" s="41" t="n">
        <v>0</v>
      </c>
      <c r="O265" s="41" t="n">
        <v>0</v>
      </c>
      <c r="P265" s="42" t="n">
        <v>382472</v>
      </c>
    </row>
    <row r="266" spans="1:16">
      <c r="A266" s="37" t="n">
        <v>270</v>
      </c>
      <c r="B266" s="38" t="s">
        <v>925</v>
      </c>
      <c r="C266" s="39" t="s">
        <v>95</v>
      </c>
      <c r="D266" s="39" t="s">
        <v>137</v>
      </c>
      <c r="E266" s="39" t="s">
        <v>14</v>
      </c>
      <c r="F266" s="38" t="n">
        <v>0</v>
      </c>
      <c r="G266" s="40" t="n">
        <v>0</v>
      </c>
      <c r="H266" s="122" t="s">
        <v>927</v>
      </c>
      <c r="I266" s="41" t="n">
        <v>382472</v>
      </c>
      <c r="J266" s="41" t="n">
        <v>382472</v>
      </c>
      <c r="K266" s="41" t="n">
        <v>0</v>
      </c>
      <c r="L266" s="41" t="n">
        <v>0</v>
      </c>
      <c r="M266" s="41" t="n">
        <v>0</v>
      </c>
      <c r="N266" s="41" t="n">
        <v>0</v>
      </c>
      <c r="O266" s="41" t="n">
        <v>0</v>
      </c>
      <c r="P266" s="42" t="n">
        <v>382472</v>
      </c>
    </row>
    <row r="267" spans="1:16">
      <c r="A267" s="37" t="n">
        <v>271</v>
      </c>
      <c r="B267" s="38" t="s">
        <v>940</v>
      </c>
      <c r="C267" s="39" t="s">
        <v>283</v>
      </c>
      <c r="D267" s="39" t="s">
        <v>137</v>
      </c>
      <c r="E267" s="39" t="s">
        <v>14</v>
      </c>
      <c r="F267" s="38" t="n">
        <v>0</v>
      </c>
      <c r="G267" s="122" t="s">
        <v>791</v>
      </c>
      <c r="H267" s="122" t="s">
        <v>941</v>
      </c>
      <c r="I267" s="41" t="n">
        <v>382472</v>
      </c>
      <c r="J267" s="41" t="n">
        <v>382472</v>
      </c>
      <c r="K267" s="41" t="n">
        <v>0</v>
      </c>
      <c r="L267" s="41" t="n">
        <v>0</v>
      </c>
      <c r="M267" s="41" t="n">
        <v>0</v>
      </c>
      <c r="N267" s="41" t="n">
        <v>0</v>
      </c>
      <c r="O267" s="41" t="n">
        <v>0</v>
      </c>
      <c r="P267" s="42" t="n">
        <v>382472</v>
      </c>
    </row>
    <row r="268" spans="1:16">
      <c r="A268" s="37" t="n">
        <v>272</v>
      </c>
      <c r="B268" s="38" t="s">
        <v>942</v>
      </c>
      <c r="C268" s="39" t="s">
        <v>120</v>
      </c>
      <c r="D268" s="39" t="s">
        <v>124</v>
      </c>
      <c r="E268" s="39" t="s">
        <v>15</v>
      </c>
      <c r="F268" s="38" t="n">
        <v>0</v>
      </c>
      <c r="G268" s="122" t="s">
        <v>795</v>
      </c>
      <c r="H268" s="122" t="s">
        <v>943</v>
      </c>
      <c r="I268" s="41" t="n">
        <v>351874</v>
      </c>
      <c r="J268" s="41" t="n">
        <v>351874</v>
      </c>
      <c r="K268" s="41" t="n">
        <v>0</v>
      </c>
      <c r="L268" s="41" t="n">
        <v>0</v>
      </c>
      <c r="M268" s="41" t="n">
        <v>0</v>
      </c>
      <c r="N268" s="41" t="n">
        <v>0</v>
      </c>
      <c r="O268" s="41" t="n">
        <v>0</v>
      </c>
      <c r="P268" s="42" t="n">
        <v>351874</v>
      </c>
    </row>
    <row r="269" spans="1:16">
      <c r="A269" s="37" t="n">
        <v>273</v>
      </c>
      <c r="B269" s="38" t="s">
        <v>944</v>
      </c>
      <c r="C269" s="39" t="s">
        <v>95</v>
      </c>
      <c r="D269" s="39" t="s">
        <v>137</v>
      </c>
      <c r="E269" s="39" t="s">
        <v>14</v>
      </c>
      <c r="F269" s="38" t="n">
        <v>0</v>
      </c>
      <c r="G269" s="122" t="s">
        <v>799</v>
      </c>
      <c r="H269" s="122" t="s">
        <v>945</v>
      </c>
      <c r="I269" s="41" t="n">
        <v>10744</v>
      </c>
      <c r="J269" s="41" t="n">
        <v>10744</v>
      </c>
      <c r="K269" s="41" t="n">
        <v>0</v>
      </c>
      <c r="L269" s="41" t="n">
        <v>0</v>
      </c>
      <c r="M269" s="41" t="n">
        <v>0</v>
      </c>
      <c r="N269" s="41" t="n">
        <v>0</v>
      </c>
      <c r="O269" s="41" t="n">
        <v>0</v>
      </c>
      <c r="P269" s="42" t="n">
        <v>10744</v>
      </c>
    </row>
    <row r="270" spans="1:16">
      <c r="A270" s="37" t="n">
        <v>274</v>
      </c>
      <c r="B270" s="38" t="s">
        <v>946</v>
      </c>
      <c r="C270" s="39" t="s">
        <v>95</v>
      </c>
      <c r="D270" s="39" t="s">
        <v>137</v>
      </c>
      <c r="E270" s="39" t="s">
        <v>14</v>
      </c>
      <c r="F270" s="38" t="n">
        <v>0</v>
      </c>
      <c r="G270" s="40" t="n">
        <v>0</v>
      </c>
      <c r="H270" s="122" t="s">
        <v>948</v>
      </c>
      <c r="I270" s="41" t="n">
        <v>11887</v>
      </c>
      <c r="J270" s="41" t="n">
        <v>11887</v>
      </c>
      <c r="K270" s="41" t="n">
        <v>0</v>
      </c>
      <c r="L270" s="41" t="n">
        <v>0</v>
      </c>
      <c r="M270" s="41" t="n">
        <v>0</v>
      </c>
      <c r="N270" s="41" t="n">
        <v>0</v>
      </c>
      <c r="O270" s="41" t="n">
        <v>0</v>
      </c>
      <c r="P270" s="42" t="n">
        <v>11887</v>
      </c>
    </row>
    <row r="271" spans="1:16">
      <c r="A271" s="37" t="n">
        <v>275</v>
      </c>
      <c r="B271" s="38" t="s">
        <v>949</v>
      </c>
      <c r="C271" s="39" t="s">
        <v>95</v>
      </c>
      <c r="D271" s="39" t="s">
        <v>128</v>
      </c>
      <c r="E271" s="39" t="s">
        <v>15</v>
      </c>
      <c r="F271" s="38" t="n">
        <v>0</v>
      </c>
      <c r="G271" s="40" t="n">
        <v>0</v>
      </c>
      <c r="H271" s="122" t="s">
        <v>950</v>
      </c>
      <c r="I271" s="41" t="n">
        <v>10744</v>
      </c>
      <c r="J271" s="41" t="n">
        <v>10744</v>
      </c>
      <c r="K271" s="41" t="n">
        <v>0</v>
      </c>
      <c r="L271" s="41" t="n">
        <v>0</v>
      </c>
      <c r="M271" s="41" t="n">
        <v>0</v>
      </c>
      <c r="N271" s="41" t="n">
        <v>0</v>
      </c>
      <c r="O271" s="41" t="n">
        <v>0</v>
      </c>
      <c r="P271" s="42" t="n">
        <v>10744</v>
      </c>
    </row>
    <row r="272" spans="1:16">
      <c r="A272" s="37" t="n">
        <v>276</v>
      </c>
      <c r="B272" s="38" t="s">
        <v>951</v>
      </c>
      <c r="C272" s="39" t="s">
        <v>95</v>
      </c>
      <c r="D272" s="39" t="s">
        <v>121</v>
      </c>
      <c r="E272" s="39" t="s">
        <v>14</v>
      </c>
      <c r="F272" s="38" t="n">
        <v>0</v>
      </c>
      <c r="G272" s="122" t="s">
        <v>806</v>
      </c>
      <c r="H272" s="122" t="s">
        <v>952</v>
      </c>
      <c r="I272" s="41" t="n">
        <v>11887</v>
      </c>
      <c r="J272" s="41" t="n">
        <v>11887</v>
      </c>
      <c r="K272" s="41" t="n">
        <v>0</v>
      </c>
      <c r="L272" s="41" t="n">
        <v>0</v>
      </c>
      <c r="M272" s="41" t="n">
        <v>0</v>
      </c>
      <c r="N272" s="41" t="n">
        <v>0</v>
      </c>
      <c r="O272" s="41" t="n">
        <v>0</v>
      </c>
      <c r="P272" s="42" t="n">
        <v>11887</v>
      </c>
    </row>
    <row r="273" spans="1:16">
      <c r="A273" s="37" t="n">
        <v>277</v>
      </c>
      <c r="B273" s="38" t="s">
        <v>953</v>
      </c>
      <c r="C273" s="39" t="s">
        <v>95</v>
      </c>
      <c r="D273" s="39" t="s">
        <v>121</v>
      </c>
      <c r="E273" s="39" t="s">
        <v>14</v>
      </c>
      <c r="F273" s="38" t="n">
        <v>0</v>
      </c>
      <c r="G273" s="122" t="s">
        <v>809</v>
      </c>
      <c r="H273" s="122" t="s">
        <v>954</v>
      </c>
      <c r="I273" s="41" t="n">
        <v>125062</v>
      </c>
      <c r="J273" s="41" t="n">
        <v>125062</v>
      </c>
      <c r="K273" s="41" t="n">
        <v>0</v>
      </c>
      <c r="L273" s="41" t="n">
        <v>0</v>
      </c>
      <c r="M273" s="41" t="n">
        <v>0</v>
      </c>
      <c r="N273" s="41" t="n">
        <v>0</v>
      </c>
      <c r="O273" s="41" t="n">
        <v>0</v>
      </c>
      <c r="P273" s="42" t="n">
        <v>125062</v>
      </c>
    </row>
    <row r="274" spans="1:16">
      <c r="A274" s="37" t="n">
        <v>278</v>
      </c>
      <c r="B274" s="38" t="s">
        <v>492</v>
      </c>
      <c r="C274" s="39" t="s">
        <v>58</v>
      </c>
      <c r="D274" s="39" t="s">
        <v>20</v>
      </c>
      <c r="E274" s="39" t="s">
        <v>21</v>
      </c>
      <c r="F274" s="38" t="s">
        <v>493</v>
      </c>
      <c r="G274" s="40" t="n">
        <v>0</v>
      </c>
      <c r="H274" s="122" t="s">
        <v>494</v>
      </c>
      <c r="I274" s="41" t="n">
        <v>413069</v>
      </c>
      <c r="J274" s="41" t="n">
        <v>413069</v>
      </c>
      <c r="K274" s="41" t="n">
        <v>20653</v>
      </c>
      <c r="L274" s="41" t="n">
        <v>0</v>
      </c>
      <c r="M274" s="41" t="n">
        <v>0</v>
      </c>
      <c r="N274" s="41" t="n">
        <v>0</v>
      </c>
      <c r="O274" s="41" t="n">
        <v>0</v>
      </c>
      <c r="P274" s="42" t="n">
        <v>392416</v>
      </c>
    </row>
    <row r="275" spans="1:16">
      <c r="A275" s="37" t="n">
        <v>279</v>
      </c>
      <c r="B275" s="38" t="s">
        <v>955</v>
      </c>
      <c r="C275" s="39" t="s">
        <v>58</v>
      </c>
      <c r="D275" s="39" t="s">
        <v>20</v>
      </c>
      <c r="E275" s="39" t="s">
        <v>21</v>
      </c>
      <c r="F275" s="38" t="s">
        <v>956</v>
      </c>
      <c r="G275" s="40" t="n">
        <v>0</v>
      </c>
      <c r="H275" s="122" t="s">
        <v>957</v>
      </c>
      <c r="I275" s="41" t="n">
        <v>57377</v>
      </c>
      <c r="J275" s="41" t="n">
        <v>57377</v>
      </c>
      <c r="K275" s="41" t="n">
        <v>2869</v>
      </c>
      <c r="L275" s="41" t="n">
        <v>0</v>
      </c>
      <c r="M275" s="41" t="n">
        <v>0</v>
      </c>
      <c r="N275" s="41" t="n">
        <v>0</v>
      </c>
      <c r="O275" s="41" t="n">
        <v>0</v>
      </c>
      <c r="P275" s="42" t="n">
        <v>54508</v>
      </c>
    </row>
    <row r="276" spans="1:16">
      <c r="A276" s="37" t="n">
        <v>280</v>
      </c>
      <c r="B276" s="38" t="s">
        <v>958</v>
      </c>
      <c r="C276" s="39" t="s">
        <v>58</v>
      </c>
      <c r="D276" s="39" t="s">
        <v>20</v>
      </c>
      <c r="E276" s="39" t="s">
        <v>21</v>
      </c>
      <c r="F276" s="38" t="s">
        <v>959</v>
      </c>
      <c r="G276" s="122" t="s">
        <v>816</v>
      </c>
      <c r="H276" s="122" t="s">
        <v>960</v>
      </c>
      <c r="I276" s="41" t="n">
        <v>12573</v>
      </c>
      <c r="J276" s="41" t="n">
        <v>12573</v>
      </c>
      <c r="K276" s="41" t="n">
        <v>629</v>
      </c>
      <c r="L276" s="41" t="n">
        <v>0</v>
      </c>
      <c r="M276" s="41" t="n">
        <v>0</v>
      </c>
      <c r="N276" s="41" t="n">
        <v>0</v>
      </c>
      <c r="O276" s="41" t="n">
        <v>0</v>
      </c>
      <c r="P276" s="42" t="n">
        <v>11944</v>
      </c>
    </row>
    <row r="277" spans="1:16">
      <c r="A277" s="37" t="n">
        <v>281</v>
      </c>
      <c r="B277" s="38" t="s">
        <v>963</v>
      </c>
      <c r="C277" s="39" t="s">
        <v>283</v>
      </c>
      <c r="D277" s="39" t="s">
        <v>20</v>
      </c>
      <c r="E277" s="39" t="s">
        <v>21</v>
      </c>
      <c r="F277" s="38" t="n">
        <v>0</v>
      </c>
      <c r="G277" s="40" t="n">
        <v>0</v>
      </c>
      <c r="H277" s="122" t="s">
        <v>964</v>
      </c>
      <c r="I277" s="41" t="n">
        <v>35647</v>
      </c>
      <c r="J277" s="41" t="n">
        <v>35647</v>
      </c>
      <c r="K277" s="41" t="n">
        <v>0</v>
      </c>
      <c r="L277" s="41" t="n">
        <v>0</v>
      </c>
      <c r="M277" s="41" t="n">
        <v>0</v>
      </c>
      <c r="N277" s="41" t="n">
        <v>0</v>
      </c>
      <c r="O277" s="41" t="n">
        <v>0</v>
      </c>
      <c r="P277" s="42" t="n">
        <v>35647</v>
      </c>
    </row>
    <row r="278" spans="1:16">
      <c r="A278" s="37" t="n">
        <v>282</v>
      </c>
      <c r="B278" s="38" t="s">
        <v>961</v>
      </c>
      <c r="C278" s="39" t="s">
        <v>283</v>
      </c>
      <c r="D278" s="39" t="s">
        <v>20</v>
      </c>
      <c r="E278" s="39" t="s">
        <v>21</v>
      </c>
      <c r="F278" s="38" t="n">
        <v>0</v>
      </c>
      <c r="G278" s="40" t="n">
        <v>0</v>
      </c>
      <c r="H278" s="122" t="s">
        <v>962</v>
      </c>
      <c r="I278" s="41" t="n">
        <v>35647</v>
      </c>
      <c r="J278" s="41" t="n">
        <v>35647</v>
      </c>
      <c r="K278" s="41" t="n">
        <v>0</v>
      </c>
      <c r="L278" s="41" t="n">
        <v>0</v>
      </c>
      <c r="M278" s="41" t="n">
        <v>0</v>
      </c>
      <c r="N278" s="41" t="n">
        <v>0</v>
      </c>
      <c r="O278" s="41" t="n">
        <v>0</v>
      </c>
      <c r="P278" s="42" t="n">
        <v>35647</v>
      </c>
    </row>
    <row r="279" spans="1:16">
      <c r="A279" s="37" t="n">
        <v>283</v>
      </c>
      <c r="B279" s="38" t="s">
        <v>965</v>
      </c>
      <c r="C279" s="39" t="s">
        <v>58</v>
      </c>
      <c r="D279" s="39" t="s">
        <v>20</v>
      </c>
      <c r="E279" s="39" t="s">
        <v>21</v>
      </c>
      <c r="F279" s="38" t="s">
        <v>966</v>
      </c>
      <c r="G279" s="40" t="n">
        <v>0</v>
      </c>
      <c r="H279" s="122" t="s">
        <v>967</v>
      </c>
      <c r="I279" s="41" t="n">
        <v>37476</v>
      </c>
      <c r="J279" s="41" t="n">
        <v>37476</v>
      </c>
      <c r="K279" s="41" t="n">
        <v>1874</v>
      </c>
      <c r="L279" s="41" t="n">
        <v>0</v>
      </c>
      <c r="M279" s="41" t="n">
        <v>0</v>
      </c>
      <c r="N279" s="41" t="n">
        <v>0</v>
      </c>
      <c r="O279" s="41" t="n">
        <v>0</v>
      </c>
      <c r="P279" s="42" t="n">
        <v>35602</v>
      </c>
    </row>
    <row r="280" spans="1:16">
      <c r="A280" s="37" t="n">
        <v>284</v>
      </c>
      <c r="B280" s="38" t="s">
        <v>968</v>
      </c>
      <c r="C280" s="39" t="s">
        <v>58</v>
      </c>
      <c r="D280" s="39" t="s">
        <v>20</v>
      </c>
      <c r="E280" s="39" t="s">
        <v>21</v>
      </c>
      <c r="F280" s="38" t="s">
        <v>969</v>
      </c>
      <c r="G280" s="40" t="n">
        <v>0</v>
      </c>
      <c r="H280" s="122" t="s">
        <v>970</v>
      </c>
      <c r="I280" s="41" t="n">
        <v>37476</v>
      </c>
      <c r="J280" s="41" t="n">
        <v>37476</v>
      </c>
      <c r="K280" s="41" t="n">
        <v>1874</v>
      </c>
      <c r="L280" s="41" t="n">
        <v>0</v>
      </c>
      <c r="M280" s="41" t="n">
        <v>0</v>
      </c>
      <c r="N280" s="41" t="n">
        <v>0</v>
      </c>
      <c r="O280" s="41" t="n">
        <v>0</v>
      </c>
      <c r="P280" s="42" t="n">
        <v>35602</v>
      </c>
    </row>
    <row r="281" spans="1:16">
      <c r="A281" s="37" t="n">
        <v>285</v>
      </c>
      <c r="B281" s="38" t="s">
        <v>975</v>
      </c>
      <c r="C281" s="39" t="s">
        <v>95</v>
      </c>
      <c r="D281" s="39" t="s">
        <v>137</v>
      </c>
      <c r="E281" s="39" t="s">
        <v>14</v>
      </c>
      <c r="F281" s="38" t="n">
        <v>0</v>
      </c>
      <c r="G281" s="40" t="n">
        <v>0</v>
      </c>
      <c r="H281" s="122" t="s">
        <v>977</v>
      </c>
      <c r="I281" s="41" t="n">
        <v>29421</v>
      </c>
      <c r="J281" s="41" t="n">
        <v>29421</v>
      </c>
      <c r="K281" s="41" t="n">
        <v>0</v>
      </c>
      <c r="L281" s="41" t="n">
        <v>0</v>
      </c>
      <c r="M281" s="41" t="n">
        <v>0</v>
      </c>
      <c r="N281" s="41" t="n">
        <v>0</v>
      </c>
      <c r="O281" s="41" t="n">
        <v>0</v>
      </c>
      <c r="P281" s="42" t="n">
        <v>29421</v>
      </c>
    </row>
    <row r="282" spans="1:16">
      <c r="A282" s="37" t="n">
        <v>286</v>
      </c>
      <c r="B282" s="38" t="s">
        <v>978</v>
      </c>
      <c r="C282" s="39" t="s">
        <v>95</v>
      </c>
      <c r="D282" s="39" t="s">
        <v>278</v>
      </c>
      <c r="E282" s="39" t="s">
        <v>16</v>
      </c>
      <c r="F282" s="38" t="n">
        <v>0</v>
      </c>
      <c r="G282" s="122" t="s">
        <v>830</v>
      </c>
      <c r="H282" s="40" t="n">
        <v>1612007612</v>
      </c>
      <c r="I282" s="41" t="n">
        <v>10744</v>
      </c>
      <c r="J282" s="41" t="n">
        <v>10744</v>
      </c>
      <c r="K282" s="41" t="n">
        <v>0</v>
      </c>
      <c r="L282" s="41" t="n">
        <v>0</v>
      </c>
      <c r="M282" s="41" t="n">
        <v>0</v>
      </c>
      <c r="N282" s="41" t="n">
        <v>0</v>
      </c>
      <c r="O282" s="41" t="n">
        <v>0</v>
      </c>
      <c r="P282" s="42" t="n">
        <v>10744</v>
      </c>
    </row>
    <row r="283" spans="1:16">
      <c r="A283" s="37" t="n">
        <v>287</v>
      </c>
      <c r="B283" s="38" t="s">
        <v>971</v>
      </c>
      <c r="C283" s="39" t="s">
        <v>131</v>
      </c>
      <c r="D283" s="39" t="s">
        <v>20</v>
      </c>
      <c r="E283" s="39" t="s">
        <v>21</v>
      </c>
      <c r="F283" s="38" t="s">
        <v>972</v>
      </c>
      <c r="G283" s="122" t="s">
        <v>833</v>
      </c>
      <c r="H283" s="122" t="s">
        <v>974</v>
      </c>
      <c r="I283" s="41" t="n">
        <v>37476</v>
      </c>
      <c r="J283" s="41" t="n">
        <v>37476</v>
      </c>
      <c r="K283" s="41" t="n">
        <v>1874</v>
      </c>
      <c r="L283" s="41" t="n">
        <v>0</v>
      </c>
      <c r="M283" s="41" t="n">
        <v>0</v>
      </c>
      <c r="N283" s="41" t="n">
        <v>0</v>
      </c>
      <c r="O283" s="41" t="n">
        <v>0</v>
      </c>
      <c r="P283" s="42" t="n">
        <v>35602</v>
      </c>
    </row>
    <row r="284" spans="1:16">
      <c r="A284" s="37" t="n">
        <v>288</v>
      </c>
      <c r="B284" s="38" t="s">
        <v>981</v>
      </c>
      <c r="C284" s="39" t="s">
        <v>95</v>
      </c>
      <c r="D284" s="39" t="s">
        <v>124</v>
      </c>
      <c r="E284" s="39" t="s">
        <v>15</v>
      </c>
      <c r="F284" s="38" t="n">
        <v>0</v>
      </c>
      <c r="G284" s="122" t="s">
        <v>836</v>
      </c>
      <c r="H284" s="122" t="s">
        <v>983</v>
      </c>
      <c r="I284" s="41" t="n">
        <v>29421</v>
      </c>
      <c r="J284" s="41" t="n">
        <v>29421</v>
      </c>
      <c r="K284" s="41" t="n">
        <v>0</v>
      </c>
      <c r="L284" s="41" t="n">
        <v>0</v>
      </c>
      <c r="M284" s="41" t="n">
        <v>0</v>
      </c>
      <c r="N284" s="41" t="n">
        <v>0</v>
      </c>
      <c r="O284" s="41" t="n">
        <v>0</v>
      </c>
      <c r="P284" s="42" t="n">
        <v>29421</v>
      </c>
    </row>
    <row r="285" spans="1:16">
      <c r="A285" s="37" t="n">
        <v>289</v>
      </c>
      <c r="B285" s="38" t="s">
        <v>986</v>
      </c>
      <c r="C285" s="39" t="s">
        <v>95</v>
      </c>
      <c r="D285" s="39" t="s">
        <v>137</v>
      </c>
      <c r="E285" s="39" t="s">
        <v>14</v>
      </c>
      <c r="F285" s="38" t="n">
        <v>0</v>
      </c>
      <c r="G285" s="40" t="n">
        <v>0</v>
      </c>
      <c r="H285" s="122" t="s">
        <v>988</v>
      </c>
      <c r="I285" s="41" t="n">
        <v>21120</v>
      </c>
      <c r="J285" s="41" t="n">
        <v>21120</v>
      </c>
      <c r="K285" s="41" t="n">
        <v>0</v>
      </c>
      <c r="L285" s="41" t="n">
        <v>0</v>
      </c>
      <c r="M285" s="41" t="n">
        <v>0</v>
      </c>
      <c r="N285" s="41" t="n">
        <v>0</v>
      </c>
      <c r="O285" s="41" t="n">
        <v>0</v>
      </c>
      <c r="P285" s="42" t="n">
        <v>21120</v>
      </c>
    </row>
    <row r="286" spans="1:16">
      <c r="A286" s="37" t="n">
        <v>290</v>
      </c>
      <c r="B286" s="38" t="s">
        <v>989</v>
      </c>
      <c r="C286" s="39" t="s">
        <v>95</v>
      </c>
      <c r="D286" s="39" t="s">
        <v>124</v>
      </c>
      <c r="E286" s="39" t="s">
        <v>15</v>
      </c>
      <c r="F286" s="38" t="n">
        <v>0</v>
      </c>
      <c r="G286" s="40" t="n">
        <v>0</v>
      </c>
      <c r="H286" s="122" t="s">
        <v>991</v>
      </c>
      <c r="I286" s="41" t="n">
        <v>21120</v>
      </c>
      <c r="J286" s="41" t="n">
        <v>21120</v>
      </c>
      <c r="K286" s="41" t="n">
        <v>0</v>
      </c>
      <c r="L286" s="41" t="n">
        <v>0</v>
      </c>
      <c r="M286" s="41" t="n">
        <v>0</v>
      </c>
      <c r="N286" s="41" t="n">
        <v>0</v>
      </c>
      <c r="O286" s="41" t="n">
        <v>0</v>
      </c>
      <c r="P286" s="42" t="n">
        <v>21120</v>
      </c>
    </row>
    <row r="287" spans="1:16">
      <c r="A287" s="37" t="n">
        <v>291</v>
      </c>
      <c r="B287" s="38" t="s">
        <v>984</v>
      </c>
      <c r="C287" s="39" t="s">
        <v>283</v>
      </c>
      <c r="D287" s="39" t="s">
        <v>124</v>
      </c>
      <c r="E287" s="39" t="s">
        <v>15</v>
      </c>
      <c r="F287" s="38" t="n">
        <v>0</v>
      </c>
      <c r="G287" s="122" t="s">
        <v>845</v>
      </c>
      <c r="H287" s="122" t="s">
        <v>985</v>
      </c>
      <c r="I287" s="41" t="n">
        <v>29421</v>
      </c>
      <c r="J287" s="41" t="n">
        <v>29421</v>
      </c>
      <c r="K287" s="41" t="n">
        <v>0</v>
      </c>
      <c r="L287" s="41" t="n">
        <v>0</v>
      </c>
      <c r="M287" s="41" t="n">
        <v>0</v>
      </c>
      <c r="N287" s="41" t="n">
        <v>0</v>
      </c>
      <c r="O287" s="41" t="n">
        <v>0</v>
      </c>
      <c r="P287" s="42" t="n">
        <v>29421</v>
      </c>
    </row>
    <row r="288" spans="1:16">
      <c r="A288" s="37" t="n">
        <v>292</v>
      </c>
      <c r="B288" s="38" t="s">
        <v>992</v>
      </c>
      <c r="C288" s="39" t="s">
        <v>95</v>
      </c>
      <c r="D288" s="39" t="s">
        <v>121</v>
      </c>
      <c r="E288" s="39" t="s">
        <v>14</v>
      </c>
      <c r="F288" s="38" t="n">
        <v>0</v>
      </c>
      <c r="G288" s="122" t="s">
        <v>849</v>
      </c>
      <c r="H288" s="122" t="s">
        <v>994</v>
      </c>
      <c r="I288" s="41" t="n">
        <v>142348</v>
      </c>
      <c r="J288" s="41" t="n">
        <v>142348</v>
      </c>
      <c r="K288" s="41" t="n">
        <v>0</v>
      </c>
      <c r="L288" s="41" t="n">
        <v>0</v>
      </c>
      <c r="M288" s="41" t="n">
        <v>0</v>
      </c>
      <c r="N288" s="41" t="n">
        <v>0</v>
      </c>
      <c r="O288" s="41" t="n">
        <v>0</v>
      </c>
      <c r="P288" s="42" t="n">
        <v>142348</v>
      </c>
    </row>
    <row r="289" spans="1:16">
      <c r="A289" s="37" t="n">
        <v>293</v>
      </c>
      <c r="B289" s="38" t="s">
        <v>486</v>
      </c>
      <c r="C289" s="39" t="s">
        <v>111</v>
      </c>
      <c r="D289" s="39" t="s">
        <v>20</v>
      </c>
      <c r="E289" s="39" t="s">
        <v>21</v>
      </c>
      <c r="F289" s="38" t="s">
        <v>487</v>
      </c>
      <c r="G289" s="122" t="s">
        <v>852</v>
      </c>
      <c r="H289" s="122" t="s">
        <v>488</v>
      </c>
      <c r="I289" s="41" t="n">
        <v>24832</v>
      </c>
      <c r="J289" s="41" t="n">
        <v>24832</v>
      </c>
      <c r="K289" s="41" t="n">
        <v>0</v>
      </c>
      <c r="L289" s="41" t="n">
        <v>0</v>
      </c>
      <c r="M289" s="41" t="n">
        <v>0</v>
      </c>
      <c r="N289" s="41" t="n">
        <v>0</v>
      </c>
      <c r="O289" s="41" t="n">
        <v>0</v>
      </c>
      <c r="P289" s="42" t="n">
        <v>24832</v>
      </c>
    </row>
    <row r="290" spans="1:16">
      <c r="A290" s="37" t="n">
        <v>294</v>
      </c>
      <c r="B290" s="38" t="s">
        <v>995</v>
      </c>
      <c r="C290" s="39" t="s">
        <v>58</v>
      </c>
      <c r="D290" s="39" t="s">
        <v>20</v>
      </c>
      <c r="E290" s="39" t="s">
        <v>21</v>
      </c>
      <c r="F290" s="38" t="s">
        <v>996</v>
      </c>
      <c r="G290" s="122" t="s">
        <v>855</v>
      </c>
      <c r="H290" s="122" t="s">
        <v>998</v>
      </c>
      <c r="I290" s="41" t="n">
        <v>237500</v>
      </c>
      <c r="J290" s="41" t="n">
        <v>237500</v>
      </c>
      <c r="K290" s="41" t="n">
        <v>11875</v>
      </c>
      <c r="L290" s="41" t="n">
        <v>0</v>
      </c>
      <c r="M290" s="41" t="n">
        <v>0</v>
      </c>
      <c r="N290" s="41" t="n">
        <v>0</v>
      </c>
      <c r="O290" s="41" t="n">
        <v>0</v>
      </c>
      <c r="P290" s="42" t="n">
        <v>225625</v>
      </c>
    </row>
    <row r="291" spans="1:16">
      <c r="A291" s="37" t="n">
        <v>295</v>
      </c>
      <c r="B291" s="38" t="s">
        <v>999</v>
      </c>
      <c r="C291" s="39" t="s">
        <v>58</v>
      </c>
      <c r="D291" s="39" t="s">
        <v>20</v>
      </c>
      <c r="E291" s="39" t="s">
        <v>21</v>
      </c>
      <c r="F291" s="38" t="s">
        <v>1000</v>
      </c>
      <c r="G291" s="122" t="s">
        <v>858</v>
      </c>
      <c r="H291" s="122" t="s">
        <v>1002</v>
      </c>
      <c r="I291" s="41" t="n">
        <v>11887</v>
      </c>
      <c r="J291" s="41" t="n">
        <v>11887</v>
      </c>
      <c r="K291" s="41" t="n">
        <v>594</v>
      </c>
      <c r="L291" s="41" t="n">
        <v>0</v>
      </c>
      <c r="M291" s="41" t="n">
        <v>0</v>
      </c>
      <c r="N291" s="41" t="n">
        <v>0</v>
      </c>
      <c r="O291" s="41" t="n">
        <v>0</v>
      </c>
      <c r="P291" s="42" t="n">
        <v>11293</v>
      </c>
    </row>
    <row r="292" spans="1:16">
      <c r="A292" s="37" t="n">
        <v>296</v>
      </c>
      <c r="B292" s="38" t="s">
        <v>1003</v>
      </c>
      <c r="C292" s="39" t="s">
        <v>283</v>
      </c>
      <c r="D292" s="39" t="s">
        <v>20</v>
      </c>
      <c r="E292" s="39" t="s">
        <v>21</v>
      </c>
      <c r="F292" s="38" t="n">
        <v>0</v>
      </c>
      <c r="G292" s="40" t="n">
        <v>0</v>
      </c>
      <c r="H292" s="122" t="s">
        <v>1005</v>
      </c>
      <c r="I292" s="41" t="n">
        <v>10058</v>
      </c>
      <c r="J292" s="41" t="n">
        <v>10058</v>
      </c>
      <c r="K292" s="41" t="n">
        <v>0</v>
      </c>
      <c r="L292" s="41" t="n">
        <v>0</v>
      </c>
      <c r="M292" s="41" t="n">
        <v>0</v>
      </c>
      <c r="N292" s="41" t="n">
        <v>0</v>
      </c>
      <c r="O292" s="41" t="n">
        <v>0</v>
      </c>
      <c r="P292" s="42" t="n">
        <v>10058</v>
      </c>
    </row>
    <row r="293" spans="1:16">
      <c r="A293" s="37" t="n">
        <v>297</v>
      </c>
      <c r="B293" s="38" t="s">
        <v>1006</v>
      </c>
      <c r="C293" s="39" t="s">
        <v>120</v>
      </c>
      <c r="D293" s="39" t="s">
        <v>128</v>
      </c>
      <c r="E293" s="39" t="s">
        <v>15</v>
      </c>
      <c r="F293" s="38" t="n">
        <v>0</v>
      </c>
      <c r="G293" s="40" t="n">
        <v>0</v>
      </c>
      <c r="H293" s="122" t="s">
        <v>1008</v>
      </c>
      <c r="I293" s="41" t="n">
        <v>11887</v>
      </c>
      <c r="J293" s="41" t="n">
        <v>11887</v>
      </c>
      <c r="K293" s="41" t="n">
        <v>0</v>
      </c>
      <c r="L293" s="41" t="n">
        <v>0</v>
      </c>
      <c r="M293" s="41" t="n">
        <v>0</v>
      </c>
      <c r="N293" s="41" t="n">
        <v>0</v>
      </c>
      <c r="O293" s="41" t="n">
        <v>0</v>
      </c>
      <c r="P293" s="42" t="n">
        <v>11887</v>
      </c>
    </row>
    <row r="294" spans="1:16">
      <c r="A294" s="37" t="n">
        <v>298</v>
      </c>
      <c r="B294" s="38" t="s">
        <v>1009</v>
      </c>
      <c r="C294" s="39" t="s">
        <v>111</v>
      </c>
      <c r="D294" s="39" t="s">
        <v>20</v>
      </c>
      <c r="E294" s="39" t="s">
        <v>21</v>
      </c>
      <c r="F294" s="38" t="s">
        <v>1010</v>
      </c>
      <c r="G294" s="40" t="n">
        <v>0</v>
      </c>
      <c r="H294" s="122" t="s">
        <v>1012</v>
      </c>
      <c r="I294" s="41" t="n">
        <v>10058</v>
      </c>
      <c r="J294" s="41" t="n">
        <v>10058</v>
      </c>
      <c r="K294" s="41" t="n">
        <v>0</v>
      </c>
      <c r="L294" s="41" t="n">
        <v>0</v>
      </c>
      <c r="M294" s="41" t="n">
        <v>0</v>
      </c>
      <c r="N294" s="41" t="n">
        <v>0</v>
      </c>
      <c r="O294" s="41" t="n">
        <v>0</v>
      </c>
      <c r="P294" s="42" t="n">
        <v>10058</v>
      </c>
    </row>
    <row r="295" spans="1:16">
      <c r="A295" s="37" t="n">
        <v>299</v>
      </c>
      <c r="B295" s="38" t="s">
        <v>1013</v>
      </c>
      <c r="C295" s="39" t="s">
        <v>111</v>
      </c>
      <c r="D295" s="39" t="s">
        <v>20</v>
      </c>
      <c r="E295" s="39" t="s">
        <v>21</v>
      </c>
      <c r="F295" s="38" t="s">
        <v>1014</v>
      </c>
      <c r="G295" s="40" t="n">
        <v>0</v>
      </c>
      <c r="H295" s="122" t="s">
        <v>1016</v>
      </c>
      <c r="I295" s="41" t="n">
        <v>10058</v>
      </c>
      <c r="J295" s="41" t="n">
        <v>10058</v>
      </c>
      <c r="K295" s="41" t="n">
        <v>0</v>
      </c>
      <c r="L295" s="41" t="n">
        <v>0</v>
      </c>
      <c r="M295" s="41" t="n">
        <v>0</v>
      </c>
      <c r="N295" s="41" t="n">
        <v>0</v>
      </c>
      <c r="O295" s="41" t="n">
        <v>0</v>
      </c>
      <c r="P295" s="42" t="n">
        <v>10058</v>
      </c>
    </row>
    <row r="296" spans="1:16">
      <c r="A296" s="37" t="n">
        <v>300</v>
      </c>
      <c r="B296" s="38" t="s">
        <v>1017</v>
      </c>
      <c r="C296" s="39" t="s">
        <v>111</v>
      </c>
      <c r="D296" s="39" t="s">
        <v>20</v>
      </c>
      <c r="E296" s="39" t="s">
        <v>21</v>
      </c>
      <c r="F296" s="38" t="s">
        <v>1018</v>
      </c>
      <c r="G296" s="40" t="n">
        <v>0</v>
      </c>
      <c r="H296" s="122" t="s">
        <v>1019</v>
      </c>
      <c r="I296" s="41" t="n">
        <v>10058</v>
      </c>
      <c r="J296" s="41" t="n">
        <v>10058</v>
      </c>
      <c r="K296" s="41" t="n">
        <v>0</v>
      </c>
      <c r="L296" s="41" t="n">
        <v>0</v>
      </c>
      <c r="M296" s="41" t="n">
        <v>0</v>
      </c>
      <c r="N296" s="41" t="n">
        <v>0</v>
      </c>
      <c r="O296" s="41" t="n">
        <v>0</v>
      </c>
      <c r="P296" s="42" t="n">
        <v>10058</v>
      </c>
    </row>
    <row r="297" spans="1:16">
      <c r="A297" s="37" t="n">
        <v>301</v>
      </c>
      <c r="B297" s="38" t="s">
        <v>1020</v>
      </c>
      <c r="C297" s="39" t="s">
        <v>111</v>
      </c>
      <c r="D297" s="39" t="s">
        <v>20</v>
      </c>
      <c r="E297" s="39" t="s">
        <v>21</v>
      </c>
      <c r="F297" s="38" t="s">
        <v>1021</v>
      </c>
      <c r="G297" s="40" t="n">
        <v>0</v>
      </c>
      <c r="H297" s="122" t="s">
        <v>1022</v>
      </c>
      <c r="I297" s="41" t="n">
        <v>10058</v>
      </c>
      <c r="J297" s="41" t="n">
        <v>10058</v>
      </c>
      <c r="K297" s="41" t="n">
        <v>0</v>
      </c>
      <c r="L297" s="41" t="n">
        <v>0</v>
      </c>
      <c r="M297" s="41" t="n">
        <v>0</v>
      </c>
      <c r="N297" s="41" t="n">
        <v>0</v>
      </c>
      <c r="O297" s="41" t="n">
        <v>0</v>
      </c>
      <c r="P297" s="42" t="n">
        <v>10058</v>
      </c>
    </row>
    <row r="298" spans="1:16">
      <c r="A298" s="43" t="n">
        <v>302</v>
      </c>
      <c r="B298" s="44" t="s">
        <v>1023</v>
      </c>
      <c r="C298" s="45" t="s">
        <v>111</v>
      </c>
      <c r="D298" s="45" t="s">
        <v>20</v>
      </c>
      <c r="E298" s="45" t="s">
        <v>21</v>
      </c>
      <c r="F298" s="44" t="s">
        <v>1024</v>
      </c>
      <c r="G298" s="46" t="n">
        <v>0</v>
      </c>
      <c r="H298" s="124" t="s">
        <v>1025</v>
      </c>
      <c r="I298" s="47" t="n">
        <v>10058</v>
      </c>
      <c r="J298" s="47" t="n">
        <v>10058</v>
      </c>
      <c r="K298" s="47" t="n">
        <v>0</v>
      </c>
      <c r="L298" s="47" t="n">
        <v>0</v>
      </c>
      <c r="M298" s="47" t="n">
        <v>0</v>
      </c>
      <c r="N298" s="47" t="n">
        <v>0</v>
      </c>
      <c r="O298" s="47" t="n">
        <v>0</v>
      </c>
      <c r="P298" s="48" t="n">
        <v>10058</v>
      </c>
    </row>
    <row r="299" spans="1:16">
      <c r="A299" s="37" t="n">
        <v>303</v>
      </c>
      <c r="B299" s="38" t="s">
        <v>1026</v>
      </c>
      <c r="C299" s="39" t="s">
        <v>283</v>
      </c>
      <c r="D299" s="39" t="s">
        <v>20</v>
      </c>
      <c r="E299" s="39" t="s">
        <v>21</v>
      </c>
      <c r="F299" s="38" t="n">
        <v>0</v>
      </c>
      <c r="G299" s="40" t="n">
        <v>0</v>
      </c>
      <c r="H299" s="122" t="s">
        <v>1027</v>
      </c>
      <c r="I299" s="41" t="n">
        <v>10058</v>
      </c>
      <c r="J299" s="41" t="n">
        <v>10058</v>
      </c>
      <c r="K299" s="41" t="n">
        <v>0</v>
      </c>
      <c r="L299" s="41" t="n">
        <v>0</v>
      </c>
      <c r="M299" s="41" t="n">
        <v>0</v>
      </c>
      <c r="N299" s="41" t="n">
        <v>0</v>
      </c>
      <c r="O299" s="41" t="n">
        <v>0</v>
      </c>
      <c r="P299" s="42" t="n">
        <v>10058</v>
      </c>
    </row>
    <row r="300" spans="1:16">
      <c r="A300" s="37" t="n">
        <v>304</v>
      </c>
      <c r="B300" s="38" t="s">
        <v>1028</v>
      </c>
      <c r="C300" s="39" t="s">
        <v>95</v>
      </c>
      <c r="D300" s="39" t="s">
        <v>124</v>
      </c>
      <c r="E300" s="39" t="s">
        <v>15</v>
      </c>
      <c r="F300" s="38" t="n">
        <v>0</v>
      </c>
      <c r="G300" s="122" t="s">
        <v>879</v>
      </c>
      <c r="H300" s="122" t="s">
        <v>1029</v>
      </c>
      <c r="I300" s="41" t="n">
        <v>11887</v>
      </c>
      <c r="J300" s="41" t="n">
        <v>11887</v>
      </c>
      <c r="K300" s="41" t="n">
        <v>0</v>
      </c>
      <c r="L300" s="41" t="n">
        <v>0</v>
      </c>
      <c r="M300" s="41" t="n">
        <v>0</v>
      </c>
      <c r="N300" s="41" t="n">
        <v>0</v>
      </c>
      <c r="O300" s="41" t="n">
        <v>0</v>
      </c>
      <c r="P300" s="42" t="n">
        <v>11887</v>
      </c>
    </row>
    <row r="301" spans="1:16">
      <c r="A301" s="37" t="n">
        <v>305</v>
      </c>
      <c r="B301" s="38" t="s">
        <v>1030</v>
      </c>
      <c r="C301" s="39" t="s">
        <v>95</v>
      </c>
      <c r="D301" s="39" t="s">
        <v>128</v>
      </c>
      <c r="E301" s="39" t="s">
        <v>15</v>
      </c>
      <c r="F301" s="38" t="n">
        <v>0</v>
      </c>
      <c r="G301" s="122" t="s">
        <v>882</v>
      </c>
      <c r="H301" s="122" t="s">
        <v>1031</v>
      </c>
      <c r="I301" s="41" t="n">
        <v>11887</v>
      </c>
      <c r="J301" s="41" t="n">
        <v>11887</v>
      </c>
      <c r="K301" s="41" t="n">
        <v>0</v>
      </c>
      <c r="L301" s="41" t="n">
        <v>0</v>
      </c>
      <c r="M301" s="41" t="n">
        <v>0</v>
      </c>
      <c r="N301" s="41" t="n">
        <v>0</v>
      </c>
      <c r="O301" s="41" t="n">
        <v>0</v>
      </c>
      <c r="P301" s="42" t="n">
        <v>11887</v>
      </c>
    </row>
    <row r="302" spans="1:16">
      <c r="A302" s="37" t="n">
        <v>306</v>
      </c>
      <c r="B302" s="38" t="s">
        <v>1034</v>
      </c>
      <c r="C302" s="39" t="s">
        <v>95</v>
      </c>
      <c r="D302" s="39" t="s">
        <v>124</v>
      </c>
      <c r="E302" s="39" t="s">
        <v>15</v>
      </c>
      <c r="F302" s="38" t="n">
        <v>0</v>
      </c>
      <c r="G302" s="122" t="s">
        <v>885</v>
      </c>
      <c r="H302" s="122" t="s">
        <v>1035</v>
      </c>
      <c r="I302" s="41" t="n">
        <v>10058</v>
      </c>
      <c r="J302" s="41" t="n">
        <v>10058</v>
      </c>
      <c r="K302" s="41" t="n">
        <v>0</v>
      </c>
      <c r="L302" s="41" t="n">
        <v>0</v>
      </c>
      <c r="M302" s="41" t="n">
        <v>0</v>
      </c>
      <c r="N302" s="41" t="n">
        <v>0</v>
      </c>
      <c r="O302" s="41" t="n">
        <v>0</v>
      </c>
      <c r="P302" s="42" t="n">
        <v>10058</v>
      </c>
    </row>
    <row r="303" spans="1:16">
      <c r="A303" s="37" t="n">
        <v>307</v>
      </c>
      <c r="B303" s="38" t="s">
        <v>1032</v>
      </c>
      <c r="C303" s="39" t="s">
        <v>283</v>
      </c>
      <c r="D303" s="39" t="s">
        <v>137</v>
      </c>
      <c r="E303" s="39" t="s">
        <v>14</v>
      </c>
      <c r="F303" s="38" t="n">
        <v>0</v>
      </c>
      <c r="G303" s="40" t="n">
        <v>0</v>
      </c>
      <c r="H303" s="122" t="s">
        <v>1033</v>
      </c>
      <c r="I303" s="41" t="n">
        <v>10058</v>
      </c>
      <c r="J303" s="41" t="n">
        <v>10058</v>
      </c>
      <c r="K303" s="41" t="n">
        <v>0</v>
      </c>
      <c r="L303" s="41" t="n">
        <v>0</v>
      </c>
      <c r="M303" s="41" t="n">
        <v>0</v>
      </c>
      <c r="N303" s="41" t="n">
        <v>0</v>
      </c>
      <c r="O303" s="41" t="n">
        <v>0</v>
      </c>
      <c r="P303" s="42" t="n">
        <v>10058</v>
      </c>
    </row>
    <row r="304" spans="1:16">
      <c r="A304" s="37" t="n">
        <v>308</v>
      </c>
      <c r="B304" s="38" t="s">
        <v>1036</v>
      </c>
      <c r="C304" s="39" t="s">
        <v>95</v>
      </c>
      <c r="D304" s="39" t="s">
        <v>121</v>
      </c>
      <c r="E304" s="39" t="s">
        <v>14</v>
      </c>
      <c r="F304" s="38" t="n">
        <v>0</v>
      </c>
      <c r="G304" s="40" t="n">
        <v>0</v>
      </c>
      <c r="H304" s="122" t="s">
        <v>1037</v>
      </c>
      <c r="I304" s="41" t="n">
        <v>22949</v>
      </c>
      <c r="J304" s="41" t="n">
        <v>22949</v>
      </c>
      <c r="K304" s="41" t="n">
        <v>0</v>
      </c>
      <c r="L304" s="41" t="n">
        <v>0</v>
      </c>
      <c r="M304" s="41" t="n">
        <v>0</v>
      </c>
      <c r="N304" s="41" t="n">
        <v>0</v>
      </c>
      <c r="O304" s="41" t="n">
        <v>0</v>
      </c>
      <c r="P304" s="42" t="n">
        <v>22949</v>
      </c>
    </row>
    <row r="305" spans="1:16">
      <c r="A305" s="37" t="n">
        <v>309</v>
      </c>
      <c r="B305" s="38" t="s">
        <v>922</v>
      </c>
      <c r="C305" s="39" t="s">
        <v>111</v>
      </c>
      <c r="D305" s="39" t="s">
        <v>20</v>
      </c>
      <c r="E305" s="39" t="s">
        <v>21</v>
      </c>
      <c r="F305" s="38" t="n">
        <v>0</v>
      </c>
      <c r="G305" s="122" t="s">
        <v>892</v>
      </c>
      <c r="H305" s="122" t="s">
        <v>924</v>
      </c>
      <c r="I305" s="41" t="n">
        <v>458966</v>
      </c>
      <c r="J305" s="41" t="n">
        <v>458966</v>
      </c>
      <c r="K305" s="41" t="n">
        <v>0</v>
      </c>
      <c r="L305" s="41" t="n">
        <v>0</v>
      </c>
      <c r="M305" s="41" t="n">
        <v>0</v>
      </c>
      <c r="N305" s="41" t="n">
        <v>0</v>
      </c>
      <c r="O305" s="41" t="n">
        <v>0</v>
      </c>
      <c r="P305" s="42" t="n">
        <v>458966</v>
      </c>
    </row>
    <row r="306" spans="1:16">
      <c r="A306" s="37" t="n">
        <v>310</v>
      </c>
      <c r="B306" s="38" t="s">
        <v>1038</v>
      </c>
      <c r="C306" s="39" t="s">
        <v>95</v>
      </c>
      <c r="D306" s="39" t="s">
        <v>137</v>
      </c>
      <c r="E306" s="39" t="s">
        <v>14</v>
      </c>
      <c r="F306" s="38" t="n">
        <v>0</v>
      </c>
      <c r="G306" s="40" t="n">
        <v>0</v>
      </c>
      <c r="H306" s="122" t="s">
        <v>1040</v>
      </c>
      <c r="I306" s="41" t="n">
        <v>22856</v>
      </c>
      <c r="J306" s="41" t="n">
        <v>22856</v>
      </c>
      <c r="K306" s="41" t="n">
        <v>0</v>
      </c>
      <c r="L306" s="41" t="n">
        <v>0</v>
      </c>
      <c r="M306" s="41" t="n">
        <v>0</v>
      </c>
      <c r="N306" s="41" t="n">
        <v>0</v>
      </c>
      <c r="O306" s="41" t="n">
        <v>0</v>
      </c>
      <c r="P306" s="42" t="n">
        <v>22856</v>
      </c>
    </row>
    <row r="307" spans="1:16">
      <c r="A307" s="37" t="n">
        <v>311</v>
      </c>
      <c r="B307" s="38" t="s">
        <v>471</v>
      </c>
      <c r="C307" s="39" t="s">
        <v>58</v>
      </c>
      <c r="D307" s="39" t="s">
        <v>20</v>
      </c>
      <c r="E307" s="39" t="s">
        <v>21</v>
      </c>
      <c r="F307" s="38" t="s">
        <v>472</v>
      </c>
      <c r="G307" s="122" t="s">
        <v>899</v>
      </c>
      <c r="H307" s="122" t="s">
        <v>473</v>
      </c>
      <c r="I307" s="41" t="n">
        <v>10973</v>
      </c>
      <c r="J307" s="41" t="n">
        <v>10973</v>
      </c>
      <c r="K307" s="41" t="n">
        <v>549</v>
      </c>
      <c r="L307" s="41" t="n">
        <v>0</v>
      </c>
      <c r="M307" s="41" t="n">
        <v>0</v>
      </c>
      <c r="N307" s="41" t="n">
        <v>0</v>
      </c>
      <c r="O307" s="41" t="n">
        <v>0</v>
      </c>
      <c r="P307" s="42" t="n">
        <v>10424</v>
      </c>
    </row>
    <row r="308" spans="1:16">
      <c r="A308" s="37" t="n">
        <v>312</v>
      </c>
      <c r="B308" s="38" t="s">
        <v>1041</v>
      </c>
      <c r="C308" s="39" t="s">
        <v>58</v>
      </c>
      <c r="D308" s="39" t="s">
        <v>20</v>
      </c>
      <c r="E308" s="39" t="s">
        <v>21</v>
      </c>
      <c r="F308" s="38" t="s">
        <v>1042</v>
      </c>
      <c r="G308" s="40" t="n">
        <v>0</v>
      </c>
      <c r="H308" s="122" t="s">
        <v>1044</v>
      </c>
      <c r="I308" s="41" t="n">
        <v>13945</v>
      </c>
      <c r="J308" s="41" t="n">
        <v>13945</v>
      </c>
      <c r="K308" s="41" t="n">
        <v>697</v>
      </c>
      <c r="L308" s="41" t="n">
        <v>0</v>
      </c>
      <c r="M308" s="41" t="n">
        <v>0</v>
      </c>
      <c r="N308" s="41" t="n">
        <v>0</v>
      </c>
      <c r="O308" s="41" t="n">
        <v>0</v>
      </c>
      <c r="P308" s="42" t="n">
        <v>13248</v>
      </c>
    </row>
    <row r="309" spans="1:16">
      <c r="A309" s="37" t="n">
        <v>313</v>
      </c>
      <c r="B309" s="38" t="s">
        <v>2083</v>
      </c>
      <c r="C309" s="39" t="s">
        <v>58</v>
      </c>
      <c r="D309" s="39" t="s">
        <v>20</v>
      </c>
      <c r="E309" s="39" t="s">
        <v>21</v>
      </c>
      <c r="F309" s="38" t="s">
        <v>1046</v>
      </c>
      <c r="G309" s="40" t="n">
        <v>0</v>
      </c>
      <c r="H309" s="122" t="s">
        <v>1048</v>
      </c>
      <c r="I309" s="41" t="n">
        <v>12573</v>
      </c>
      <c r="J309" s="41" t="n">
        <v>12573</v>
      </c>
      <c r="K309" s="41" t="n">
        <v>629</v>
      </c>
      <c r="L309" s="41" t="n">
        <v>0</v>
      </c>
      <c r="M309" s="41" t="n">
        <v>0</v>
      </c>
      <c r="N309" s="41" t="n">
        <v>0</v>
      </c>
      <c r="O309" s="41" t="n">
        <v>0</v>
      </c>
      <c r="P309" s="42" t="n">
        <v>11944</v>
      </c>
    </row>
    <row r="310" spans="1:16">
      <c r="A310" s="37" t="n">
        <v>314</v>
      </c>
      <c r="B310" s="38" t="s">
        <v>1049</v>
      </c>
      <c r="C310" s="39" t="s">
        <v>283</v>
      </c>
      <c r="D310" s="39" t="s">
        <v>20</v>
      </c>
      <c r="E310" s="39" t="s">
        <v>21</v>
      </c>
      <c r="F310" s="38" t="n">
        <v>0</v>
      </c>
      <c r="G310" s="40" t="n">
        <v>0</v>
      </c>
      <c r="H310" s="122" t="s">
        <v>1051</v>
      </c>
      <c r="I310" s="41" t="n">
        <v>10744</v>
      </c>
      <c r="J310" s="41" t="n">
        <v>10744</v>
      </c>
      <c r="K310" s="41" t="n">
        <v>0</v>
      </c>
      <c r="L310" s="41" t="n">
        <v>0</v>
      </c>
      <c r="M310" s="41" t="n">
        <v>0</v>
      </c>
      <c r="N310" s="41" t="n">
        <v>0</v>
      </c>
      <c r="O310" s="41" t="n">
        <v>0</v>
      </c>
      <c r="P310" s="42" t="n">
        <v>10744</v>
      </c>
    </row>
    <row r="311" spans="1:16">
      <c r="A311" s="37" t="n">
        <v>315</v>
      </c>
      <c r="B311" s="38" t="s">
        <v>1052</v>
      </c>
      <c r="C311" s="39" t="s">
        <v>283</v>
      </c>
      <c r="D311" s="39" t="s">
        <v>20</v>
      </c>
      <c r="E311" s="39" t="s">
        <v>21</v>
      </c>
      <c r="F311" s="38" t="n">
        <v>0</v>
      </c>
      <c r="G311" s="122" t="s">
        <v>909</v>
      </c>
      <c r="H311" s="122" t="s">
        <v>1054</v>
      </c>
      <c r="I311" s="41" t="n">
        <v>10744</v>
      </c>
      <c r="J311" s="41" t="n">
        <v>10744</v>
      </c>
      <c r="K311" s="41" t="n">
        <v>0</v>
      </c>
      <c r="L311" s="41" t="n">
        <v>0</v>
      </c>
      <c r="M311" s="41" t="n">
        <v>0</v>
      </c>
      <c r="N311" s="41" t="n">
        <v>0</v>
      </c>
      <c r="O311" s="41" t="n">
        <v>0</v>
      </c>
      <c r="P311" s="42" t="n">
        <v>10744</v>
      </c>
    </row>
    <row r="312" spans="1:16">
      <c r="A312" s="37" t="n">
        <v>316</v>
      </c>
      <c r="B312" s="38" t="s">
        <v>1055</v>
      </c>
      <c r="C312" s="39" t="s">
        <v>111</v>
      </c>
      <c r="D312" s="39" t="s">
        <v>20</v>
      </c>
      <c r="E312" s="39" t="s">
        <v>21</v>
      </c>
      <c r="F312" s="38" t="s">
        <v>1056</v>
      </c>
      <c r="G312" s="40" t="n">
        <v>0</v>
      </c>
      <c r="H312" s="122" t="s">
        <v>1058</v>
      </c>
      <c r="I312" s="41" t="n">
        <v>10744</v>
      </c>
      <c r="J312" s="41" t="n">
        <v>10744</v>
      </c>
      <c r="K312" s="41" t="n">
        <v>0</v>
      </c>
      <c r="L312" s="41" t="n">
        <v>0</v>
      </c>
      <c r="M312" s="41" t="n">
        <v>0</v>
      </c>
      <c r="N312" s="41" t="n">
        <v>0</v>
      </c>
      <c r="O312" s="41" t="n">
        <v>0</v>
      </c>
      <c r="P312" s="42" t="n">
        <v>10744</v>
      </c>
    </row>
    <row r="313" spans="1:16">
      <c r="A313" s="37" t="n">
        <v>317</v>
      </c>
      <c r="B313" s="38" t="s">
        <v>1059</v>
      </c>
      <c r="C313" s="39" t="s">
        <v>95</v>
      </c>
      <c r="D313" s="39" t="s">
        <v>124</v>
      </c>
      <c r="E313" s="39" t="s">
        <v>15</v>
      </c>
      <c r="F313" s="38" t="n">
        <v>0</v>
      </c>
      <c r="G313" s="40" t="n">
        <v>0</v>
      </c>
      <c r="H313" s="122" t="s">
        <v>1061</v>
      </c>
      <c r="I313" s="41" t="n">
        <v>12573</v>
      </c>
      <c r="J313" s="41" t="n">
        <v>12573</v>
      </c>
      <c r="K313" s="41" t="n">
        <v>0</v>
      </c>
      <c r="L313" s="41" t="n">
        <v>0</v>
      </c>
      <c r="M313" s="41" t="n">
        <v>0</v>
      </c>
      <c r="N313" s="41" t="n">
        <v>0</v>
      </c>
      <c r="O313" s="41" t="n">
        <v>0</v>
      </c>
      <c r="P313" s="42" t="n">
        <v>12573</v>
      </c>
    </row>
    <row r="314" spans="1:16">
      <c r="A314" s="37" t="n">
        <v>318</v>
      </c>
      <c r="B314" s="38" t="s">
        <v>1062</v>
      </c>
      <c r="C314" s="39" t="s">
        <v>58</v>
      </c>
      <c r="D314" s="39" t="s">
        <v>20</v>
      </c>
      <c r="E314" s="39" t="s">
        <v>21</v>
      </c>
      <c r="F314" s="38" t="s">
        <v>1063</v>
      </c>
      <c r="G314" s="40" t="n">
        <v>0</v>
      </c>
      <c r="H314" s="122" t="s">
        <v>1065</v>
      </c>
      <c r="I314" s="41" t="n">
        <v>12573</v>
      </c>
      <c r="J314" s="41" t="n">
        <v>12573</v>
      </c>
      <c r="K314" s="41" t="n">
        <v>629</v>
      </c>
      <c r="L314" s="41" t="n">
        <v>0</v>
      </c>
      <c r="M314" s="41" t="n">
        <v>0</v>
      </c>
      <c r="N314" s="41" t="n">
        <v>0</v>
      </c>
      <c r="O314" s="41" t="n">
        <v>0</v>
      </c>
      <c r="P314" s="42" t="n">
        <v>11944</v>
      </c>
    </row>
    <row r="315" spans="1:16">
      <c r="A315" s="37" t="n">
        <v>319</v>
      </c>
      <c r="B315" s="38" t="s">
        <v>1075</v>
      </c>
      <c r="C315" s="39" t="s">
        <v>120</v>
      </c>
      <c r="D315" s="39" t="s">
        <v>124</v>
      </c>
      <c r="E315" s="39" t="s">
        <v>15</v>
      </c>
      <c r="F315" s="38" t="n">
        <v>0</v>
      </c>
      <c r="G315" s="40" t="n">
        <v>0</v>
      </c>
      <c r="H315" s="122" t="s">
        <v>1076</v>
      </c>
      <c r="I315" s="41" t="n">
        <v>12573</v>
      </c>
      <c r="J315" s="41" t="n">
        <v>12573</v>
      </c>
      <c r="K315" s="41" t="n">
        <v>0</v>
      </c>
      <c r="L315" s="41" t="n">
        <v>0</v>
      </c>
      <c r="M315" s="41" t="n">
        <v>0</v>
      </c>
      <c r="N315" s="41" t="n">
        <v>0</v>
      </c>
      <c r="O315" s="41" t="n">
        <v>0</v>
      </c>
      <c r="P315" s="42" t="n">
        <v>12573</v>
      </c>
    </row>
    <row r="316" spans="1:16">
      <c r="A316" s="37" t="n">
        <v>320</v>
      </c>
      <c r="B316" s="38" t="s">
        <v>2084</v>
      </c>
      <c r="C316" s="39" t="s">
        <v>95</v>
      </c>
      <c r="D316" s="39" t="s">
        <v>121</v>
      </c>
      <c r="E316" s="39" t="s">
        <v>14</v>
      </c>
      <c r="F316" s="38" t="n">
        <v>0</v>
      </c>
      <c r="G316" s="122" t="s">
        <v>923</v>
      </c>
      <c r="H316" s="122" t="s">
        <v>1078</v>
      </c>
      <c r="I316" s="41" t="n">
        <v>10744</v>
      </c>
      <c r="J316" s="41" t="n">
        <v>10744</v>
      </c>
      <c r="K316" s="41" t="n">
        <v>0</v>
      </c>
      <c r="L316" s="41" t="n">
        <v>0</v>
      </c>
      <c r="M316" s="41" t="n">
        <v>0</v>
      </c>
      <c r="N316" s="41" t="n">
        <v>0</v>
      </c>
      <c r="O316" s="41" t="n">
        <v>0</v>
      </c>
      <c r="P316" s="42" t="n">
        <v>10744</v>
      </c>
    </row>
    <row r="317" spans="1:16">
      <c r="A317" s="37" t="n">
        <v>321</v>
      </c>
      <c r="B317" s="38" t="s">
        <v>2085</v>
      </c>
      <c r="C317" s="39" t="s">
        <v>95</v>
      </c>
      <c r="D317" s="39" t="s">
        <v>121</v>
      </c>
      <c r="E317" s="39" t="s">
        <v>14</v>
      </c>
      <c r="F317" s="38" t="n">
        <v>0</v>
      </c>
      <c r="G317" s="122" t="s">
        <v>926</v>
      </c>
      <c r="H317" s="122" t="s">
        <v>1082</v>
      </c>
      <c r="I317" s="41" t="n">
        <v>10744</v>
      </c>
      <c r="J317" s="41" t="n">
        <v>10744</v>
      </c>
      <c r="K317" s="41" t="n">
        <v>0</v>
      </c>
      <c r="L317" s="41" t="n">
        <v>0</v>
      </c>
      <c r="M317" s="41" t="n">
        <v>0</v>
      </c>
      <c r="N317" s="41" t="n">
        <v>0</v>
      </c>
      <c r="O317" s="41" t="n">
        <v>0</v>
      </c>
      <c r="P317" s="42" t="n">
        <v>10744</v>
      </c>
    </row>
    <row r="318" spans="1:16">
      <c r="A318" s="37" t="n">
        <v>322</v>
      </c>
      <c r="B318" s="38" t="s">
        <v>1066</v>
      </c>
      <c r="C318" s="39" t="s">
        <v>131</v>
      </c>
      <c r="D318" s="39" t="s">
        <v>20</v>
      </c>
      <c r="E318" s="39" t="s">
        <v>21</v>
      </c>
      <c r="F318" s="38" t="s">
        <v>1067</v>
      </c>
      <c r="G318" s="122" t="s">
        <v>929</v>
      </c>
      <c r="H318" s="122" t="s">
        <v>1069</v>
      </c>
      <c r="I318" s="41" t="n">
        <v>15296</v>
      </c>
      <c r="J318" s="41" t="n">
        <v>15296</v>
      </c>
      <c r="K318" s="41" t="n">
        <v>765</v>
      </c>
      <c r="L318" s="41" t="n">
        <v>0</v>
      </c>
      <c r="M318" s="41" t="n">
        <v>0</v>
      </c>
      <c r="N318" s="41" t="n">
        <v>0</v>
      </c>
      <c r="O318" s="41" t="n">
        <v>0</v>
      </c>
      <c r="P318" s="42" t="n">
        <v>14531</v>
      </c>
    </row>
    <row r="319" spans="1:16">
      <c r="A319" s="37" t="n">
        <v>323</v>
      </c>
      <c r="B319" s="38" t="s">
        <v>1072</v>
      </c>
      <c r="C319" s="39" t="s">
        <v>95</v>
      </c>
      <c r="D319" s="39" t="s">
        <v>121</v>
      </c>
      <c r="E319" s="39" t="s">
        <v>14</v>
      </c>
      <c r="F319" s="38" t="n">
        <v>0</v>
      </c>
      <c r="G319" s="122" t="s">
        <v>932</v>
      </c>
      <c r="H319" s="122" t="s">
        <v>1074</v>
      </c>
      <c r="I319" s="41" t="n">
        <v>10744</v>
      </c>
      <c r="J319" s="41" t="n">
        <v>10744</v>
      </c>
      <c r="K319" s="41" t="n">
        <v>0</v>
      </c>
      <c r="L319" s="41" t="n">
        <v>0</v>
      </c>
      <c r="M319" s="41" t="n">
        <v>0</v>
      </c>
      <c r="N319" s="41" t="n">
        <v>0</v>
      </c>
      <c r="O319" s="41" t="n">
        <v>0</v>
      </c>
      <c r="P319" s="42" t="n">
        <v>10744</v>
      </c>
    </row>
    <row r="320" spans="1:16">
      <c r="A320" s="37" t="n">
        <v>324</v>
      </c>
      <c r="B320" s="38" t="s">
        <v>1083</v>
      </c>
      <c r="C320" s="39" t="s">
        <v>95</v>
      </c>
      <c r="D320" s="39" t="s">
        <v>137</v>
      </c>
      <c r="E320" s="39" t="s">
        <v>14</v>
      </c>
      <c r="F320" s="38" t="n">
        <v>0</v>
      </c>
      <c r="G320" s="122" t="s">
        <v>936</v>
      </c>
      <c r="H320" s="122" t="s">
        <v>1084</v>
      </c>
      <c r="I320" s="41" t="n">
        <v>10744</v>
      </c>
      <c r="J320" s="41" t="n">
        <v>10744</v>
      </c>
      <c r="K320" s="41" t="n">
        <v>0</v>
      </c>
      <c r="L320" s="41" t="n">
        <v>0</v>
      </c>
      <c r="M320" s="41" t="n">
        <v>0</v>
      </c>
      <c r="N320" s="41" t="n">
        <v>0</v>
      </c>
      <c r="O320" s="41" t="n">
        <v>0</v>
      </c>
      <c r="P320" s="42" t="n">
        <v>10744</v>
      </c>
    </row>
    <row r="321" spans="1:16">
      <c r="A321" s="37" t="n">
        <v>325</v>
      </c>
      <c r="B321" s="38" t="s">
        <v>2086</v>
      </c>
      <c r="C321" s="39" t="s">
        <v>95</v>
      </c>
      <c r="D321" s="39" t="s">
        <v>124</v>
      </c>
      <c r="E321" s="39" t="s">
        <v>15</v>
      </c>
      <c r="F321" s="38" t="n">
        <v>0</v>
      </c>
      <c r="G321" s="40" t="n">
        <v>0</v>
      </c>
      <c r="H321" s="122" t="s">
        <v>1080</v>
      </c>
      <c r="I321" s="41" t="n">
        <v>10744</v>
      </c>
      <c r="J321" s="41" t="n">
        <v>10744</v>
      </c>
      <c r="K321" s="41" t="n">
        <v>0</v>
      </c>
      <c r="L321" s="41" t="n">
        <v>0</v>
      </c>
      <c r="M321" s="41" t="n">
        <v>0</v>
      </c>
      <c r="N321" s="41" t="n">
        <v>0</v>
      </c>
      <c r="O321" s="41" t="n">
        <v>0</v>
      </c>
      <c r="P321" s="42" t="n">
        <v>10744</v>
      </c>
    </row>
    <row r="322" spans="1:16">
      <c r="A322" s="37" t="n">
        <v>326</v>
      </c>
      <c r="B322" s="38" t="s">
        <v>1085</v>
      </c>
      <c r="C322" s="39" t="s">
        <v>95</v>
      </c>
      <c r="D322" s="39" t="s">
        <v>121</v>
      </c>
      <c r="E322" s="39" t="s">
        <v>14</v>
      </c>
      <c r="F322" s="38" t="n">
        <v>0</v>
      </c>
      <c r="G322" s="40" t="n">
        <v>0</v>
      </c>
      <c r="H322" s="122" t="s">
        <v>1087</v>
      </c>
      <c r="I322" s="41" t="n">
        <v>22856</v>
      </c>
      <c r="J322" s="41" t="n">
        <v>22856</v>
      </c>
      <c r="K322" s="41" t="n">
        <v>0</v>
      </c>
      <c r="L322" s="41" t="n">
        <v>0</v>
      </c>
      <c r="M322" s="41" t="n">
        <v>0</v>
      </c>
      <c r="N322" s="41" t="n">
        <v>0</v>
      </c>
      <c r="O322" s="41" t="n">
        <v>0</v>
      </c>
      <c r="P322" s="42" t="n">
        <v>22856</v>
      </c>
    </row>
    <row r="323" spans="1:16">
      <c r="A323" s="37" t="n">
        <v>327</v>
      </c>
      <c r="B323" s="38" t="s">
        <v>497</v>
      </c>
      <c r="C323" s="39" t="s">
        <v>111</v>
      </c>
      <c r="D323" s="39" t="s">
        <v>20</v>
      </c>
      <c r="E323" s="39" t="s">
        <v>21</v>
      </c>
      <c r="F323" s="38" t="s">
        <v>498</v>
      </c>
      <c r="G323" s="40" t="n">
        <v>0</v>
      </c>
      <c r="H323" s="122" t="s">
        <v>500</v>
      </c>
      <c r="I323" s="41" t="n">
        <v>8230</v>
      </c>
      <c r="J323" s="41" t="n">
        <v>8230</v>
      </c>
      <c r="K323" s="41" t="n">
        <v>0</v>
      </c>
      <c r="L323" s="41" t="n">
        <v>0</v>
      </c>
      <c r="M323" s="41" t="n">
        <v>0</v>
      </c>
      <c r="N323" s="41" t="n">
        <v>0</v>
      </c>
      <c r="O323" s="41" t="n">
        <v>0</v>
      </c>
      <c r="P323" s="42" t="n">
        <v>8230</v>
      </c>
    </row>
    <row r="324" spans="1:16">
      <c r="A324" s="37" t="n">
        <v>328</v>
      </c>
      <c r="B324" s="38" t="s">
        <v>1088</v>
      </c>
      <c r="C324" s="39" t="s">
        <v>58</v>
      </c>
      <c r="D324" s="39" t="s">
        <v>20</v>
      </c>
      <c r="E324" s="39" t="s">
        <v>21</v>
      </c>
      <c r="F324" s="38" t="s">
        <v>1089</v>
      </c>
      <c r="G324" s="40" t="n">
        <v>0</v>
      </c>
      <c r="H324" s="122" t="s">
        <v>1091</v>
      </c>
      <c r="I324" s="41" t="n">
        <v>13259</v>
      </c>
      <c r="J324" s="41" t="n">
        <v>13259</v>
      </c>
      <c r="K324" s="41" t="n">
        <v>663</v>
      </c>
      <c r="L324" s="41" t="n">
        <v>0</v>
      </c>
      <c r="M324" s="41" t="n">
        <v>0</v>
      </c>
      <c r="N324" s="41" t="n">
        <v>0</v>
      </c>
      <c r="O324" s="41" t="n">
        <v>0</v>
      </c>
      <c r="P324" s="42" t="n">
        <v>12596</v>
      </c>
    </row>
    <row r="325" spans="1:16">
      <c r="A325" s="37" t="n">
        <v>329</v>
      </c>
      <c r="B325" s="38" t="s">
        <v>1096</v>
      </c>
      <c r="C325" s="39" t="s">
        <v>58</v>
      </c>
      <c r="D325" s="39" t="s">
        <v>20</v>
      </c>
      <c r="E325" s="39" t="s">
        <v>21</v>
      </c>
      <c r="F325" s="38" t="s">
        <v>1097</v>
      </c>
      <c r="G325" s="122" t="s">
        <v>947</v>
      </c>
      <c r="H325" s="122" t="s">
        <v>1099</v>
      </c>
      <c r="I325" s="41" t="n">
        <v>43702</v>
      </c>
      <c r="J325" s="41" t="n">
        <v>43702</v>
      </c>
      <c r="K325" s="41" t="n">
        <v>2185</v>
      </c>
      <c r="L325" s="41" t="n">
        <v>0</v>
      </c>
      <c r="M325" s="41" t="n">
        <v>0</v>
      </c>
      <c r="N325" s="41" t="n">
        <v>0</v>
      </c>
      <c r="O325" s="41" t="n">
        <v>0</v>
      </c>
      <c r="P325" s="42" t="n">
        <v>41517</v>
      </c>
    </row>
    <row r="326" spans="1:16">
      <c r="A326" s="37" t="n">
        <v>330</v>
      </c>
      <c r="B326" s="38" t="s">
        <v>1092</v>
      </c>
      <c r="C326" s="39" t="s">
        <v>58</v>
      </c>
      <c r="D326" s="39" t="s">
        <v>20</v>
      </c>
      <c r="E326" s="39" t="s">
        <v>21</v>
      </c>
      <c r="F326" s="38" t="s">
        <v>1093</v>
      </c>
      <c r="G326" s="40" t="n">
        <v>0</v>
      </c>
      <c r="H326" s="122" t="s">
        <v>1095</v>
      </c>
      <c r="I326" s="41" t="n">
        <v>11887</v>
      </c>
      <c r="J326" s="41" t="n">
        <v>11887</v>
      </c>
      <c r="K326" s="41" t="n">
        <v>594</v>
      </c>
      <c r="L326" s="41" t="n">
        <v>0</v>
      </c>
      <c r="M326" s="41" t="n">
        <v>0</v>
      </c>
      <c r="N326" s="41" t="n">
        <v>0</v>
      </c>
      <c r="O326" s="41" t="n">
        <v>0</v>
      </c>
      <c r="P326" s="42" t="n">
        <v>11293</v>
      </c>
    </row>
    <row r="327" spans="1:16">
      <c r="A327" s="37" t="n">
        <v>331</v>
      </c>
      <c r="B327" s="38" t="s">
        <v>2087</v>
      </c>
      <c r="C327" s="39" t="s">
        <v>58</v>
      </c>
      <c r="D327" s="39" t="s">
        <v>20</v>
      </c>
      <c r="E327" s="39" t="s">
        <v>21</v>
      </c>
      <c r="F327" s="38" t="s">
        <v>1101</v>
      </c>
      <c r="G327" s="40" t="n">
        <v>0</v>
      </c>
      <c r="H327" s="122" t="s">
        <v>1103</v>
      </c>
      <c r="I327" s="41" t="n">
        <v>11887</v>
      </c>
      <c r="J327" s="41" t="n">
        <v>11887</v>
      </c>
      <c r="K327" s="41" t="n">
        <v>594</v>
      </c>
      <c r="L327" s="41" t="n">
        <v>0</v>
      </c>
      <c r="M327" s="41" t="n">
        <v>0</v>
      </c>
      <c r="N327" s="41" t="n">
        <v>0</v>
      </c>
      <c r="O327" s="41" t="n">
        <v>0</v>
      </c>
      <c r="P327" s="42" t="n">
        <v>11293</v>
      </c>
    </row>
    <row r="328" spans="1:16">
      <c r="A328" s="37" t="n">
        <v>332</v>
      </c>
      <c r="B328" s="38" t="s">
        <v>1104</v>
      </c>
      <c r="C328" s="39" t="s">
        <v>283</v>
      </c>
      <c r="D328" s="39" t="s">
        <v>20</v>
      </c>
      <c r="E328" s="39" t="s">
        <v>21</v>
      </c>
      <c r="F328" s="38" t="n">
        <v>0</v>
      </c>
      <c r="G328" s="40" t="n">
        <v>0</v>
      </c>
      <c r="H328" s="122" t="s">
        <v>1105</v>
      </c>
      <c r="I328" s="41" t="n">
        <v>10058</v>
      </c>
      <c r="J328" s="41" t="n">
        <v>10058</v>
      </c>
      <c r="K328" s="41" t="n">
        <v>0</v>
      </c>
      <c r="L328" s="41" t="n">
        <v>0</v>
      </c>
      <c r="M328" s="41" t="n">
        <v>0</v>
      </c>
      <c r="N328" s="41" t="n">
        <v>0</v>
      </c>
      <c r="O328" s="41" t="n">
        <v>0</v>
      </c>
      <c r="P328" s="42" t="n">
        <v>10058</v>
      </c>
    </row>
    <row r="329" spans="1:16">
      <c r="A329" s="37" t="n">
        <v>333</v>
      </c>
      <c r="B329" s="38" t="s">
        <v>1106</v>
      </c>
      <c r="C329" s="39" t="s">
        <v>283</v>
      </c>
      <c r="D329" s="39" t="s">
        <v>20</v>
      </c>
      <c r="E329" s="39" t="s">
        <v>21</v>
      </c>
      <c r="F329" s="38" t="n">
        <v>0</v>
      </c>
      <c r="G329" s="40" t="n">
        <v>0</v>
      </c>
      <c r="H329" s="122" t="s">
        <v>1107</v>
      </c>
      <c r="I329" s="41" t="n">
        <v>10058</v>
      </c>
      <c r="J329" s="41" t="n">
        <v>10058</v>
      </c>
      <c r="K329" s="41" t="n">
        <v>0</v>
      </c>
      <c r="L329" s="41" t="n">
        <v>0</v>
      </c>
      <c r="M329" s="41" t="n">
        <v>0</v>
      </c>
      <c r="N329" s="41" t="n">
        <v>0</v>
      </c>
      <c r="O329" s="41" t="n">
        <v>0</v>
      </c>
      <c r="P329" s="42" t="n">
        <v>10058</v>
      </c>
    </row>
    <row r="330" spans="1:16">
      <c r="A330" s="37" t="n">
        <v>334</v>
      </c>
      <c r="B330" s="38" t="s">
        <v>1108</v>
      </c>
      <c r="C330" s="39" t="s">
        <v>95</v>
      </c>
      <c r="D330" s="39" t="s">
        <v>137</v>
      </c>
      <c r="E330" s="39" t="s">
        <v>14</v>
      </c>
      <c r="F330" s="38" t="n">
        <v>0</v>
      </c>
      <c r="G330" s="40" t="n">
        <v>0</v>
      </c>
      <c r="H330" s="122" t="s">
        <v>1109</v>
      </c>
      <c r="I330" s="41" t="n">
        <v>10058</v>
      </c>
      <c r="J330" s="41" t="n">
        <v>10058</v>
      </c>
      <c r="K330" s="41" t="n">
        <v>0</v>
      </c>
      <c r="L330" s="41" t="n">
        <v>0</v>
      </c>
      <c r="M330" s="41" t="n">
        <v>0</v>
      </c>
      <c r="N330" s="41" t="n">
        <v>0</v>
      </c>
      <c r="O330" s="41" t="n">
        <v>0</v>
      </c>
      <c r="P330" s="42" t="n">
        <v>10058</v>
      </c>
    </row>
    <row r="331" spans="1:16">
      <c r="A331" s="37" t="n">
        <v>335</v>
      </c>
      <c r="B331" s="38" t="s">
        <v>1110</v>
      </c>
      <c r="C331" s="39" t="s">
        <v>283</v>
      </c>
      <c r="D331" s="39" t="s">
        <v>20</v>
      </c>
      <c r="E331" s="39" t="s">
        <v>21</v>
      </c>
      <c r="F331" s="38" t="n">
        <v>0</v>
      </c>
      <c r="G331" s="40" t="n">
        <v>0</v>
      </c>
      <c r="H331" s="122" t="s">
        <v>1111</v>
      </c>
      <c r="I331" s="41" t="n">
        <v>10058</v>
      </c>
      <c r="J331" s="41" t="n">
        <v>10058</v>
      </c>
      <c r="K331" s="41" t="n">
        <v>0</v>
      </c>
      <c r="L331" s="41" t="n">
        <v>0</v>
      </c>
      <c r="M331" s="41" t="n">
        <v>0</v>
      </c>
      <c r="N331" s="41" t="n">
        <v>0</v>
      </c>
      <c r="O331" s="41" t="n">
        <v>0</v>
      </c>
      <c r="P331" s="42" t="n">
        <v>10058</v>
      </c>
    </row>
    <row r="332" spans="1:16">
      <c r="A332" s="37" t="n">
        <v>336</v>
      </c>
      <c r="B332" s="38" t="s">
        <v>1112</v>
      </c>
      <c r="C332" s="39" t="s">
        <v>131</v>
      </c>
      <c r="D332" s="39" t="s">
        <v>20</v>
      </c>
      <c r="E332" s="39" t="s">
        <v>21</v>
      </c>
      <c r="F332" s="38" t="s">
        <v>1113</v>
      </c>
      <c r="G332" s="40" t="n">
        <v>0</v>
      </c>
      <c r="H332" s="122" t="s">
        <v>1115</v>
      </c>
      <c r="I332" s="41" t="n">
        <v>12573</v>
      </c>
      <c r="J332" s="41" t="n">
        <v>12573</v>
      </c>
      <c r="K332" s="41" t="n">
        <v>629</v>
      </c>
      <c r="L332" s="41" t="n">
        <v>0</v>
      </c>
      <c r="M332" s="41" t="n">
        <v>0</v>
      </c>
      <c r="N332" s="41" t="n">
        <v>0</v>
      </c>
      <c r="O332" s="41" t="n">
        <v>0</v>
      </c>
      <c r="P332" s="42" t="n">
        <v>11944</v>
      </c>
    </row>
    <row r="333" spans="1:16">
      <c r="A333" s="37" t="n">
        <v>337</v>
      </c>
      <c r="B333" s="38" t="s">
        <v>1116</v>
      </c>
      <c r="C333" s="39" t="s">
        <v>131</v>
      </c>
      <c r="D333" s="39" t="s">
        <v>20</v>
      </c>
      <c r="E333" s="39" t="s">
        <v>21</v>
      </c>
      <c r="F333" s="38" t="n">
        <v>0</v>
      </c>
      <c r="G333" s="40" t="n">
        <v>0</v>
      </c>
      <c r="H333" s="122" t="s">
        <v>1118</v>
      </c>
      <c r="I333" s="41" t="n">
        <v>10973</v>
      </c>
      <c r="J333" s="41" t="n">
        <v>10973</v>
      </c>
      <c r="K333" s="41" t="n">
        <v>549</v>
      </c>
      <c r="L333" s="41" t="n">
        <v>0</v>
      </c>
      <c r="M333" s="41" t="n">
        <v>0</v>
      </c>
      <c r="N333" s="41" t="n">
        <v>0</v>
      </c>
      <c r="O333" s="41" t="n">
        <v>0</v>
      </c>
      <c r="P333" s="42" t="n">
        <v>10424</v>
      </c>
    </row>
    <row r="334" spans="1:16">
      <c r="A334" s="37" t="n">
        <v>338</v>
      </c>
      <c r="B334" s="38" t="s">
        <v>1119</v>
      </c>
      <c r="C334" s="39" t="s">
        <v>283</v>
      </c>
      <c r="D334" s="39" t="s">
        <v>20</v>
      </c>
      <c r="E334" s="39" t="s">
        <v>21</v>
      </c>
      <c r="F334" s="38" t="n">
        <v>0</v>
      </c>
      <c r="G334" s="40" t="n">
        <v>0</v>
      </c>
      <c r="H334" s="122" t="s">
        <v>1121</v>
      </c>
      <c r="I334" s="41" t="n">
        <v>10058</v>
      </c>
      <c r="J334" s="41" t="n">
        <v>10058</v>
      </c>
      <c r="K334" s="41" t="n">
        <v>0</v>
      </c>
      <c r="L334" s="41" t="n">
        <v>0</v>
      </c>
      <c r="M334" s="41" t="n">
        <v>0</v>
      </c>
      <c r="N334" s="41" t="n">
        <v>0</v>
      </c>
      <c r="O334" s="41" t="n">
        <v>0</v>
      </c>
      <c r="P334" s="42" t="n">
        <v>10058</v>
      </c>
    </row>
    <row r="335" spans="1:16">
      <c r="A335" s="37" t="n">
        <v>339</v>
      </c>
      <c r="B335" s="38" t="s">
        <v>1122</v>
      </c>
      <c r="C335" s="39" t="s">
        <v>283</v>
      </c>
      <c r="D335" s="39" t="s">
        <v>20</v>
      </c>
      <c r="E335" s="39" t="s">
        <v>21</v>
      </c>
      <c r="F335" s="38" t="n">
        <v>0</v>
      </c>
      <c r="G335" s="122" t="s">
        <v>973</v>
      </c>
      <c r="H335" s="122" t="s">
        <v>1124</v>
      </c>
      <c r="I335" s="41" t="n">
        <v>10058</v>
      </c>
      <c r="J335" s="41" t="n">
        <v>10058</v>
      </c>
      <c r="K335" s="41" t="n">
        <v>0</v>
      </c>
      <c r="L335" s="41" t="n">
        <v>0</v>
      </c>
      <c r="M335" s="41" t="n">
        <v>0</v>
      </c>
      <c r="N335" s="41" t="n">
        <v>0</v>
      </c>
      <c r="O335" s="41" t="n">
        <v>0</v>
      </c>
      <c r="P335" s="42" t="n">
        <v>10058</v>
      </c>
    </row>
    <row r="336" spans="1:16">
      <c r="A336" s="37" t="n">
        <v>340</v>
      </c>
      <c r="B336" s="38" t="s">
        <v>1125</v>
      </c>
      <c r="C336" s="39" t="s">
        <v>120</v>
      </c>
      <c r="D336" s="39" t="s">
        <v>128</v>
      </c>
      <c r="E336" s="39" t="s">
        <v>15</v>
      </c>
      <c r="F336" s="38" t="n">
        <v>0</v>
      </c>
      <c r="G336" s="122" t="s">
        <v>976</v>
      </c>
      <c r="H336" s="122" t="s">
        <v>1127</v>
      </c>
      <c r="I336" s="41" t="n">
        <v>10058</v>
      </c>
      <c r="J336" s="41" t="n">
        <v>10058</v>
      </c>
      <c r="K336" s="41" t="n">
        <v>0</v>
      </c>
      <c r="L336" s="41" t="n">
        <v>0</v>
      </c>
      <c r="M336" s="41" t="n">
        <v>0</v>
      </c>
      <c r="N336" s="41" t="n">
        <v>0</v>
      </c>
      <c r="O336" s="41" t="n">
        <v>0</v>
      </c>
      <c r="P336" s="42" t="n">
        <v>10058</v>
      </c>
    </row>
    <row r="337" spans="1:16">
      <c r="A337" s="37" t="n">
        <v>341</v>
      </c>
      <c r="B337" s="38" t="s">
        <v>1128</v>
      </c>
      <c r="C337" s="39" t="s">
        <v>95</v>
      </c>
      <c r="D337" s="39" t="s">
        <v>124</v>
      </c>
      <c r="E337" s="39" t="s">
        <v>15</v>
      </c>
      <c r="F337" s="38" t="n">
        <v>0</v>
      </c>
      <c r="G337" s="122" t="s">
        <v>979</v>
      </c>
      <c r="H337" s="122" t="s">
        <v>1130</v>
      </c>
      <c r="I337" s="41" t="n">
        <v>10744</v>
      </c>
      <c r="J337" s="41" t="n">
        <v>10744</v>
      </c>
      <c r="K337" s="41" t="n">
        <v>0</v>
      </c>
      <c r="L337" s="41" t="n">
        <v>0</v>
      </c>
      <c r="M337" s="41" t="n">
        <v>0</v>
      </c>
      <c r="N337" s="41" t="n">
        <v>0</v>
      </c>
      <c r="O337" s="41" t="n">
        <v>0</v>
      </c>
      <c r="P337" s="42" t="n">
        <v>10744</v>
      </c>
    </row>
    <row r="338" spans="1:16">
      <c r="A338" s="37" t="n">
        <v>342</v>
      </c>
      <c r="B338" s="38" t="s">
        <v>1131</v>
      </c>
      <c r="C338" s="39" t="s">
        <v>95</v>
      </c>
      <c r="D338" s="39" t="s">
        <v>124</v>
      </c>
      <c r="E338" s="39" t="s">
        <v>15</v>
      </c>
      <c r="F338" s="38" t="n">
        <v>0</v>
      </c>
      <c r="G338" s="122" t="s">
        <v>982</v>
      </c>
      <c r="H338" s="122" t="s">
        <v>1133</v>
      </c>
      <c r="I338" s="41" t="n">
        <v>10058</v>
      </c>
      <c r="J338" s="41" t="n">
        <v>10058</v>
      </c>
      <c r="K338" s="41" t="n">
        <v>0</v>
      </c>
      <c r="L338" s="41" t="n">
        <v>0</v>
      </c>
      <c r="M338" s="41" t="n">
        <v>0</v>
      </c>
      <c r="N338" s="41" t="n">
        <v>0</v>
      </c>
      <c r="O338" s="41" t="n">
        <v>0</v>
      </c>
      <c r="P338" s="42" t="n">
        <v>10058</v>
      </c>
    </row>
    <row r="339" spans="1:16">
      <c r="A339" s="37" t="n">
        <v>343</v>
      </c>
      <c r="B339" s="38" t="s">
        <v>1134</v>
      </c>
      <c r="C339" s="39" t="s">
        <v>95</v>
      </c>
      <c r="D339" s="39" t="s">
        <v>137</v>
      </c>
      <c r="E339" s="39" t="s">
        <v>14</v>
      </c>
      <c r="F339" s="38" t="n">
        <v>0</v>
      </c>
      <c r="G339" s="40" t="n">
        <v>0</v>
      </c>
      <c r="H339" s="40" t="n">
        <v>1902013659</v>
      </c>
      <c r="I339" s="41" t="n">
        <v>139148</v>
      </c>
      <c r="J339" s="41" t="n">
        <v>139148</v>
      </c>
      <c r="K339" s="41" t="n">
        <v>0</v>
      </c>
      <c r="L339" s="41" t="n">
        <v>0</v>
      </c>
      <c r="M339" s="41" t="n">
        <v>0</v>
      </c>
      <c r="N339" s="41" t="n">
        <v>0</v>
      </c>
      <c r="O339" s="41" t="n">
        <v>0</v>
      </c>
      <c r="P339" s="42" t="n">
        <v>139148</v>
      </c>
    </row>
    <row r="340" spans="1:16">
      <c r="A340" s="37" t="n">
        <v>345</v>
      </c>
      <c r="B340" s="38" t="s">
        <v>484</v>
      </c>
      <c r="C340" s="39" t="s">
        <v>120</v>
      </c>
      <c r="D340" s="39" t="s">
        <v>128</v>
      </c>
      <c r="E340" s="39" t="s">
        <v>15</v>
      </c>
      <c r="F340" s="38" t="n">
        <v>0</v>
      </c>
      <c r="G340" s="122" t="s">
        <v>987</v>
      </c>
      <c r="H340" s="122" t="s">
        <v>485</v>
      </c>
      <c r="I340" s="41" t="n">
        <v>10973</v>
      </c>
      <c r="J340" s="41" t="n">
        <v>10973</v>
      </c>
      <c r="K340" s="41" t="n">
        <v>0</v>
      </c>
      <c r="L340" s="41" t="n">
        <v>0</v>
      </c>
      <c r="M340" s="41" t="n">
        <v>0</v>
      </c>
      <c r="N340" s="41" t="n">
        <v>0</v>
      </c>
      <c r="O340" s="41" t="n">
        <v>0</v>
      </c>
      <c r="P340" s="42" t="n">
        <v>10973</v>
      </c>
    </row>
    <row r="341" spans="1:16">
      <c r="A341" s="37" t="n">
        <v>346</v>
      </c>
      <c r="B341" s="38" t="s">
        <v>1136</v>
      </c>
      <c r="C341" s="39" t="s">
        <v>58</v>
      </c>
      <c r="D341" s="39" t="s">
        <v>20</v>
      </c>
      <c r="E341" s="39" t="s">
        <v>21</v>
      </c>
      <c r="F341" s="38" t="s">
        <v>1137</v>
      </c>
      <c r="G341" s="122" t="s">
        <v>990</v>
      </c>
      <c r="H341" s="122" t="s">
        <v>1138</v>
      </c>
      <c r="I341" s="41" t="n">
        <v>56013</v>
      </c>
      <c r="J341" s="41" t="n">
        <v>56013</v>
      </c>
      <c r="K341" s="41" t="n">
        <v>2801</v>
      </c>
      <c r="L341" s="41" t="n">
        <v>0</v>
      </c>
      <c r="M341" s="41" t="n">
        <v>0</v>
      </c>
      <c r="N341" s="41" t="n">
        <v>0</v>
      </c>
      <c r="O341" s="41" t="n">
        <v>0</v>
      </c>
      <c r="P341" s="42" t="n">
        <v>53212</v>
      </c>
    </row>
    <row r="342" spans="1:16">
      <c r="A342" s="37" t="n">
        <v>347</v>
      </c>
      <c r="B342" s="38" t="s">
        <v>1139</v>
      </c>
      <c r="C342" s="39" t="s">
        <v>58</v>
      </c>
      <c r="D342" s="39" t="s">
        <v>20</v>
      </c>
      <c r="E342" s="39" t="s">
        <v>21</v>
      </c>
      <c r="F342" s="38" t="s">
        <v>1140</v>
      </c>
      <c r="G342" s="122" t="s">
        <v>993</v>
      </c>
      <c r="H342" s="122" t="s">
        <v>1141</v>
      </c>
      <c r="I342" s="41" t="n">
        <v>42751</v>
      </c>
      <c r="J342" s="41" t="n">
        <v>42751</v>
      </c>
      <c r="K342" s="41" t="n">
        <v>2138</v>
      </c>
      <c r="L342" s="41" t="n">
        <v>0</v>
      </c>
      <c r="M342" s="41" t="n">
        <v>0</v>
      </c>
      <c r="N342" s="41" t="n">
        <v>0</v>
      </c>
      <c r="O342" s="41" t="n">
        <v>0</v>
      </c>
      <c r="P342" s="42" t="n">
        <v>40613</v>
      </c>
    </row>
    <row r="343" spans="1:16">
      <c r="A343" s="37" t="n">
        <v>348</v>
      </c>
      <c r="B343" s="38" t="s">
        <v>1142</v>
      </c>
      <c r="C343" s="39" t="s">
        <v>58</v>
      </c>
      <c r="D343" s="39" t="s">
        <v>20</v>
      </c>
      <c r="E343" s="39" t="s">
        <v>21</v>
      </c>
      <c r="F343" s="38" t="s">
        <v>1143</v>
      </c>
      <c r="G343" s="122" t="s">
        <v>997</v>
      </c>
      <c r="H343" s="122" t="s">
        <v>1144</v>
      </c>
      <c r="I343" s="41" t="n">
        <v>33892</v>
      </c>
      <c r="J343" s="41" t="n">
        <v>33892</v>
      </c>
      <c r="K343" s="41" t="n">
        <v>1695</v>
      </c>
      <c r="L343" s="41" t="n">
        <v>0</v>
      </c>
      <c r="M343" s="41" t="n">
        <v>0</v>
      </c>
      <c r="N343" s="41" t="n">
        <v>0</v>
      </c>
      <c r="O343" s="41" t="n">
        <v>0</v>
      </c>
      <c r="P343" s="42" t="n">
        <v>32197</v>
      </c>
    </row>
    <row r="344" spans="1:16">
      <c r="A344" s="37" t="n">
        <v>349</v>
      </c>
      <c r="B344" s="38" t="s">
        <v>1145</v>
      </c>
      <c r="C344" s="39" t="s">
        <v>131</v>
      </c>
      <c r="D344" s="39" t="s">
        <v>20</v>
      </c>
      <c r="E344" s="39" t="s">
        <v>21</v>
      </c>
      <c r="F344" s="38" t="s">
        <v>1146</v>
      </c>
      <c r="G344" s="122" t="s">
        <v>1001</v>
      </c>
      <c r="H344" s="122" t="s">
        <v>1147</v>
      </c>
      <c r="I344" s="41" t="n">
        <v>35720</v>
      </c>
      <c r="J344" s="41" t="n">
        <v>35720</v>
      </c>
      <c r="K344" s="41" t="n">
        <v>1786</v>
      </c>
      <c r="L344" s="41" t="n">
        <v>0</v>
      </c>
      <c r="M344" s="41" t="n">
        <v>0</v>
      </c>
      <c r="N344" s="41" t="n">
        <v>0</v>
      </c>
      <c r="O344" s="41" t="n">
        <v>0</v>
      </c>
      <c r="P344" s="42" t="n">
        <v>33934</v>
      </c>
    </row>
    <row r="345" spans="1:16">
      <c r="A345" s="37" t="n">
        <v>350</v>
      </c>
      <c r="B345" s="38" t="s">
        <v>1148</v>
      </c>
      <c r="C345" s="39" t="s">
        <v>283</v>
      </c>
      <c r="D345" s="39" t="s">
        <v>20</v>
      </c>
      <c r="E345" s="39" t="s">
        <v>21</v>
      </c>
      <c r="F345" s="38" t="n">
        <v>0</v>
      </c>
      <c r="G345" s="122" t="s">
        <v>1004</v>
      </c>
      <c r="H345" s="122" t="s">
        <v>1149</v>
      </c>
      <c r="I345" s="41" t="n">
        <v>30377</v>
      </c>
      <c r="J345" s="41" t="n">
        <v>30377</v>
      </c>
      <c r="K345" s="41" t="n">
        <v>0</v>
      </c>
      <c r="L345" s="41" t="n">
        <v>0</v>
      </c>
      <c r="M345" s="41" t="n">
        <v>0</v>
      </c>
      <c r="N345" s="41" t="n">
        <v>0</v>
      </c>
      <c r="O345" s="41" t="n">
        <v>0</v>
      </c>
      <c r="P345" s="42" t="n">
        <v>30377</v>
      </c>
    </row>
    <row r="346" spans="1:16">
      <c r="A346" s="37" t="n">
        <v>351</v>
      </c>
      <c r="B346" s="38" t="s">
        <v>1150</v>
      </c>
      <c r="C346" s="39" t="s">
        <v>283</v>
      </c>
      <c r="D346" s="39" t="s">
        <v>20</v>
      </c>
      <c r="E346" s="39" t="s">
        <v>21</v>
      </c>
      <c r="F346" s="38" t="n">
        <v>0</v>
      </c>
      <c r="G346" s="122" t="s">
        <v>1007</v>
      </c>
      <c r="H346" s="122" t="s">
        <v>1152</v>
      </c>
      <c r="I346" s="41" t="n">
        <v>33892</v>
      </c>
      <c r="J346" s="41" t="n">
        <v>33892</v>
      </c>
      <c r="K346" s="41" t="n">
        <v>0</v>
      </c>
      <c r="L346" s="41" t="n">
        <v>0</v>
      </c>
      <c r="M346" s="41" t="n">
        <v>0</v>
      </c>
      <c r="N346" s="41" t="n">
        <v>0</v>
      </c>
      <c r="O346" s="41" t="n">
        <v>0</v>
      </c>
      <c r="P346" s="42" t="n">
        <v>33892</v>
      </c>
    </row>
    <row r="347" spans="1:16">
      <c r="A347" s="37" t="n">
        <v>352</v>
      </c>
      <c r="B347" s="38" t="s">
        <v>1153</v>
      </c>
      <c r="C347" s="39" t="s">
        <v>131</v>
      </c>
      <c r="D347" s="39" t="s">
        <v>20</v>
      </c>
      <c r="E347" s="39" t="s">
        <v>21</v>
      </c>
      <c r="F347" s="38" t="s">
        <v>1154</v>
      </c>
      <c r="G347" s="122" t="s">
        <v>1011</v>
      </c>
      <c r="H347" s="122" t="s">
        <v>1155</v>
      </c>
      <c r="I347" s="41" t="n">
        <v>35720</v>
      </c>
      <c r="J347" s="41" t="n">
        <v>35720</v>
      </c>
      <c r="K347" s="41" t="n">
        <v>1786</v>
      </c>
      <c r="L347" s="41" t="n">
        <v>0</v>
      </c>
      <c r="M347" s="41" t="n">
        <v>0</v>
      </c>
      <c r="N347" s="41" t="n">
        <v>0</v>
      </c>
      <c r="O347" s="41" t="n">
        <v>0</v>
      </c>
      <c r="P347" s="42" t="n">
        <v>33934</v>
      </c>
    </row>
    <row r="348" spans="1:16">
      <c r="A348" s="37" t="n">
        <v>353</v>
      </c>
      <c r="B348" s="38" t="s">
        <v>1156</v>
      </c>
      <c r="C348" s="39" t="s">
        <v>131</v>
      </c>
      <c r="D348" s="39" t="s">
        <v>20</v>
      </c>
      <c r="E348" s="39" t="s">
        <v>21</v>
      </c>
      <c r="F348" s="38" t="s">
        <v>1157</v>
      </c>
      <c r="G348" s="122" t="s">
        <v>1015</v>
      </c>
      <c r="H348" s="122" t="s">
        <v>1159</v>
      </c>
      <c r="I348" s="41" t="n">
        <v>32205</v>
      </c>
      <c r="J348" s="41" t="n">
        <v>32205</v>
      </c>
      <c r="K348" s="41" t="n">
        <v>1610</v>
      </c>
      <c r="L348" s="41" t="n">
        <v>0</v>
      </c>
      <c r="M348" s="41" t="n">
        <v>0</v>
      </c>
      <c r="N348" s="41" t="n">
        <v>0</v>
      </c>
      <c r="O348" s="41" t="n">
        <v>0</v>
      </c>
      <c r="P348" s="42" t="n">
        <v>30595</v>
      </c>
    </row>
    <row r="349" spans="1:16">
      <c r="A349" s="37" t="n">
        <v>354</v>
      </c>
      <c r="B349" s="38" t="s">
        <v>1160</v>
      </c>
      <c r="C349" s="39" t="s">
        <v>58</v>
      </c>
      <c r="D349" s="39" t="s">
        <v>20</v>
      </c>
      <c r="E349" s="39" t="s">
        <v>21</v>
      </c>
      <c r="F349" s="38" t="s">
        <v>1161</v>
      </c>
      <c r="G349" s="40" t="n">
        <v>0</v>
      </c>
      <c r="H349" s="122" t="s">
        <v>1162</v>
      </c>
      <c r="I349" s="41" t="n">
        <v>32205</v>
      </c>
      <c r="J349" s="41" t="n">
        <v>32205</v>
      </c>
      <c r="K349" s="41" t="n">
        <v>1610</v>
      </c>
      <c r="L349" s="41" t="n">
        <v>0</v>
      </c>
      <c r="M349" s="41" t="n">
        <v>0</v>
      </c>
      <c r="N349" s="41" t="n">
        <v>0</v>
      </c>
      <c r="O349" s="41" t="n">
        <v>0</v>
      </c>
      <c r="P349" s="42" t="n">
        <v>30595</v>
      </c>
    </row>
    <row r="350" spans="1:16">
      <c r="A350" s="37" t="n">
        <v>355</v>
      </c>
      <c r="B350" s="38" t="s">
        <v>1163</v>
      </c>
      <c r="C350" s="39" t="s">
        <v>111</v>
      </c>
      <c r="D350" s="39" t="s">
        <v>20</v>
      </c>
      <c r="E350" s="39" t="s">
        <v>21</v>
      </c>
      <c r="F350" s="38" t="s">
        <v>1164</v>
      </c>
      <c r="G350" s="40" t="n">
        <v>0</v>
      </c>
      <c r="H350" s="122" t="s">
        <v>1165</v>
      </c>
      <c r="I350" s="41" t="n">
        <v>30377</v>
      </c>
      <c r="J350" s="41" t="n">
        <v>30377</v>
      </c>
      <c r="K350" s="41" t="n">
        <v>0</v>
      </c>
      <c r="L350" s="41" t="n">
        <v>0</v>
      </c>
      <c r="M350" s="41" t="n">
        <v>0</v>
      </c>
      <c r="N350" s="41" t="n">
        <v>0</v>
      </c>
      <c r="O350" s="41" t="n">
        <v>0</v>
      </c>
      <c r="P350" s="42" t="n">
        <v>30377</v>
      </c>
    </row>
    <row r="351" spans="1:16">
      <c r="A351" s="37" t="n">
        <v>356</v>
      </c>
      <c r="B351" s="38" t="s">
        <v>2088</v>
      </c>
      <c r="C351" s="39" t="s">
        <v>58</v>
      </c>
      <c r="D351" s="39" t="s">
        <v>20</v>
      </c>
      <c r="E351" s="39" t="s">
        <v>21</v>
      </c>
      <c r="F351" s="38" t="s">
        <v>1167</v>
      </c>
      <c r="G351" s="40" t="n">
        <v>0</v>
      </c>
      <c r="H351" s="122" t="s">
        <v>1168</v>
      </c>
      <c r="I351" s="41" t="n">
        <v>25126</v>
      </c>
      <c r="J351" s="41" t="n">
        <v>25126</v>
      </c>
      <c r="K351" s="41" t="n">
        <v>1256</v>
      </c>
      <c r="L351" s="41" t="n">
        <v>0</v>
      </c>
      <c r="M351" s="41" t="n">
        <v>0</v>
      </c>
      <c r="N351" s="41" t="n">
        <v>0</v>
      </c>
      <c r="O351" s="41" t="n">
        <v>0</v>
      </c>
      <c r="P351" s="42" t="n">
        <v>23870</v>
      </c>
    </row>
    <row r="352" spans="1:16">
      <c r="A352" s="37" t="n">
        <v>357</v>
      </c>
      <c r="B352" s="38" t="s">
        <v>2089</v>
      </c>
      <c r="C352" s="39" t="s">
        <v>58</v>
      </c>
      <c r="D352" s="39" t="s">
        <v>20</v>
      </c>
      <c r="E352" s="39" t="s">
        <v>21</v>
      </c>
      <c r="F352" s="38" t="s">
        <v>1170</v>
      </c>
      <c r="G352" s="40" t="n">
        <v>0</v>
      </c>
      <c r="H352" s="122" t="s">
        <v>1171</v>
      </c>
      <c r="I352" s="41" t="n">
        <v>25126</v>
      </c>
      <c r="J352" s="41" t="n">
        <v>25126</v>
      </c>
      <c r="K352" s="41" t="n">
        <v>1256</v>
      </c>
      <c r="L352" s="41" t="n">
        <v>0</v>
      </c>
      <c r="M352" s="41" t="n">
        <v>0</v>
      </c>
      <c r="N352" s="41" t="n">
        <v>0</v>
      </c>
      <c r="O352" s="41" t="n">
        <v>0</v>
      </c>
      <c r="P352" s="42" t="n">
        <v>23870</v>
      </c>
    </row>
    <row r="353" spans="1:16">
      <c r="A353" s="37" t="n">
        <v>358</v>
      </c>
      <c r="B353" s="38" t="s">
        <v>1172</v>
      </c>
      <c r="C353" s="39" t="s">
        <v>131</v>
      </c>
      <c r="D353" s="39" t="s">
        <v>20</v>
      </c>
      <c r="E353" s="39" t="s">
        <v>21</v>
      </c>
      <c r="F353" s="38" t="s">
        <v>1173</v>
      </c>
      <c r="G353" s="40" t="n">
        <v>0</v>
      </c>
      <c r="H353" s="122" t="s">
        <v>1175</v>
      </c>
      <c r="I353" s="41" t="n">
        <v>27987</v>
      </c>
      <c r="J353" s="41" t="n">
        <v>27987</v>
      </c>
      <c r="K353" s="41" t="n">
        <v>1399</v>
      </c>
      <c r="L353" s="41" t="n">
        <v>0</v>
      </c>
      <c r="M353" s="41" t="n">
        <v>0</v>
      </c>
      <c r="N353" s="41" t="n">
        <v>0</v>
      </c>
      <c r="O353" s="41" t="n">
        <v>0</v>
      </c>
      <c r="P353" s="42" t="n">
        <v>26588</v>
      </c>
    </row>
    <row r="354" spans="1:16">
      <c r="A354" s="37" t="n">
        <v>359</v>
      </c>
      <c r="B354" s="38" t="s">
        <v>1176</v>
      </c>
      <c r="C354" s="39" t="s">
        <v>131</v>
      </c>
      <c r="D354" s="39" t="s">
        <v>20</v>
      </c>
      <c r="E354" s="39" t="s">
        <v>21</v>
      </c>
      <c r="F354" s="38" t="s">
        <v>1177</v>
      </c>
      <c r="G354" s="40" t="n">
        <v>0</v>
      </c>
      <c r="H354" s="122" t="s">
        <v>1178</v>
      </c>
      <c r="I354" s="41" t="n">
        <v>27987</v>
      </c>
      <c r="J354" s="41" t="n">
        <v>27987</v>
      </c>
      <c r="K354" s="41" t="n">
        <v>1399</v>
      </c>
      <c r="L354" s="41" t="n">
        <v>0</v>
      </c>
      <c r="M354" s="41" t="n">
        <v>0</v>
      </c>
      <c r="N354" s="41" t="n">
        <v>0</v>
      </c>
      <c r="O354" s="41" t="n">
        <v>0</v>
      </c>
      <c r="P354" s="42" t="n">
        <v>26588</v>
      </c>
    </row>
    <row r="355" spans="1:16">
      <c r="A355" s="37" t="n">
        <v>360</v>
      </c>
      <c r="B355" s="38" t="s">
        <v>1179</v>
      </c>
      <c r="C355" s="39" t="s">
        <v>131</v>
      </c>
      <c r="D355" s="39" t="s">
        <v>20</v>
      </c>
      <c r="E355" s="39" t="s">
        <v>21</v>
      </c>
      <c r="F355" s="38" t="s">
        <v>1180</v>
      </c>
      <c r="G355" s="40" t="n">
        <v>0</v>
      </c>
      <c r="H355" s="122" t="s">
        <v>1181</v>
      </c>
      <c r="I355" s="41" t="n">
        <v>26695</v>
      </c>
      <c r="J355" s="41" t="n">
        <v>26695</v>
      </c>
      <c r="K355" s="41" t="n">
        <v>1335</v>
      </c>
      <c r="L355" s="41" t="n">
        <v>0</v>
      </c>
      <c r="M355" s="41" t="n">
        <v>0</v>
      </c>
      <c r="N355" s="41" t="n">
        <v>0</v>
      </c>
      <c r="O355" s="41" t="n">
        <v>0</v>
      </c>
      <c r="P355" s="42" t="n">
        <v>25360</v>
      </c>
    </row>
    <row r="356" spans="1:16">
      <c r="A356" s="37" t="n">
        <v>361</v>
      </c>
      <c r="B356" s="38" t="s">
        <v>1182</v>
      </c>
      <c r="C356" s="39" t="s">
        <v>283</v>
      </c>
      <c r="D356" s="39" t="s">
        <v>20</v>
      </c>
      <c r="E356" s="39" t="s">
        <v>21</v>
      </c>
      <c r="F356" s="38" t="n">
        <v>0</v>
      </c>
      <c r="G356" s="40" t="n">
        <v>0</v>
      </c>
      <c r="H356" s="122" t="s">
        <v>1183</v>
      </c>
      <c r="I356" s="41" t="n">
        <v>25728</v>
      </c>
      <c r="J356" s="41" t="n">
        <v>25728</v>
      </c>
      <c r="K356" s="41" t="n">
        <v>0</v>
      </c>
      <c r="L356" s="41" t="n">
        <v>0</v>
      </c>
      <c r="M356" s="41" t="n">
        <v>0</v>
      </c>
      <c r="N356" s="41" t="n">
        <v>0</v>
      </c>
      <c r="O356" s="41" t="n">
        <v>0</v>
      </c>
      <c r="P356" s="42" t="n">
        <v>25728</v>
      </c>
    </row>
    <row r="357" spans="1:16">
      <c r="A357" s="37" t="n">
        <v>362</v>
      </c>
      <c r="B357" s="38" t="s">
        <v>2090</v>
      </c>
      <c r="C357" s="39" t="s">
        <v>95</v>
      </c>
      <c r="D357" s="39" t="s">
        <v>124</v>
      </c>
      <c r="E357" s="39" t="s">
        <v>15</v>
      </c>
      <c r="F357" s="38" t="n">
        <v>0</v>
      </c>
      <c r="G357" s="40" t="n">
        <v>0</v>
      </c>
      <c r="H357" s="122" t="s">
        <v>1185</v>
      </c>
      <c r="I357" s="41" t="n">
        <v>24753</v>
      </c>
      <c r="J357" s="41" t="n">
        <v>24753</v>
      </c>
      <c r="K357" s="41" t="n">
        <v>0</v>
      </c>
      <c r="L357" s="41" t="n">
        <v>0</v>
      </c>
      <c r="M357" s="41" t="n">
        <v>0</v>
      </c>
      <c r="N357" s="41" t="n">
        <v>0</v>
      </c>
      <c r="O357" s="41" t="n">
        <v>0</v>
      </c>
      <c r="P357" s="42" t="n">
        <v>24753</v>
      </c>
    </row>
    <row r="358" spans="1:16">
      <c r="A358" s="37" t="n">
        <v>363</v>
      </c>
      <c r="B358" s="38" t="s">
        <v>1186</v>
      </c>
      <c r="C358" s="39" t="s">
        <v>95</v>
      </c>
      <c r="D358" s="39" t="s">
        <v>137</v>
      </c>
      <c r="E358" s="39" t="s">
        <v>14</v>
      </c>
      <c r="F358" s="38" t="n">
        <v>0</v>
      </c>
      <c r="G358" s="122" t="s">
        <v>1039</v>
      </c>
      <c r="H358" s="122" t="s">
        <v>1187</v>
      </c>
      <c r="I358" s="41" t="n">
        <v>24753</v>
      </c>
      <c r="J358" s="41" t="n">
        <v>24753</v>
      </c>
      <c r="K358" s="41" t="n">
        <v>0</v>
      </c>
      <c r="L358" s="41" t="n">
        <v>0</v>
      </c>
      <c r="M358" s="41" t="n">
        <v>0</v>
      </c>
      <c r="N358" s="41" t="n">
        <v>0</v>
      </c>
      <c r="O358" s="41" t="n">
        <v>0</v>
      </c>
      <c r="P358" s="42" t="n">
        <v>24753</v>
      </c>
    </row>
    <row r="359" spans="1:16">
      <c r="A359" s="37" t="n">
        <v>364</v>
      </c>
      <c r="B359" s="38" t="s">
        <v>1188</v>
      </c>
      <c r="C359" s="39" t="s">
        <v>95</v>
      </c>
      <c r="D359" s="39" t="s">
        <v>121</v>
      </c>
      <c r="E359" s="39" t="s">
        <v>14</v>
      </c>
      <c r="F359" s="38" t="n">
        <v>0</v>
      </c>
      <c r="G359" s="122" t="s">
        <v>1043</v>
      </c>
      <c r="H359" s="122" t="s">
        <v>1189</v>
      </c>
      <c r="I359" s="41" t="n">
        <v>49928</v>
      </c>
      <c r="J359" s="41" t="n">
        <v>49928</v>
      </c>
      <c r="K359" s="41" t="n">
        <v>0</v>
      </c>
      <c r="L359" s="41" t="n">
        <v>0</v>
      </c>
      <c r="M359" s="41" t="n">
        <v>0</v>
      </c>
      <c r="N359" s="41" t="n">
        <v>0</v>
      </c>
      <c r="O359" s="41" t="n">
        <v>0</v>
      </c>
      <c r="P359" s="42" t="n">
        <v>49928</v>
      </c>
    </row>
    <row r="360" spans="1:16">
      <c r="A360" s="37" t="n">
        <v>365</v>
      </c>
      <c r="B360" s="38" t="s">
        <v>1190</v>
      </c>
      <c r="C360" s="39" t="s">
        <v>95</v>
      </c>
      <c r="D360" s="39" t="s">
        <v>121</v>
      </c>
      <c r="E360" s="39" t="s">
        <v>14</v>
      </c>
      <c r="F360" s="38" t="n">
        <v>0</v>
      </c>
      <c r="G360" s="122" t="s">
        <v>1047</v>
      </c>
      <c r="H360" s="122" t="s">
        <v>1191</v>
      </c>
      <c r="I360" s="41" t="n">
        <v>49928</v>
      </c>
      <c r="J360" s="41" t="n">
        <v>49928</v>
      </c>
      <c r="K360" s="41" t="n">
        <v>0</v>
      </c>
      <c r="L360" s="41" t="n">
        <v>0</v>
      </c>
      <c r="M360" s="41" t="n">
        <v>0</v>
      </c>
      <c r="N360" s="41" t="n">
        <v>0</v>
      </c>
      <c r="O360" s="41" t="n">
        <v>0</v>
      </c>
      <c r="P360" s="42" t="n">
        <v>49928</v>
      </c>
    </row>
    <row r="361" spans="1:16">
      <c r="A361" s="37" t="n">
        <v>366</v>
      </c>
      <c r="B361" s="38" t="s">
        <v>1192</v>
      </c>
      <c r="C361" s="39" t="s">
        <v>95</v>
      </c>
      <c r="D361" s="39" t="s">
        <v>121</v>
      </c>
      <c r="E361" s="39" t="s">
        <v>14</v>
      </c>
      <c r="F361" s="38" t="n">
        <v>0</v>
      </c>
      <c r="G361" s="122" t="s">
        <v>1050</v>
      </c>
      <c r="H361" s="122" t="s">
        <v>1193</v>
      </c>
      <c r="I361" s="41" t="n">
        <v>24753</v>
      </c>
      <c r="J361" s="41" t="n">
        <v>24753</v>
      </c>
      <c r="K361" s="41" t="n">
        <v>0</v>
      </c>
      <c r="L361" s="41" t="n">
        <v>0</v>
      </c>
      <c r="M361" s="41" t="n">
        <v>0</v>
      </c>
      <c r="N361" s="41" t="n">
        <v>0</v>
      </c>
      <c r="O361" s="41" t="n">
        <v>0</v>
      </c>
      <c r="P361" s="42" t="n">
        <v>24753</v>
      </c>
    </row>
    <row r="362" spans="1:16">
      <c r="A362" s="37" t="n">
        <v>367</v>
      </c>
      <c r="B362" s="38" t="s">
        <v>1194</v>
      </c>
      <c r="C362" s="39" t="s">
        <v>95</v>
      </c>
      <c r="D362" s="39" t="s">
        <v>121</v>
      </c>
      <c r="E362" s="39" t="s">
        <v>14</v>
      </c>
      <c r="F362" s="38" t="n">
        <v>0</v>
      </c>
      <c r="G362" s="122" t="s">
        <v>1053</v>
      </c>
      <c r="H362" s="122" t="s">
        <v>1195</v>
      </c>
      <c r="I362" s="41" t="n">
        <v>51757</v>
      </c>
      <c r="J362" s="41" t="n">
        <v>51757</v>
      </c>
      <c r="K362" s="41" t="n">
        <v>0</v>
      </c>
      <c r="L362" s="41" t="n">
        <v>0</v>
      </c>
      <c r="M362" s="41" t="n">
        <v>0</v>
      </c>
      <c r="N362" s="41" t="n">
        <v>0</v>
      </c>
      <c r="O362" s="41" t="n">
        <v>0</v>
      </c>
      <c r="P362" s="42" t="n">
        <v>51757</v>
      </c>
    </row>
    <row r="363" spans="1:16">
      <c r="A363" s="37" t="n">
        <v>368</v>
      </c>
      <c r="B363" s="38" t="s">
        <v>1196</v>
      </c>
      <c r="C363" s="39" t="s">
        <v>111</v>
      </c>
      <c r="D363" s="39" t="s">
        <v>124</v>
      </c>
      <c r="E363" s="39" t="s">
        <v>15</v>
      </c>
      <c r="F363" s="38" t="n">
        <v>0</v>
      </c>
      <c r="G363" s="122" t="s">
        <v>1057</v>
      </c>
      <c r="H363" s="122" t="s">
        <v>1197</v>
      </c>
      <c r="I363" s="41" t="n">
        <v>125062</v>
      </c>
      <c r="J363" s="41" t="n">
        <v>125062</v>
      </c>
      <c r="K363" s="41" t="n">
        <v>0</v>
      </c>
      <c r="L363" s="41" t="n">
        <v>0</v>
      </c>
      <c r="M363" s="41" t="n">
        <v>0</v>
      </c>
      <c r="N363" s="41" t="n">
        <v>0</v>
      </c>
      <c r="O363" s="41" t="n">
        <v>0</v>
      </c>
      <c r="P363" s="42" t="n">
        <v>125062</v>
      </c>
    </row>
    <row r="364" spans="1:16">
      <c r="A364" s="37" t="n">
        <v>369</v>
      </c>
      <c r="B364" s="38" t="s">
        <v>495</v>
      </c>
      <c r="C364" s="39" t="s">
        <v>120</v>
      </c>
      <c r="D364" s="39" t="s">
        <v>121</v>
      </c>
      <c r="E364" s="39" t="s">
        <v>14</v>
      </c>
      <c r="F364" s="38" t="n">
        <v>0</v>
      </c>
      <c r="G364" s="122" t="s">
        <v>1060</v>
      </c>
      <c r="H364" s="122" t="s">
        <v>496</v>
      </c>
      <c r="I364" s="41" t="n">
        <v>21518</v>
      </c>
      <c r="J364" s="41" t="n">
        <v>21518</v>
      </c>
      <c r="K364" s="41" t="n">
        <v>0</v>
      </c>
      <c r="L364" s="41" t="n">
        <v>0</v>
      </c>
      <c r="M364" s="41" t="n">
        <v>0</v>
      </c>
      <c r="N364" s="41" t="n">
        <v>0</v>
      </c>
      <c r="O364" s="41" t="n">
        <v>0</v>
      </c>
      <c r="P364" s="42" t="n">
        <v>21518</v>
      </c>
    </row>
    <row r="365" spans="1:16">
      <c r="A365" s="37" t="n">
        <v>370</v>
      </c>
      <c r="B365" s="38" t="s">
        <v>1198</v>
      </c>
      <c r="C365" s="39" t="s">
        <v>19</v>
      </c>
      <c r="D365" s="39" t="s">
        <v>20</v>
      </c>
      <c r="E365" s="39" t="s">
        <v>21</v>
      </c>
      <c r="F365" s="38" t="s">
        <v>1199</v>
      </c>
      <c r="G365" s="122" t="s">
        <v>1064</v>
      </c>
      <c r="H365" s="122" t="s">
        <v>1200</v>
      </c>
      <c r="I365" s="41" t="n">
        <v>15316</v>
      </c>
      <c r="J365" s="41" t="n">
        <v>15316</v>
      </c>
      <c r="K365" s="41" t="n">
        <v>0</v>
      </c>
      <c r="L365" s="41" t="n">
        <v>2297</v>
      </c>
      <c r="M365" s="41" t="n">
        <v>0</v>
      </c>
      <c r="N365" s="41" t="n">
        <v>0</v>
      </c>
      <c r="O365" s="41" t="n">
        <v>0</v>
      </c>
      <c r="P365" s="42" t="n">
        <v>13019</v>
      </c>
    </row>
    <row r="366" spans="1:16">
      <c r="A366" s="37" t="n">
        <v>371</v>
      </c>
      <c r="B366" s="38" t="s">
        <v>1201</v>
      </c>
      <c r="C366" s="39" t="s">
        <v>58</v>
      </c>
      <c r="D366" s="39" t="s">
        <v>20</v>
      </c>
      <c r="E366" s="39" t="s">
        <v>21</v>
      </c>
      <c r="F366" s="38" t="s">
        <v>1202</v>
      </c>
      <c r="G366" s="122" t="s">
        <v>1068</v>
      </c>
      <c r="H366" s="122" t="s">
        <v>1203</v>
      </c>
      <c r="I366" s="41" t="n">
        <v>12116</v>
      </c>
      <c r="J366" s="41" t="n">
        <v>12116</v>
      </c>
      <c r="K366" s="41" t="n">
        <v>606</v>
      </c>
      <c r="L366" s="41" t="n">
        <v>0</v>
      </c>
      <c r="M366" s="41" t="n">
        <v>0</v>
      </c>
      <c r="N366" s="41" t="n">
        <v>0</v>
      </c>
      <c r="O366" s="41" t="n">
        <v>0</v>
      </c>
      <c r="P366" s="42" t="n">
        <v>11510</v>
      </c>
    </row>
    <row r="367" spans="1:16">
      <c r="A367" s="37" t="n">
        <v>372</v>
      </c>
      <c r="B367" s="38" t="s">
        <v>1204</v>
      </c>
      <c r="C367" s="39" t="s">
        <v>58</v>
      </c>
      <c r="D367" s="39" t="s">
        <v>20</v>
      </c>
      <c r="E367" s="39" t="s">
        <v>21</v>
      </c>
      <c r="F367" s="38" t="s">
        <v>1205</v>
      </c>
      <c r="G367" s="40" t="n">
        <v>0</v>
      </c>
      <c r="H367" s="122" t="s">
        <v>1206</v>
      </c>
      <c r="I367" s="41" t="n">
        <v>208704</v>
      </c>
      <c r="J367" s="41" t="n">
        <v>208704</v>
      </c>
      <c r="K367" s="41" t="n">
        <v>10435</v>
      </c>
      <c r="L367" s="41" t="n">
        <v>0</v>
      </c>
      <c r="M367" s="41" t="n">
        <v>0</v>
      </c>
      <c r="N367" s="41" t="n">
        <v>0</v>
      </c>
      <c r="O367" s="41" t="n">
        <v>0</v>
      </c>
      <c r="P367" s="42" t="n">
        <v>198269</v>
      </c>
    </row>
    <row r="368" spans="1:16">
      <c r="A368" s="37" t="n">
        <v>373</v>
      </c>
      <c r="B368" s="38" t="s">
        <v>1207</v>
      </c>
      <c r="C368" s="39" t="s">
        <v>111</v>
      </c>
      <c r="D368" s="39" t="s">
        <v>20</v>
      </c>
      <c r="E368" s="39" t="s">
        <v>21</v>
      </c>
      <c r="F368" s="38" t="s">
        <v>1208</v>
      </c>
      <c r="G368" s="122" t="s">
        <v>1073</v>
      </c>
      <c r="H368" s="122" t="s">
        <v>1209</v>
      </c>
      <c r="I368" s="41" t="n">
        <v>12116</v>
      </c>
      <c r="J368" s="41" t="n">
        <v>12116</v>
      </c>
      <c r="K368" s="41" t="n">
        <v>0</v>
      </c>
      <c r="L368" s="41" t="n">
        <v>0</v>
      </c>
      <c r="M368" s="41" t="n">
        <v>0</v>
      </c>
      <c r="N368" s="41" t="n">
        <v>0</v>
      </c>
      <c r="O368" s="41" t="n">
        <v>0</v>
      </c>
      <c r="P368" s="42" t="n">
        <v>12116</v>
      </c>
    </row>
    <row r="369" spans="1:16">
      <c r="A369" s="37" t="n">
        <v>374</v>
      </c>
      <c r="B369" s="38" t="s">
        <v>1210</v>
      </c>
      <c r="C369" s="39" t="s">
        <v>131</v>
      </c>
      <c r="D369" s="39" t="s">
        <v>20</v>
      </c>
      <c r="E369" s="39" t="s">
        <v>21</v>
      </c>
      <c r="F369" s="38" t="s">
        <v>1211</v>
      </c>
      <c r="G369" s="40" t="n">
        <v>0</v>
      </c>
      <c r="H369" s="122" t="s">
        <v>1212</v>
      </c>
      <c r="I369" s="41" t="n">
        <v>13945</v>
      </c>
      <c r="J369" s="41" t="n">
        <v>13945</v>
      </c>
      <c r="K369" s="41" t="n">
        <v>697</v>
      </c>
      <c r="L369" s="41" t="n">
        <v>0</v>
      </c>
      <c r="M369" s="41" t="n">
        <v>0</v>
      </c>
      <c r="N369" s="41" t="n">
        <v>0</v>
      </c>
      <c r="O369" s="41" t="n">
        <v>0</v>
      </c>
      <c r="P369" s="42" t="n">
        <v>13248</v>
      </c>
    </row>
    <row r="370" spans="1:16">
      <c r="A370" s="37" t="n">
        <v>375</v>
      </c>
      <c r="B370" s="38" t="s">
        <v>1213</v>
      </c>
      <c r="C370" s="39" t="s">
        <v>283</v>
      </c>
      <c r="D370" s="39" t="s">
        <v>20</v>
      </c>
      <c r="E370" s="39" t="s">
        <v>21</v>
      </c>
      <c r="F370" s="38" t="s">
        <v>1057</v>
      </c>
      <c r="G370" s="40" t="n">
        <v>0</v>
      </c>
      <c r="H370" s="122" t="s">
        <v>1215</v>
      </c>
      <c r="I370" s="41" t="n">
        <v>12116</v>
      </c>
      <c r="J370" s="41" t="n">
        <v>12116</v>
      </c>
      <c r="K370" s="41" t="n">
        <v>0</v>
      </c>
      <c r="L370" s="41" t="n">
        <v>0</v>
      </c>
      <c r="M370" s="41" t="n">
        <v>0</v>
      </c>
      <c r="N370" s="41" t="n">
        <v>0</v>
      </c>
      <c r="O370" s="41" t="n">
        <v>0</v>
      </c>
      <c r="P370" s="42" t="n">
        <v>12116</v>
      </c>
    </row>
    <row r="371" spans="1:16">
      <c r="A371" s="37" t="n">
        <v>376</v>
      </c>
      <c r="B371" s="38" t="s">
        <v>1216</v>
      </c>
      <c r="C371" s="39" t="s">
        <v>111</v>
      </c>
      <c r="D371" s="39" t="s">
        <v>20</v>
      </c>
      <c r="E371" s="39" t="s">
        <v>21</v>
      </c>
      <c r="F371" s="38" t="s">
        <v>1217</v>
      </c>
      <c r="G371" s="40" t="n">
        <v>0</v>
      </c>
      <c r="H371" s="122" t="s">
        <v>1218</v>
      </c>
      <c r="I371" s="41" t="n">
        <v>12116</v>
      </c>
      <c r="J371" s="41" t="n">
        <v>12116</v>
      </c>
      <c r="K371" s="41" t="n">
        <v>0</v>
      </c>
      <c r="L371" s="41" t="n">
        <v>0</v>
      </c>
      <c r="M371" s="41" t="n">
        <v>0</v>
      </c>
      <c r="N371" s="41" t="n">
        <v>0</v>
      </c>
      <c r="O371" s="41" t="n">
        <v>0</v>
      </c>
      <c r="P371" s="42" t="n">
        <v>12116</v>
      </c>
    </row>
    <row r="372" spans="1:16">
      <c r="A372" s="37" t="n">
        <v>377</v>
      </c>
      <c r="B372" s="38" t="s">
        <v>1219</v>
      </c>
      <c r="C372" s="39" t="s">
        <v>111</v>
      </c>
      <c r="D372" s="39" t="s">
        <v>20</v>
      </c>
      <c r="E372" s="39" t="s">
        <v>21</v>
      </c>
      <c r="F372" s="38" t="s">
        <v>1220</v>
      </c>
      <c r="G372" s="40" t="n">
        <v>0</v>
      </c>
      <c r="H372" s="122" t="s">
        <v>1221</v>
      </c>
      <c r="I372" s="41" t="n">
        <v>12116</v>
      </c>
      <c r="J372" s="41" t="n">
        <v>12116</v>
      </c>
      <c r="K372" s="41" t="n">
        <v>0</v>
      </c>
      <c r="L372" s="41" t="n">
        <v>0</v>
      </c>
      <c r="M372" s="41" t="n">
        <v>0</v>
      </c>
      <c r="N372" s="41" t="n">
        <v>0</v>
      </c>
      <c r="O372" s="41" t="n">
        <v>0</v>
      </c>
      <c r="P372" s="42" t="n">
        <v>12116</v>
      </c>
    </row>
    <row r="373" spans="1:16">
      <c r="A373" s="37" t="n">
        <v>378</v>
      </c>
      <c r="B373" s="38" t="s">
        <v>1222</v>
      </c>
      <c r="C373" s="39" t="s">
        <v>111</v>
      </c>
      <c r="D373" s="39" t="s">
        <v>20</v>
      </c>
      <c r="E373" s="39" t="s">
        <v>21</v>
      </c>
      <c r="F373" s="38" t="s">
        <v>1223</v>
      </c>
      <c r="G373" s="40" t="n">
        <v>0</v>
      </c>
      <c r="H373" s="122" t="s">
        <v>1224</v>
      </c>
      <c r="I373" s="41" t="n">
        <v>12116</v>
      </c>
      <c r="J373" s="41" t="n">
        <v>12116</v>
      </c>
      <c r="K373" s="41" t="n">
        <v>0</v>
      </c>
      <c r="L373" s="41" t="n">
        <v>0</v>
      </c>
      <c r="M373" s="41" t="n">
        <v>0</v>
      </c>
      <c r="N373" s="41" t="n">
        <v>0</v>
      </c>
      <c r="O373" s="41" t="n">
        <v>0</v>
      </c>
      <c r="P373" s="42" t="n">
        <v>12116</v>
      </c>
    </row>
    <row r="374" spans="1:16">
      <c r="A374" s="37" t="n">
        <v>379</v>
      </c>
      <c r="B374" s="38" t="s">
        <v>1225</v>
      </c>
      <c r="C374" s="39" t="s">
        <v>283</v>
      </c>
      <c r="D374" s="39" t="s">
        <v>20</v>
      </c>
      <c r="E374" s="39" t="s">
        <v>21</v>
      </c>
      <c r="F374" s="38" t="n">
        <v>0</v>
      </c>
      <c r="G374" s="122" t="s">
        <v>1086</v>
      </c>
      <c r="H374" s="122" t="s">
        <v>1227</v>
      </c>
      <c r="I374" s="41" t="n">
        <v>12116</v>
      </c>
      <c r="J374" s="41" t="n">
        <v>12116</v>
      </c>
      <c r="K374" s="41" t="n">
        <v>0</v>
      </c>
      <c r="L374" s="41" t="n">
        <v>0</v>
      </c>
      <c r="M374" s="41" t="n">
        <v>0</v>
      </c>
      <c r="N374" s="41" t="n">
        <v>0</v>
      </c>
      <c r="O374" s="41" t="n">
        <v>0</v>
      </c>
      <c r="P374" s="42" t="n">
        <v>12116</v>
      </c>
    </row>
    <row r="375" spans="1:16">
      <c r="A375" s="37" t="n">
        <v>380</v>
      </c>
      <c r="B375" s="38" t="s">
        <v>1228</v>
      </c>
      <c r="C375" s="39" t="s">
        <v>58</v>
      </c>
      <c r="D375" s="39" t="s">
        <v>20</v>
      </c>
      <c r="E375" s="39" t="s">
        <v>21</v>
      </c>
      <c r="F375" s="38" t="s">
        <v>1229</v>
      </c>
      <c r="G375" s="122" t="s">
        <v>1090</v>
      </c>
      <c r="H375" s="122" t="s">
        <v>1231</v>
      </c>
      <c r="I375" s="41" t="n">
        <v>13945</v>
      </c>
      <c r="J375" s="41" t="n">
        <v>13945</v>
      </c>
      <c r="K375" s="41" t="n">
        <v>697</v>
      </c>
      <c r="L375" s="41" t="n">
        <v>0</v>
      </c>
      <c r="M375" s="41" t="n">
        <v>0</v>
      </c>
      <c r="N375" s="41" t="n">
        <v>0</v>
      </c>
      <c r="O375" s="41" t="n">
        <v>0</v>
      </c>
      <c r="P375" s="42" t="n">
        <v>13248</v>
      </c>
    </row>
    <row r="376" spans="1:16">
      <c r="A376" s="37" t="n">
        <v>381</v>
      </c>
      <c r="B376" s="38" t="s">
        <v>1232</v>
      </c>
      <c r="C376" s="39" t="s">
        <v>95</v>
      </c>
      <c r="D376" s="39" t="s">
        <v>137</v>
      </c>
      <c r="E376" s="39" t="s">
        <v>14</v>
      </c>
      <c r="F376" s="38" t="n">
        <v>0</v>
      </c>
      <c r="G376" s="122" t="s">
        <v>1094</v>
      </c>
      <c r="H376" s="122" t="s">
        <v>1234</v>
      </c>
      <c r="I376" s="41" t="n">
        <v>12116</v>
      </c>
      <c r="J376" s="41" t="n">
        <v>12116</v>
      </c>
      <c r="K376" s="41" t="n">
        <v>0</v>
      </c>
      <c r="L376" s="41" t="n">
        <v>0</v>
      </c>
      <c r="M376" s="41" t="n">
        <v>0</v>
      </c>
      <c r="N376" s="41" t="n">
        <v>0</v>
      </c>
      <c r="O376" s="41" t="n">
        <v>0</v>
      </c>
      <c r="P376" s="42" t="n">
        <v>12116</v>
      </c>
    </row>
    <row r="377" spans="1:16">
      <c r="A377" s="37" t="n">
        <v>382</v>
      </c>
      <c r="B377" s="38" t="s">
        <v>1235</v>
      </c>
      <c r="C377" s="39" t="s">
        <v>95</v>
      </c>
      <c r="D377" s="39" t="s">
        <v>137</v>
      </c>
      <c r="E377" s="39" t="s">
        <v>14</v>
      </c>
      <c r="F377" s="38" t="n">
        <v>0</v>
      </c>
      <c r="G377" s="122" t="s">
        <v>1098</v>
      </c>
      <c r="H377" s="122" t="s">
        <v>1237</v>
      </c>
      <c r="I377" s="41" t="n">
        <v>12116</v>
      </c>
      <c r="J377" s="41" t="n">
        <v>12116</v>
      </c>
      <c r="K377" s="41" t="n">
        <v>0</v>
      </c>
      <c r="L377" s="41" t="n">
        <v>0</v>
      </c>
      <c r="M377" s="41" t="n">
        <v>0</v>
      </c>
      <c r="N377" s="41" t="n">
        <v>0</v>
      </c>
      <c r="O377" s="41" t="n">
        <v>0</v>
      </c>
      <c r="P377" s="42" t="n">
        <v>12116</v>
      </c>
    </row>
    <row r="378" spans="1:16">
      <c r="A378" s="37" t="n">
        <v>383</v>
      </c>
      <c r="B378" s="38" t="s">
        <v>1238</v>
      </c>
      <c r="C378" s="39" t="s">
        <v>95</v>
      </c>
      <c r="D378" s="39" t="s">
        <v>137</v>
      </c>
      <c r="E378" s="39" t="s">
        <v>14</v>
      </c>
      <c r="F378" s="38" t="n">
        <v>0</v>
      </c>
      <c r="G378" s="122" t="s">
        <v>1102</v>
      </c>
      <c r="H378" s="40" t="n">
        <v>1612080450</v>
      </c>
      <c r="I378" s="41" t="n">
        <v>12116</v>
      </c>
      <c r="J378" s="41" t="n">
        <v>12116</v>
      </c>
      <c r="K378" s="41" t="n">
        <v>0</v>
      </c>
      <c r="L378" s="41" t="n">
        <v>0</v>
      </c>
      <c r="M378" s="41" t="n">
        <v>0</v>
      </c>
      <c r="N378" s="41" t="n">
        <v>0</v>
      </c>
      <c r="O378" s="41" t="n">
        <v>0</v>
      </c>
      <c r="P378" s="42" t="n">
        <v>12116</v>
      </c>
    </row>
    <row r="379" spans="1:16">
      <c r="A379" s="37" t="n">
        <v>384</v>
      </c>
      <c r="B379" s="38" t="s">
        <v>1240</v>
      </c>
      <c r="C379" s="39" t="s">
        <v>95</v>
      </c>
      <c r="D379" s="39" t="s">
        <v>124</v>
      </c>
      <c r="E379" s="39" t="s">
        <v>15</v>
      </c>
      <c r="F379" s="38" t="n">
        <v>0</v>
      </c>
      <c r="G379" s="40" t="n">
        <v>0</v>
      </c>
      <c r="H379" s="122" t="s">
        <v>1242</v>
      </c>
      <c r="I379" s="41" t="n">
        <v>12573</v>
      </c>
      <c r="J379" s="41" t="n">
        <v>12573</v>
      </c>
      <c r="K379" s="41" t="n">
        <v>0</v>
      </c>
      <c r="L379" s="41" t="n">
        <v>0</v>
      </c>
      <c r="M379" s="41" t="n">
        <v>0</v>
      </c>
      <c r="N379" s="41" t="n">
        <v>0</v>
      </c>
      <c r="O379" s="41" t="n">
        <v>0</v>
      </c>
      <c r="P379" s="42" t="n">
        <v>12573</v>
      </c>
    </row>
    <row r="380" spans="1:16">
      <c r="A380" s="37" t="n">
        <v>385</v>
      </c>
      <c r="B380" s="38" t="s">
        <v>1243</v>
      </c>
      <c r="C380" s="39" t="s">
        <v>95</v>
      </c>
      <c r="D380" s="39" t="s">
        <v>121</v>
      </c>
      <c r="E380" s="39" t="s">
        <v>14</v>
      </c>
      <c r="F380" s="38" t="n">
        <v>0</v>
      </c>
      <c r="G380" s="40" t="n">
        <v>0</v>
      </c>
      <c r="H380" s="40" t="n">
        <v>1612079281</v>
      </c>
      <c r="I380" s="41" t="n">
        <v>12116</v>
      </c>
      <c r="J380" s="41" t="n">
        <v>12116</v>
      </c>
      <c r="K380" s="41" t="n">
        <v>0</v>
      </c>
      <c r="L380" s="41" t="n">
        <v>0</v>
      </c>
      <c r="M380" s="41" t="n">
        <v>0</v>
      </c>
      <c r="N380" s="41" t="n">
        <v>0</v>
      </c>
      <c r="O380" s="41" t="n">
        <v>0</v>
      </c>
      <c r="P380" s="42" t="n">
        <v>12116</v>
      </c>
    </row>
    <row r="381" spans="1:16">
      <c r="A381" s="37" t="n">
        <v>386</v>
      </c>
      <c r="B381" s="38" t="s">
        <v>1246</v>
      </c>
      <c r="C381" s="39" t="s">
        <v>58</v>
      </c>
      <c r="D381" s="39" t="s">
        <v>20</v>
      </c>
      <c r="E381" s="39" t="s">
        <v>21</v>
      </c>
      <c r="F381" s="38" t="s">
        <v>1247</v>
      </c>
      <c r="G381" s="40" t="n">
        <v>0</v>
      </c>
      <c r="H381" s="122" t="s">
        <v>1249</v>
      </c>
      <c r="I381" s="41" t="n">
        <v>217507</v>
      </c>
      <c r="J381" s="41" t="n">
        <v>217507</v>
      </c>
      <c r="K381" s="41" t="n">
        <v>10875</v>
      </c>
      <c r="L381" s="41" t="n">
        <v>0</v>
      </c>
      <c r="M381" s="41" t="n">
        <v>0</v>
      </c>
      <c r="N381" s="41" t="n">
        <v>0</v>
      </c>
      <c r="O381" s="41" t="n">
        <v>0</v>
      </c>
      <c r="P381" s="42" t="n">
        <v>206632</v>
      </c>
    </row>
    <row r="382" spans="1:16">
      <c r="A382" s="37" t="n">
        <v>387</v>
      </c>
      <c r="B382" s="38" t="s">
        <v>1250</v>
      </c>
      <c r="C382" s="39" t="s">
        <v>58</v>
      </c>
      <c r="D382" s="39" t="s">
        <v>20</v>
      </c>
      <c r="E382" s="39" t="s">
        <v>21</v>
      </c>
      <c r="F382" s="38" t="s">
        <v>1251</v>
      </c>
      <c r="G382" s="40" t="n">
        <v>0</v>
      </c>
      <c r="H382" s="122" t="s">
        <v>1253</v>
      </c>
      <c r="I382" s="41" t="n">
        <v>133697</v>
      </c>
      <c r="J382" s="41" t="n">
        <v>133697</v>
      </c>
      <c r="K382" s="41" t="n">
        <v>6685</v>
      </c>
      <c r="L382" s="41" t="n">
        <v>0</v>
      </c>
      <c r="M382" s="41" t="n">
        <v>0</v>
      </c>
      <c r="N382" s="41" t="n">
        <v>0</v>
      </c>
      <c r="O382" s="41" t="n">
        <v>0</v>
      </c>
      <c r="P382" s="42" t="n">
        <v>127012</v>
      </c>
    </row>
    <row r="383" spans="1:16">
      <c r="A383" s="37" t="n">
        <v>388</v>
      </c>
      <c r="B383" s="38" t="s">
        <v>1254</v>
      </c>
      <c r="C383" s="39" t="s">
        <v>58</v>
      </c>
      <c r="D383" s="39" t="s">
        <v>20</v>
      </c>
      <c r="E383" s="39" t="s">
        <v>21</v>
      </c>
      <c r="F383" s="38" t="s">
        <v>1255</v>
      </c>
      <c r="G383" s="122" t="s">
        <v>1114</v>
      </c>
      <c r="H383" s="122" t="s">
        <v>1257</v>
      </c>
      <c r="I383" s="41" t="n">
        <v>133697</v>
      </c>
      <c r="J383" s="41" t="n">
        <v>133697</v>
      </c>
      <c r="K383" s="41" t="n">
        <v>6685</v>
      </c>
      <c r="L383" s="41" t="n">
        <v>0</v>
      </c>
      <c r="M383" s="41" t="n">
        <v>0</v>
      </c>
      <c r="N383" s="41" t="n">
        <v>0</v>
      </c>
      <c r="O383" s="41" t="n">
        <v>0</v>
      </c>
      <c r="P383" s="42" t="n">
        <v>127012</v>
      </c>
    </row>
    <row r="384" spans="1:16">
      <c r="A384" s="37" t="n">
        <v>389</v>
      </c>
      <c r="B384" s="38" t="s">
        <v>1258</v>
      </c>
      <c r="C384" s="39" t="s">
        <v>111</v>
      </c>
      <c r="D384" s="39" t="s">
        <v>20</v>
      </c>
      <c r="E384" s="39" t="s">
        <v>21</v>
      </c>
      <c r="F384" s="38" t="s">
        <v>1259</v>
      </c>
      <c r="G384" s="122" t="s">
        <v>1117</v>
      </c>
      <c r="H384" s="122" t="s">
        <v>1261</v>
      </c>
      <c r="I384" s="41" t="n">
        <v>31497</v>
      </c>
      <c r="J384" s="41" t="n">
        <v>31497</v>
      </c>
      <c r="K384" s="41" t="n">
        <v>0</v>
      </c>
      <c r="L384" s="41" t="n">
        <v>0</v>
      </c>
      <c r="M384" s="41" t="n">
        <v>0</v>
      </c>
      <c r="N384" s="41" t="n">
        <v>0</v>
      </c>
      <c r="O384" s="41" t="n">
        <v>0</v>
      </c>
      <c r="P384" s="42" t="n">
        <v>31497</v>
      </c>
    </row>
    <row r="385" spans="1:16">
      <c r="A385" s="37" t="n">
        <v>390</v>
      </c>
      <c r="B385" s="38" t="s">
        <v>1264</v>
      </c>
      <c r="C385" s="39" t="s">
        <v>111</v>
      </c>
      <c r="D385" s="39" t="s">
        <v>20</v>
      </c>
      <c r="E385" s="39" t="s">
        <v>21</v>
      </c>
      <c r="F385" s="38" t="s">
        <v>1265</v>
      </c>
      <c r="G385" s="122" t="s">
        <v>1120</v>
      </c>
      <c r="H385" s="122" t="s">
        <v>1266</v>
      </c>
      <c r="I385" s="41" t="n">
        <v>97772</v>
      </c>
      <c r="J385" s="41" t="n">
        <v>97772</v>
      </c>
      <c r="K385" s="41" t="n">
        <v>0</v>
      </c>
      <c r="L385" s="41" t="n">
        <v>0</v>
      </c>
      <c r="M385" s="41" t="n">
        <v>0</v>
      </c>
      <c r="N385" s="41" t="n">
        <v>0</v>
      </c>
      <c r="O385" s="41" t="n">
        <v>0</v>
      </c>
      <c r="P385" s="42" t="n">
        <v>97772</v>
      </c>
    </row>
    <row r="386" spans="1:16">
      <c r="A386" s="37" t="n">
        <v>391</v>
      </c>
      <c r="B386" s="38" t="s">
        <v>1267</v>
      </c>
      <c r="C386" s="39" t="s">
        <v>111</v>
      </c>
      <c r="D386" s="39" t="s">
        <v>20</v>
      </c>
      <c r="E386" s="39" t="s">
        <v>21</v>
      </c>
      <c r="F386" s="38" t="s">
        <v>1268</v>
      </c>
      <c r="G386" s="122" t="s">
        <v>1123</v>
      </c>
      <c r="H386" s="122" t="s">
        <v>1269</v>
      </c>
      <c r="I386" s="41" t="n">
        <v>125062</v>
      </c>
      <c r="J386" s="41" t="n">
        <v>125062</v>
      </c>
      <c r="K386" s="41" t="n">
        <v>0</v>
      </c>
      <c r="L386" s="41" t="n">
        <v>0</v>
      </c>
      <c r="M386" s="41" t="n">
        <v>0</v>
      </c>
      <c r="N386" s="41" t="n">
        <v>0</v>
      </c>
      <c r="O386" s="41" t="n">
        <v>0</v>
      </c>
      <c r="P386" s="42" t="n">
        <v>125062</v>
      </c>
    </row>
    <row r="387" spans="1:16">
      <c r="A387" s="37" t="n">
        <v>392</v>
      </c>
      <c r="B387" s="38" t="s">
        <v>1270</v>
      </c>
      <c r="C387" s="39" t="s">
        <v>283</v>
      </c>
      <c r="D387" s="39" t="s">
        <v>20</v>
      </c>
      <c r="E387" s="39" t="s">
        <v>21</v>
      </c>
      <c r="F387" s="38" t="n">
        <v>0</v>
      </c>
      <c r="G387" s="122" t="s">
        <v>1126</v>
      </c>
      <c r="H387" s="122" t="s">
        <v>1271</v>
      </c>
      <c r="I387" s="41" t="n">
        <v>125062</v>
      </c>
      <c r="J387" s="41" t="n">
        <v>125062</v>
      </c>
      <c r="K387" s="41" t="n">
        <v>0</v>
      </c>
      <c r="L387" s="41" t="n">
        <v>0</v>
      </c>
      <c r="M387" s="41" t="n">
        <v>0</v>
      </c>
      <c r="N387" s="41" t="n">
        <v>0</v>
      </c>
      <c r="O387" s="41" t="n">
        <v>0</v>
      </c>
      <c r="P387" s="42" t="n">
        <v>125062</v>
      </c>
    </row>
    <row r="388" spans="1:16">
      <c r="A388" s="37" t="n">
        <v>393</v>
      </c>
      <c r="B388" s="38" t="s">
        <v>1272</v>
      </c>
      <c r="C388" s="39" t="s">
        <v>283</v>
      </c>
      <c r="D388" s="39" t="s">
        <v>20</v>
      </c>
      <c r="E388" s="39" t="s">
        <v>21</v>
      </c>
      <c r="F388" s="38" t="n">
        <v>0</v>
      </c>
      <c r="G388" s="122" t="s">
        <v>1129</v>
      </c>
      <c r="H388" s="122" t="s">
        <v>1273</v>
      </c>
      <c r="I388" s="41" t="n">
        <v>125062</v>
      </c>
      <c r="J388" s="41" t="n">
        <v>125062</v>
      </c>
      <c r="K388" s="41" t="n">
        <v>0</v>
      </c>
      <c r="L388" s="41" t="n">
        <v>0</v>
      </c>
      <c r="M388" s="41" t="n">
        <v>0</v>
      </c>
      <c r="N388" s="41" t="n">
        <v>0</v>
      </c>
      <c r="O388" s="41" t="n">
        <v>0</v>
      </c>
      <c r="P388" s="42" t="n">
        <v>125062</v>
      </c>
    </row>
    <row r="389" spans="1:16">
      <c r="A389" s="37" t="n">
        <v>394</v>
      </c>
      <c r="B389" s="38" t="s">
        <v>1274</v>
      </c>
      <c r="C389" s="39" t="s">
        <v>283</v>
      </c>
      <c r="D389" s="39" t="s">
        <v>20</v>
      </c>
      <c r="E389" s="39" t="s">
        <v>21</v>
      </c>
      <c r="F389" s="38" t="n">
        <v>0</v>
      </c>
      <c r="G389" s="122" t="s">
        <v>1132</v>
      </c>
      <c r="H389" s="122" t="s">
        <v>1275</v>
      </c>
      <c r="I389" s="41" t="n">
        <v>133697</v>
      </c>
      <c r="J389" s="41" t="n">
        <v>133697</v>
      </c>
      <c r="K389" s="41" t="n">
        <v>0</v>
      </c>
      <c r="L389" s="41" t="n">
        <v>0</v>
      </c>
      <c r="M389" s="41" t="n">
        <v>0</v>
      </c>
      <c r="N389" s="41" t="n">
        <v>0</v>
      </c>
      <c r="O389" s="41" t="n">
        <v>0</v>
      </c>
      <c r="P389" s="42" t="n">
        <v>133697</v>
      </c>
    </row>
    <row r="390" spans="1:16">
      <c r="A390" s="37" t="n">
        <v>395</v>
      </c>
      <c r="B390" s="38" t="s">
        <v>1262</v>
      </c>
      <c r="C390" s="39" t="s">
        <v>283</v>
      </c>
      <c r="D390" s="39" t="s">
        <v>20</v>
      </c>
      <c r="E390" s="39" t="s">
        <v>21</v>
      </c>
      <c r="F390" s="38" t="n">
        <v>0</v>
      </c>
      <c r="G390" s="122" t="s">
        <v>1135</v>
      </c>
      <c r="H390" s="122" t="s">
        <v>1263</v>
      </c>
      <c r="I390" s="41" t="n">
        <v>133697</v>
      </c>
      <c r="J390" s="41" t="n">
        <v>133697</v>
      </c>
      <c r="K390" s="41" t="n">
        <v>0</v>
      </c>
      <c r="L390" s="41" t="n">
        <v>0</v>
      </c>
      <c r="M390" s="41" t="n">
        <v>0</v>
      </c>
      <c r="N390" s="41" t="n">
        <v>0</v>
      </c>
      <c r="O390" s="41" t="n">
        <v>0</v>
      </c>
      <c r="P390" s="42" t="n">
        <v>133697</v>
      </c>
    </row>
    <row r="391" spans="1:16">
      <c r="A391" s="37" t="n">
        <v>396</v>
      </c>
      <c r="B391" s="38" t="s">
        <v>2091</v>
      </c>
      <c r="C391" s="39" t="s">
        <v>58</v>
      </c>
      <c r="D391" s="39" t="s">
        <v>20</v>
      </c>
      <c r="E391" s="39" t="s">
        <v>21</v>
      </c>
      <c r="F391" s="38" t="s">
        <v>1294</v>
      </c>
      <c r="G391" s="40" t="n">
        <v>0</v>
      </c>
      <c r="H391" s="122" t="s">
        <v>1295</v>
      </c>
      <c r="I391" s="41" t="n">
        <v>171367</v>
      </c>
      <c r="J391" s="41" t="n">
        <v>171367</v>
      </c>
      <c r="K391" s="41" t="n">
        <v>8568</v>
      </c>
      <c r="L391" s="41" t="n">
        <v>0</v>
      </c>
      <c r="M391" s="41" t="n">
        <v>0</v>
      </c>
      <c r="N391" s="41" t="n">
        <v>0</v>
      </c>
      <c r="O391" s="41" t="n">
        <v>0</v>
      </c>
      <c r="P391" s="42" t="n">
        <v>162799</v>
      </c>
    </row>
    <row r="392" spans="1:16">
      <c r="A392" s="37" t="n">
        <v>397</v>
      </c>
      <c r="B392" s="38" t="s">
        <v>1276</v>
      </c>
      <c r="C392" s="39" t="s">
        <v>58</v>
      </c>
      <c r="D392" s="39" t="s">
        <v>20</v>
      </c>
      <c r="E392" s="39" t="s">
        <v>21</v>
      </c>
      <c r="F392" s="38" t="s">
        <v>1277</v>
      </c>
      <c r="G392" s="40" t="n">
        <v>0</v>
      </c>
      <c r="H392" s="122" t="s">
        <v>1279</v>
      </c>
      <c r="I392" s="41" t="n">
        <v>593900</v>
      </c>
      <c r="J392" s="41" t="n">
        <v>593900</v>
      </c>
      <c r="K392" s="41" t="n">
        <v>29695</v>
      </c>
      <c r="L392" s="41" t="n">
        <v>0</v>
      </c>
      <c r="M392" s="41" t="n">
        <v>0</v>
      </c>
      <c r="N392" s="41" t="n">
        <v>0</v>
      </c>
      <c r="O392" s="41" t="n">
        <v>0</v>
      </c>
      <c r="P392" s="42" t="n">
        <v>564205</v>
      </c>
    </row>
    <row r="393" spans="1:16">
      <c r="A393" s="37" t="n">
        <v>398</v>
      </c>
      <c r="B393" s="38" t="s">
        <v>1280</v>
      </c>
      <c r="C393" s="39" t="s">
        <v>58</v>
      </c>
      <c r="D393" s="39" t="s">
        <v>20</v>
      </c>
      <c r="E393" s="39" t="s">
        <v>21</v>
      </c>
      <c r="F393" s="38" t="s">
        <v>1281</v>
      </c>
      <c r="G393" s="40" t="n">
        <v>0</v>
      </c>
      <c r="H393" s="122" t="s">
        <v>1282</v>
      </c>
      <c r="I393" s="41" t="n">
        <v>356044</v>
      </c>
      <c r="J393" s="41" t="n">
        <v>356044</v>
      </c>
      <c r="K393" s="41" t="n">
        <v>17802</v>
      </c>
      <c r="L393" s="41" t="n">
        <v>0</v>
      </c>
      <c r="M393" s="41" t="n">
        <v>0</v>
      </c>
      <c r="N393" s="41" t="n">
        <v>0</v>
      </c>
      <c r="O393" s="41" t="n">
        <v>0</v>
      </c>
      <c r="P393" s="42" t="n">
        <v>338242</v>
      </c>
    </row>
    <row r="394" spans="1:16">
      <c r="A394" s="37" t="n">
        <v>399</v>
      </c>
      <c r="B394" s="38" t="s">
        <v>1283</v>
      </c>
      <c r="C394" s="39" t="s">
        <v>58</v>
      </c>
      <c r="D394" s="39" t="s">
        <v>20</v>
      </c>
      <c r="E394" s="39" t="s">
        <v>21</v>
      </c>
      <c r="F394" s="38" t="s">
        <v>1284</v>
      </c>
      <c r="G394" s="40" t="n">
        <v>0</v>
      </c>
      <c r="H394" s="122" t="s">
        <v>1285</v>
      </c>
      <c r="I394" s="41" t="n">
        <v>333925</v>
      </c>
      <c r="J394" s="41" t="n">
        <v>333925</v>
      </c>
      <c r="K394" s="41" t="n">
        <v>16696</v>
      </c>
      <c r="L394" s="41" t="n">
        <v>0</v>
      </c>
      <c r="M394" s="41" t="n">
        <v>0</v>
      </c>
      <c r="N394" s="41" t="n">
        <v>0</v>
      </c>
      <c r="O394" s="41" t="n">
        <v>0</v>
      </c>
      <c r="P394" s="42" t="n">
        <v>317229</v>
      </c>
    </row>
    <row r="395" spans="1:16">
      <c r="A395" s="37" t="n">
        <v>400</v>
      </c>
      <c r="B395" s="38" t="s">
        <v>1286</v>
      </c>
      <c r="C395" s="39" t="s">
        <v>58</v>
      </c>
      <c r="D395" s="39" t="s">
        <v>20</v>
      </c>
      <c r="E395" s="39" t="s">
        <v>21</v>
      </c>
      <c r="F395" s="38" t="s">
        <v>1287</v>
      </c>
      <c r="G395" s="40" t="n">
        <v>0</v>
      </c>
      <c r="H395" s="122" t="s">
        <v>1288</v>
      </c>
      <c r="I395" s="41" t="n">
        <v>332097</v>
      </c>
      <c r="J395" s="41" t="n">
        <v>332097</v>
      </c>
      <c r="K395" s="41" t="n">
        <v>16605</v>
      </c>
      <c r="L395" s="41" t="n">
        <v>0</v>
      </c>
      <c r="M395" s="41" t="n">
        <v>0</v>
      </c>
      <c r="N395" s="41" t="n">
        <v>0</v>
      </c>
      <c r="O395" s="41" t="n">
        <v>0</v>
      </c>
      <c r="P395" s="42" t="n">
        <v>315492</v>
      </c>
    </row>
    <row r="396" spans="1:16">
      <c r="A396" s="37" t="n">
        <v>401</v>
      </c>
      <c r="B396" s="38" t="s">
        <v>1289</v>
      </c>
      <c r="C396" s="39" t="s">
        <v>58</v>
      </c>
      <c r="D396" s="39" t="s">
        <v>20</v>
      </c>
      <c r="E396" s="39" t="s">
        <v>21</v>
      </c>
      <c r="F396" s="38" t="s">
        <v>1290</v>
      </c>
      <c r="G396" s="122" t="s">
        <v>1151</v>
      </c>
      <c r="H396" s="122" t="s">
        <v>1292</v>
      </c>
      <c r="I396" s="41" t="n">
        <v>332097</v>
      </c>
      <c r="J396" s="41" t="n">
        <v>332097</v>
      </c>
      <c r="K396" s="41" t="n">
        <v>16605</v>
      </c>
      <c r="L396" s="41" t="n">
        <v>0</v>
      </c>
      <c r="M396" s="41" t="n">
        <v>0</v>
      </c>
      <c r="N396" s="41" t="n">
        <v>0</v>
      </c>
      <c r="O396" s="41" t="n">
        <v>0</v>
      </c>
      <c r="P396" s="42" t="n">
        <v>315492</v>
      </c>
    </row>
    <row r="397" spans="1:16">
      <c r="A397" s="37" t="n">
        <v>402</v>
      </c>
      <c r="B397" s="38" t="s">
        <v>1296</v>
      </c>
      <c r="C397" s="39" t="s">
        <v>58</v>
      </c>
      <c r="D397" s="39" t="s">
        <v>20</v>
      </c>
      <c r="E397" s="39" t="s">
        <v>21</v>
      </c>
      <c r="F397" s="38" t="s">
        <v>1297</v>
      </c>
      <c r="G397" s="40" t="n">
        <v>0</v>
      </c>
      <c r="H397" s="122" t="s">
        <v>1298</v>
      </c>
      <c r="I397" s="41" t="n">
        <v>253187</v>
      </c>
      <c r="J397" s="41" t="n">
        <v>253187</v>
      </c>
      <c r="K397" s="41" t="n">
        <v>12659</v>
      </c>
      <c r="L397" s="41" t="n">
        <v>0</v>
      </c>
      <c r="M397" s="41" t="n">
        <v>0</v>
      </c>
      <c r="N397" s="41" t="n">
        <v>0</v>
      </c>
      <c r="O397" s="41" t="n">
        <v>0</v>
      </c>
      <c r="P397" s="42" t="n">
        <v>240528</v>
      </c>
    </row>
    <row r="398" spans="1:16">
      <c r="A398" s="37" t="n">
        <v>403</v>
      </c>
      <c r="B398" s="38" t="s">
        <v>1299</v>
      </c>
      <c r="C398" s="39" t="s">
        <v>58</v>
      </c>
      <c r="D398" s="39" t="s">
        <v>20</v>
      </c>
      <c r="E398" s="39" t="s">
        <v>21</v>
      </c>
      <c r="F398" s="38" t="s">
        <v>1300</v>
      </c>
      <c r="G398" s="122" t="s">
        <v>1158</v>
      </c>
      <c r="H398" s="122" t="s">
        <v>1302</v>
      </c>
      <c r="I398" s="41" t="n">
        <v>253187</v>
      </c>
      <c r="J398" s="41" t="n">
        <v>253187</v>
      </c>
      <c r="K398" s="41" t="n">
        <v>12659</v>
      </c>
      <c r="L398" s="41" t="n">
        <v>0</v>
      </c>
      <c r="M398" s="41" t="n">
        <v>0</v>
      </c>
      <c r="N398" s="41" t="n">
        <v>0</v>
      </c>
      <c r="O398" s="41" t="n">
        <v>0</v>
      </c>
      <c r="P398" s="42" t="n">
        <v>240528</v>
      </c>
    </row>
    <row r="399" spans="1:16">
      <c r="A399" s="37" t="n">
        <v>404</v>
      </c>
      <c r="B399" s="38" t="s">
        <v>1303</v>
      </c>
      <c r="C399" s="39" t="s">
        <v>120</v>
      </c>
      <c r="D399" s="39" t="s">
        <v>128</v>
      </c>
      <c r="E399" s="39" t="s">
        <v>15</v>
      </c>
      <c r="F399" s="38" t="n">
        <v>0</v>
      </c>
      <c r="G399" s="40" t="n">
        <v>0</v>
      </c>
      <c r="H399" s="122" t="s">
        <v>1304</v>
      </c>
      <c r="I399" s="41" t="n">
        <v>254101</v>
      </c>
      <c r="J399" s="41" t="n">
        <v>254101</v>
      </c>
      <c r="K399" s="41" t="n">
        <v>0</v>
      </c>
      <c r="L399" s="41" t="n">
        <v>0</v>
      </c>
      <c r="M399" s="41" t="n">
        <v>0</v>
      </c>
      <c r="N399" s="41" t="n">
        <v>0</v>
      </c>
      <c r="O399" s="41" t="n">
        <v>0</v>
      </c>
      <c r="P399" s="42" t="n">
        <v>254101</v>
      </c>
    </row>
    <row r="400" spans="1:16">
      <c r="A400" s="37" t="n">
        <v>405</v>
      </c>
      <c r="B400" s="38" t="s">
        <v>1305</v>
      </c>
      <c r="C400" s="39" t="s">
        <v>283</v>
      </c>
      <c r="D400" s="39" t="s">
        <v>20</v>
      </c>
      <c r="E400" s="39" t="s">
        <v>21</v>
      </c>
      <c r="F400" s="38" t="n">
        <v>0</v>
      </c>
      <c r="G400" s="40" t="n">
        <v>0</v>
      </c>
      <c r="H400" s="122" t="s">
        <v>1307</v>
      </c>
      <c r="I400" s="41" t="n">
        <v>252273</v>
      </c>
      <c r="J400" s="41" t="n">
        <v>252273</v>
      </c>
      <c r="K400" s="41" t="n">
        <v>0</v>
      </c>
      <c r="L400" s="41" t="n">
        <v>0</v>
      </c>
      <c r="M400" s="41" t="n">
        <v>0</v>
      </c>
      <c r="N400" s="41" t="n">
        <v>0</v>
      </c>
      <c r="O400" s="41" t="n">
        <v>0</v>
      </c>
      <c r="P400" s="42" t="n">
        <v>252273</v>
      </c>
    </row>
    <row r="401" spans="1:16">
      <c r="A401" s="37" t="n">
        <v>406</v>
      </c>
      <c r="B401" s="38" t="s">
        <v>1308</v>
      </c>
      <c r="C401" s="39" t="s">
        <v>120</v>
      </c>
      <c r="D401" s="39" t="s">
        <v>278</v>
      </c>
      <c r="E401" s="39" t="s">
        <v>16</v>
      </c>
      <c r="F401" s="38" t="n">
        <v>0</v>
      </c>
      <c r="G401" s="40" t="n">
        <v>0</v>
      </c>
      <c r="H401" s="122" t="s">
        <v>1310</v>
      </c>
      <c r="I401" s="41" t="n">
        <v>254101</v>
      </c>
      <c r="J401" s="41" t="n">
        <v>254101</v>
      </c>
      <c r="K401" s="41" t="n">
        <v>0</v>
      </c>
      <c r="L401" s="41" t="n">
        <v>0</v>
      </c>
      <c r="M401" s="41" t="n">
        <v>0</v>
      </c>
      <c r="N401" s="41" t="n">
        <v>0</v>
      </c>
      <c r="O401" s="41" t="n">
        <v>0</v>
      </c>
      <c r="P401" s="42" t="n">
        <v>254101</v>
      </c>
    </row>
    <row r="402" spans="1:16">
      <c r="A402" s="37" t="n">
        <v>407</v>
      </c>
      <c r="B402" s="38" t="s">
        <v>1311</v>
      </c>
      <c r="C402" s="39" t="s">
        <v>283</v>
      </c>
      <c r="D402" s="39" t="s">
        <v>20</v>
      </c>
      <c r="E402" s="39" t="s">
        <v>21</v>
      </c>
      <c r="F402" s="38" t="n">
        <v>0</v>
      </c>
      <c r="G402" s="40" t="n">
        <v>0</v>
      </c>
      <c r="H402" s="122" t="s">
        <v>1313</v>
      </c>
      <c r="I402" s="41" t="n">
        <v>252273</v>
      </c>
      <c r="J402" s="41" t="n">
        <v>252273</v>
      </c>
      <c r="K402" s="41" t="n">
        <v>0</v>
      </c>
      <c r="L402" s="41" t="n">
        <v>0</v>
      </c>
      <c r="M402" s="41" t="n">
        <v>0</v>
      </c>
      <c r="N402" s="41" t="n">
        <v>0</v>
      </c>
      <c r="O402" s="41" t="n">
        <v>0</v>
      </c>
      <c r="P402" s="42" t="n">
        <v>252273</v>
      </c>
    </row>
    <row r="403" spans="1:16">
      <c r="A403" s="37" t="n">
        <v>408</v>
      </c>
      <c r="B403" s="38" t="s">
        <v>1314</v>
      </c>
      <c r="C403" s="39" t="s">
        <v>283</v>
      </c>
      <c r="D403" s="39" t="s">
        <v>20</v>
      </c>
      <c r="E403" s="39" t="s">
        <v>21</v>
      </c>
      <c r="F403" s="38" t="n">
        <v>0</v>
      </c>
      <c r="G403" s="122" t="s">
        <v>1174</v>
      </c>
      <c r="H403" s="122" t="s">
        <v>1316</v>
      </c>
      <c r="I403" s="41" t="n">
        <v>252273</v>
      </c>
      <c r="J403" s="41" t="n">
        <v>252273</v>
      </c>
      <c r="K403" s="41" t="n">
        <v>0</v>
      </c>
      <c r="L403" s="41" t="n">
        <v>0</v>
      </c>
      <c r="M403" s="41" t="n">
        <v>0</v>
      </c>
      <c r="N403" s="41" t="n">
        <v>0</v>
      </c>
      <c r="O403" s="41" t="n">
        <v>0</v>
      </c>
      <c r="P403" s="42" t="n">
        <v>252273</v>
      </c>
    </row>
    <row r="404" spans="1:16">
      <c r="A404" s="37" t="n">
        <v>409</v>
      </c>
      <c r="B404" s="38" t="s">
        <v>1317</v>
      </c>
      <c r="C404" s="39" t="s">
        <v>111</v>
      </c>
      <c r="D404" s="39" t="s">
        <v>20</v>
      </c>
      <c r="E404" s="39" t="s">
        <v>21</v>
      </c>
      <c r="F404" s="38" t="s">
        <v>1318</v>
      </c>
      <c r="G404" s="40" t="n">
        <v>0</v>
      </c>
      <c r="H404" s="122" t="s">
        <v>1320</v>
      </c>
      <c r="I404" s="41" t="n">
        <v>212361</v>
      </c>
      <c r="J404" s="41" t="n">
        <v>212361</v>
      </c>
      <c r="K404" s="41" t="n">
        <v>0</v>
      </c>
      <c r="L404" s="41" t="n">
        <v>0</v>
      </c>
      <c r="M404" s="41" t="n">
        <v>0</v>
      </c>
      <c r="N404" s="41" t="n">
        <v>0</v>
      </c>
      <c r="O404" s="41" t="n">
        <v>0</v>
      </c>
      <c r="P404" s="42" t="n">
        <v>212361</v>
      </c>
    </row>
    <row r="405" spans="1:16">
      <c r="A405" s="37" t="n">
        <v>410</v>
      </c>
      <c r="B405" s="38" t="s">
        <v>1321</v>
      </c>
      <c r="C405" s="39" t="s">
        <v>283</v>
      </c>
      <c r="D405" s="39" t="s">
        <v>20</v>
      </c>
      <c r="E405" s="39" t="s">
        <v>21</v>
      </c>
      <c r="F405" s="38" t="n">
        <v>0</v>
      </c>
      <c r="G405" s="40" t="n">
        <v>0</v>
      </c>
      <c r="H405" s="122" t="s">
        <v>1323</v>
      </c>
      <c r="I405" s="41" t="n">
        <v>212361</v>
      </c>
      <c r="J405" s="41" t="n">
        <v>212361</v>
      </c>
      <c r="K405" s="41" t="n">
        <v>0</v>
      </c>
      <c r="L405" s="41" t="n">
        <v>0</v>
      </c>
      <c r="M405" s="41" t="n">
        <v>0</v>
      </c>
      <c r="N405" s="41" t="n">
        <v>0</v>
      </c>
      <c r="O405" s="41" t="n">
        <v>0</v>
      </c>
      <c r="P405" s="42" t="n">
        <v>212361</v>
      </c>
    </row>
    <row r="406" spans="1:16">
      <c r="A406" s="37" t="n">
        <v>411</v>
      </c>
      <c r="B406" s="38" t="s">
        <v>1324</v>
      </c>
      <c r="C406" s="39" t="s">
        <v>111</v>
      </c>
      <c r="D406" s="39" t="s">
        <v>20</v>
      </c>
      <c r="E406" s="39" t="s">
        <v>21</v>
      </c>
      <c r="F406" s="38" t="s">
        <v>1325</v>
      </c>
      <c r="G406" s="40" t="n">
        <v>0</v>
      </c>
      <c r="H406" s="122" t="s">
        <v>1327</v>
      </c>
      <c r="I406" s="41" t="n">
        <v>210303</v>
      </c>
      <c r="J406" s="41" t="n">
        <v>210303</v>
      </c>
      <c r="K406" s="41" t="n">
        <v>0</v>
      </c>
      <c r="L406" s="41" t="n">
        <v>0</v>
      </c>
      <c r="M406" s="41" t="n">
        <v>0</v>
      </c>
      <c r="N406" s="41" t="n">
        <v>0</v>
      </c>
      <c r="O406" s="41" t="n">
        <v>0</v>
      </c>
      <c r="P406" s="42" t="n">
        <v>210303</v>
      </c>
    </row>
    <row r="407" spans="1:16">
      <c r="A407" s="37" t="n">
        <v>412</v>
      </c>
      <c r="B407" s="38" t="s">
        <v>1328</v>
      </c>
      <c r="C407" s="39" t="s">
        <v>283</v>
      </c>
      <c r="D407" s="39" t="s">
        <v>20</v>
      </c>
      <c r="E407" s="39" t="s">
        <v>21</v>
      </c>
      <c r="F407" s="38" t="n">
        <v>0</v>
      </c>
      <c r="G407" s="40" t="n">
        <v>0</v>
      </c>
      <c r="H407" s="122" t="s">
        <v>1329</v>
      </c>
      <c r="I407" s="41" t="n">
        <v>212361</v>
      </c>
      <c r="J407" s="41" t="n">
        <v>212361</v>
      </c>
      <c r="K407" s="41" t="n">
        <v>0</v>
      </c>
      <c r="L407" s="41" t="n">
        <v>0</v>
      </c>
      <c r="M407" s="41" t="n">
        <v>0</v>
      </c>
      <c r="N407" s="41" t="n">
        <v>0</v>
      </c>
      <c r="O407" s="41" t="n">
        <v>0</v>
      </c>
      <c r="P407" s="42" t="n">
        <v>212361</v>
      </c>
    </row>
    <row r="408" spans="1:16">
      <c r="A408" s="37" t="n">
        <v>413</v>
      </c>
      <c r="B408" s="38" t="s">
        <v>1330</v>
      </c>
      <c r="C408" s="39" t="s">
        <v>283</v>
      </c>
      <c r="D408" s="39" t="s">
        <v>20</v>
      </c>
      <c r="E408" s="39" t="s">
        <v>21</v>
      </c>
      <c r="F408" s="38" t="n">
        <v>0</v>
      </c>
      <c r="G408" s="40" t="n">
        <v>0</v>
      </c>
      <c r="H408" s="122" t="s">
        <v>1331</v>
      </c>
      <c r="I408" s="41" t="n">
        <v>212361</v>
      </c>
      <c r="J408" s="41" t="n">
        <v>212361</v>
      </c>
      <c r="K408" s="41" t="n">
        <v>0</v>
      </c>
      <c r="L408" s="41" t="n">
        <v>0</v>
      </c>
      <c r="M408" s="41" t="n">
        <v>0</v>
      </c>
      <c r="N408" s="41" t="n">
        <v>0</v>
      </c>
      <c r="O408" s="41" t="n">
        <v>0</v>
      </c>
      <c r="P408" s="42" t="n">
        <v>212361</v>
      </c>
    </row>
    <row r="409" spans="1:16">
      <c r="A409" s="37" t="n">
        <v>414</v>
      </c>
      <c r="B409" s="38" t="s">
        <v>1332</v>
      </c>
      <c r="C409" s="39" t="s">
        <v>283</v>
      </c>
      <c r="D409" s="39" t="s">
        <v>20</v>
      </c>
      <c r="E409" s="39" t="s">
        <v>21</v>
      </c>
      <c r="F409" s="38" t="n">
        <v>0</v>
      </c>
      <c r="G409" s="40" t="n">
        <v>0</v>
      </c>
      <c r="H409" s="122" t="s">
        <v>1333</v>
      </c>
      <c r="I409" s="41" t="n">
        <v>212361</v>
      </c>
      <c r="J409" s="41" t="n">
        <v>212361</v>
      </c>
      <c r="K409" s="41" t="n">
        <v>0</v>
      </c>
      <c r="L409" s="41" t="n">
        <v>0</v>
      </c>
      <c r="M409" s="41" t="n">
        <v>0</v>
      </c>
      <c r="N409" s="41" t="n">
        <v>0</v>
      </c>
      <c r="O409" s="41" t="n">
        <v>0</v>
      </c>
      <c r="P409" s="42" t="n">
        <v>212361</v>
      </c>
    </row>
    <row r="410" spans="1:16">
      <c r="A410" s="37" t="n">
        <v>415</v>
      </c>
      <c r="B410" s="38" t="s">
        <v>1334</v>
      </c>
      <c r="C410" s="39" t="s">
        <v>283</v>
      </c>
      <c r="D410" s="39" t="s">
        <v>20</v>
      </c>
      <c r="E410" s="39" t="s">
        <v>21</v>
      </c>
      <c r="F410" s="38" t="n">
        <v>0</v>
      </c>
      <c r="G410" s="40" t="n">
        <v>0</v>
      </c>
      <c r="H410" s="122" t="s">
        <v>1335</v>
      </c>
      <c r="I410" s="41" t="n">
        <v>212361</v>
      </c>
      <c r="J410" s="41" t="n">
        <v>212361</v>
      </c>
      <c r="K410" s="41" t="n">
        <v>0</v>
      </c>
      <c r="L410" s="41" t="n">
        <v>0</v>
      </c>
      <c r="M410" s="41" t="n">
        <v>0</v>
      </c>
      <c r="N410" s="41" t="n">
        <v>0</v>
      </c>
      <c r="O410" s="41" t="n">
        <v>0</v>
      </c>
      <c r="P410" s="42" t="n">
        <v>212361</v>
      </c>
    </row>
    <row r="411" spans="1:16">
      <c r="A411" s="37" t="n">
        <v>416</v>
      </c>
      <c r="B411" s="38" t="s">
        <v>1336</v>
      </c>
      <c r="C411" s="39" t="s">
        <v>131</v>
      </c>
      <c r="D411" s="39" t="s">
        <v>20</v>
      </c>
      <c r="E411" s="39" t="s">
        <v>21</v>
      </c>
      <c r="F411" s="38" t="s">
        <v>1337</v>
      </c>
      <c r="G411" s="40" t="n">
        <v>0</v>
      </c>
      <c r="H411" s="122" t="s">
        <v>1338</v>
      </c>
      <c r="I411" s="41" t="n">
        <v>214189</v>
      </c>
      <c r="J411" s="41" t="n">
        <v>214189</v>
      </c>
      <c r="K411" s="41" t="n">
        <v>10709</v>
      </c>
      <c r="L411" s="41" t="n">
        <v>0</v>
      </c>
      <c r="M411" s="41" t="n">
        <v>0</v>
      </c>
      <c r="N411" s="41" t="n">
        <v>0</v>
      </c>
      <c r="O411" s="41" t="n">
        <v>0</v>
      </c>
      <c r="P411" s="42" t="n">
        <v>203480</v>
      </c>
    </row>
    <row r="412" spans="1:16">
      <c r="A412" s="37" t="n">
        <v>417</v>
      </c>
      <c r="B412" s="38" t="s">
        <v>1070</v>
      </c>
      <c r="C412" s="39" t="s">
        <v>283</v>
      </c>
      <c r="D412" s="39" t="s">
        <v>20</v>
      </c>
      <c r="E412" s="39" t="s">
        <v>21</v>
      </c>
      <c r="F412" s="38" t="n">
        <v>0</v>
      </c>
      <c r="G412" s="40" t="n">
        <v>0</v>
      </c>
      <c r="H412" s="122" t="s">
        <v>1071</v>
      </c>
      <c r="I412" s="41" t="n">
        <v>10744</v>
      </c>
      <c r="J412" s="41" t="n">
        <v>10744</v>
      </c>
      <c r="K412" s="41" t="n">
        <v>0</v>
      </c>
      <c r="L412" s="41" t="n">
        <v>0</v>
      </c>
      <c r="M412" s="41" t="n">
        <v>0</v>
      </c>
      <c r="N412" s="41" t="n">
        <v>0</v>
      </c>
      <c r="O412" s="41" t="n">
        <v>0</v>
      </c>
      <c r="P412" s="42" t="n">
        <v>10744</v>
      </c>
    </row>
    <row r="413" spans="1:16">
      <c r="A413" s="37" t="n">
        <v>418</v>
      </c>
      <c r="B413" s="38" t="s">
        <v>1339</v>
      </c>
      <c r="C413" s="39" t="s">
        <v>283</v>
      </c>
      <c r="D413" s="39" t="s">
        <v>20</v>
      </c>
      <c r="E413" s="39" t="s">
        <v>21</v>
      </c>
      <c r="F413" s="38" t="n">
        <v>0</v>
      </c>
      <c r="G413" s="40" t="n">
        <v>0</v>
      </c>
      <c r="H413" s="122" t="s">
        <v>1340</v>
      </c>
      <c r="I413" s="41" t="n">
        <v>212361</v>
      </c>
      <c r="J413" s="41" t="n">
        <v>212361</v>
      </c>
      <c r="K413" s="41" t="n">
        <v>0</v>
      </c>
      <c r="L413" s="41" t="n">
        <v>0</v>
      </c>
      <c r="M413" s="41" t="n">
        <v>0</v>
      </c>
      <c r="N413" s="41" t="n">
        <v>0</v>
      </c>
      <c r="O413" s="41" t="n">
        <v>0</v>
      </c>
      <c r="P413" s="42" t="n">
        <v>212361</v>
      </c>
    </row>
    <row r="414" spans="1:16">
      <c r="A414" s="37" t="n">
        <v>419</v>
      </c>
      <c r="B414" s="38" t="s">
        <v>1341</v>
      </c>
      <c r="C414" s="39" t="s">
        <v>283</v>
      </c>
      <c r="D414" s="39" t="s">
        <v>20</v>
      </c>
      <c r="E414" s="39" t="s">
        <v>21</v>
      </c>
      <c r="F414" s="38" t="n">
        <v>0</v>
      </c>
      <c r="G414" s="40" t="n">
        <v>0</v>
      </c>
      <c r="H414" s="122" t="s">
        <v>1343</v>
      </c>
      <c r="I414" s="41" t="n">
        <v>212361</v>
      </c>
      <c r="J414" s="41" t="n">
        <v>212361</v>
      </c>
      <c r="K414" s="41" t="n">
        <v>0</v>
      </c>
      <c r="L414" s="41" t="n">
        <v>0</v>
      </c>
      <c r="M414" s="41" t="n">
        <v>0</v>
      </c>
      <c r="N414" s="41" t="n">
        <v>0</v>
      </c>
      <c r="O414" s="41" t="n">
        <v>0</v>
      </c>
      <c r="P414" s="42" t="n">
        <v>212361</v>
      </c>
    </row>
    <row r="415" spans="1:16">
      <c r="A415" s="37" t="n">
        <v>420</v>
      </c>
      <c r="B415" s="38" t="s">
        <v>1344</v>
      </c>
      <c r="C415" s="39" t="s">
        <v>283</v>
      </c>
      <c r="D415" s="39" t="s">
        <v>20</v>
      </c>
      <c r="E415" s="39" t="s">
        <v>21</v>
      </c>
      <c r="F415" s="38" t="n">
        <v>0</v>
      </c>
      <c r="G415" s="40" t="n">
        <v>0</v>
      </c>
      <c r="H415" s="122" t="s">
        <v>1345</v>
      </c>
      <c r="I415" s="41" t="n">
        <v>212361</v>
      </c>
      <c r="J415" s="41" t="n">
        <v>212361</v>
      </c>
      <c r="K415" s="41" t="n">
        <v>0</v>
      </c>
      <c r="L415" s="41" t="n">
        <v>0</v>
      </c>
      <c r="M415" s="41" t="n">
        <v>0</v>
      </c>
      <c r="N415" s="41" t="n">
        <v>0</v>
      </c>
      <c r="O415" s="41" t="n">
        <v>0</v>
      </c>
      <c r="P415" s="42" t="n">
        <v>212361</v>
      </c>
    </row>
    <row r="416" spans="1:16">
      <c r="A416" s="37" t="n">
        <v>422</v>
      </c>
      <c r="B416" s="38" t="s">
        <v>1346</v>
      </c>
      <c r="C416" s="39" t="s">
        <v>283</v>
      </c>
      <c r="D416" s="39" t="s">
        <v>20</v>
      </c>
      <c r="E416" s="39" t="s">
        <v>21</v>
      </c>
      <c r="F416" s="38" t="n">
        <v>0</v>
      </c>
      <c r="G416" s="40" t="n">
        <v>0</v>
      </c>
      <c r="H416" s="122" t="s">
        <v>1348</v>
      </c>
      <c r="I416" s="41" t="n">
        <v>212361</v>
      </c>
      <c r="J416" s="41" t="n">
        <v>212361</v>
      </c>
      <c r="K416" s="41" t="n">
        <v>0</v>
      </c>
      <c r="L416" s="41" t="n">
        <v>0</v>
      </c>
      <c r="M416" s="41" t="n">
        <v>0</v>
      </c>
      <c r="N416" s="41" t="n">
        <v>0</v>
      </c>
      <c r="O416" s="41" t="n">
        <v>0</v>
      </c>
      <c r="P416" s="42" t="n">
        <v>212361</v>
      </c>
    </row>
    <row r="417" spans="1:16">
      <c r="A417" s="37" t="n">
        <v>423</v>
      </c>
      <c r="B417" s="38" t="s">
        <v>1349</v>
      </c>
      <c r="C417" s="39" t="s">
        <v>95</v>
      </c>
      <c r="D417" s="39" t="s">
        <v>137</v>
      </c>
      <c r="E417" s="39" t="s">
        <v>14</v>
      </c>
      <c r="F417" s="38" t="n">
        <v>0</v>
      </c>
      <c r="G417" s="40" t="n">
        <v>0</v>
      </c>
      <c r="H417" s="40" t="n">
        <v>1613344159</v>
      </c>
      <c r="I417" s="41" t="n">
        <v>193319</v>
      </c>
      <c r="J417" s="41" t="n">
        <v>193319</v>
      </c>
      <c r="K417" s="41" t="n">
        <v>0</v>
      </c>
      <c r="L417" s="41" t="n">
        <v>0</v>
      </c>
      <c r="M417" s="41" t="n">
        <v>0</v>
      </c>
      <c r="N417" s="41" t="n">
        <v>0</v>
      </c>
      <c r="O417" s="41" t="n">
        <v>0</v>
      </c>
      <c r="P417" s="42" t="n">
        <v>193319</v>
      </c>
    </row>
    <row r="418" spans="1:16">
      <c r="A418" s="37" t="n">
        <v>424</v>
      </c>
      <c r="B418" s="38" t="s">
        <v>1351</v>
      </c>
      <c r="C418" s="39" t="s">
        <v>95</v>
      </c>
      <c r="D418" s="39" t="s">
        <v>137</v>
      </c>
      <c r="E418" s="39" t="s">
        <v>14</v>
      </c>
      <c r="F418" s="38" t="n">
        <v>0</v>
      </c>
      <c r="G418" s="40" t="n">
        <v>0</v>
      </c>
      <c r="H418" s="122" t="s">
        <v>1353</v>
      </c>
      <c r="I418" s="41" t="n">
        <v>193319</v>
      </c>
      <c r="J418" s="41" t="n">
        <v>193319</v>
      </c>
      <c r="K418" s="41" t="n">
        <v>0</v>
      </c>
      <c r="L418" s="41" t="n">
        <v>0</v>
      </c>
      <c r="M418" s="41" t="n">
        <v>0</v>
      </c>
      <c r="N418" s="41" t="n">
        <v>0</v>
      </c>
      <c r="O418" s="41" t="n">
        <v>0</v>
      </c>
      <c r="P418" s="42" t="n">
        <v>193319</v>
      </c>
    </row>
    <row r="419" spans="1:16">
      <c r="A419" s="37" t="n">
        <v>426</v>
      </c>
      <c r="B419" s="38" t="s">
        <v>1354</v>
      </c>
      <c r="C419" s="39" t="s">
        <v>283</v>
      </c>
      <c r="D419" s="39" t="s">
        <v>20</v>
      </c>
      <c r="E419" s="39" t="s">
        <v>21</v>
      </c>
      <c r="F419" s="38" t="n">
        <v>0</v>
      </c>
      <c r="G419" s="40" t="n">
        <v>0</v>
      </c>
      <c r="H419" s="122" t="s">
        <v>1356</v>
      </c>
      <c r="I419" s="41" t="n">
        <v>192405</v>
      </c>
      <c r="J419" s="41" t="n">
        <v>192405</v>
      </c>
      <c r="K419" s="41" t="n">
        <v>0</v>
      </c>
      <c r="L419" s="41" t="n">
        <v>0</v>
      </c>
      <c r="M419" s="41" t="n">
        <v>0</v>
      </c>
      <c r="N419" s="41" t="n">
        <v>0</v>
      </c>
      <c r="O419" s="41" t="n">
        <v>0</v>
      </c>
      <c r="P419" s="42" t="n">
        <v>192405</v>
      </c>
    </row>
    <row r="420" spans="1:16">
      <c r="A420" s="37" t="n">
        <v>427</v>
      </c>
      <c r="B420" s="38" t="s">
        <v>1357</v>
      </c>
      <c r="C420" s="39" t="s">
        <v>95</v>
      </c>
      <c r="D420" s="39" t="s">
        <v>124</v>
      </c>
      <c r="E420" s="39" t="s">
        <v>15</v>
      </c>
      <c r="F420" s="38" t="n">
        <v>0</v>
      </c>
      <c r="G420" s="40" t="n">
        <v>0</v>
      </c>
      <c r="H420" s="122" t="s">
        <v>1359</v>
      </c>
      <c r="I420" s="41" t="n">
        <v>140520</v>
      </c>
      <c r="J420" s="41" t="n">
        <v>140520</v>
      </c>
      <c r="K420" s="41" t="n">
        <v>0</v>
      </c>
      <c r="L420" s="41" t="n">
        <v>0</v>
      </c>
      <c r="M420" s="41" t="n">
        <v>0</v>
      </c>
      <c r="N420" s="41" t="n">
        <v>0</v>
      </c>
      <c r="O420" s="41" t="n">
        <v>0</v>
      </c>
      <c r="P420" s="42" t="n">
        <v>140520</v>
      </c>
    </row>
    <row r="421" spans="1:16">
      <c r="A421" s="37" t="n">
        <v>428</v>
      </c>
      <c r="B421" s="38" t="s">
        <v>1360</v>
      </c>
      <c r="C421" s="39" t="s">
        <v>95</v>
      </c>
      <c r="D421" s="39" t="s">
        <v>137</v>
      </c>
      <c r="E421" s="39" t="s">
        <v>14</v>
      </c>
      <c r="F421" s="38" t="n">
        <v>0</v>
      </c>
      <c r="G421" s="40" t="n">
        <v>0</v>
      </c>
      <c r="H421" s="122" t="s">
        <v>1361</v>
      </c>
      <c r="I421" s="41" t="n">
        <v>140520</v>
      </c>
      <c r="J421" s="41" t="n">
        <v>140520</v>
      </c>
      <c r="K421" s="41" t="n">
        <v>0</v>
      </c>
      <c r="L421" s="41" t="n">
        <v>0</v>
      </c>
      <c r="M421" s="41" t="n">
        <v>0</v>
      </c>
      <c r="N421" s="41" t="n">
        <v>0</v>
      </c>
      <c r="O421" s="41" t="n">
        <v>0</v>
      </c>
      <c r="P421" s="42" t="n">
        <v>140520</v>
      </c>
    </row>
    <row r="422" spans="1:16">
      <c r="A422" s="37" t="n">
        <v>430</v>
      </c>
      <c r="B422" s="38" t="s">
        <v>1362</v>
      </c>
      <c r="C422" s="39" t="s">
        <v>95</v>
      </c>
      <c r="D422" s="39" t="s">
        <v>124</v>
      </c>
      <c r="E422" s="39" t="s">
        <v>15</v>
      </c>
      <c r="F422" s="38" t="n">
        <v>0</v>
      </c>
      <c r="G422" s="40" t="n">
        <v>0</v>
      </c>
      <c r="H422" s="122" t="s">
        <v>1363</v>
      </c>
      <c r="I422" s="41" t="n">
        <v>140977</v>
      </c>
      <c r="J422" s="41" t="n">
        <v>140977</v>
      </c>
      <c r="K422" s="41" t="n">
        <v>0</v>
      </c>
      <c r="L422" s="41" t="n">
        <v>0</v>
      </c>
      <c r="M422" s="41" t="n">
        <v>0</v>
      </c>
      <c r="N422" s="41" t="n">
        <v>0</v>
      </c>
      <c r="O422" s="41" t="n">
        <v>0</v>
      </c>
      <c r="P422" s="42" t="n">
        <v>140977</v>
      </c>
    </row>
    <row r="423" spans="1:16">
      <c r="A423" s="37" t="n">
        <v>431</v>
      </c>
      <c r="B423" s="38" t="s">
        <v>1364</v>
      </c>
      <c r="C423" s="39" t="s">
        <v>95</v>
      </c>
      <c r="D423" s="39" t="s">
        <v>121</v>
      </c>
      <c r="E423" s="39" t="s">
        <v>14</v>
      </c>
      <c r="F423" s="38" t="n">
        <v>0</v>
      </c>
      <c r="G423" s="122" t="s">
        <v>1226</v>
      </c>
      <c r="H423" s="122" t="s">
        <v>1365</v>
      </c>
      <c r="I423" s="41" t="n">
        <v>12573</v>
      </c>
      <c r="J423" s="41" t="n">
        <v>12573</v>
      </c>
      <c r="K423" s="41" t="n">
        <v>0</v>
      </c>
      <c r="L423" s="41" t="n">
        <v>0</v>
      </c>
      <c r="M423" s="41" t="n">
        <v>0</v>
      </c>
      <c r="N423" s="41" t="n">
        <v>0</v>
      </c>
      <c r="O423" s="41" t="n">
        <v>0</v>
      </c>
      <c r="P423" s="42" t="n">
        <v>12573</v>
      </c>
    </row>
    <row r="424" spans="1:16">
      <c r="A424" s="37" t="n">
        <v>432</v>
      </c>
      <c r="B424" s="38" t="s">
        <v>478</v>
      </c>
      <c r="C424" s="39" t="s">
        <v>120</v>
      </c>
      <c r="D424" s="39" t="s">
        <v>278</v>
      </c>
      <c r="E424" s="39" t="s">
        <v>16</v>
      </c>
      <c r="F424" s="38" t="n">
        <v>0</v>
      </c>
      <c r="G424" s="122" t="s">
        <v>1230</v>
      </c>
      <c r="H424" s="122" t="s">
        <v>479</v>
      </c>
      <c r="I424" s="41" t="n">
        <v>127966</v>
      </c>
      <c r="J424" s="41" t="n">
        <v>127966</v>
      </c>
      <c r="K424" s="41" t="n">
        <v>0</v>
      </c>
      <c r="L424" s="41" t="n">
        <v>0</v>
      </c>
      <c r="M424" s="41" t="n">
        <v>0</v>
      </c>
      <c r="N424" s="41" t="n">
        <v>0</v>
      </c>
      <c r="O424" s="41" t="n">
        <v>0</v>
      </c>
      <c r="P424" s="42" t="n">
        <v>127966</v>
      </c>
    </row>
    <row r="425" spans="1:16">
      <c r="A425" s="37" t="n">
        <v>433</v>
      </c>
      <c r="B425" s="38" t="s">
        <v>476</v>
      </c>
      <c r="C425" s="39" t="s">
        <v>95</v>
      </c>
      <c r="D425" s="39" t="s">
        <v>124</v>
      </c>
      <c r="E425" s="39" t="s">
        <v>15</v>
      </c>
      <c r="F425" s="38" t="n">
        <v>0</v>
      </c>
      <c r="G425" s="122" t="s">
        <v>1233</v>
      </c>
      <c r="H425" s="122" t="s">
        <v>477</v>
      </c>
      <c r="I425" s="41" t="n">
        <v>125222</v>
      </c>
      <c r="J425" s="41" t="n">
        <v>125222</v>
      </c>
      <c r="K425" s="41" t="n">
        <v>0</v>
      </c>
      <c r="L425" s="41" t="n">
        <v>0</v>
      </c>
      <c r="M425" s="41" t="n">
        <v>0</v>
      </c>
      <c r="N425" s="41" t="n">
        <v>0</v>
      </c>
      <c r="O425" s="41" t="n">
        <v>0</v>
      </c>
      <c r="P425" s="42" t="n">
        <v>125222</v>
      </c>
    </row>
    <row r="426" spans="1:16">
      <c r="A426" s="37" t="n">
        <v>434</v>
      </c>
      <c r="B426" s="38" t="s">
        <v>474</v>
      </c>
      <c r="C426" s="39" t="s">
        <v>95</v>
      </c>
      <c r="D426" s="39" t="s">
        <v>124</v>
      </c>
      <c r="E426" s="39" t="s">
        <v>15</v>
      </c>
      <c r="F426" s="38" t="n">
        <v>0</v>
      </c>
      <c r="G426" s="122" t="s">
        <v>1236</v>
      </c>
      <c r="H426" s="122" t="s">
        <v>475</v>
      </c>
      <c r="I426" s="41" t="n">
        <v>102193</v>
      </c>
      <c r="J426" s="41" t="n">
        <v>102193</v>
      </c>
      <c r="K426" s="41" t="n">
        <v>0</v>
      </c>
      <c r="L426" s="41" t="n">
        <v>0</v>
      </c>
      <c r="M426" s="41" t="n">
        <v>0</v>
      </c>
      <c r="N426" s="41" t="n">
        <v>0</v>
      </c>
      <c r="O426" s="41" t="n">
        <v>0</v>
      </c>
      <c r="P426" s="42" t="n">
        <v>102193</v>
      </c>
    </row>
    <row r="427" spans="1:16">
      <c r="A427" s="37" t="n">
        <v>435</v>
      </c>
      <c r="B427" s="38" t="s">
        <v>2092</v>
      </c>
      <c r="C427" s="39" t="s">
        <v>95</v>
      </c>
      <c r="D427" s="39" t="s">
        <v>124</v>
      </c>
      <c r="E427" s="39" t="s">
        <v>15</v>
      </c>
      <c r="F427" s="38" t="n">
        <v>0</v>
      </c>
      <c r="G427" s="122" t="s">
        <v>1239</v>
      </c>
      <c r="H427" s="122" t="s">
        <v>481</v>
      </c>
      <c r="I427" s="41" t="n">
        <v>127966</v>
      </c>
      <c r="J427" s="41" t="n">
        <v>127966</v>
      </c>
      <c r="K427" s="41" t="n">
        <v>0</v>
      </c>
      <c r="L427" s="41" t="n">
        <v>0</v>
      </c>
      <c r="M427" s="41" t="n">
        <v>0</v>
      </c>
      <c r="N427" s="41" t="n">
        <v>0</v>
      </c>
      <c r="O427" s="41" t="n">
        <v>0</v>
      </c>
      <c r="P427" s="42" t="n">
        <v>127966</v>
      </c>
    </row>
    <row r="428" spans="1:16">
      <c r="A428" s="37" t="n">
        <v>436</v>
      </c>
      <c r="B428" s="38" t="s">
        <v>524</v>
      </c>
      <c r="C428" s="39" t="s">
        <v>120</v>
      </c>
      <c r="D428" s="39" t="s">
        <v>124</v>
      </c>
      <c r="E428" s="39" t="s">
        <v>15</v>
      </c>
      <c r="F428" s="38" t="n">
        <v>0</v>
      </c>
      <c r="G428" s="122" t="s">
        <v>1241</v>
      </c>
      <c r="H428" s="122" t="s">
        <v>525</v>
      </c>
      <c r="I428" s="41" t="n">
        <v>98532</v>
      </c>
      <c r="J428" s="41" t="n">
        <v>98532</v>
      </c>
      <c r="K428" s="41" t="n">
        <v>0</v>
      </c>
      <c r="L428" s="41" t="n">
        <v>0</v>
      </c>
      <c r="M428" s="41" t="n">
        <v>0</v>
      </c>
      <c r="N428" s="41" t="n">
        <v>0</v>
      </c>
      <c r="O428" s="41" t="n">
        <v>0</v>
      </c>
      <c r="P428" s="42" t="n">
        <v>98532</v>
      </c>
    </row>
    <row r="429" spans="1:16">
      <c r="A429" s="37" t="n">
        <v>437</v>
      </c>
      <c r="B429" s="38" t="s">
        <v>521</v>
      </c>
      <c r="C429" s="39" t="s">
        <v>120</v>
      </c>
      <c r="D429" s="39" t="s">
        <v>278</v>
      </c>
      <c r="E429" s="39" t="s">
        <v>16</v>
      </c>
      <c r="F429" s="38" t="n">
        <v>0</v>
      </c>
      <c r="G429" s="122" t="s">
        <v>1244</v>
      </c>
      <c r="H429" s="122" t="s">
        <v>523</v>
      </c>
      <c r="I429" s="41" t="n">
        <v>98532</v>
      </c>
      <c r="J429" s="41" t="n">
        <v>98532</v>
      </c>
      <c r="K429" s="41" t="n">
        <v>0</v>
      </c>
      <c r="L429" s="41" t="n">
        <v>0</v>
      </c>
      <c r="M429" s="41" t="n">
        <v>0</v>
      </c>
      <c r="N429" s="41" t="n">
        <v>0</v>
      </c>
      <c r="O429" s="41" t="n">
        <v>0</v>
      </c>
      <c r="P429" s="42" t="n">
        <v>98532</v>
      </c>
    </row>
    <row r="430" spans="1:16">
      <c r="A430" s="37" t="n">
        <v>438</v>
      </c>
      <c r="B430" s="38" t="s">
        <v>526</v>
      </c>
      <c r="C430" s="39" t="s">
        <v>95</v>
      </c>
      <c r="D430" s="39" t="s">
        <v>124</v>
      </c>
      <c r="E430" s="39" t="s">
        <v>15</v>
      </c>
      <c r="F430" s="38" t="n">
        <v>0</v>
      </c>
      <c r="G430" s="122" t="s">
        <v>1248</v>
      </c>
      <c r="H430" s="122" t="s">
        <v>528</v>
      </c>
      <c r="I430" s="41" t="n">
        <v>98532</v>
      </c>
      <c r="J430" s="41" t="n">
        <v>98532</v>
      </c>
      <c r="K430" s="41" t="n">
        <v>0</v>
      </c>
      <c r="L430" s="41" t="n">
        <v>0</v>
      </c>
      <c r="M430" s="41" t="n">
        <v>0</v>
      </c>
      <c r="N430" s="41" t="n">
        <v>0</v>
      </c>
      <c r="O430" s="41" t="n">
        <v>0</v>
      </c>
      <c r="P430" s="42" t="n">
        <v>98532</v>
      </c>
    </row>
    <row r="431" spans="1:16">
      <c r="A431" s="37" t="n">
        <v>439</v>
      </c>
      <c r="B431" s="38" t="s">
        <v>1627</v>
      </c>
      <c r="C431" s="39" t="s">
        <v>58</v>
      </c>
      <c r="D431" s="39" t="s">
        <v>20</v>
      </c>
      <c r="E431" s="39" t="s">
        <v>21</v>
      </c>
      <c r="F431" s="38" t="s">
        <v>1628</v>
      </c>
      <c r="G431" s="122" t="s">
        <v>1252</v>
      </c>
      <c r="H431" s="122" t="s">
        <v>1629</v>
      </c>
      <c r="I431" s="41" t="n">
        <v>564092</v>
      </c>
      <c r="J431" s="41" t="n">
        <v>564092</v>
      </c>
      <c r="K431" s="41" t="n">
        <v>28205</v>
      </c>
      <c r="L431" s="41" t="n">
        <v>0</v>
      </c>
      <c r="M431" s="41" t="n">
        <v>0</v>
      </c>
      <c r="N431" s="41" t="n">
        <v>0</v>
      </c>
      <c r="O431" s="41" t="n">
        <v>0</v>
      </c>
      <c r="P431" s="42" t="n">
        <v>535887</v>
      </c>
    </row>
    <row r="432" spans="1:16">
      <c r="A432" s="37" t="n">
        <v>440</v>
      </c>
      <c r="B432" s="38" t="s">
        <v>1630</v>
      </c>
      <c r="C432" s="39" t="s">
        <v>58</v>
      </c>
      <c r="D432" s="39" t="s">
        <v>20</v>
      </c>
      <c r="E432" s="39" t="s">
        <v>21</v>
      </c>
      <c r="F432" s="38" t="s">
        <v>1631</v>
      </c>
      <c r="G432" s="122" t="s">
        <v>1256</v>
      </c>
      <c r="H432" s="122" t="s">
        <v>1633</v>
      </c>
      <c r="I432" s="41" t="n">
        <v>538373</v>
      </c>
      <c r="J432" s="41" t="n">
        <v>538373</v>
      </c>
      <c r="K432" s="41" t="n">
        <v>26919</v>
      </c>
      <c r="L432" s="41" t="n">
        <v>0</v>
      </c>
      <c r="M432" s="41" t="n">
        <v>0</v>
      </c>
      <c r="N432" s="41" t="n">
        <v>0</v>
      </c>
      <c r="O432" s="41" t="n">
        <v>0</v>
      </c>
      <c r="P432" s="42" t="n">
        <v>511454</v>
      </c>
    </row>
    <row r="433" spans="1:16">
      <c r="A433" s="37" t="n">
        <v>441</v>
      </c>
      <c r="B433" s="38" t="s">
        <v>1634</v>
      </c>
      <c r="C433" s="39" t="s">
        <v>58</v>
      </c>
      <c r="D433" s="39" t="s">
        <v>20</v>
      </c>
      <c r="E433" s="39" t="s">
        <v>21</v>
      </c>
      <c r="F433" s="38" t="s">
        <v>1628</v>
      </c>
      <c r="G433" s="122" t="s">
        <v>1260</v>
      </c>
      <c r="H433" s="122" t="s">
        <v>1636</v>
      </c>
      <c r="I433" s="41" t="n">
        <v>514125</v>
      </c>
      <c r="J433" s="41" t="n">
        <v>514125</v>
      </c>
      <c r="K433" s="41" t="n">
        <v>25706</v>
      </c>
      <c r="L433" s="41" t="n">
        <v>0</v>
      </c>
      <c r="M433" s="41" t="n">
        <v>0</v>
      </c>
      <c r="N433" s="41" t="n">
        <v>0</v>
      </c>
      <c r="O433" s="41" t="n">
        <v>0</v>
      </c>
      <c r="P433" s="42" t="n">
        <v>488419</v>
      </c>
    </row>
    <row r="434" spans="1:16">
      <c r="A434" s="37" t="n">
        <v>442</v>
      </c>
      <c r="B434" s="38" t="s">
        <v>1637</v>
      </c>
      <c r="C434" s="39" t="s">
        <v>58</v>
      </c>
      <c r="D434" s="39" t="s">
        <v>20</v>
      </c>
      <c r="E434" s="39" t="s">
        <v>21</v>
      </c>
      <c r="F434" s="38" t="s">
        <v>1638</v>
      </c>
      <c r="G434" s="40" t="n">
        <v>0</v>
      </c>
      <c r="H434" s="122" t="s">
        <v>1640</v>
      </c>
      <c r="I434" s="41" t="n">
        <v>513211</v>
      </c>
      <c r="J434" s="41" t="n">
        <v>513211</v>
      </c>
      <c r="K434" s="41" t="n">
        <v>25661</v>
      </c>
      <c r="L434" s="41" t="n">
        <v>0</v>
      </c>
      <c r="M434" s="41" t="n">
        <v>0</v>
      </c>
      <c r="N434" s="41" t="n">
        <v>0</v>
      </c>
      <c r="O434" s="41" t="n">
        <v>0</v>
      </c>
      <c r="P434" s="42" t="n">
        <v>487550</v>
      </c>
    </row>
    <row r="435" spans="1:16">
      <c r="A435" s="37" t="n">
        <v>443</v>
      </c>
      <c r="B435" s="38" t="s">
        <v>1641</v>
      </c>
      <c r="C435" s="39" t="s">
        <v>58</v>
      </c>
      <c r="D435" s="39" t="s">
        <v>20</v>
      </c>
      <c r="E435" s="39" t="s">
        <v>21</v>
      </c>
      <c r="F435" s="38" t="s">
        <v>1642</v>
      </c>
      <c r="G435" s="40" t="n">
        <v>0</v>
      </c>
      <c r="H435" s="122" t="s">
        <v>1644</v>
      </c>
      <c r="I435" s="41" t="n">
        <v>514125</v>
      </c>
      <c r="J435" s="41" t="n">
        <v>514125</v>
      </c>
      <c r="K435" s="41" t="n">
        <v>25706</v>
      </c>
      <c r="L435" s="41" t="n">
        <v>0</v>
      </c>
      <c r="M435" s="41" t="n">
        <v>0</v>
      </c>
      <c r="N435" s="41" t="n">
        <v>0</v>
      </c>
      <c r="O435" s="41" t="n">
        <v>0</v>
      </c>
      <c r="P435" s="42" t="n">
        <v>488419</v>
      </c>
    </row>
    <row r="436" spans="1:16">
      <c r="A436" s="37" t="n">
        <v>444</v>
      </c>
      <c r="B436" s="38" t="s">
        <v>1645</v>
      </c>
      <c r="C436" s="39" t="s">
        <v>58</v>
      </c>
      <c r="D436" s="39" t="s">
        <v>20</v>
      </c>
      <c r="E436" s="39" t="s">
        <v>21</v>
      </c>
      <c r="F436" s="38" t="n">
        <v>0</v>
      </c>
      <c r="G436" s="40" t="n">
        <v>0</v>
      </c>
      <c r="H436" s="122" t="s">
        <v>1648</v>
      </c>
      <c r="I436" s="41" t="n">
        <v>419621</v>
      </c>
      <c r="J436" s="41" t="n">
        <v>419621</v>
      </c>
      <c r="K436" s="41" t="n">
        <v>20981</v>
      </c>
      <c r="L436" s="41" t="n">
        <v>0</v>
      </c>
      <c r="M436" s="41" t="n">
        <v>0</v>
      </c>
      <c r="N436" s="41" t="n">
        <v>0</v>
      </c>
      <c r="O436" s="41" t="n">
        <v>0</v>
      </c>
      <c r="P436" s="42" t="n">
        <v>398640</v>
      </c>
    </row>
    <row r="437" spans="1:16">
      <c r="A437" s="37" t="n">
        <v>445</v>
      </c>
      <c r="B437" s="38" t="s">
        <v>1649</v>
      </c>
      <c r="C437" s="39" t="s">
        <v>58</v>
      </c>
      <c r="D437" s="39" t="s">
        <v>20</v>
      </c>
      <c r="E437" s="39" t="s">
        <v>21</v>
      </c>
      <c r="F437" s="38" t="s">
        <v>1650</v>
      </c>
      <c r="G437" s="40" t="n">
        <v>0</v>
      </c>
      <c r="H437" s="122" t="s">
        <v>1652</v>
      </c>
      <c r="I437" s="41" t="n">
        <v>444777</v>
      </c>
      <c r="J437" s="41" t="n">
        <v>444777</v>
      </c>
      <c r="K437" s="41" t="n">
        <v>22239</v>
      </c>
      <c r="L437" s="41" t="n">
        <v>0</v>
      </c>
      <c r="M437" s="41" t="n">
        <v>0</v>
      </c>
      <c r="N437" s="41" t="n">
        <v>0</v>
      </c>
      <c r="O437" s="41" t="n">
        <v>0</v>
      </c>
      <c r="P437" s="42" t="n">
        <v>422538</v>
      </c>
    </row>
    <row r="438" spans="1:16">
      <c r="A438" s="37" t="n">
        <v>446</v>
      </c>
      <c r="B438" s="38" t="s">
        <v>1653</v>
      </c>
      <c r="C438" s="39" t="s">
        <v>111</v>
      </c>
      <c r="D438" s="39" t="s">
        <v>128</v>
      </c>
      <c r="E438" s="39" t="s">
        <v>15</v>
      </c>
      <c r="F438" s="38" t="s">
        <v>1654</v>
      </c>
      <c r="G438" s="40" t="n">
        <v>0</v>
      </c>
      <c r="H438" s="122" t="s">
        <v>1656</v>
      </c>
      <c r="I438" s="41" t="n">
        <v>337071</v>
      </c>
      <c r="J438" s="41" t="n">
        <v>337071</v>
      </c>
      <c r="K438" s="41" t="n">
        <v>0</v>
      </c>
      <c r="L438" s="41" t="n">
        <v>0</v>
      </c>
      <c r="M438" s="41" t="n">
        <v>0</v>
      </c>
      <c r="N438" s="41" t="n">
        <v>0</v>
      </c>
      <c r="O438" s="41" t="n">
        <v>0</v>
      </c>
      <c r="P438" s="42" t="n">
        <v>337071</v>
      </c>
    </row>
    <row r="439" spans="1:16">
      <c r="A439" s="37" t="n">
        <v>447</v>
      </c>
      <c r="B439" s="38" t="s">
        <v>1657</v>
      </c>
      <c r="C439" s="39" t="s">
        <v>111</v>
      </c>
      <c r="D439" s="39" t="s">
        <v>128</v>
      </c>
      <c r="E439" s="39" t="s">
        <v>15</v>
      </c>
      <c r="F439" s="38" t="s">
        <v>1658</v>
      </c>
      <c r="G439" s="40" t="n">
        <v>0</v>
      </c>
      <c r="H439" s="122" t="s">
        <v>1660</v>
      </c>
      <c r="I439" s="41" t="n">
        <v>415657</v>
      </c>
      <c r="J439" s="41" t="n">
        <v>415657</v>
      </c>
      <c r="K439" s="41" t="n">
        <v>0</v>
      </c>
      <c r="L439" s="41" t="n">
        <v>0</v>
      </c>
      <c r="M439" s="41" t="n">
        <v>0</v>
      </c>
      <c r="N439" s="41" t="n">
        <v>0</v>
      </c>
      <c r="O439" s="41" t="n">
        <v>0</v>
      </c>
      <c r="P439" s="42" t="n">
        <v>415657</v>
      </c>
    </row>
    <row r="440" spans="1:16">
      <c r="A440" s="37" t="n">
        <v>448</v>
      </c>
      <c r="B440" s="38" t="s">
        <v>1661</v>
      </c>
      <c r="C440" s="39" t="s">
        <v>131</v>
      </c>
      <c r="D440" s="39" t="s">
        <v>20</v>
      </c>
      <c r="E440" s="39" t="s">
        <v>21</v>
      </c>
      <c r="F440" s="38" t="s">
        <v>1662</v>
      </c>
      <c r="G440" s="122" t="s">
        <v>1278</v>
      </c>
      <c r="H440" s="122" t="s">
        <v>1664</v>
      </c>
      <c r="I440" s="41" t="n">
        <v>312345</v>
      </c>
      <c r="J440" s="41" t="n">
        <v>312345</v>
      </c>
      <c r="K440" s="41" t="n">
        <v>15617</v>
      </c>
      <c r="L440" s="41" t="n">
        <v>0</v>
      </c>
      <c r="M440" s="41" t="n">
        <v>0</v>
      </c>
      <c r="N440" s="41" t="n">
        <v>0</v>
      </c>
      <c r="O440" s="41" t="n">
        <v>0</v>
      </c>
      <c r="P440" s="42" t="n">
        <v>296728</v>
      </c>
    </row>
    <row r="441" spans="1:16">
      <c r="A441" s="37" t="n">
        <v>449</v>
      </c>
      <c r="B441" s="38" t="s">
        <v>1665</v>
      </c>
      <c r="C441" s="39" t="s">
        <v>131</v>
      </c>
      <c r="D441" s="39" t="s">
        <v>20</v>
      </c>
      <c r="E441" s="39" t="s">
        <v>21</v>
      </c>
      <c r="F441" s="38" t="s">
        <v>1666</v>
      </c>
      <c r="G441" s="40" t="n">
        <v>0</v>
      </c>
      <c r="H441" s="122" t="s">
        <v>1668</v>
      </c>
      <c r="I441" s="41" t="n">
        <v>300263</v>
      </c>
      <c r="J441" s="41" t="n">
        <v>300263</v>
      </c>
      <c r="K441" s="41" t="n">
        <v>15013</v>
      </c>
      <c r="L441" s="41" t="n">
        <v>0</v>
      </c>
      <c r="M441" s="41" t="n">
        <v>0</v>
      </c>
      <c r="N441" s="41" t="n">
        <v>0</v>
      </c>
      <c r="O441" s="41" t="n">
        <v>0</v>
      </c>
      <c r="P441" s="42" t="n">
        <v>285250</v>
      </c>
    </row>
    <row r="442" spans="1:16">
      <c r="A442" s="37" t="n">
        <v>450</v>
      </c>
      <c r="B442" s="38" t="s">
        <v>1669</v>
      </c>
      <c r="C442" s="39" t="s">
        <v>283</v>
      </c>
      <c r="D442" s="39" t="s">
        <v>20</v>
      </c>
      <c r="E442" s="39" t="s">
        <v>21</v>
      </c>
      <c r="F442" s="38" t="n">
        <v>0</v>
      </c>
      <c r="G442" s="40" t="n">
        <v>0</v>
      </c>
      <c r="H442" s="122" t="s">
        <v>1671</v>
      </c>
      <c r="I442" s="41" t="n">
        <v>316476</v>
      </c>
      <c r="J442" s="41" t="n">
        <v>316476</v>
      </c>
      <c r="K442" s="41" t="n">
        <v>0</v>
      </c>
      <c r="L442" s="41" t="n">
        <v>0</v>
      </c>
      <c r="M442" s="41" t="n">
        <v>0</v>
      </c>
      <c r="N442" s="41" t="n">
        <v>0</v>
      </c>
      <c r="O442" s="41" t="n">
        <v>0</v>
      </c>
      <c r="P442" s="42" t="n">
        <v>316476</v>
      </c>
    </row>
    <row r="443" spans="1:16">
      <c r="A443" s="37" t="n">
        <v>451</v>
      </c>
      <c r="B443" s="38" t="s">
        <v>1672</v>
      </c>
      <c r="C443" s="39" t="s">
        <v>95</v>
      </c>
      <c r="D443" s="39" t="s">
        <v>137</v>
      </c>
      <c r="E443" s="39" t="s">
        <v>14</v>
      </c>
      <c r="F443" s="38" t="n">
        <v>0</v>
      </c>
      <c r="G443" s="40" t="n">
        <v>0</v>
      </c>
      <c r="H443" s="122" t="s">
        <v>1674</v>
      </c>
      <c r="I443" s="41" t="n">
        <v>310619</v>
      </c>
      <c r="J443" s="41" t="n">
        <v>310619</v>
      </c>
      <c r="K443" s="41" t="n">
        <v>0</v>
      </c>
      <c r="L443" s="41" t="n">
        <v>0</v>
      </c>
      <c r="M443" s="41" t="n">
        <v>0</v>
      </c>
      <c r="N443" s="41" t="n">
        <v>0</v>
      </c>
      <c r="O443" s="41" t="n">
        <v>0</v>
      </c>
      <c r="P443" s="42" t="n">
        <v>310619</v>
      </c>
    </row>
    <row r="444" spans="1:16">
      <c r="A444" s="37" t="n">
        <v>453</v>
      </c>
      <c r="B444" s="38" t="s">
        <v>1675</v>
      </c>
      <c r="C444" s="39" t="s">
        <v>95</v>
      </c>
      <c r="D444" s="39" t="s">
        <v>121</v>
      </c>
      <c r="E444" s="39" t="s">
        <v>14</v>
      </c>
      <c r="F444" s="38" t="n">
        <v>0</v>
      </c>
      <c r="G444" s="122" t="s">
        <v>1291</v>
      </c>
      <c r="H444" s="122" t="s">
        <v>1677</v>
      </c>
      <c r="I444" s="41" t="n">
        <v>311431</v>
      </c>
      <c r="J444" s="41" t="n">
        <v>311431</v>
      </c>
      <c r="K444" s="41" t="n">
        <v>0</v>
      </c>
      <c r="L444" s="41" t="n">
        <v>0</v>
      </c>
      <c r="M444" s="41" t="n">
        <v>0</v>
      </c>
      <c r="N444" s="41" t="n">
        <v>0</v>
      </c>
      <c r="O444" s="41" t="n">
        <v>0</v>
      </c>
      <c r="P444" s="42" t="n">
        <v>311431</v>
      </c>
    </row>
    <row r="445" spans="1:16">
      <c r="A445" s="37" t="n">
        <v>454</v>
      </c>
      <c r="B445" s="38" t="s">
        <v>1678</v>
      </c>
      <c r="C445" s="39" t="s">
        <v>95</v>
      </c>
      <c r="D445" s="39" t="s">
        <v>121</v>
      </c>
      <c r="E445" s="39" t="s">
        <v>14</v>
      </c>
      <c r="F445" s="38" t="n">
        <v>0</v>
      </c>
      <c r="G445" s="40" t="n">
        <v>0</v>
      </c>
      <c r="H445" s="122" t="s">
        <v>1680</v>
      </c>
      <c r="I445" s="41" t="n">
        <v>311431</v>
      </c>
      <c r="J445" s="41" t="n">
        <v>311431</v>
      </c>
      <c r="K445" s="41" t="n">
        <v>0</v>
      </c>
      <c r="L445" s="41" t="n">
        <v>0</v>
      </c>
      <c r="M445" s="41" t="n">
        <v>0</v>
      </c>
      <c r="N445" s="41" t="n">
        <v>0</v>
      </c>
      <c r="O445" s="41" t="n">
        <v>0</v>
      </c>
      <c r="P445" s="42" t="n">
        <v>311431</v>
      </c>
    </row>
    <row r="446" spans="1:16">
      <c r="A446" s="37" t="n">
        <v>455</v>
      </c>
      <c r="B446" s="38" t="s">
        <v>1691</v>
      </c>
      <c r="C446" s="39" t="s">
        <v>283</v>
      </c>
      <c r="D446" s="39" t="s">
        <v>137</v>
      </c>
      <c r="E446" s="39" t="s">
        <v>14</v>
      </c>
      <c r="F446" s="38" t="n">
        <v>0</v>
      </c>
      <c r="G446" s="40" t="n">
        <v>0</v>
      </c>
      <c r="H446" s="122" t="s">
        <v>1694</v>
      </c>
      <c r="I446" s="41" t="n">
        <v>311431</v>
      </c>
      <c r="J446" s="41" t="n">
        <v>311431</v>
      </c>
      <c r="K446" s="41" t="n">
        <v>0</v>
      </c>
      <c r="L446" s="41" t="n">
        <v>0</v>
      </c>
      <c r="M446" s="41" t="n">
        <v>0</v>
      </c>
      <c r="N446" s="41" t="n">
        <v>0</v>
      </c>
      <c r="O446" s="41" t="n">
        <v>0</v>
      </c>
      <c r="P446" s="42" t="n">
        <v>311431</v>
      </c>
    </row>
    <row r="447" spans="1:16">
      <c r="A447" s="37" t="n">
        <v>456</v>
      </c>
      <c r="B447" s="38" t="s">
        <v>574</v>
      </c>
      <c r="C447" s="39" t="s">
        <v>111</v>
      </c>
      <c r="D447" s="39" t="s">
        <v>20</v>
      </c>
      <c r="E447" s="39" t="s">
        <v>21</v>
      </c>
      <c r="F447" s="38" t="s">
        <v>575</v>
      </c>
      <c r="G447" s="122" t="s">
        <v>1301</v>
      </c>
      <c r="H447" s="122" t="s">
        <v>576</v>
      </c>
      <c r="I447" s="41" t="n">
        <v>212884</v>
      </c>
      <c r="J447" s="41" t="n">
        <v>212884</v>
      </c>
      <c r="K447" s="41" t="n">
        <v>0</v>
      </c>
      <c r="L447" s="41" t="n">
        <v>0</v>
      </c>
      <c r="M447" s="41" t="n">
        <v>0</v>
      </c>
      <c r="N447" s="41" t="n">
        <v>0</v>
      </c>
      <c r="O447" s="41" t="n">
        <v>0</v>
      </c>
      <c r="P447" s="42" t="n">
        <v>212884</v>
      </c>
    </row>
    <row r="448" spans="1:16">
      <c r="A448" s="37" t="n">
        <v>457</v>
      </c>
      <c r="B448" s="38" t="s">
        <v>1695</v>
      </c>
      <c r="C448" s="39" t="s">
        <v>95</v>
      </c>
      <c r="D448" s="39" t="s">
        <v>121</v>
      </c>
      <c r="E448" s="39" t="s">
        <v>14</v>
      </c>
      <c r="F448" s="38" t="n">
        <v>0</v>
      </c>
      <c r="G448" s="40" t="n">
        <v>0</v>
      </c>
      <c r="H448" s="122" t="s">
        <v>1697</v>
      </c>
      <c r="I448" s="41" t="n">
        <v>311305</v>
      </c>
      <c r="J448" s="41" t="n">
        <v>311305</v>
      </c>
      <c r="K448" s="41" t="n">
        <v>0</v>
      </c>
      <c r="L448" s="41" t="n">
        <v>0</v>
      </c>
      <c r="M448" s="41" t="n">
        <v>0</v>
      </c>
      <c r="N448" s="41" t="n">
        <v>0</v>
      </c>
      <c r="O448" s="41" t="n">
        <v>0</v>
      </c>
      <c r="P448" s="42" t="n">
        <v>311305</v>
      </c>
    </row>
    <row r="449" spans="1:16">
      <c r="A449" s="37" t="n">
        <v>458</v>
      </c>
      <c r="B449" s="38" t="s">
        <v>577</v>
      </c>
      <c r="C449" s="39" t="s">
        <v>95</v>
      </c>
      <c r="D449" s="39" t="s">
        <v>128</v>
      </c>
      <c r="E449" s="39" t="s">
        <v>15</v>
      </c>
      <c r="F449" s="38" t="n">
        <v>0</v>
      </c>
      <c r="G449" s="122" t="s">
        <v>1306</v>
      </c>
      <c r="H449" s="122" t="s">
        <v>578</v>
      </c>
      <c r="I449" s="41" t="n">
        <v>136892</v>
      </c>
      <c r="J449" s="41" t="n">
        <v>136892</v>
      </c>
      <c r="K449" s="41" t="n">
        <v>0</v>
      </c>
      <c r="L449" s="41" t="n">
        <v>0</v>
      </c>
      <c r="M449" s="41" t="n">
        <v>0</v>
      </c>
      <c r="N449" s="41" t="n">
        <v>0</v>
      </c>
      <c r="O449" s="41" t="n">
        <v>0</v>
      </c>
      <c r="P449" s="42" t="n">
        <v>136892</v>
      </c>
    </row>
    <row r="450" spans="1:16">
      <c r="A450" s="37" t="n">
        <v>459</v>
      </c>
      <c r="B450" s="38" t="s">
        <v>579</v>
      </c>
      <c r="C450" s="39" t="s">
        <v>120</v>
      </c>
      <c r="D450" s="39" t="s">
        <v>128</v>
      </c>
      <c r="E450" s="39" t="s">
        <v>15</v>
      </c>
      <c r="F450" s="38" t="n">
        <v>0</v>
      </c>
      <c r="G450" s="122" t="s">
        <v>1309</v>
      </c>
      <c r="H450" s="122" t="s">
        <v>581</v>
      </c>
      <c r="I450" s="41" t="n">
        <v>154527</v>
      </c>
      <c r="J450" s="41" t="n">
        <v>154527</v>
      </c>
      <c r="K450" s="41" t="n">
        <v>0</v>
      </c>
      <c r="L450" s="41" t="n">
        <v>0</v>
      </c>
      <c r="M450" s="41" t="n">
        <v>0</v>
      </c>
      <c r="N450" s="41" t="n">
        <v>0</v>
      </c>
      <c r="O450" s="41" t="n">
        <v>0</v>
      </c>
      <c r="P450" s="42" t="n">
        <v>154527</v>
      </c>
    </row>
    <row r="451" spans="1:16">
      <c r="A451" s="37" t="n">
        <v>460</v>
      </c>
      <c r="B451" s="38" t="s">
        <v>582</v>
      </c>
      <c r="C451" s="39" t="s">
        <v>95</v>
      </c>
      <c r="D451" s="39" t="s">
        <v>128</v>
      </c>
      <c r="E451" s="39" t="s">
        <v>15</v>
      </c>
      <c r="F451" s="38" t="n">
        <v>0</v>
      </c>
      <c r="G451" s="122" t="s">
        <v>1312</v>
      </c>
      <c r="H451" s="122" t="s">
        <v>584</v>
      </c>
      <c r="I451" s="41" t="n">
        <v>141529</v>
      </c>
      <c r="J451" s="41" t="n">
        <v>141529</v>
      </c>
      <c r="K451" s="41" t="n">
        <v>0</v>
      </c>
      <c r="L451" s="41" t="n">
        <v>0</v>
      </c>
      <c r="M451" s="41" t="n">
        <v>0</v>
      </c>
      <c r="N451" s="41" t="n">
        <v>0</v>
      </c>
      <c r="O451" s="41" t="n">
        <v>0</v>
      </c>
      <c r="P451" s="42" t="n">
        <v>141529</v>
      </c>
    </row>
    <row r="452" spans="1:16">
      <c r="A452" s="37" t="n">
        <v>461</v>
      </c>
      <c r="B452" s="38" t="s">
        <v>1681</v>
      </c>
      <c r="C452" s="39" t="s">
        <v>58</v>
      </c>
      <c r="D452" s="39" t="s">
        <v>20</v>
      </c>
      <c r="E452" s="39" t="s">
        <v>21</v>
      </c>
      <c r="F452" s="38" t="s">
        <v>1682</v>
      </c>
      <c r="G452" s="122" t="s">
        <v>1315</v>
      </c>
      <c r="H452" s="122" t="s">
        <v>1684</v>
      </c>
      <c r="I452" s="41" t="n">
        <v>302463</v>
      </c>
      <c r="J452" s="41" t="n">
        <v>302463</v>
      </c>
      <c r="K452" s="41" t="n">
        <v>15123</v>
      </c>
      <c r="L452" s="41" t="n">
        <v>0</v>
      </c>
      <c r="M452" s="41" t="n">
        <v>0</v>
      </c>
      <c r="N452" s="41" t="n">
        <v>0</v>
      </c>
      <c r="O452" s="41" t="n">
        <v>0</v>
      </c>
      <c r="P452" s="42" t="n">
        <v>287340</v>
      </c>
    </row>
    <row r="453" spans="1:16">
      <c r="A453" s="37" t="n">
        <v>462</v>
      </c>
      <c r="B453" s="38" t="s">
        <v>1685</v>
      </c>
      <c r="C453" s="39" t="s">
        <v>283</v>
      </c>
      <c r="D453" s="39" t="s">
        <v>20</v>
      </c>
      <c r="E453" s="39" t="s">
        <v>21</v>
      </c>
      <c r="F453" s="38" t="n">
        <v>0</v>
      </c>
      <c r="G453" s="122" t="s">
        <v>1319</v>
      </c>
      <c r="H453" s="122" t="s">
        <v>1687</v>
      </c>
      <c r="I453" s="41" t="n">
        <v>229190</v>
      </c>
      <c r="J453" s="41" t="n">
        <v>229190</v>
      </c>
      <c r="K453" s="41" t="n">
        <v>0</v>
      </c>
      <c r="L453" s="41" t="n">
        <v>0</v>
      </c>
      <c r="M453" s="41" t="n">
        <v>0</v>
      </c>
      <c r="N453" s="41" t="n">
        <v>0</v>
      </c>
      <c r="O453" s="41" t="n">
        <v>0</v>
      </c>
      <c r="P453" s="42" t="n">
        <v>229190</v>
      </c>
    </row>
    <row r="454" spans="1:16">
      <c r="A454" s="37" t="n">
        <v>463</v>
      </c>
      <c r="B454" s="38" t="s">
        <v>1688</v>
      </c>
      <c r="C454" s="39" t="s">
        <v>111</v>
      </c>
      <c r="D454" s="39" t="s">
        <v>128</v>
      </c>
      <c r="E454" s="39" t="s">
        <v>15</v>
      </c>
      <c r="F454" s="38" t="n">
        <v>0</v>
      </c>
      <c r="G454" s="122" t="s">
        <v>1322</v>
      </c>
      <c r="H454" s="122" t="s">
        <v>1690</v>
      </c>
      <c r="I454" s="41" t="n">
        <v>229190</v>
      </c>
      <c r="J454" s="41" t="n">
        <v>229190</v>
      </c>
      <c r="K454" s="41" t="n">
        <v>0</v>
      </c>
      <c r="L454" s="41" t="n">
        <v>0</v>
      </c>
      <c r="M454" s="41" t="n">
        <v>0</v>
      </c>
      <c r="N454" s="41" t="n">
        <v>0</v>
      </c>
      <c r="O454" s="41" t="n">
        <v>0</v>
      </c>
      <c r="P454" s="42" t="n">
        <v>229190</v>
      </c>
    </row>
    <row r="455" spans="1:16">
      <c r="A455" s="37" t="n">
        <v>464</v>
      </c>
      <c r="B455" s="38" t="s">
        <v>2093</v>
      </c>
      <c r="C455" s="39" t="s">
        <v>111</v>
      </c>
      <c r="D455" s="39" t="s">
        <v>20</v>
      </c>
      <c r="E455" s="39" t="s">
        <v>21</v>
      </c>
      <c r="F455" s="38" t="s">
        <v>612</v>
      </c>
      <c r="G455" s="122" t="s">
        <v>1326</v>
      </c>
      <c r="H455" s="122" t="s">
        <v>613</v>
      </c>
      <c r="I455" s="41" t="n">
        <v>80587</v>
      </c>
      <c r="J455" s="41" t="n">
        <v>80587</v>
      </c>
      <c r="K455" s="41" t="n">
        <v>0</v>
      </c>
      <c r="L455" s="41" t="n">
        <v>0</v>
      </c>
      <c r="M455" s="41" t="n">
        <v>0</v>
      </c>
      <c r="N455" s="41" t="n">
        <v>0</v>
      </c>
      <c r="O455" s="41" t="n">
        <v>0</v>
      </c>
      <c r="P455" s="42" t="n">
        <v>80587</v>
      </c>
    </row>
    <row r="456" spans="1:16">
      <c r="A456" s="37" t="n">
        <v>465</v>
      </c>
      <c r="B456" s="38" t="s">
        <v>603</v>
      </c>
      <c r="C456" s="39" t="s">
        <v>120</v>
      </c>
      <c r="D456" s="39" t="s">
        <v>124</v>
      </c>
      <c r="E456" s="39" t="s">
        <v>15</v>
      </c>
      <c r="F456" s="38" t="n">
        <v>0</v>
      </c>
      <c r="G456" s="40" t="n">
        <v>0</v>
      </c>
      <c r="H456" s="122" t="s">
        <v>604</v>
      </c>
      <c r="I456" s="41" t="n">
        <v>99826</v>
      </c>
      <c r="J456" s="41" t="n">
        <v>99826</v>
      </c>
      <c r="K456" s="41" t="n">
        <v>0</v>
      </c>
      <c r="L456" s="41" t="n">
        <v>0</v>
      </c>
      <c r="M456" s="41" t="n">
        <v>0</v>
      </c>
      <c r="N456" s="41" t="n">
        <v>0</v>
      </c>
      <c r="O456" s="41" t="n">
        <v>0</v>
      </c>
      <c r="P456" s="42" t="n">
        <v>99826</v>
      </c>
    </row>
    <row r="457" spans="1:16">
      <c r="A457" s="37" t="n">
        <v>466</v>
      </c>
      <c r="B457" s="38" t="s">
        <v>1698</v>
      </c>
      <c r="C457" s="39" t="s">
        <v>19</v>
      </c>
      <c r="D457" s="39" t="s">
        <v>20</v>
      </c>
      <c r="E457" s="39" t="s">
        <v>21</v>
      </c>
      <c r="F457" s="38" t="s">
        <v>1699</v>
      </c>
      <c r="G457" s="40" t="n">
        <v>0</v>
      </c>
      <c r="H457" s="122" t="s">
        <v>1701</v>
      </c>
      <c r="I457" s="41" t="n">
        <v>1691725</v>
      </c>
      <c r="J457" s="41" t="n">
        <v>1691725</v>
      </c>
      <c r="K457" s="41" t="n">
        <v>0</v>
      </c>
      <c r="L457" s="41" t="n">
        <v>253759</v>
      </c>
      <c r="M457" s="41" t="n">
        <v>0</v>
      </c>
      <c r="N457" s="41" t="n">
        <v>0</v>
      </c>
      <c r="O457" s="41" t="n">
        <v>0</v>
      </c>
      <c r="P457" s="42" t="n">
        <v>1437966</v>
      </c>
    </row>
    <row r="458" spans="1:16">
      <c r="A458" s="37" t="n">
        <v>467</v>
      </c>
      <c r="B458" s="38" t="s">
        <v>1702</v>
      </c>
      <c r="C458" s="39" t="s">
        <v>58</v>
      </c>
      <c r="D458" s="39" t="s">
        <v>20</v>
      </c>
      <c r="E458" s="39" t="s">
        <v>21</v>
      </c>
      <c r="F458" s="38" t="s">
        <v>1703</v>
      </c>
      <c r="G458" s="40" t="n">
        <v>0</v>
      </c>
      <c r="H458" s="122" t="s">
        <v>1705</v>
      </c>
      <c r="I458" s="41" t="n">
        <v>1269598</v>
      </c>
      <c r="J458" s="41" t="n">
        <v>1269598</v>
      </c>
      <c r="K458" s="41" t="n">
        <v>63480</v>
      </c>
      <c r="L458" s="41" t="n">
        <v>0</v>
      </c>
      <c r="M458" s="41" t="n">
        <v>0</v>
      </c>
      <c r="N458" s="41" t="n">
        <v>0</v>
      </c>
      <c r="O458" s="41" t="n">
        <v>0</v>
      </c>
      <c r="P458" s="42" t="n">
        <v>1206118</v>
      </c>
    </row>
    <row r="459" spans="1:16">
      <c r="A459" s="37" t="n">
        <v>468</v>
      </c>
      <c r="B459" s="38" t="s">
        <v>1706</v>
      </c>
      <c r="C459" s="39" t="s">
        <v>58</v>
      </c>
      <c r="D459" s="39" t="s">
        <v>20</v>
      </c>
      <c r="E459" s="39" t="s">
        <v>21</v>
      </c>
      <c r="F459" s="38" t="s">
        <v>1707</v>
      </c>
      <c r="G459" s="40" t="n">
        <v>0</v>
      </c>
      <c r="H459" s="122" t="s">
        <v>1709</v>
      </c>
      <c r="I459" s="41" t="n">
        <v>1269598</v>
      </c>
      <c r="J459" s="41" t="n">
        <v>1269598</v>
      </c>
      <c r="K459" s="41" t="n">
        <v>63480</v>
      </c>
      <c r="L459" s="41" t="n">
        <v>0</v>
      </c>
      <c r="M459" s="41" t="n">
        <v>0</v>
      </c>
      <c r="N459" s="41" t="n">
        <v>0</v>
      </c>
      <c r="O459" s="41" t="n">
        <v>0</v>
      </c>
      <c r="P459" s="42" t="n">
        <v>1206118</v>
      </c>
    </row>
    <row r="460" spans="1:16">
      <c r="A460" s="37" t="n">
        <v>469</v>
      </c>
      <c r="B460" s="38" t="s">
        <v>1710</v>
      </c>
      <c r="C460" s="39" t="s">
        <v>58</v>
      </c>
      <c r="D460" s="39" t="s">
        <v>20</v>
      </c>
      <c r="E460" s="39" t="s">
        <v>21</v>
      </c>
      <c r="F460" s="38" t="s">
        <v>1711</v>
      </c>
      <c r="G460" s="40" t="n">
        <v>0</v>
      </c>
      <c r="H460" s="122" t="s">
        <v>1713</v>
      </c>
      <c r="I460" s="41" t="n">
        <v>1269598</v>
      </c>
      <c r="J460" s="41" t="n">
        <v>1269598</v>
      </c>
      <c r="K460" s="41" t="n">
        <v>63480</v>
      </c>
      <c r="L460" s="41" t="n">
        <v>0</v>
      </c>
      <c r="M460" s="41" t="n">
        <v>0</v>
      </c>
      <c r="N460" s="41" t="n">
        <v>0</v>
      </c>
      <c r="O460" s="41" t="n">
        <v>0</v>
      </c>
      <c r="P460" s="42" t="n">
        <v>1206118</v>
      </c>
    </row>
    <row r="461" spans="1:16">
      <c r="A461" s="37" t="n">
        <v>470</v>
      </c>
      <c r="B461" s="38" t="s">
        <v>1714</v>
      </c>
      <c r="C461" s="39" t="s">
        <v>58</v>
      </c>
      <c r="D461" s="39" t="s">
        <v>20</v>
      </c>
      <c r="E461" s="39" t="s">
        <v>21</v>
      </c>
      <c r="F461" s="38" t="s">
        <v>1715</v>
      </c>
      <c r="G461" s="40" t="n">
        <v>0</v>
      </c>
      <c r="H461" s="122" t="s">
        <v>1717</v>
      </c>
      <c r="I461" s="41" t="n">
        <v>1269598</v>
      </c>
      <c r="J461" s="41" t="n">
        <v>1269598</v>
      </c>
      <c r="K461" s="41" t="n">
        <v>63480</v>
      </c>
      <c r="L461" s="41" t="n">
        <v>0</v>
      </c>
      <c r="M461" s="41" t="n">
        <v>0</v>
      </c>
      <c r="N461" s="41" t="n">
        <v>0</v>
      </c>
      <c r="O461" s="41" t="n">
        <v>0</v>
      </c>
      <c r="P461" s="42" t="n">
        <v>1206118</v>
      </c>
    </row>
    <row r="462" spans="1:16">
      <c r="A462" s="37" t="n">
        <v>471</v>
      </c>
      <c r="B462" s="38" t="s">
        <v>1718</v>
      </c>
      <c r="C462" s="39" t="s">
        <v>58</v>
      </c>
      <c r="D462" s="39" t="s">
        <v>20</v>
      </c>
      <c r="E462" s="39" t="s">
        <v>21</v>
      </c>
      <c r="F462" s="38" t="s">
        <v>1719</v>
      </c>
      <c r="G462" s="122" t="s">
        <v>1342</v>
      </c>
      <c r="H462" s="122" t="s">
        <v>1720</v>
      </c>
      <c r="I462" s="41" t="n">
        <v>1269598</v>
      </c>
      <c r="J462" s="41" t="n">
        <v>1269598</v>
      </c>
      <c r="K462" s="41" t="n">
        <v>63480</v>
      </c>
      <c r="L462" s="41" t="n">
        <v>0</v>
      </c>
      <c r="M462" s="41" t="n">
        <v>0</v>
      </c>
      <c r="N462" s="41" t="n">
        <v>0</v>
      </c>
      <c r="O462" s="41" t="n">
        <v>0</v>
      </c>
      <c r="P462" s="42" t="n">
        <v>1206118</v>
      </c>
    </row>
    <row r="463" spans="1:16">
      <c r="A463" s="37" t="n">
        <v>472</v>
      </c>
      <c r="B463" s="38" t="s">
        <v>1721</v>
      </c>
      <c r="C463" s="39" t="s">
        <v>58</v>
      </c>
      <c r="D463" s="39" t="s">
        <v>20</v>
      </c>
      <c r="E463" s="39" t="s">
        <v>21</v>
      </c>
      <c r="F463" s="38" t="s">
        <v>1722</v>
      </c>
      <c r="G463" s="122" t="s">
        <v>1342</v>
      </c>
      <c r="H463" s="122" t="s">
        <v>1723</v>
      </c>
      <c r="I463" s="41" t="n">
        <v>1269598</v>
      </c>
      <c r="J463" s="41" t="n">
        <v>1269598</v>
      </c>
      <c r="K463" s="41" t="n">
        <v>63480</v>
      </c>
      <c r="L463" s="41" t="n">
        <v>0</v>
      </c>
      <c r="M463" s="41" t="n">
        <v>0</v>
      </c>
      <c r="N463" s="41" t="n">
        <v>0</v>
      </c>
      <c r="O463" s="41" t="n">
        <v>0</v>
      </c>
      <c r="P463" s="42" t="n">
        <v>1206118</v>
      </c>
    </row>
    <row r="464" spans="1:16">
      <c r="A464" s="37" t="n">
        <v>473</v>
      </c>
      <c r="B464" s="38" t="s">
        <v>1724</v>
      </c>
      <c r="C464" s="39" t="s">
        <v>95</v>
      </c>
      <c r="D464" s="39" t="s">
        <v>137</v>
      </c>
      <c r="E464" s="39" t="s">
        <v>14</v>
      </c>
      <c r="F464" s="38" t="n">
        <v>0</v>
      </c>
      <c r="G464" s="122" t="s">
        <v>1347</v>
      </c>
      <c r="H464" s="122" t="s">
        <v>1725</v>
      </c>
      <c r="I464" s="41" t="n">
        <v>955056</v>
      </c>
      <c r="J464" s="41" t="n">
        <v>955056</v>
      </c>
      <c r="K464" s="41" t="n">
        <v>0</v>
      </c>
      <c r="L464" s="41" t="n">
        <v>0</v>
      </c>
      <c r="M464" s="41" t="n">
        <v>0</v>
      </c>
      <c r="N464" s="41" t="n">
        <v>0</v>
      </c>
      <c r="O464" s="41" t="n">
        <v>0</v>
      </c>
      <c r="P464" s="42" t="n">
        <v>955056</v>
      </c>
    </row>
    <row r="465" spans="1:16">
      <c r="A465" s="37" t="n">
        <v>474</v>
      </c>
      <c r="B465" s="38" t="s">
        <v>1726</v>
      </c>
      <c r="C465" s="39" t="s">
        <v>95</v>
      </c>
      <c r="D465" s="39" t="s">
        <v>137</v>
      </c>
      <c r="E465" s="39" t="s">
        <v>14</v>
      </c>
      <c r="F465" s="38" t="n">
        <v>0</v>
      </c>
      <c r="G465" s="122" t="s">
        <v>1350</v>
      </c>
      <c r="H465" s="122" t="s">
        <v>1727</v>
      </c>
      <c r="I465" s="41" t="n">
        <v>955056</v>
      </c>
      <c r="J465" s="41" t="n">
        <v>955056</v>
      </c>
      <c r="K465" s="41" t="n">
        <v>0</v>
      </c>
      <c r="L465" s="41" t="n">
        <v>0</v>
      </c>
      <c r="M465" s="41" t="n">
        <v>0</v>
      </c>
      <c r="N465" s="41" t="n">
        <v>0</v>
      </c>
      <c r="O465" s="41" t="n">
        <v>0</v>
      </c>
      <c r="P465" s="42" t="n">
        <v>955056</v>
      </c>
    </row>
    <row r="466" spans="1:16">
      <c r="A466" s="37" t="n">
        <v>475</v>
      </c>
      <c r="B466" s="38" t="s">
        <v>1728</v>
      </c>
      <c r="C466" s="39" t="s">
        <v>120</v>
      </c>
      <c r="D466" s="39" t="s">
        <v>128</v>
      </c>
      <c r="E466" s="39" t="s">
        <v>15</v>
      </c>
      <c r="F466" s="38" t="n">
        <v>0</v>
      </c>
      <c r="G466" s="122" t="s">
        <v>1352</v>
      </c>
      <c r="H466" s="122" t="s">
        <v>1729</v>
      </c>
      <c r="I466" s="41" t="n">
        <v>956428</v>
      </c>
      <c r="J466" s="41" t="n">
        <v>956428</v>
      </c>
      <c r="K466" s="41" t="n">
        <v>0</v>
      </c>
      <c r="L466" s="41" t="n">
        <v>0</v>
      </c>
      <c r="M466" s="41" t="n">
        <v>0</v>
      </c>
      <c r="N466" s="41" t="n">
        <v>0</v>
      </c>
      <c r="O466" s="41" t="n">
        <v>0</v>
      </c>
      <c r="P466" s="42" t="n">
        <v>956428</v>
      </c>
    </row>
    <row r="467" spans="1:16">
      <c r="A467" s="37" t="n">
        <v>476</v>
      </c>
      <c r="B467" s="38" t="s">
        <v>605</v>
      </c>
      <c r="C467" s="39" t="s">
        <v>95</v>
      </c>
      <c r="D467" s="39" t="s">
        <v>124</v>
      </c>
      <c r="E467" s="39" t="s">
        <v>15</v>
      </c>
      <c r="F467" s="38" t="n">
        <v>0</v>
      </c>
      <c r="G467" s="122" t="s">
        <v>1355</v>
      </c>
      <c r="H467" s="122" t="s">
        <v>606</v>
      </c>
      <c r="I467" s="41" t="n">
        <v>403906</v>
      </c>
      <c r="J467" s="41" t="n">
        <v>403906</v>
      </c>
      <c r="K467" s="41" t="n">
        <v>0</v>
      </c>
      <c r="L467" s="41" t="n">
        <v>0</v>
      </c>
      <c r="M467" s="41" t="n">
        <v>0</v>
      </c>
      <c r="N467" s="41" t="n">
        <v>0</v>
      </c>
      <c r="O467" s="41" t="n">
        <v>0</v>
      </c>
      <c r="P467" s="42" t="n">
        <v>403906</v>
      </c>
    </row>
    <row r="468" spans="1:16">
      <c r="A468" s="37" t="n">
        <v>477</v>
      </c>
      <c r="B468" s="38" t="s">
        <v>607</v>
      </c>
      <c r="C468" s="39" t="s">
        <v>95</v>
      </c>
      <c r="D468" s="39" t="s">
        <v>137</v>
      </c>
      <c r="E468" s="39" t="s">
        <v>14</v>
      </c>
      <c r="F468" s="38" t="n">
        <v>0</v>
      </c>
      <c r="G468" s="122" t="s">
        <v>1358</v>
      </c>
      <c r="H468" s="122" t="s">
        <v>608</v>
      </c>
      <c r="I468" s="41" t="n">
        <v>9387</v>
      </c>
      <c r="J468" s="41" t="n">
        <v>9387</v>
      </c>
      <c r="K468" s="41" t="n">
        <v>0</v>
      </c>
      <c r="L468" s="41" t="n">
        <v>0</v>
      </c>
      <c r="M468" s="41" t="n">
        <v>0</v>
      </c>
      <c r="N468" s="41" t="n">
        <v>0</v>
      </c>
      <c r="O468" s="41" t="n">
        <v>0</v>
      </c>
      <c r="P468" s="42" t="n">
        <v>9387</v>
      </c>
    </row>
    <row r="469" spans="1:16">
      <c r="A469" s="37" t="n">
        <v>478</v>
      </c>
      <c r="B469" s="38" t="s">
        <v>609</v>
      </c>
      <c r="C469" s="39" t="s">
        <v>95</v>
      </c>
      <c r="D469" s="39" t="s">
        <v>128</v>
      </c>
      <c r="E469" s="39" t="s">
        <v>15</v>
      </c>
      <c r="F469" s="38" t="n">
        <v>0</v>
      </c>
      <c r="G469" s="40" t="n">
        <v>0</v>
      </c>
      <c r="H469" s="122" t="s">
        <v>610</v>
      </c>
      <c r="I469" s="41" t="n">
        <v>320028</v>
      </c>
      <c r="J469" s="41" t="n">
        <v>320028</v>
      </c>
      <c r="K469" s="41" t="n">
        <v>0</v>
      </c>
      <c r="L469" s="41" t="n">
        <v>0</v>
      </c>
      <c r="M469" s="41" t="n">
        <v>0</v>
      </c>
      <c r="N469" s="41" t="n">
        <v>0</v>
      </c>
      <c r="O469" s="41" t="n">
        <v>0</v>
      </c>
      <c r="P469" s="42" t="n">
        <v>320028</v>
      </c>
    </row>
    <row r="470" spans="1:16">
      <c r="A470" s="37" t="n">
        <v>479</v>
      </c>
      <c r="B470" s="38" t="s">
        <v>468</v>
      </c>
      <c r="C470" s="39" t="s">
        <v>58</v>
      </c>
      <c r="D470" s="39" t="s">
        <v>20</v>
      </c>
      <c r="E470" s="39" t="s">
        <v>21</v>
      </c>
      <c r="F470" s="38" t="s">
        <v>469</v>
      </c>
      <c r="G470" s="40" t="n">
        <v>0</v>
      </c>
      <c r="H470" s="122" t="s">
        <v>470</v>
      </c>
      <c r="I470" s="41" t="n">
        <v>109545</v>
      </c>
      <c r="J470" s="41" t="n">
        <v>109545</v>
      </c>
      <c r="K470" s="41" t="n">
        <v>5477</v>
      </c>
      <c r="L470" s="41" t="n">
        <v>0</v>
      </c>
      <c r="M470" s="41" t="n">
        <v>0</v>
      </c>
      <c r="N470" s="41" t="n">
        <v>0</v>
      </c>
      <c r="O470" s="41" t="n">
        <v>0</v>
      </c>
      <c r="P470" s="42" t="n">
        <v>104068</v>
      </c>
    </row>
    <row r="471" spans="1:16">
      <c r="A471" s="37" t="n">
        <v>480</v>
      </c>
      <c r="B471" s="38" t="s">
        <v>1594</v>
      </c>
      <c r="C471" s="39" t="s">
        <v>58</v>
      </c>
      <c r="D471" s="39" t="s">
        <v>20</v>
      </c>
      <c r="E471" s="39" t="s">
        <v>21</v>
      </c>
      <c r="F471" s="38" t="s">
        <v>1595</v>
      </c>
      <c r="G471" s="40" t="n">
        <v>0</v>
      </c>
      <c r="H471" s="122" t="s">
        <v>1596</v>
      </c>
      <c r="I471" s="41" t="n">
        <v>10019</v>
      </c>
      <c r="J471" s="41" t="n">
        <v>10019</v>
      </c>
      <c r="K471" s="41" t="n">
        <v>501</v>
      </c>
      <c r="L471" s="41" t="n">
        <v>0</v>
      </c>
      <c r="M471" s="41" t="n">
        <v>0</v>
      </c>
      <c r="N471" s="41" t="n">
        <v>0</v>
      </c>
      <c r="O471" s="41" t="n">
        <v>0</v>
      </c>
      <c r="P471" s="42" t="n">
        <v>9518</v>
      </c>
    </row>
    <row r="472" spans="1:16">
      <c r="A472" s="37" t="n">
        <v>481</v>
      </c>
      <c r="B472" s="38" t="s">
        <v>614</v>
      </c>
      <c r="C472" s="39" t="s">
        <v>58</v>
      </c>
      <c r="D472" s="39" t="s">
        <v>20</v>
      </c>
      <c r="E472" s="39" t="s">
        <v>21</v>
      </c>
      <c r="F472" s="38" t="s">
        <v>615</v>
      </c>
      <c r="G472" s="40" t="n">
        <v>0</v>
      </c>
      <c r="H472" s="122" t="s">
        <v>616</v>
      </c>
      <c r="I472" s="41" t="n">
        <v>11848</v>
      </c>
      <c r="J472" s="41" t="n">
        <v>11848</v>
      </c>
      <c r="K472" s="41" t="n">
        <v>592</v>
      </c>
      <c r="L472" s="41" t="n">
        <v>0</v>
      </c>
      <c r="M472" s="41" t="n">
        <v>0</v>
      </c>
      <c r="N472" s="41" t="n">
        <v>0</v>
      </c>
      <c r="O472" s="41" t="n">
        <v>0</v>
      </c>
      <c r="P472" s="42" t="n">
        <v>11256</v>
      </c>
    </row>
    <row r="473" spans="1:16">
      <c r="A473" s="37" t="n">
        <v>482</v>
      </c>
      <c r="B473" s="38" t="s">
        <v>1597</v>
      </c>
      <c r="C473" s="39" t="s">
        <v>111</v>
      </c>
      <c r="D473" s="39" t="s">
        <v>20</v>
      </c>
      <c r="E473" s="39" t="s">
        <v>21</v>
      </c>
      <c r="F473" s="38" t="s">
        <v>1598</v>
      </c>
      <c r="G473" s="40" t="n">
        <v>0</v>
      </c>
      <c r="H473" s="122" t="s">
        <v>1599</v>
      </c>
      <c r="I473" s="41" t="n">
        <v>10019</v>
      </c>
      <c r="J473" s="41" t="n">
        <v>10019</v>
      </c>
      <c r="K473" s="41" t="n">
        <v>0</v>
      </c>
      <c r="L473" s="41" t="n">
        <v>0</v>
      </c>
      <c r="M473" s="41" t="n">
        <v>0</v>
      </c>
      <c r="N473" s="41" t="n">
        <v>0</v>
      </c>
      <c r="O473" s="41" t="n">
        <v>0</v>
      </c>
      <c r="P473" s="42" t="n">
        <v>10019</v>
      </c>
    </row>
    <row r="474" spans="1:16">
      <c r="A474" s="37" t="n">
        <v>483</v>
      </c>
      <c r="B474" s="38" t="s">
        <v>1600</v>
      </c>
      <c r="C474" s="39" t="s">
        <v>111</v>
      </c>
      <c r="D474" s="39" t="s">
        <v>20</v>
      </c>
      <c r="E474" s="39" t="s">
        <v>21</v>
      </c>
      <c r="F474" s="38" t="s">
        <v>1601</v>
      </c>
      <c r="G474" s="40" t="n">
        <v>0</v>
      </c>
      <c r="H474" s="122" t="s">
        <v>1602</v>
      </c>
      <c r="I474" s="41" t="n">
        <v>8599</v>
      </c>
      <c r="J474" s="41" t="n">
        <v>8599</v>
      </c>
      <c r="K474" s="41" t="n">
        <v>0</v>
      </c>
      <c r="L474" s="41" t="n">
        <v>0</v>
      </c>
      <c r="M474" s="41" t="n">
        <v>0</v>
      </c>
      <c r="N474" s="41" t="n">
        <v>0</v>
      </c>
      <c r="O474" s="41" t="n">
        <v>0</v>
      </c>
      <c r="P474" s="42" t="n">
        <v>8599</v>
      </c>
    </row>
    <row r="475" spans="1:16">
      <c r="A475" s="37" t="n">
        <v>484</v>
      </c>
      <c r="B475" s="38" t="s">
        <v>1603</v>
      </c>
      <c r="C475" s="39" t="s">
        <v>111</v>
      </c>
      <c r="D475" s="39" t="s">
        <v>20</v>
      </c>
      <c r="E475" s="39" t="s">
        <v>21</v>
      </c>
      <c r="F475" s="38" t="s">
        <v>1604</v>
      </c>
      <c r="G475" s="122" t="s">
        <v>1377</v>
      </c>
      <c r="H475" s="122" t="s">
        <v>1605</v>
      </c>
      <c r="I475" s="41" t="n">
        <v>9513</v>
      </c>
      <c r="J475" s="41" t="n">
        <v>9513</v>
      </c>
      <c r="K475" s="41" t="n">
        <v>0</v>
      </c>
      <c r="L475" s="41" t="n">
        <v>0</v>
      </c>
      <c r="M475" s="41" t="n">
        <v>0</v>
      </c>
      <c r="N475" s="41" t="n">
        <v>0</v>
      </c>
      <c r="O475" s="41" t="n">
        <v>0</v>
      </c>
      <c r="P475" s="42" t="n">
        <v>9513</v>
      </c>
    </row>
    <row r="476" spans="1:16">
      <c r="A476" s="37" t="n">
        <v>485</v>
      </c>
      <c r="B476" s="38" t="s">
        <v>1606</v>
      </c>
      <c r="C476" s="39" t="s">
        <v>120</v>
      </c>
      <c r="D476" s="39" t="s">
        <v>128</v>
      </c>
      <c r="E476" s="39" t="s">
        <v>15</v>
      </c>
      <c r="F476" s="38" t="n">
        <v>0</v>
      </c>
      <c r="G476" s="40" t="n">
        <v>0</v>
      </c>
      <c r="H476" s="122" t="s">
        <v>1607</v>
      </c>
      <c r="I476" s="41" t="n">
        <v>9513</v>
      </c>
      <c r="J476" s="41" t="n">
        <v>9513</v>
      </c>
      <c r="K476" s="41" t="n">
        <v>0</v>
      </c>
      <c r="L476" s="41" t="n">
        <v>0</v>
      </c>
      <c r="M476" s="41" t="n">
        <v>0</v>
      </c>
      <c r="N476" s="41" t="n">
        <v>0</v>
      </c>
      <c r="O476" s="41" t="n">
        <v>0</v>
      </c>
      <c r="P476" s="42" t="n">
        <v>9513</v>
      </c>
    </row>
    <row r="477" spans="1:16">
      <c r="A477" s="37" t="n">
        <v>486</v>
      </c>
      <c r="B477" s="38" t="s">
        <v>1608</v>
      </c>
      <c r="C477" s="39" t="s">
        <v>120</v>
      </c>
      <c r="D477" s="39" t="s">
        <v>278</v>
      </c>
      <c r="E477" s="39" t="s">
        <v>16</v>
      </c>
      <c r="F477" s="38" t="n">
        <v>0</v>
      </c>
      <c r="G477" s="122" t="s">
        <v>1384</v>
      </c>
      <c r="H477" s="122" t="s">
        <v>1609</v>
      </c>
      <c r="I477" s="41" t="n">
        <v>8599</v>
      </c>
      <c r="J477" s="41" t="n">
        <v>8599</v>
      </c>
      <c r="K477" s="41" t="n">
        <v>0</v>
      </c>
      <c r="L477" s="41" t="n">
        <v>0</v>
      </c>
      <c r="M477" s="41" t="n">
        <v>0</v>
      </c>
      <c r="N477" s="41" t="n">
        <v>0</v>
      </c>
      <c r="O477" s="41" t="n">
        <v>0</v>
      </c>
      <c r="P477" s="42" t="n">
        <v>8599</v>
      </c>
    </row>
    <row r="478" spans="1:16">
      <c r="A478" s="37" t="n">
        <v>487</v>
      </c>
      <c r="B478" s="38" t="s">
        <v>1610</v>
      </c>
      <c r="C478" s="39" t="s">
        <v>95</v>
      </c>
      <c r="D478" s="39" t="s">
        <v>124</v>
      </c>
      <c r="E478" s="39" t="s">
        <v>15</v>
      </c>
      <c r="F478" s="38" t="n">
        <v>0</v>
      </c>
      <c r="G478" s="122" t="s">
        <v>1387</v>
      </c>
      <c r="H478" s="122" t="s">
        <v>1611</v>
      </c>
      <c r="I478" s="41" t="n">
        <v>9387</v>
      </c>
      <c r="J478" s="41" t="n">
        <v>9387</v>
      </c>
      <c r="K478" s="41" t="n">
        <v>0</v>
      </c>
      <c r="L478" s="41" t="n">
        <v>0</v>
      </c>
      <c r="M478" s="41" t="n">
        <v>0</v>
      </c>
      <c r="N478" s="41" t="n">
        <v>0</v>
      </c>
      <c r="O478" s="41" t="n">
        <v>0</v>
      </c>
      <c r="P478" s="42" t="n">
        <v>9387</v>
      </c>
    </row>
    <row r="479" spans="1:16">
      <c r="A479" s="49" t="n">
        <v>488</v>
      </c>
      <c r="B479" s="50" t="s">
        <v>1612</v>
      </c>
      <c r="C479" s="51" t="s">
        <v>95</v>
      </c>
      <c r="D479" s="51" t="s">
        <v>278</v>
      </c>
      <c r="E479" s="51" t="s">
        <v>16</v>
      </c>
      <c r="F479" s="50" t="n">
        <v>0</v>
      </c>
      <c r="G479" s="123" t="s">
        <v>1390</v>
      </c>
      <c r="H479" s="123" t="s">
        <v>1613</v>
      </c>
      <c r="I479" s="52" t="n">
        <v>9387</v>
      </c>
      <c r="J479" s="52" t="n">
        <v>9387</v>
      </c>
      <c r="K479" s="52" t="n">
        <v>0</v>
      </c>
      <c r="L479" s="52" t="n">
        <v>0</v>
      </c>
      <c r="M479" s="52" t="n">
        <v>0</v>
      </c>
      <c r="N479" s="52" t="n">
        <v>0</v>
      </c>
      <c r="O479" s="52" t="n">
        <v>0</v>
      </c>
      <c r="P479" s="53" t="n">
        <v>9387</v>
      </c>
    </row>
    <row r="480" spans="1:16">
      <c r="A480" s="37" t="n">
        <v>489</v>
      </c>
      <c r="B480" s="38" t="s">
        <v>1614</v>
      </c>
      <c r="C480" s="39" t="s">
        <v>95</v>
      </c>
      <c r="D480" s="39" t="s">
        <v>278</v>
      </c>
      <c r="E480" s="39" t="s">
        <v>16</v>
      </c>
      <c r="F480" s="38" t="n">
        <v>0</v>
      </c>
      <c r="G480" s="122" t="s">
        <v>1390</v>
      </c>
      <c r="H480" s="122" t="s">
        <v>1615</v>
      </c>
      <c r="I480" s="41" t="n">
        <v>9387</v>
      </c>
      <c r="J480" s="41" t="n">
        <v>9387</v>
      </c>
      <c r="K480" s="41" t="n">
        <v>0</v>
      </c>
      <c r="L480" s="41" t="n">
        <v>0</v>
      </c>
      <c r="M480" s="41" t="n">
        <v>0</v>
      </c>
      <c r="N480" s="41" t="n">
        <v>0</v>
      </c>
      <c r="O480" s="41" t="n">
        <v>0</v>
      </c>
      <c r="P480" s="42" t="n">
        <v>9387</v>
      </c>
    </row>
    <row r="481" spans="1:16">
      <c r="A481" s="37" t="n">
        <v>490</v>
      </c>
      <c r="B481" s="38" t="s">
        <v>1616</v>
      </c>
      <c r="C481" s="39" t="s">
        <v>95</v>
      </c>
      <c r="D481" s="39" t="s">
        <v>124</v>
      </c>
      <c r="E481" s="39" t="s">
        <v>15</v>
      </c>
      <c r="F481" s="38" t="n">
        <v>0</v>
      </c>
      <c r="G481" s="122" t="s">
        <v>1397</v>
      </c>
      <c r="H481" s="122" t="s">
        <v>1617</v>
      </c>
      <c r="I481" s="41" t="n">
        <v>9387</v>
      </c>
      <c r="J481" s="41" t="n">
        <v>9387</v>
      </c>
      <c r="K481" s="41" t="n">
        <v>0</v>
      </c>
      <c r="L481" s="41" t="n">
        <v>0</v>
      </c>
      <c r="M481" s="41" t="n">
        <v>0</v>
      </c>
      <c r="N481" s="41" t="n">
        <v>0</v>
      </c>
      <c r="O481" s="41" t="n">
        <v>0</v>
      </c>
      <c r="P481" s="42" t="n">
        <v>9387</v>
      </c>
    </row>
    <row r="482" spans="1:16">
      <c r="A482" s="37" t="n">
        <v>491</v>
      </c>
      <c r="B482" s="38" t="s">
        <v>1618</v>
      </c>
      <c r="C482" s="39" t="s">
        <v>111</v>
      </c>
      <c r="D482" s="39" t="s">
        <v>20</v>
      </c>
      <c r="E482" s="39" t="s">
        <v>21</v>
      </c>
      <c r="F482" s="38" t="s">
        <v>1619</v>
      </c>
      <c r="G482" s="122" t="s">
        <v>1401</v>
      </c>
      <c r="H482" s="122" t="s">
        <v>1620</v>
      </c>
      <c r="I482" s="41" t="n">
        <v>9387</v>
      </c>
      <c r="J482" s="41" t="n">
        <v>9387</v>
      </c>
      <c r="K482" s="41" t="n">
        <v>0</v>
      </c>
      <c r="L482" s="41" t="n">
        <v>0</v>
      </c>
      <c r="M482" s="41" t="n">
        <v>0</v>
      </c>
      <c r="N482" s="41" t="n">
        <v>0</v>
      </c>
      <c r="O482" s="41" t="n">
        <v>0</v>
      </c>
      <c r="P482" s="42" t="n">
        <v>9387</v>
      </c>
    </row>
    <row r="483" spans="1:16">
      <c r="A483" s="37" t="n">
        <v>492</v>
      </c>
      <c r="B483" s="38" t="s">
        <v>1621</v>
      </c>
      <c r="C483" s="39" t="s">
        <v>95</v>
      </c>
      <c r="D483" s="39" t="s">
        <v>128</v>
      </c>
      <c r="E483" s="39" t="s">
        <v>15</v>
      </c>
      <c r="F483" s="38" t="n">
        <v>0</v>
      </c>
      <c r="G483" s="40" t="n">
        <v>0</v>
      </c>
      <c r="H483" s="122" t="s">
        <v>1622</v>
      </c>
      <c r="I483" s="41" t="n">
        <v>9387</v>
      </c>
      <c r="J483" s="41" t="n">
        <v>9387</v>
      </c>
      <c r="K483" s="41" t="n">
        <v>0</v>
      </c>
      <c r="L483" s="41" t="n">
        <v>0</v>
      </c>
      <c r="M483" s="41" t="n">
        <v>0</v>
      </c>
      <c r="N483" s="41" t="n">
        <v>0</v>
      </c>
      <c r="O483" s="41" t="n">
        <v>0</v>
      </c>
      <c r="P483" s="42" t="n">
        <v>9387</v>
      </c>
    </row>
    <row r="484" spans="1:16">
      <c r="A484" s="37" t="n">
        <v>493</v>
      </c>
      <c r="B484" s="38" t="s">
        <v>1623</v>
      </c>
      <c r="C484" s="39" t="s">
        <v>111</v>
      </c>
      <c r="D484" s="39" t="s">
        <v>20</v>
      </c>
      <c r="E484" s="39" t="s">
        <v>21</v>
      </c>
      <c r="F484" s="38" t="s">
        <v>1624</v>
      </c>
      <c r="G484" s="122" t="s">
        <v>1407</v>
      </c>
      <c r="H484" s="122" t="s">
        <v>1626</v>
      </c>
      <c r="I484" s="41" t="n">
        <v>9387</v>
      </c>
      <c r="J484" s="41" t="n">
        <v>9387</v>
      </c>
      <c r="K484" s="41" t="n">
        <v>0</v>
      </c>
      <c r="L484" s="41" t="n">
        <v>0</v>
      </c>
      <c r="M484" s="41" t="n">
        <v>0</v>
      </c>
      <c r="N484" s="41" t="n">
        <v>0</v>
      </c>
      <c r="O484" s="41" t="n">
        <v>0</v>
      </c>
      <c r="P484" s="42" t="n">
        <v>9387</v>
      </c>
    </row>
    <row r="485" spans="1:16">
      <c r="A485" s="37" t="n">
        <v>494</v>
      </c>
      <c r="B485" s="38" t="s">
        <v>1514</v>
      </c>
      <c r="C485" s="39" t="s">
        <v>58</v>
      </c>
      <c r="D485" s="39" t="s">
        <v>20</v>
      </c>
      <c r="E485" s="39" t="s">
        <v>21</v>
      </c>
      <c r="F485" s="38" t="s">
        <v>1515</v>
      </c>
      <c r="G485" s="122" t="s">
        <v>1410</v>
      </c>
      <c r="H485" s="122" t="s">
        <v>1516</v>
      </c>
      <c r="I485" s="41" t="n">
        <v>104895</v>
      </c>
      <c r="J485" s="41" t="n">
        <v>104895</v>
      </c>
      <c r="K485" s="41" t="n">
        <v>5245</v>
      </c>
      <c r="L485" s="41" t="n">
        <v>0</v>
      </c>
      <c r="M485" s="41" t="n">
        <v>0</v>
      </c>
      <c r="N485" s="41" t="n">
        <v>0</v>
      </c>
      <c r="O485" s="41" t="n">
        <v>0</v>
      </c>
      <c r="P485" s="42" t="n">
        <v>99650</v>
      </c>
    </row>
    <row r="486" spans="1:16">
      <c r="A486" s="37" t="n">
        <v>495</v>
      </c>
      <c r="B486" s="38" t="s">
        <v>543</v>
      </c>
      <c r="C486" s="39" t="s">
        <v>58</v>
      </c>
      <c r="D486" s="39" t="s">
        <v>20</v>
      </c>
      <c r="E486" s="39" t="s">
        <v>21</v>
      </c>
      <c r="F486" s="38" t="s">
        <v>544</v>
      </c>
      <c r="G486" s="122" t="s">
        <v>1414</v>
      </c>
      <c r="H486" s="122" t="s">
        <v>545</v>
      </c>
      <c r="I486" s="41" t="n">
        <v>67078</v>
      </c>
      <c r="J486" s="41" t="n">
        <v>67078</v>
      </c>
      <c r="K486" s="41" t="n">
        <v>3354</v>
      </c>
      <c r="L486" s="41" t="n">
        <v>0</v>
      </c>
      <c r="M486" s="41" t="n">
        <v>0</v>
      </c>
      <c r="N486" s="41" t="n">
        <v>0</v>
      </c>
      <c r="O486" s="41" t="n">
        <v>0</v>
      </c>
      <c r="P486" s="42" t="n">
        <v>63724</v>
      </c>
    </row>
    <row r="487" spans="1:16">
      <c r="A487" s="37" t="n">
        <v>496</v>
      </c>
      <c r="B487" s="38" t="s">
        <v>310</v>
      </c>
      <c r="C487" s="39" t="s">
        <v>58</v>
      </c>
      <c r="D487" s="39" t="s">
        <v>137</v>
      </c>
      <c r="E487" s="39" t="s">
        <v>14</v>
      </c>
      <c r="F487" s="38" t="s">
        <v>311</v>
      </c>
      <c r="G487" s="40" t="n">
        <v>0</v>
      </c>
      <c r="H487" s="122" t="s">
        <v>313</v>
      </c>
      <c r="I487" s="41" t="n">
        <v>59682</v>
      </c>
      <c r="J487" s="41" t="n">
        <v>59682</v>
      </c>
      <c r="K487" s="41" t="n">
        <v>2984</v>
      </c>
      <c r="L487" s="41" t="n">
        <v>0</v>
      </c>
      <c r="M487" s="41" t="n">
        <v>0</v>
      </c>
      <c r="N487" s="41" t="n">
        <v>0</v>
      </c>
      <c r="O487" s="41" t="n">
        <v>0</v>
      </c>
      <c r="P487" s="42" t="n">
        <v>56698</v>
      </c>
    </row>
    <row r="488" spans="1:16">
      <c r="A488" s="37" t="n">
        <v>497</v>
      </c>
      <c r="B488" s="38" t="s">
        <v>1511</v>
      </c>
      <c r="C488" s="39" t="s">
        <v>58</v>
      </c>
      <c r="D488" s="39" t="s">
        <v>20</v>
      </c>
      <c r="E488" s="39" t="s">
        <v>21</v>
      </c>
      <c r="F488" s="38" t="s">
        <v>1512</v>
      </c>
      <c r="G488" s="122" t="s">
        <v>1419</v>
      </c>
      <c r="H488" s="122" t="s">
        <v>1513</v>
      </c>
      <c r="I488" s="41" t="n">
        <v>99570</v>
      </c>
      <c r="J488" s="41" t="n">
        <v>99570</v>
      </c>
      <c r="K488" s="41" t="n">
        <v>4979</v>
      </c>
      <c r="L488" s="41" t="n">
        <v>0</v>
      </c>
      <c r="M488" s="41" t="n">
        <v>0</v>
      </c>
      <c r="N488" s="41" t="n">
        <v>0</v>
      </c>
      <c r="O488" s="41" t="n">
        <v>0</v>
      </c>
      <c r="P488" s="42" t="n">
        <v>94591</v>
      </c>
    </row>
    <row r="489" spans="1:16">
      <c r="A489" s="37" t="n">
        <v>498</v>
      </c>
      <c r="B489" s="38" t="s">
        <v>1580</v>
      </c>
      <c r="C489" s="39" t="s">
        <v>131</v>
      </c>
      <c r="D489" s="39" t="s">
        <v>20</v>
      </c>
      <c r="E489" s="39" t="s">
        <v>21</v>
      </c>
      <c r="F489" s="38" t="s">
        <v>1581</v>
      </c>
      <c r="G489" s="122" t="s">
        <v>1422</v>
      </c>
      <c r="H489" s="122" t="s">
        <v>1582</v>
      </c>
      <c r="I489" s="41" t="n">
        <v>77801</v>
      </c>
      <c r="J489" s="41" t="n">
        <v>77801</v>
      </c>
      <c r="K489" s="41" t="n">
        <v>3890</v>
      </c>
      <c r="L489" s="41" t="n">
        <v>0</v>
      </c>
      <c r="M489" s="41" t="n">
        <v>0</v>
      </c>
      <c r="N489" s="41" t="n">
        <v>0</v>
      </c>
      <c r="O489" s="41" t="n">
        <v>0</v>
      </c>
      <c r="P489" s="42" t="n">
        <v>73911</v>
      </c>
    </row>
    <row r="490" spans="1:16">
      <c r="A490" s="37" t="n">
        <v>499</v>
      </c>
      <c r="B490" s="38" t="s">
        <v>531</v>
      </c>
      <c r="C490" s="39" t="s">
        <v>95</v>
      </c>
      <c r="D490" s="39" t="s">
        <v>128</v>
      </c>
      <c r="E490" s="39" t="s">
        <v>15</v>
      </c>
      <c r="F490" s="38" t="n">
        <v>0</v>
      </c>
      <c r="G490" s="122" t="s">
        <v>1425</v>
      </c>
      <c r="H490" s="122" t="s">
        <v>532</v>
      </c>
      <c r="I490" s="41" t="n">
        <v>40646</v>
      </c>
      <c r="J490" s="41" t="n">
        <v>40646</v>
      </c>
      <c r="K490" s="41" t="n">
        <v>0</v>
      </c>
      <c r="L490" s="41" t="n">
        <v>0</v>
      </c>
      <c r="M490" s="41" t="n">
        <v>0</v>
      </c>
      <c r="N490" s="41" t="n">
        <v>0</v>
      </c>
      <c r="O490" s="41" t="n">
        <v>0</v>
      </c>
      <c r="P490" s="42" t="n">
        <v>40646</v>
      </c>
    </row>
    <row r="491" spans="1:16">
      <c r="A491" s="37" t="n">
        <v>500</v>
      </c>
      <c r="B491" s="38" t="s">
        <v>1497</v>
      </c>
      <c r="C491" s="39" t="s">
        <v>58</v>
      </c>
      <c r="D491" s="39" t="s">
        <v>20</v>
      </c>
      <c r="E491" s="39" t="s">
        <v>21</v>
      </c>
      <c r="F491" s="38" t="s">
        <v>1498</v>
      </c>
      <c r="G491" s="122" t="s">
        <v>1428</v>
      </c>
      <c r="H491" s="122" t="s">
        <v>1500</v>
      </c>
      <c r="I491" s="41" t="n">
        <v>140564</v>
      </c>
      <c r="J491" s="41" t="n">
        <v>140564</v>
      </c>
      <c r="K491" s="41" t="n">
        <v>7028</v>
      </c>
      <c r="L491" s="41" t="n">
        <v>0</v>
      </c>
      <c r="M491" s="41" t="n">
        <v>0</v>
      </c>
      <c r="N491" s="41" t="n">
        <v>0</v>
      </c>
      <c r="O491" s="41" t="n">
        <v>0</v>
      </c>
      <c r="P491" s="42" t="n">
        <v>133536</v>
      </c>
    </row>
    <row r="492" spans="1:16">
      <c r="A492" s="37" t="n">
        <v>501</v>
      </c>
      <c r="B492" s="38" t="s">
        <v>1501</v>
      </c>
      <c r="C492" s="39" t="s">
        <v>58</v>
      </c>
      <c r="D492" s="39" t="s">
        <v>20</v>
      </c>
      <c r="E492" s="39" t="s">
        <v>21</v>
      </c>
      <c r="F492" s="38" t="s">
        <v>1502</v>
      </c>
      <c r="G492" s="122" t="s">
        <v>1432</v>
      </c>
      <c r="H492" s="122" t="s">
        <v>1503</v>
      </c>
      <c r="I492" s="41" t="n">
        <v>11659</v>
      </c>
      <c r="J492" s="41" t="n">
        <v>11659</v>
      </c>
      <c r="K492" s="41" t="n">
        <v>583</v>
      </c>
      <c r="L492" s="41" t="n">
        <v>0</v>
      </c>
      <c r="M492" s="41" t="n">
        <v>0</v>
      </c>
      <c r="N492" s="41" t="n">
        <v>0</v>
      </c>
      <c r="O492" s="41" t="n">
        <v>0</v>
      </c>
      <c r="P492" s="42" t="n">
        <v>11076</v>
      </c>
    </row>
    <row r="493" spans="1:16">
      <c r="A493" s="37" t="n">
        <v>502</v>
      </c>
      <c r="B493" s="38" t="s">
        <v>1524</v>
      </c>
      <c r="C493" s="39" t="s">
        <v>19</v>
      </c>
      <c r="D493" s="39" t="s">
        <v>20</v>
      </c>
      <c r="E493" s="39" t="s">
        <v>21</v>
      </c>
      <c r="F493" s="38" t="s">
        <v>1525</v>
      </c>
      <c r="G493" s="122" t="s">
        <v>1435</v>
      </c>
      <c r="H493" s="122" t="s">
        <v>1526</v>
      </c>
      <c r="I493" s="41" t="n">
        <v>20718</v>
      </c>
      <c r="J493" s="41" t="n">
        <v>20718</v>
      </c>
      <c r="K493" s="41" t="n">
        <v>0</v>
      </c>
      <c r="L493" s="41" t="n">
        <v>3108</v>
      </c>
      <c r="M493" s="41" t="n">
        <v>0</v>
      </c>
      <c r="N493" s="41" t="n">
        <v>0</v>
      </c>
      <c r="O493" s="41" t="n">
        <v>0</v>
      </c>
      <c r="P493" s="42" t="n">
        <v>17610</v>
      </c>
    </row>
    <row r="494" spans="1:16">
      <c r="A494" s="37" t="n">
        <v>503</v>
      </c>
      <c r="B494" s="38" t="s">
        <v>1527</v>
      </c>
      <c r="C494" s="39" t="s">
        <v>283</v>
      </c>
      <c r="D494" s="39" t="s">
        <v>20</v>
      </c>
      <c r="E494" s="39" t="s">
        <v>21</v>
      </c>
      <c r="F494" s="38" t="n">
        <v>0</v>
      </c>
      <c r="G494" s="40" t="n">
        <v>0</v>
      </c>
      <c r="H494" s="122" t="s">
        <v>1528</v>
      </c>
      <c r="I494" s="41" t="n">
        <v>246786</v>
      </c>
      <c r="J494" s="41" t="n">
        <v>246786</v>
      </c>
      <c r="K494" s="41" t="n">
        <v>0</v>
      </c>
      <c r="L494" s="41" t="n">
        <v>0</v>
      </c>
      <c r="M494" s="41" t="n">
        <v>0</v>
      </c>
      <c r="N494" s="41" t="n">
        <v>0</v>
      </c>
      <c r="O494" s="41" t="n">
        <v>0</v>
      </c>
      <c r="P494" s="42" t="n">
        <v>246786</v>
      </c>
    </row>
    <row r="495" spans="1:16">
      <c r="A495" s="37" t="n">
        <v>504</v>
      </c>
      <c r="B495" s="38" t="s">
        <v>1570</v>
      </c>
      <c r="C495" s="39" t="s">
        <v>58</v>
      </c>
      <c r="D495" s="39" t="s">
        <v>20</v>
      </c>
      <c r="E495" s="39" t="s">
        <v>21</v>
      </c>
      <c r="F495" s="38" t="s">
        <v>1571</v>
      </c>
      <c r="G495" s="40" t="n">
        <v>0</v>
      </c>
      <c r="H495" s="122" t="s">
        <v>1573</v>
      </c>
      <c r="I495" s="41" t="n">
        <v>422918</v>
      </c>
      <c r="J495" s="41" t="n">
        <v>422918</v>
      </c>
      <c r="K495" s="41" t="n">
        <v>21146</v>
      </c>
      <c r="L495" s="41" t="n">
        <v>0</v>
      </c>
      <c r="M495" s="41" t="n">
        <v>0</v>
      </c>
      <c r="N495" s="41" t="n">
        <v>0</v>
      </c>
      <c r="O495" s="41" t="n">
        <v>0</v>
      </c>
      <c r="P495" s="42" t="n">
        <v>401772</v>
      </c>
    </row>
    <row r="496" spans="1:16">
      <c r="A496" s="37" t="n">
        <v>505</v>
      </c>
      <c r="B496" s="38" t="s">
        <v>1540</v>
      </c>
      <c r="C496" s="39" t="s">
        <v>58</v>
      </c>
      <c r="D496" s="39" t="s">
        <v>20</v>
      </c>
      <c r="E496" s="39" t="s">
        <v>21</v>
      </c>
      <c r="F496" s="38" t="s">
        <v>1541</v>
      </c>
      <c r="G496" s="40" t="n">
        <v>0</v>
      </c>
      <c r="H496" s="122" t="s">
        <v>1543</v>
      </c>
      <c r="I496" s="41" t="n">
        <v>69697</v>
      </c>
      <c r="J496" s="41" t="n">
        <v>69697</v>
      </c>
      <c r="K496" s="41" t="n">
        <v>3485</v>
      </c>
      <c r="L496" s="41" t="n">
        <v>0</v>
      </c>
      <c r="M496" s="41" t="n">
        <v>0</v>
      </c>
      <c r="N496" s="41" t="n">
        <v>0</v>
      </c>
      <c r="O496" s="41" t="n">
        <v>0</v>
      </c>
      <c r="P496" s="42" t="n">
        <v>66212</v>
      </c>
    </row>
    <row r="497" spans="1:16">
      <c r="A497" s="37" t="n">
        <v>506</v>
      </c>
      <c r="B497" s="38" t="s">
        <v>1536</v>
      </c>
      <c r="C497" s="39" t="s">
        <v>58</v>
      </c>
      <c r="D497" s="39" t="s">
        <v>20</v>
      </c>
      <c r="E497" s="39" t="s">
        <v>21</v>
      </c>
      <c r="F497" s="38" t="s">
        <v>1537</v>
      </c>
      <c r="G497" s="40" t="n">
        <v>0</v>
      </c>
      <c r="H497" s="122" t="s">
        <v>1539</v>
      </c>
      <c r="I497" s="41" t="n">
        <v>59745</v>
      </c>
      <c r="J497" s="41" t="n">
        <v>59745</v>
      </c>
      <c r="K497" s="41" t="n">
        <v>2987</v>
      </c>
      <c r="L497" s="41" t="n">
        <v>0</v>
      </c>
      <c r="M497" s="41" t="n">
        <v>0</v>
      </c>
      <c r="N497" s="41" t="n">
        <v>0</v>
      </c>
      <c r="O497" s="41" t="n">
        <v>0</v>
      </c>
      <c r="P497" s="42" t="n">
        <v>56758</v>
      </c>
    </row>
    <row r="498" spans="1:16">
      <c r="A498" s="37" t="n">
        <v>507</v>
      </c>
      <c r="B498" s="38" t="s">
        <v>1544</v>
      </c>
      <c r="C498" s="39" t="s">
        <v>111</v>
      </c>
      <c r="D498" s="39" t="s">
        <v>20</v>
      </c>
      <c r="E498" s="39" t="s">
        <v>21</v>
      </c>
      <c r="F498" s="38" t="s">
        <v>1545</v>
      </c>
      <c r="G498" s="122" t="s">
        <v>1447</v>
      </c>
      <c r="H498" s="122" t="s">
        <v>1547</v>
      </c>
      <c r="I498" s="41" t="n">
        <v>59745</v>
      </c>
      <c r="J498" s="41" t="n">
        <v>59745</v>
      </c>
      <c r="K498" s="41" t="n">
        <v>0</v>
      </c>
      <c r="L498" s="41" t="n">
        <v>0</v>
      </c>
      <c r="M498" s="41" t="n">
        <v>0</v>
      </c>
      <c r="N498" s="41" t="n">
        <v>0</v>
      </c>
      <c r="O498" s="41" t="n">
        <v>0</v>
      </c>
      <c r="P498" s="42" t="n">
        <v>59745</v>
      </c>
    </row>
    <row r="499" spans="1:16">
      <c r="A499" s="37" t="n">
        <v>508</v>
      </c>
      <c r="B499" s="38" t="s">
        <v>1730</v>
      </c>
      <c r="C499" s="39" t="s">
        <v>58</v>
      </c>
      <c r="D499" s="39" t="s">
        <v>20</v>
      </c>
      <c r="E499" s="39" t="s">
        <v>21</v>
      </c>
      <c r="F499" s="38" t="s">
        <v>1731</v>
      </c>
      <c r="G499" s="122" t="s">
        <v>1451</v>
      </c>
      <c r="H499" s="122" t="s">
        <v>1732</v>
      </c>
      <c r="I499" s="41" t="n">
        <v>239752</v>
      </c>
      <c r="J499" s="41" t="n">
        <v>239752</v>
      </c>
      <c r="K499" s="41" t="n">
        <v>11988</v>
      </c>
      <c r="L499" s="41" t="n">
        <v>0</v>
      </c>
      <c r="M499" s="41" t="n">
        <v>0</v>
      </c>
      <c r="N499" s="41" t="n">
        <v>0</v>
      </c>
      <c r="O499" s="41" t="n">
        <v>0</v>
      </c>
      <c r="P499" s="42" t="n">
        <v>227764</v>
      </c>
    </row>
    <row r="500" spans="1:16">
      <c r="A500" s="37" t="n">
        <v>509</v>
      </c>
      <c r="B500" s="38" t="s">
        <v>1733</v>
      </c>
      <c r="C500" s="39" t="s">
        <v>58</v>
      </c>
      <c r="D500" s="39" t="s">
        <v>20</v>
      </c>
      <c r="E500" s="39" t="s">
        <v>21</v>
      </c>
      <c r="F500" s="38" t="s">
        <v>1734</v>
      </c>
      <c r="G500" s="122" t="s">
        <v>1455</v>
      </c>
      <c r="H500" s="122" t="s">
        <v>1735</v>
      </c>
      <c r="I500" s="41" t="n">
        <v>184169</v>
      </c>
      <c r="J500" s="41" t="n">
        <v>184169</v>
      </c>
      <c r="K500" s="41" t="n">
        <v>9208</v>
      </c>
      <c r="L500" s="41" t="n">
        <v>0</v>
      </c>
      <c r="M500" s="41" t="n">
        <v>0</v>
      </c>
      <c r="N500" s="41" t="n">
        <v>0</v>
      </c>
      <c r="O500" s="41" t="n">
        <v>0</v>
      </c>
      <c r="P500" s="42" t="n">
        <v>174961</v>
      </c>
    </row>
    <row r="501" spans="1:16">
      <c r="A501" s="37" t="n">
        <v>510</v>
      </c>
      <c r="B501" s="38" t="s">
        <v>1736</v>
      </c>
      <c r="C501" s="39" t="s">
        <v>283</v>
      </c>
      <c r="D501" s="39" t="s">
        <v>20</v>
      </c>
      <c r="E501" s="39" t="s">
        <v>21</v>
      </c>
      <c r="F501" s="38" t="n">
        <v>0</v>
      </c>
      <c r="G501" s="40" t="n">
        <v>0</v>
      </c>
      <c r="H501" s="122" t="s">
        <v>1737</v>
      </c>
      <c r="I501" s="41" t="n">
        <v>184169</v>
      </c>
      <c r="J501" s="41" t="n">
        <v>184169</v>
      </c>
      <c r="K501" s="41" t="n">
        <v>0</v>
      </c>
      <c r="L501" s="41" t="n">
        <v>0</v>
      </c>
      <c r="M501" s="41" t="n">
        <v>0</v>
      </c>
      <c r="N501" s="41" t="n">
        <v>0</v>
      </c>
      <c r="O501" s="41" t="n">
        <v>0</v>
      </c>
      <c r="P501" s="42" t="n">
        <v>184169</v>
      </c>
    </row>
    <row r="502" spans="1:16">
      <c r="A502" s="37" t="n">
        <v>511</v>
      </c>
      <c r="B502" s="38" t="s">
        <v>2094</v>
      </c>
      <c r="C502" s="39" t="s">
        <v>95</v>
      </c>
      <c r="D502" s="39" t="s">
        <v>121</v>
      </c>
      <c r="E502" s="39" t="s">
        <v>14</v>
      </c>
      <c r="F502" s="38" t="n">
        <v>0</v>
      </c>
      <c r="G502" s="40" t="n">
        <v>0</v>
      </c>
      <c r="H502" s="122" t="s">
        <v>1739</v>
      </c>
      <c r="I502" s="41" t="n">
        <v>161190</v>
      </c>
      <c r="J502" s="41" t="n">
        <v>161190</v>
      </c>
      <c r="K502" s="41" t="n">
        <v>0</v>
      </c>
      <c r="L502" s="41" t="n">
        <v>0</v>
      </c>
      <c r="M502" s="41" t="n">
        <v>0</v>
      </c>
      <c r="N502" s="41" t="n">
        <v>0</v>
      </c>
      <c r="O502" s="41" t="n">
        <v>0</v>
      </c>
      <c r="P502" s="42" t="n">
        <v>161190</v>
      </c>
    </row>
    <row r="503" spans="1:16">
      <c r="A503" s="37" t="n">
        <v>512</v>
      </c>
      <c r="B503" s="38" t="s">
        <v>529</v>
      </c>
      <c r="C503" s="39" t="s">
        <v>120</v>
      </c>
      <c r="D503" s="39" t="s">
        <v>128</v>
      </c>
      <c r="E503" s="39" t="s">
        <v>15</v>
      </c>
      <c r="F503" s="38" t="n">
        <v>0</v>
      </c>
      <c r="G503" s="122" t="s">
        <v>1464</v>
      </c>
      <c r="H503" s="122" t="s">
        <v>530</v>
      </c>
      <c r="I503" s="41" t="n">
        <v>79910</v>
      </c>
      <c r="J503" s="41" t="n">
        <v>79910</v>
      </c>
      <c r="K503" s="41" t="n">
        <v>0</v>
      </c>
      <c r="L503" s="41" t="n">
        <v>0</v>
      </c>
      <c r="M503" s="41" t="n">
        <v>0</v>
      </c>
      <c r="N503" s="41" t="n">
        <v>0</v>
      </c>
      <c r="O503" s="41" t="n">
        <v>0</v>
      </c>
      <c r="P503" s="42" t="n">
        <v>79910</v>
      </c>
    </row>
    <row r="504" spans="1:16">
      <c r="A504" s="37" t="n">
        <v>513</v>
      </c>
      <c r="B504" s="38" t="s">
        <v>1567</v>
      </c>
      <c r="C504" s="39" t="s">
        <v>283</v>
      </c>
      <c r="D504" s="39" t="s">
        <v>20</v>
      </c>
      <c r="E504" s="39" t="s">
        <v>21</v>
      </c>
      <c r="F504" s="38" t="n">
        <v>0</v>
      </c>
      <c r="G504" s="122" t="s">
        <v>1467</v>
      </c>
      <c r="H504" s="122" t="s">
        <v>1569</v>
      </c>
      <c r="I504" s="41" t="n">
        <v>93836</v>
      </c>
      <c r="J504" s="41" t="n">
        <v>93836</v>
      </c>
      <c r="K504" s="41" t="n">
        <v>0</v>
      </c>
      <c r="L504" s="41" t="n">
        <v>0</v>
      </c>
      <c r="M504" s="41" t="n">
        <v>0</v>
      </c>
      <c r="N504" s="41" t="n">
        <v>0</v>
      </c>
      <c r="O504" s="41" t="n">
        <v>0</v>
      </c>
      <c r="P504" s="42" t="n">
        <v>93836</v>
      </c>
    </row>
    <row r="505" spans="1:16">
      <c r="A505" s="37" t="n">
        <v>514</v>
      </c>
      <c r="B505" s="38" t="s">
        <v>539</v>
      </c>
      <c r="C505" s="39" t="s">
        <v>58</v>
      </c>
      <c r="D505" s="39" t="s">
        <v>20</v>
      </c>
      <c r="E505" s="39" t="s">
        <v>21</v>
      </c>
      <c r="F505" s="38" t="s">
        <v>540</v>
      </c>
      <c r="G505" s="122" t="s">
        <v>1470</v>
      </c>
      <c r="H505" s="122" t="s">
        <v>542</v>
      </c>
      <c r="I505" s="41" t="n">
        <v>64286</v>
      </c>
      <c r="J505" s="41" t="n">
        <v>64286</v>
      </c>
      <c r="K505" s="41" t="n">
        <v>3214</v>
      </c>
      <c r="L505" s="41" t="n">
        <v>0</v>
      </c>
      <c r="M505" s="41" t="n">
        <v>0</v>
      </c>
      <c r="N505" s="41" t="n">
        <v>0</v>
      </c>
      <c r="O505" s="41" t="n">
        <v>0</v>
      </c>
      <c r="P505" s="42" t="n">
        <v>61072</v>
      </c>
    </row>
    <row r="506" spans="1:16">
      <c r="A506" s="37" t="n">
        <v>515</v>
      </c>
      <c r="B506" s="38" t="s">
        <v>1574</v>
      </c>
      <c r="C506" s="39" t="s">
        <v>58</v>
      </c>
      <c r="D506" s="39" t="s">
        <v>20</v>
      </c>
      <c r="E506" s="39" t="s">
        <v>21</v>
      </c>
      <c r="F506" s="38" t="s">
        <v>1575</v>
      </c>
      <c r="G506" s="122" t="s">
        <v>1470</v>
      </c>
      <c r="H506" s="122" t="s">
        <v>1576</v>
      </c>
      <c r="I506" s="41" t="n">
        <v>315057</v>
      </c>
      <c r="J506" s="41" t="n">
        <v>315057</v>
      </c>
      <c r="K506" s="41" t="n">
        <v>15753</v>
      </c>
      <c r="L506" s="41" t="n">
        <v>0</v>
      </c>
      <c r="M506" s="41" t="n">
        <v>0</v>
      </c>
      <c r="N506" s="41" t="n">
        <v>0</v>
      </c>
      <c r="O506" s="41" t="n">
        <v>0</v>
      </c>
      <c r="P506" s="42" t="n">
        <v>299304</v>
      </c>
    </row>
    <row r="507" spans="1:16">
      <c r="A507" s="37" t="n">
        <v>516</v>
      </c>
      <c r="B507" s="38" t="s">
        <v>1554</v>
      </c>
      <c r="C507" s="39" t="s">
        <v>58</v>
      </c>
      <c r="D507" s="39" t="s">
        <v>20</v>
      </c>
      <c r="E507" s="39" t="s">
        <v>21</v>
      </c>
      <c r="F507" s="38" t="s">
        <v>1555</v>
      </c>
      <c r="G507" s="122" t="s">
        <v>1476</v>
      </c>
      <c r="H507" s="122" t="s">
        <v>1556</v>
      </c>
      <c r="I507" s="41" t="n">
        <v>80815</v>
      </c>
      <c r="J507" s="41" t="n">
        <v>80815</v>
      </c>
      <c r="K507" s="41" t="n">
        <v>4041</v>
      </c>
      <c r="L507" s="41" t="n">
        <v>0</v>
      </c>
      <c r="M507" s="41" t="n">
        <v>0</v>
      </c>
      <c r="N507" s="41" t="n">
        <v>0</v>
      </c>
      <c r="O507" s="41" t="n">
        <v>0</v>
      </c>
      <c r="P507" s="42" t="n">
        <v>76774</v>
      </c>
    </row>
    <row r="508" spans="1:16">
      <c r="A508" s="37" t="n">
        <v>517</v>
      </c>
      <c r="B508" s="38" t="s">
        <v>1557</v>
      </c>
      <c r="C508" s="39" t="s">
        <v>283</v>
      </c>
      <c r="D508" s="39" t="s">
        <v>20</v>
      </c>
      <c r="E508" s="39" t="s">
        <v>21</v>
      </c>
      <c r="F508" s="38" t="n">
        <v>0</v>
      </c>
      <c r="G508" s="40" t="n">
        <v>0</v>
      </c>
      <c r="H508" s="122" t="s">
        <v>1558</v>
      </c>
      <c r="I508" s="41" t="n">
        <v>10486</v>
      </c>
      <c r="J508" s="41" t="n">
        <v>10486</v>
      </c>
      <c r="K508" s="41" t="n">
        <v>0</v>
      </c>
      <c r="L508" s="41" t="n">
        <v>0</v>
      </c>
      <c r="M508" s="41" t="n">
        <v>0</v>
      </c>
      <c r="N508" s="41" t="n">
        <v>0</v>
      </c>
      <c r="O508" s="41" t="n">
        <v>0</v>
      </c>
      <c r="P508" s="42" t="n">
        <v>10486</v>
      </c>
    </row>
    <row r="509" spans="1:16">
      <c r="A509" s="37" t="n">
        <v>518</v>
      </c>
      <c r="B509" s="38" t="s">
        <v>536</v>
      </c>
      <c r="C509" s="39" t="s">
        <v>95</v>
      </c>
      <c r="D509" s="39" t="s">
        <v>121</v>
      </c>
      <c r="E509" s="39" t="s">
        <v>14</v>
      </c>
      <c r="F509" s="38" t="n">
        <v>0</v>
      </c>
      <c r="G509" s="40" t="n">
        <v>0</v>
      </c>
      <c r="H509" s="122" t="s">
        <v>538</v>
      </c>
      <c r="I509" s="41" t="n">
        <v>7120</v>
      </c>
      <c r="J509" s="41" t="n">
        <v>7120</v>
      </c>
      <c r="K509" s="41" t="n">
        <v>0</v>
      </c>
      <c r="L509" s="41" t="n">
        <v>0</v>
      </c>
      <c r="M509" s="41" t="n">
        <v>0</v>
      </c>
      <c r="N509" s="41" t="n">
        <v>0</v>
      </c>
      <c r="O509" s="41" t="n">
        <v>0</v>
      </c>
      <c r="P509" s="42" t="n">
        <v>7120</v>
      </c>
    </row>
    <row r="510" spans="1:16">
      <c r="A510" s="37" t="n">
        <v>519</v>
      </c>
      <c r="B510" s="38" t="s">
        <v>1517</v>
      </c>
      <c r="C510" s="39" t="s">
        <v>58</v>
      </c>
      <c r="D510" s="39" t="s">
        <v>20</v>
      </c>
      <c r="E510" s="39" t="s">
        <v>21</v>
      </c>
      <c r="F510" s="38" t="s">
        <v>1518</v>
      </c>
      <c r="G510" s="122" t="s">
        <v>1486</v>
      </c>
      <c r="H510" s="122" t="s">
        <v>1519</v>
      </c>
      <c r="I510" s="41" t="n">
        <v>100057</v>
      </c>
      <c r="J510" s="41" t="n">
        <v>100057</v>
      </c>
      <c r="K510" s="41" t="n">
        <v>5003</v>
      </c>
      <c r="L510" s="41" t="n">
        <v>0</v>
      </c>
      <c r="M510" s="41" t="n">
        <v>0</v>
      </c>
      <c r="N510" s="41" t="n">
        <v>0</v>
      </c>
      <c r="O510" s="41" t="n">
        <v>0</v>
      </c>
      <c r="P510" s="42" t="n">
        <v>95054</v>
      </c>
    </row>
    <row r="511" spans="1:16">
      <c r="A511" s="37" t="n">
        <v>520</v>
      </c>
      <c r="B511" s="38" t="s">
        <v>1520</v>
      </c>
      <c r="C511" s="39" t="s">
        <v>58</v>
      </c>
      <c r="D511" s="39" t="s">
        <v>20</v>
      </c>
      <c r="E511" s="39" t="s">
        <v>21</v>
      </c>
      <c r="F511" s="38" t="s">
        <v>1521</v>
      </c>
      <c r="G511" s="122" t="s">
        <v>1490</v>
      </c>
      <c r="H511" s="122" t="s">
        <v>1523</v>
      </c>
      <c r="I511" s="41" t="n">
        <v>89846</v>
      </c>
      <c r="J511" s="41" t="n">
        <v>89846</v>
      </c>
      <c r="K511" s="41" t="n">
        <v>4492</v>
      </c>
      <c r="L511" s="41" t="n">
        <v>0</v>
      </c>
      <c r="M511" s="41" t="n">
        <v>0</v>
      </c>
      <c r="N511" s="41" t="n">
        <v>0</v>
      </c>
      <c r="O511" s="41" t="n">
        <v>0</v>
      </c>
      <c r="P511" s="42" t="n">
        <v>85354</v>
      </c>
    </row>
    <row r="512" spans="1:16">
      <c r="A512" s="37" t="n">
        <v>521</v>
      </c>
      <c r="B512" s="38" t="s">
        <v>465</v>
      </c>
      <c r="C512" s="39" t="s">
        <v>111</v>
      </c>
      <c r="D512" s="39" t="s">
        <v>20</v>
      </c>
      <c r="E512" s="39" t="s">
        <v>21</v>
      </c>
      <c r="F512" s="38" t="s">
        <v>466</v>
      </c>
      <c r="G512" s="40" t="n">
        <v>0</v>
      </c>
      <c r="H512" s="122" t="s">
        <v>467</v>
      </c>
      <c r="I512" s="41" t="n">
        <v>278485</v>
      </c>
      <c r="J512" s="41" t="n">
        <v>278485</v>
      </c>
      <c r="K512" s="41" t="n">
        <v>0</v>
      </c>
      <c r="L512" s="41" t="n">
        <v>0</v>
      </c>
      <c r="M512" s="41" t="n">
        <v>0</v>
      </c>
      <c r="N512" s="41" t="n">
        <v>0</v>
      </c>
      <c r="O512" s="41" t="n">
        <v>0</v>
      </c>
      <c r="P512" s="42" t="n">
        <v>278485</v>
      </c>
    </row>
    <row r="513" spans="1:16">
      <c r="A513" s="37" t="n">
        <v>522</v>
      </c>
      <c r="B513" s="38" t="s">
        <v>1583</v>
      </c>
      <c r="C513" s="39" t="s">
        <v>1584</v>
      </c>
      <c r="D513" s="39" t="s">
        <v>20</v>
      </c>
      <c r="E513" s="39" t="s">
        <v>21</v>
      </c>
      <c r="F513" s="38" t="s">
        <v>1585</v>
      </c>
      <c r="G513" s="40" t="n">
        <v>0</v>
      </c>
      <c r="H513" s="122" t="s">
        <v>1586</v>
      </c>
      <c r="I513" s="41" t="n">
        <v>174465</v>
      </c>
      <c r="J513" s="41" t="n">
        <v>174465</v>
      </c>
      <c r="K513" s="41" t="n">
        <v>0</v>
      </c>
      <c r="L513" s="41" t="n">
        <v>0</v>
      </c>
      <c r="M513" s="41" t="n">
        <v>0</v>
      </c>
      <c r="N513" s="41" t="n">
        <v>0</v>
      </c>
      <c r="O513" s="41" t="n">
        <v>0</v>
      </c>
      <c r="P513" s="42" t="n">
        <v>174465</v>
      </c>
    </row>
    <row r="514" spans="1:16">
      <c r="A514" s="37" t="n">
        <v>523</v>
      </c>
      <c r="B514" s="38" t="s">
        <v>1587</v>
      </c>
      <c r="C514" s="39" t="s">
        <v>95</v>
      </c>
      <c r="D514" s="39" t="s">
        <v>278</v>
      </c>
      <c r="E514" s="39" t="s">
        <v>16</v>
      </c>
      <c r="F514" s="38" t="n">
        <v>0</v>
      </c>
      <c r="G514" s="122" t="s">
        <v>1499</v>
      </c>
      <c r="H514" s="122" t="s">
        <v>1588</v>
      </c>
      <c r="I514" s="41" t="n">
        <v>176294</v>
      </c>
      <c r="J514" s="41" t="n">
        <v>176294</v>
      </c>
      <c r="K514" s="41" t="n">
        <v>0</v>
      </c>
      <c r="L514" s="41" t="n">
        <v>0</v>
      </c>
      <c r="M514" s="41" t="n">
        <v>0</v>
      </c>
      <c r="N514" s="41" t="n">
        <v>0</v>
      </c>
      <c r="O514" s="41" t="n">
        <v>0</v>
      </c>
      <c r="P514" s="42" t="n">
        <v>176294</v>
      </c>
    </row>
    <row r="515" spans="1:16">
      <c r="A515" s="37" t="n">
        <v>524</v>
      </c>
      <c r="B515" s="38" t="s">
        <v>1589</v>
      </c>
      <c r="C515" s="39" t="s">
        <v>95</v>
      </c>
      <c r="D515" s="39" t="s">
        <v>124</v>
      </c>
      <c r="E515" s="39" t="s">
        <v>15</v>
      </c>
      <c r="F515" s="38" t="n">
        <v>0</v>
      </c>
      <c r="G515" s="40" t="n">
        <v>0</v>
      </c>
      <c r="H515" s="122" t="s">
        <v>1590</v>
      </c>
      <c r="I515" s="41" t="n">
        <v>176294</v>
      </c>
      <c r="J515" s="41" t="n">
        <v>176294</v>
      </c>
      <c r="K515" s="41" t="n">
        <v>0</v>
      </c>
      <c r="L515" s="41" t="n">
        <v>0</v>
      </c>
      <c r="M515" s="41" t="n">
        <v>0</v>
      </c>
      <c r="N515" s="41" t="n">
        <v>0</v>
      </c>
      <c r="O515" s="41" t="n">
        <v>0</v>
      </c>
      <c r="P515" s="42" t="n">
        <v>176294</v>
      </c>
    </row>
    <row r="516" spans="1:16">
      <c r="A516" s="37" t="n">
        <v>525</v>
      </c>
      <c r="B516" s="38" t="s">
        <v>1591</v>
      </c>
      <c r="C516" s="39" t="s">
        <v>111</v>
      </c>
      <c r="D516" s="39" t="s">
        <v>20</v>
      </c>
      <c r="E516" s="39" t="s">
        <v>21</v>
      </c>
      <c r="F516" s="38" t="s">
        <v>1592</v>
      </c>
      <c r="G516" s="122" t="s">
        <v>1505</v>
      </c>
      <c r="H516" s="122" t="s">
        <v>1593</v>
      </c>
      <c r="I516" s="41" t="n">
        <v>176294</v>
      </c>
      <c r="J516" s="41" t="n">
        <v>176294</v>
      </c>
      <c r="K516" s="41" t="n">
        <v>0</v>
      </c>
      <c r="L516" s="41" t="n">
        <v>0</v>
      </c>
      <c r="M516" s="41" t="n">
        <v>0</v>
      </c>
      <c r="N516" s="41" t="n">
        <v>0</v>
      </c>
      <c r="O516" s="41" t="n">
        <v>0</v>
      </c>
      <c r="P516" s="42" t="n">
        <v>176294</v>
      </c>
    </row>
    <row r="517" spans="1:16">
      <c r="A517" s="37" t="n">
        <v>526</v>
      </c>
      <c r="B517" s="38" t="s">
        <v>1577</v>
      </c>
      <c r="C517" s="39" t="s">
        <v>58</v>
      </c>
      <c r="D517" s="39" t="s">
        <v>20</v>
      </c>
      <c r="E517" s="39" t="s">
        <v>21</v>
      </c>
      <c r="F517" s="38" t="s">
        <v>1578</v>
      </c>
      <c r="G517" s="122" t="s">
        <v>1509</v>
      </c>
      <c r="H517" s="122" t="s">
        <v>1579</v>
      </c>
      <c r="I517" s="41" t="n">
        <v>321641</v>
      </c>
      <c r="J517" s="41" t="n">
        <v>321641</v>
      </c>
      <c r="K517" s="41" t="n">
        <v>16082</v>
      </c>
      <c r="L517" s="41" t="n">
        <v>0</v>
      </c>
      <c r="M517" s="41" t="n">
        <v>0</v>
      </c>
      <c r="N517" s="41" t="n">
        <v>0</v>
      </c>
      <c r="O517" s="41" t="n">
        <v>0</v>
      </c>
      <c r="P517" s="42" t="n">
        <v>305559</v>
      </c>
    </row>
    <row r="518" spans="1:16">
      <c r="A518" s="37" t="n">
        <v>527</v>
      </c>
      <c r="B518" s="38" t="s">
        <v>2095</v>
      </c>
      <c r="C518" s="39" t="s">
        <v>95</v>
      </c>
      <c r="D518" s="39" t="s">
        <v>124</v>
      </c>
      <c r="E518" s="39" t="s">
        <v>15</v>
      </c>
      <c r="F518" s="38" t="n">
        <v>0</v>
      </c>
      <c r="G518" s="40" t="n">
        <v>0</v>
      </c>
      <c r="H518" s="122" t="s">
        <v>2096</v>
      </c>
      <c r="I518" s="41" t="n">
        <v>102561</v>
      </c>
      <c r="J518" s="41" t="n">
        <v>102561</v>
      </c>
      <c r="K518" s="41" t="n">
        <v>0</v>
      </c>
      <c r="L518" s="41" t="n">
        <v>0</v>
      </c>
      <c r="M518" s="41" t="n">
        <v>0</v>
      </c>
      <c r="N518" s="41" t="n">
        <v>0</v>
      </c>
      <c r="O518" s="41" t="n">
        <v>0</v>
      </c>
      <c r="P518" s="42" t="n">
        <v>102561</v>
      </c>
    </row>
    <row r="519" spans="1:16">
      <c r="A519" s="37" t="n">
        <v>529</v>
      </c>
      <c r="B519" s="38" t="s">
        <v>1559</v>
      </c>
      <c r="C519" s="39" t="s">
        <v>58</v>
      </c>
      <c r="D519" s="39" t="s">
        <v>20</v>
      </c>
      <c r="E519" s="39" t="s">
        <v>21</v>
      </c>
      <c r="F519" s="38" t="s">
        <v>1560</v>
      </c>
      <c r="G519" s="40" t="n">
        <v>0</v>
      </c>
      <c r="H519" s="122" t="s">
        <v>1561</v>
      </c>
      <c r="I519" s="41" t="n">
        <v>9144</v>
      </c>
      <c r="J519" s="41" t="n">
        <v>9144</v>
      </c>
      <c r="K519" s="41" t="n">
        <v>457</v>
      </c>
      <c r="L519" s="41" t="n">
        <v>0</v>
      </c>
      <c r="M519" s="41" t="n">
        <v>0</v>
      </c>
      <c r="N519" s="41" t="n">
        <v>0</v>
      </c>
      <c r="O519" s="41" t="n">
        <v>0</v>
      </c>
      <c r="P519" s="42" t="n">
        <v>8687</v>
      </c>
    </row>
    <row r="520" spans="1:16">
      <c r="A520" s="37" t="n">
        <v>530</v>
      </c>
      <c r="B520" s="38" t="s">
        <v>1564</v>
      </c>
      <c r="C520" s="39" t="s">
        <v>120</v>
      </c>
      <c r="D520" s="39" t="s">
        <v>128</v>
      </c>
      <c r="E520" s="39" t="s">
        <v>15</v>
      </c>
      <c r="F520" s="38" t="n">
        <v>0</v>
      </c>
      <c r="G520" s="40" t="n">
        <v>0</v>
      </c>
      <c r="H520" s="122" t="s">
        <v>1566</v>
      </c>
      <c r="I520" s="41" t="n">
        <v>243653</v>
      </c>
      <c r="J520" s="41" t="n">
        <v>243653</v>
      </c>
      <c r="K520" s="41" t="n">
        <v>0</v>
      </c>
      <c r="L520" s="41" t="n">
        <v>0</v>
      </c>
      <c r="M520" s="41" t="n">
        <v>0</v>
      </c>
      <c r="N520" s="41" t="n">
        <v>0</v>
      </c>
      <c r="O520" s="41" t="n">
        <v>0</v>
      </c>
      <c r="P520" s="42" t="n">
        <v>243653</v>
      </c>
    </row>
    <row r="521" spans="1:16">
      <c r="A521" s="37" t="n">
        <v>531</v>
      </c>
      <c r="B521" s="38" t="s">
        <v>1529</v>
      </c>
      <c r="C521" s="39" t="s">
        <v>58</v>
      </c>
      <c r="D521" s="39" t="s">
        <v>20</v>
      </c>
      <c r="E521" s="39" t="s">
        <v>21</v>
      </c>
      <c r="F521" s="38" t="s">
        <v>1530</v>
      </c>
      <c r="G521" s="122" t="s">
        <v>1522</v>
      </c>
      <c r="H521" s="122" t="s">
        <v>1532</v>
      </c>
      <c r="I521" s="41" t="n">
        <v>83124</v>
      </c>
      <c r="J521" s="41" t="n">
        <v>83124</v>
      </c>
      <c r="K521" s="41" t="n">
        <v>4156</v>
      </c>
      <c r="L521" s="41" t="n">
        <v>0</v>
      </c>
      <c r="M521" s="41" t="n">
        <v>0</v>
      </c>
      <c r="N521" s="41" t="n">
        <v>0</v>
      </c>
      <c r="O521" s="41" t="n">
        <v>0</v>
      </c>
      <c r="P521" s="42" t="n">
        <v>78968</v>
      </c>
    </row>
    <row r="522" spans="1:16">
      <c r="A522" s="37" t="n">
        <v>532</v>
      </c>
      <c r="B522" s="38" t="s">
        <v>1533</v>
      </c>
      <c r="C522" s="39" t="s">
        <v>111</v>
      </c>
      <c r="D522" s="39" t="s">
        <v>20</v>
      </c>
      <c r="E522" s="39" t="s">
        <v>21</v>
      </c>
      <c r="F522" s="38" t="s">
        <v>1534</v>
      </c>
      <c r="G522" s="40" t="n">
        <v>0</v>
      </c>
      <c r="H522" s="122" t="s">
        <v>1535</v>
      </c>
      <c r="I522" s="41" t="n">
        <v>64436</v>
      </c>
      <c r="J522" s="41" t="n">
        <v>64436</v>
      </c>
      <c r="K522" s="41" t="n">
        <v>0</v>
      </c>
      <c r="L522" s="41" t="n">
        <v>0</v>
      </c>
      <c r="M522" s="41" t="n">
        <v>0</v>
      </c>
      <c r="N522" s="41" t="n">
        <v>0</v>
      </c>
      <c r="O522" s="41" t="n">
        <v>0</v>
      </c>
      <c r="P522" s="42" t="n">
        <v>64436</v>
      </c>
    </row>
    <row r="523" spans="1:16">
      <c r="A523" s="37" t="n">
        <v>533</v>
      </c>
      <c r="B523" s="38" t="s">
        <v>1551</v>
      </c>
      <c r="C523" s="39" t="s">
        <v>283</v>
      </c>
      <c r="D523" s="39" t="s">
        <v>20</v>
      </c>
      <c r="E523" s="39" t="s">
        <v>21</v>
      </c>
      <c r="F523" s="38" t="n">
        <v>0</v>
      </c>
      <c r="G523" s="40" t="n">
        <v>0</v>
      </c>
      <c r="H523" s="122" t="s">
        <v>1553</v>
      </c>
      <c r="I523" s="41" t="n">
        <v>116248</v>
      </c>
      <c r="J523" s="41" t="n">
        <v>116248</v>
      </c>
      <c r="K523" s="41" t="n">
        <v>0</v>
      </c>
      <c r="L523" s="41" t="n">
        <v>0</v>
      </c>
      <c r="M523" s="41" t="n">
        <v>0</v>
      </c>
      <c r="N523" s="41" t="n">
        <v>0</v>
      </c>
      <c r="O523" s="41" t="n">
        <v>0</v>
      </c>
      <c r="P523" s="42" t="n">
        <v>116248</v>
      </c>
    </row>
    <row r="524" spans="1:16">
      <c r="A524" s="37" t="n">
        <v>534</v>
      </c>
      <c r="B524" s="38" t="s">
        <v>533</v>
      </c>
      <c r="C524" s="39" t="s">
        <v>95</v>
      </c>
      <c r="D524" s="39" t="s">
        <v>124</v>
      </c>
      <c r="E524" s="39" t="s">
        <v>15</v>
      </c>
      <c r="F524" s="38" t="n">
        <v>0</v>
      </c>
      <c r="G524" s="122" t="s">
        <v>1531</v>
      </c>
      <c r="H524" s="122" t="s">
        <v>535</v>
      </c>
      <c r="I524" s="41" t="n">
        <v>71180</v>
      </c>
      <c r="J524" s="41" t="n">
        <v>71180</v>
      </c>
      <c r="K524" s="41" t="n">
        <v>0</v>
      </c>
      <c r="L524" s="41" t="n">
        <v>0</v>
      </c>
      <c r="M524" s="41" t="n">
        <v>0</v>
      </c>
      <c r="N524" s="41" t="n">
        <v>0</v>
      </c>
      <c r="O524" s="41" t="n">
        <v>0</v>
      </c>
      <c r="P524" s="42" t="n">
        <v>71180</v>
      </c>
    </row>
    <row r="525" spans="1:16">
      <c r="A525" s="37" t="n">
        <v>535</v>
      </c>
      <c r="B525" s="38" t="s">
        <v>1504</v>
      </c>
      <c r="C525" s="39" t="s">
        <v>120</v>
      </c>
      <c r="D525" s="39" t="s">
        <v>128</v>
      </c>
      <c r="E525" s="39" t="s">
        <v>15</v>
      </c>
      <c r="F525" s="38" t="n">
        <v>0</v>
      </c>
      <c r="G525" s="122" t="s">
        <v>1531</v>
      </c>
      <c r="H525" s="122" t="s">
        <v>1506</v>
      </c>
      <c r="I525" s="41" t="n">
        <v>83968</v>
      </c>
      <c r="J525" s="41" t="n">
        <v>83968</v>
      </c>
      <c r="K525" s="41" t="n">
        <v>0</v>
      </c>
      <c r="L525" s="41" t="n">
        <v>0</v>
      </c>
      <c r="M525" s="41" t="n">
        <v>0</v>
      </c>
      <c r="N525" s="41" t="n">
        <v>0</v>
      </c>
      <c r="O525" s="41" t="n">
        <v>0</v>
      </c>
      <c r="P525" s="42" t="n">
        <v>83968</v>
      </c>
    </row>
    <row r="526" spans="1:16">
      <c r="A526" s="37" t="n">
        <v>536</v>
      </c>
      <c r="B526" s="38" t="s">
        <v>546</v>
      </c>
      <c r="C526" s="39" t="s">
        <v>120</v>
      </c>
      <c r="D526" s="39" t="s">
        <v>124</v>
      </c>
      <c r="E526" s="39" t="s">
        <v>15</v>
      </c>
      <c r="F526" s="38" t="n">
        <v>0</v>
      </c>
      <c r="G526" s="122" t="s">
        <v>1538</v>
      </c>
      <c r="H526" s="122" t="s">
        <v>547</v>
      </c>
      <c r="I526" s="41" t="n">
        <v>61811</v>
      </c>
      <c r="J526" s="41" t="n">
        <v>61811</v>
      </c>
      <c r="K526" s="41" t="n">
        <v>0</v>
      </c>
      <c r="L526" s="41" t="n">
        <v>0</v>
      </c>
      <c r="M526" s="41" t="n">
        <v>0</v>
      </c>
      <c r="N526" s="41" t="n">
        <v>0</v>
      </c>
      <c r="O526" s="41" t="n">
        <v>0</v>
      </c>
      <c r="P526" s="42" t="n">
        <v>61811</v>
      </c>
    </row>
    <row r="527" spans="1:16">
      <c r="A527" s="37" t="n">
        <v>537</v>
      </c>
      <c r="B527" s="38" t="s">
        <v>1507</v>
      </c>
      <c r="C527" s="39" t="s">
        <v>58</v>
      </c>
      <c r="D527" s="39" t="s">
        <v>20</v>
      </c>
      <c r="E527" s="39" t="s">
        <v>21</v>
      </c>
      <c r="F527" s="38" t="s">
        <v>1508</v>
      </c>
      <c r="G527" s="122" t="s">
        <v>1542</v>
      </c>
      <c r="H527" s="122" t="s">
        <v>1510</v>
      </c>
      <c r="I527" s="41" t="n">
        <v>59867</v>
      </c>
      <c r="J527" s="41" t="n">
        <v>59867</v>
      </c>
      <c r="K527" s="41" t="n">
        <v>2993</v>
      </c>
      <c r="L527" s="41" t="n">
        <v>0</v>
      </c>
      <c r="M527" s="41" t="n">
        <v>0</v>
      </c>
      <c r="N527" s="41" t="n">
        <v>0</v>
      </c>
      <c r="O527" s="41" t="n">
        <v>0</v>
      </c>
      <c r="P527" s="42" t="n">
        <v>56874</v>
      </c>
    </row>
    <row r="528" spans="1:16">
      <c r="A528" s="37" t="n">
        <v>538</v>
      </c>
      <c r="B528" s="38" t="s">
        <v>1548</v>
      </c>
      <c r="C528" s="39" t="s">
        <v>95</v>
      </c>
      <c r="D528" s="39" t="s">
        <v>124</v>
      </c>
      <c r="E528" s="39" t="s">
        <v>15</v>
      </c>
      <c r="F528" s="38" t="n">
        <v>0</v>
      </c>
      <c r="G528" s="122" t="s">
        <v>1546</v>
      </c>
      <c r="H528" s="122" t="s">
        <v>1550</v>
      </c>
      <c r="I528" s="41" t="n">
        <v>23925</v>
      </c>
      <c r="J528" s="41" t="n">
        <v>23925</v>
      </c>
      <c r="K528" s="41" t="n">
        <v>0</v>
      </c>
      <c r="L528" s="41" t="n">
        <v>0</v>
      </c>
      <c r="M528" s="41" t="n">
        <v>0</v>
      </c>
      <c r="N528" s="41" t="n">
        <v>0</v>
      </c>
      <c r="O528" s="41" t="n">
        <v>0</v>
      </c>
      <c r="P528" s="42" t="n">
        <v>23925</v>
      </c>
    </row>
    <row r="529" spans="1:16">
      <c r="A529" s="37" t="n">
        <v>539</v>
      </c>
      <c r="B529" s="38" t="s">
        <v>1562</v>
      </c>
      <c r="C529" s="39" t="s">
        <v>95</v>
      </c>
      <c r="D529" s="39" t="s">
        <v>128</v>
      </c>
      <c r="E529" s="39" t="s">
        <v>15</v>
      </c>
      <c r="F529" s="38" t="n">
        <v>0</v>
      </c>
      <c r="G529" s="122" t="s">
        <v>1549</v>
      </c>
      <c r="H529" s="40" t="n">
        <v>1612035233</v>
      </c>
      <c r="I529" s="41" t="n">
        <v>27458</v>
      </c>
      <c r="J529" s="41" t="n">
        <v>27458</v>
      </c>
      <c r="K529" s="41" t="n">
        <v>0</v>
      </c>
      <c r="L529" s="41" t="n">
        <v>0</v>
      </c>
      <c r="M529" s="41" t="n">
        <v>0</v>
      </c>
      <c r="N529" s="41" t="n">
        <v>0</v>
      </c>
      <c r="O529" s="41" t="n">
        <v>0</v>
      </c>
      <c r="P529" s="42" t="n">
        <v>27458</v>
      </c>
    </row>
    <row r="530" spans="1:16">
      <c r="A530" s="37" t="n">
        <v>540</v>
      </c>
      <c r="B530" s="38" t="s">
        <v>458</v>
      </c>
      <c r="C530" s="39" t="s">
        <v>58</v>
      </c>
      <c r="D530" s="39" t="s">
        <v>20</v>
      </c>
      <c r="E530" s="39" t="s">
        <v>21</v>
      </c>
      <c r="F530" s="38" t="s">
        <v>459</v>
      </c>
      <c r="G530" s="122" t="s">
        <v>1552</v>
      </c>
      <c r="H530" s="122" t="s">
        <v>460</v>
      </c>
      <c r="I530" s="41" t="n">
        <v>52732</v>
      </c>
      <c r="J530" s="41" t="n">
        <v>52732</v>
      </c>
      <c r="K530" s="41" t="n">
        <v>2637</v>
      </c>
      <c r="L530" s="41" t="n">
        <v>0</v>
      </c>
      <c r="M530" s="41" t="n">
        <v>0</v>
      </c>
      <c r="N530" s="41" t="n">
        <v>0</v>
      </c>
      <c r="O530" s="41" t="n">
        <v>0</v>
      </c>
      <c r="P530" s="42" t="n">
        <v>50095</v>
      </c>
    </row>
    <row r="531" spans="1:16">
      <c r="A531" s="37" t="n">
        <v>541</v>
      </c>
      <c r="B531" s="38" t="s">
        <v>1740</v>
      </c>
      <c r="C531" s="39" t="s">
        <v>19</v>
      </c>
      <c r="D531" s="39" t="s">
        <v>20</v>
      </c>
      <c r="E531" s="39" t="s">
        <v>21</v>
      </c>
      <c r="F531" s="38" t="s">
        <v>1741</v>
      </c>
      <c r="G531" s="40" t="n">
        <v>0</v>
      </c>
      <c r="H531" s="122" t="s">
        <v>1742</v>
      </c>
      <c r="I531" s="41" t="n">
        <v>10058</v>
      </c>
      <c r="J531" s="41" t="n">
        <v>10058</v>
      </c>
      <c r="K531" s="41" t="n">
        <v>0</v>
      </c>
      <c r="L531" s="41" t="n">
        <v>1509</v>
      </c>
      <c r="M531" s="41" t="n">
        <v>0</v>
      </c>
      <c r="N531" s="41" t="n">
        <v>0</v>
      </c>
      <c r="O531" s="41" t="n">
        <v>0</v>
      </c>
      <c r="P531" s="42" t="n">
        <v>8549</v>
      </c>
    </row>
    <row r="532" spans="1:16">
      <c r="A532" s="37" t="n">
        <v>542</v>
      </c>
      <c r="B532" s="38" t="s">
        <v>1743</v>
      </c>
      <c r="C532" s="39" t="s">
        <v>58</v>
      </c>
      <c r="D532" s="39" t="s">
        <v>20</v>
      </c>
      <c r="E532" s="39" t="s">
        <v>21</v>
      </c>
      <c r="F532" s="38" t="s">
        <v>1744</v>
      </c>
      <c r="G532" s="40" t="n">
        <v>0</v>
      </c>
      <c r="H532" s="122" t="s">
        <v>1745</v>
      </c>
      <c r="I532" s="41" t="n">
        <v>8230</v>
      </c>
      <c r="J532" s="41" t="n">
        <v>8230</v>
      </c>
      <c r="K532" s="41" t="n">
        <v>412</v>
      </c>
      <c r="L532" s="41" t="n">
        <v>0</v>
      </c>
      <c r="M532" s="41" t="n">
        <v>0</v>
      </c>
      <c r="N532" s="41" t="n">
        <v>0</v>
      </c>
      <c r="O532" s="41" t="n">
        <v>0</v>
      </c>
      <c r="P532" s="42" t="n">
        <v>7818</v>
      </c>
    </row>
    <row r="533" spans="1:16">
      <c r="A533" s="37" t="n">
        <v>543</v>
      </c>
      <c r="B533" s="38" t="s">
        <v>1746</v>
      </c>
      <c r="C533" s="39" t="s">
        <v>58</v>
      </c>
      <c r="D533" s="39" t="s">
        <v>20</v>
      </c>
      <c r="E533" s="39" t="s">
        <v>21</v>
      </c>
      <c r="F533" s="38" t="s">
        <v>1747</v>
      </c>
      <c r="G533" s="40" t="n">
        <v>0</v>
      </c>
      <c r="H533" s="122" t="s">
        <v>1748</v>
      </c>
      <c r="I533" s="41" t="n">
        <v>8230</v>
      </c>
      <c r="J533" s="41" t="n">
        <v>8230</v>
      </c>
      <c r="K533" s="41" t="n">
        <v>412</v>
      </c>
      <c r="L533" s="41" t="n">
        <v>0</v>
      </c>
      <c r="M533" s="41" t="n">
        <v>0</v>
      </c>
      <c r="N533" s="41" t="n">
        <v>0</v>
      </c>
      <c r="O533" s="41" t="n">
        <v>0</v>
      </c>
      <c r="P533" s="42" t="n">
        <v>7818</v>
      </c>
    </row>
    <row r="534" spans="1:16">
      <c r="A534" s="37" t="n">
        <v>544</v>
      </c>
      <c r="B534" s="38" t="s">
        <v>1749</v>
      </c>
      <c r="C534" s="39" t="s">
        <v>58</v>
      </c>
      <c r="D534" s="39" t="s">
        <v>20</v>
      </c>
      <c r="E534" s="39" t="s">
        <v>21</v>
      </c>
      <c r="F534" s="38" t="s">
        <v>1750</v>
      </c>
      <c r="G534" s="40" t="n">
        <v>0</v>
      </c>
      <c r="H534" s="122" t="s">
        <v>1752</v>
      </c>
      <c r="I534" s="41" t="n">
        <v>32718</v>
      </c>
      <c r="J534" s="41" t="n">
        <v>32718</v>
      </c>
      <c r="K534" s="41" t="n">
        <v>1636</v>
      </c>
      <c r="L534" s="41" t="n">
        <v>0</v>
      </c>
      <c r="M534" s="41" t="n">
        <v>0</v>
      </c>
      <c r="N534" s="41" t="n">
        <v>0</v>
      </c>
      <c r="O534" s="41" t="n">
        <v>0</v>
      </c>
      <c r="P534" s="42" t="n">
        <v>31082</v>
      </c>
    </row>
    <row r="535" spans="1:16">
      <c r="A535" s="37" t="n">
        <v>545</v>
      </c>
      <c r="B535" s="38" t="s">
        <v>1753</v>
      </c>
      <c r="C535" s="39" t="s">
        <v>111</v>
      </c>
      <c r="D535" s="39" t="s">
        <v>20</v>
      </c>
      <c r="E535" s="39" t="s">
        <v>21</v>
      </c>
      <c r="F535" s="38" t="s">
        <v>1754</v>
      </c>
      <c r="G535" s="122" t="s">
        <v>1565</v>
      </c>
      <c r="H535" s="122" t="s">
        <v>1756</v>
      </c>
      <c r="I535" s="41" t="n">
        <v>7315</v>
      </c>
      <c r="J535" s="41" t="n">
        <v>7315</v>
      </c>
      <c r="K535" s="41" t="n">
        <v>0</v>
      </c>
      <c r="L535" s="41" t="n">
        <v>0</v>
      </c>
      <c r="M535" s="41" t="n">
        <v>0</v>
      </c>
      <c r="N535" s="41" t="n">
        <v>0</v>
      </c>
      <c r="O535" s="41" t="n">
        <v>0</v>
      </c>
      <c r="P535" s="42" t="n">
        <v>7315</v>
      </c>
    </row>
    <row r="536" spans="1:16">
      <c r="A536" s="37" t="n">
        <v>546</v>
      </c>
      <c r="B536" s="38" t="s">
        <v>1757</v>
      </c>
      <c r="C536" s="39" t="s">
        <v>111</v>
      </c>
      <c r="D536" s="39" t="s">
        <v>20</v>
      </c>
      <c r="E536" s="39" t="s">
        <v>21</v>
      </c>
      <c r="F536" s="38" t="s">
        <v>1758</v>
      </c>
      <c r="G536" s="122" t="s">
        <v>1568</v>
      </c>
      <c r="H536" s="122" t="s">
        <v>1760</v>
      </c>
      <c r="I536" s="41" t="n">
        <v>7315</v>
      </c>
      <c r="J536" s="41" t="n">
        <v>7315</v>
      </c>
      <c r="K536" s="41" t="n">
        <v>0</v>
      </c>
      <c r="L536" s="41" t="n">
        <v>0</v>
      </c>
      <c r="M536" s="41" t="n">
        <v>0</v>
      </c>
      <c r="N536" s="41" t="n">
        <v>0</v>
      </c>
      <c r="O536" s="41" t="n">
        <v>0</v>
      </c>
      <c r="P536" s="42" t="n">
        <v>7315</v>
      </c>
    </row>
    <row r="537" spans="1:16">
      <c r="A537" s="37" t="n">
        <v>547</v>
      </c>
      <c r="B537" s="38" t="s">
        <v>1761</v>
      </c>
      <c r="C537" s="39" t="s">
        <v>95</v>
      </c>
      <c r="D537" s="39" t="s">
        <v>128</v>
      </c>
      <c r="E537" s="39" t="s">
        <v>15</v>
      </c>
      <c r="F537" s="38" t="n">
        <v>0</v>
      </c>
      <c r="G537" s="122" t="s">
        <v>1572</v>
      </c>
      <c r="H537" s="122" t="s">
        <v>1763</v>
      </c>
      <c r="I537" s="41" t="n">
        <v>8230</v>
      </c>
      <c r="J537" s="41" t="n">
        <v>8230</v>
      </c>
      <c r="K537" s="41" t="n">
        <v>0</v>
      </c>
      <c r="L537" s="41" t="n">
        <v>0</v>
      </c>
      <c r="M537" s="41" t="n">
        <v>0</v>
      </c>
      <c r="N537" s="41" t="n">
        <v>0</v>
      </c>
      <c r="O537" s="41" t="n">
        <v>0</v>
      </c>
      <c r="P537" s="42" t="n">
        <v>8230</v>
      </c>
    </row>
    <row r="538" spans="1:16">
      <c r="A538" s="37" t="n">
        <v>548</v>
      </c>
      <c r="B538" s="38" t="s">
        <v>1764</v>
      </c>
      <c r="C538" s="39" t="s">
        <v>95</v>
      </c>
      <c r="D538" s="39" t="s">
        <v>137</v>
      </c>
      <c r="E538" s="39" t="s">
        <v>14</v>
      </c>
      <c r="F538" s="38" t="n">
        <v>0</v>
      </c>
      <c r="G538" s="40" t="n">
        <v>0</v>
      </c>
      <c r="H538" s="122" t="s">
        <v>1766</v>
      </c>
      <c r="I538" s="41" t="n">
        <v>8230</v>
      </c>
      <c r="J538" s="41" t="n">
        <v>8230</v>
      </c>
      <c r="K538" s="41" t="n">
        <v>0</v>
      </c>
      <c r="L538" s="41" t="n">
        <v>0</v>
      </c>
      <c r="M538" s="41" t="n">
        <v>0</v>
      </c>
      <c r="N538" s="41" t="n">
        <v>0</v>
      </c>
      <c r="O538" s="41" t="n">
        <v>0</v>
      </c>
      <c r="P538" s="42" t="n">
        <v>8230</v>
      </c>
    </row>
    <row r="539" spans="1:16">
      <c r="A539" s="37" t="n">
        <v>549</v>
      </c>
      <c r="B539" s="38" t="s">
        <v>1767</v>
      </c>
      <c r="C539" s="39" t="s">
        <v>95</v>
      </c>
      <c r="D539" s="39" t="s">
        <v>137</v>
      </c>
      <c r="E539" s="39" t="s">
        <v>14</v>
      </c>
      <c r="F539" s="38" t="n">
        <v>0</v>
      </c>
      <c r="G539" s="40" t="n">
        <v>0</v>
      </c>
      <c r="H539" s="122" t="s">
        <v>1768</v>
      </c>
      <c r="I539" s="41" t="n">
        <v>8230</v>
      </c>
      <c r="J539" s="41" t="n">
        <v>8230</v>
      </c>
      <c r="K539" s="41" t="n">
        <v>0</v>
      </c>
      <c r="L539" s="41" t="n">
        <v>0</v>
      </c>
      <c r="M539" s="41" t="n">
        <v>0</v>
      </c>
      <c r="N539" s="41" t="n">
        <v>0</v>
      </c>
      <c r="O539" s="41" t="n">
        <v>0</v>
      </c>
      <c r="P539" s="42" t="n">
        <v>8230</v>
      </c>
    </row>
    <row r="540" spans="1:16">
      <c r="A540" s="37" t="n">
        <v>550</v>
      </c>
      <c r="B540" s="38" t="s">
        <v>2097</v>
      </c>
      <c r="C540" s="39" t="s">
        <v>95</v>
      </c>
      <c r="D540" s="39" t="s">
        <v>121</v>
      </c>
      <c r="E540" s="39" t="s">
        <v>14</v>
      </c>
      <c r="F540" s="38" t="n">
        <v>0</v>
      </c>
      <c r="G540" s="40" t="n">
        <v>0</v>
      </c>
      <c r="H540" s="122" t="s">
        <v>1770</v>
      </c>
      <c r="I540" s="41" t="n">
        <v>8230</v>
      </c>
      <c r="J540" s="41" t="n">
        <v>8230</v>
      </c>
      <c r="K540" s="41" t="n">
        <v>0</v>
      </c>
      <c r="L540" s="41" t="n">
        <v>0</v>
      </c>
      <c r="M540" s="41" t="n">
        <v>0</v>
      </c>
      <c r="N540" s="41" t="n">
        <v>0</v>
      </c>
      <c r="O540" s="41" t="n">
        <v>0</v>
      </c>
      <c r="P540" s="42" t="n">
        <v>8230</v>
      </c>
    </row>
    <row r="541" spans="1:16">
      <c r="A541" s="37" t="n">
        <v>551</v>
      </c>
      <c r="B541" s="38" t="s">
        <v>2098</v>
      </c>
      <c r="C541" s="39" t="s">
        <v>95</v>
      </c>
      <c r="D541" s="39" t="s">
        <v>137</v>
      </c>
      <c r="E541" s="39" t="s">
        <v>14</v>
      </c>
      <c r="F541" s="38" t="n">
        <v>0</v>
      </c>
      <c r="G541" s="40" t="n">
        <v>0</v>
      </c>
      <c r="H541" s="122" t="s">
        <v>1773</v>
      </c>
      <c r="I541" s="41" t="n">
        <v>7315</v>
      </c>
      <c r="J541" s="41" t="n">
        <v>7315</v>
      </c>
      <c r="K541" s="41" t="n">
        <v>0</v>
      </c>
      <c r="L541" s="41" t="n">
        <v>0</v>
      </c>
      <c r="M541" s="41" t="n">
        <v>0</v>
      </c>
      <c r="N541" s="41" t="n">
        <v>0</v>
      </c>
      <c r="O541" s="41" t="n">
        <v>0</v>
      </c>
      <c r="P541" s="42" t="n">
        <v>7315</v>
      </c>
    </row>
    <row r="542" spans="1:16">
      <c r="A542" s="37" t="n">
        <v>552</v>
      </c>
      <c r="B542" s="38" t="s">
        <v>1774</v>
      </c>
      <c r="C542" s="39" t="s">
        <v>58</v>
      </c>
      <c r="D542" s="39" t="s">
        <v>20</v>
      </c>
      <c r="E542" s="39" t="s">
        <v>21</v>
      </c>
      <c r="F542" s="38" t="s">
        <v>1775</v>
      </c>
      <c r="G542" s="40" t="n">
        <v>0</v>
      </c>
      <c r="H542" s="122" t="s">
        <v>1777</v>
      </c>
      <c r="I542" s="41" t="n">
        <v>8230</v>
      </c>
      <c r="J542" s="41" t="n">
        <v>8230</v>
      </c>
      <c r="K542" s="41" t="n">
        <v>412</v>
      </c>
      <c r="L542" s="41" t="n">
        <v>0</v>
      </c>
      <c r="M542" s="41" t="n">
        <v>0</v>
      </c>
      <c r="N542" s="41" t="n">
        <v>0</v>
      </c>
      <c r="O542" s="41" t="n">
        <v>0</v>
      </c>
      <c r="P542" s="42" t="n">
        <v>7818</v>
      </c>
    </row>
    <row r="543" spans="1:16">
      <c r="A543" s="37" t="n">
        <v>553</v>
      </c>
      <c r="B543" s="38" t="s">
        <v>1778</v>
      </c>
      <c r="C543" s="39" t="s">
        <v>111</v>
      </c>
      <c r="D543" s="39" t="s">
        <v>20</v>
      </c>
      <c r="E543" s="39" t="s">
        <v>21</v>
      </c>
      <c r="F543" s="38" t="s">
        <v>1779</v>
      </c>
      <c r="G543" s="40" t="n">
        <v>0</v>
      </c>
      <c r="H543" s="122" t="s">
        <v>1781</v>
      </c>
      <c r="I543" s="41" t="n">
        <v>5486</v>
      </c>
      <c r="J543" s="41" t="n">
        <v>5486</v>
      </c>
      <c r="K543" s="41" t="n">
        <v>0</v>
      </c>
      <c r="L543" s="41" t="n">
        <v>0</v>
      </c>
      <c r="M543" s="41" t="n">
        <v>0</v>
      </c>
      <c r="N543" s="41" t="n">
        <v>0</v>
      </c>
      <c r="O543" s="41" t="n">
        <v>0</v>
      </c>
      <c r="P543" s="42" t="n">
        <v>5486</v>
      </c>
    </row>
    <row r="544" spans="1:16">
      <c r="A544" s="37" t="n">
        <v>554</v>
      </c>
      <c r="B544" s="38" t="s">
        <v>1782</v>
      </c>
      <c r="C544" s="39" t="s">
        <v>111</v>
      </c>
      <c r="D544" s="39" t="s">
        <v>20</v>
      </c>
      <c r="E544" s="39" t="s">
        <v>21</v>
      </c>
      <c r="F544" s="38" t="s">
        <v>1783</v>
      </c>
      <c r="G544" s="40" t="n">
        <v>0</v>
      </c>
      <c r="H544" s="122" t="s">
        <v>1784</v>
      </c>
      <c r="I544" s="41" t="n">
        <v>5486</v>
      </c>
      <c r="J544" s="41" t="n">
        <v>5486</v>
      </c>
      <c r="K544" s="41" t="n">
        <v>0</v>
      </c>
      <c r="L544" s="41" t="n">
        <v>0</v>
      </c>
      <c r="M544" s="41" t="n">
        <v>0</v>
      </c>
      <c r="N544" s="41" t="n">
        <v>0</v>
      </c>
      <c r="O544" s="41" t="n">
        <v>0</v>
      </c>
      <c r="P544" s="42" t="n">
        <v>5486</v>
      </c>
    </row>
    <row r="545" spans="1:16">
      <c r="A545" s="37" t="n">
        <v>555</v>
      </c>
      <c r="B545" s="38" t="s">
        <v>1785</v>
      </c>
      <c r="C545" s="39" t="s">
        <v>120</v>
      </c>
      <c r="D545" s="39" t="s">
        <v>128</v>
      </c>
      <c r="E545" s="39" t="s">
        <v>15</v>
      </c>
      <c r="F545" s="38" t="n">
        <v>0</v>
      </c>
      <c r="G545" s="40" t="n">
        <v>0</v>
      </c>
      <c r="H545" s="122" t="s">
        <v>1787</v>
      </c>
      <c r="I545" s="41" t="n">
        <v>3658</v>
      </c>
      <c r="J545" s="41" t="n">
        <v>3658</v>
      </c>
      <c r="K545" s="41" t="n">
        <v>0</v>
      </c>
      <c r="L545" s="41" t="n">
        <v>0</v>
      </c>
      <c r="M545" s="41" t="n">
        <v>0</v>
      </c>
      <c r="N545" s="41" t="n">
        <v>0</v>
      </c>
      <c r="O545" s="41" t="n">
        <v>0</v>
      </c>
      <c r="P545" s="42" t="n">
        <v>3658</v>
      </c>
    </row>
    <row r="546" spans="1:16">
      <c r="A546" s="37" t="n">
        <v>556</v>
      </c>
      <c r="B546" s="38" t="s">
        <v>1788</v>
      </c>
      <c r="C546" s="39" t="s">
        <v>120</v>
      </c>
      <c r="D546" s="39" t="s">
        <v>128</v>
      </c>
      <c r="E546" s="39" t="s">
        <v>15</v>
      </c>
      <c r="F546" s="38" t="n">
        <v>0</v>
      </c>
      <c r="G546" s="40" t="n">
        <v>0</v>
      </c>
      <c r="H546" s="122" t="s">
        <v>1789</v>
      </c>
      <c r="I546" s="41" t="n">
        <v>5486</v>
      </c>
      <c r="J546" s="41" t="n">
        <v>5486</v>
      </c>
      <c r="K546" s="41" t="n">
        <v>0</v>
      </c>
      <c r="L546" s="41" t="n">
        <v>0</v>
      </c>
      <c r="M546" s="41" t="n">
        <v>0</v>
      </c>
      <c r="N546" s="41" t="n">
        <v>0</v>
      </c>
      <c r="O546" s="41" t="n">
        <v>0</v>
      </c>
      <c r="P546" s="42" t="n">
        <v>5486</v>
      </c>
    </row>
    <row r="547" spans="1:16">
      <c r="A547" s="37" t="n">
        <v>557</v>
      </c>
      <c r="B547" s="38" t="s">
        <v>1790</v>
      </c>
      <c r="C547" s="39" t="s">
        <v>120</v>
      </c>
      <c r="D547" s="39" t="s">
        <v>278</v>
      </c>
      <c r="E547" s="39" t="s">
        <v>16</v>
      </c>
      <c r="F547" s="38" t="n">
        <v>0</v>
      </c>
      <c r="G547" s="40" t="n">
        <v>0</v>
      </c>
      <c r="H547" s="122" t="s">
        <v>1792</v>
      </c>
      <c r="I547" s="41" t="n">
        <v>4572</v>
      </c>
      <c r="J547" s="41" t="n">
        <v>4572</v>
      </c>
      <c r="K547" s="41" t="n">
        <v>0</v>
      </c>
      <c r="L547" s="41" t="n">
        <v>0</v>
      </c>
      <c r="M547" s="41" t="n">
        <v>0</v>
      </c>
      <c r="N547" s="41" t="n">
        <v>0</v>
      </c>
      <c r="O547" s="41" t="n">
        <v>0</v>
      </c>
      <c r="P547" s="42" t="n">
        <v>4572</v>
      </c>
    </row>
    <row r="548" spans="1:16">
      <c r="A548" s="37" t="n">
        <v>558</v>
      </c>
      <c r="B548" s="38" t="s">
        <v>1793</v>
      </c>
      <c r="C548" s="39" t="s">
        <v>120</v>
      </c>
      <c r="D548" s="39" t="s">
        <v>128</v>
      </c>
      <c r="E548" s="39" t="s">
        <v>15</v>
      </c>
      <c r="F548" s="38" t="n">
        <v>0</v>
      </c>
      <c r="G548" s="40" t="n">
        <v>0</v>
      </c>
      <c r="H548" s="122" t="s">
        <v>1794</v>
      </c>
      <c r="I548" s="41" t="n">
        <v>5486</v>
      </c>
      <c r="J548" s="41" t="n">
        <v>5486</v>
      </c>
      <c r="K548" s="41" t="n">
        <v>0</v>
      </c>
      <c r="L548" s="41" t="n">
        <v>0</v>
      </c>
      <c r="M548" s="41" t="n">
        <v>0</v>
      </c>
      <c r="N548" s="41" t="n">
        <v>0</v>
      </c>
      <c r="O548" s="41" t="n">
        <v>0</v>
      </c>
      <c r="P548" s="42" t="n">
        <v>5486</v>
      </c>
    </row>
    <row r="549" spans="1:16">
      <c r="A549" s="37" t="n">
        <v>559</v>
      </c>
      <c r="B549" s="38" t="s">
        <v>1795</v>
      </c>
      <c r="C549" s="39" t="s">
        <v>120</v>
      </c>
      <c r="D549" s="39" t="s">
        <v>128</v>
      </c>
      <c r="E549" s="39" t="s">
        <v>15</v>
      </c>
      <c r="F549" s="38" t="n">
        <v>0</v>
      </c>
      <c r="G549" s="40" t="n">
        <v>0</v>
      </c>
      <c r="H549" s="122" t="s">
        <v>1796</v>
      </c>
      <c r="I549" s="41" t="n">
        <v>5486</v>
      </c>
      <c r="J549" s="41" t="n">
        <v>5486</v>
      </c>
      <c r="K549" s="41" t="n">
        <v>0</v>
      </c>
      <c r="L549" s="41" t="n">
        <v>0</v>
      </c>
      <c r="M549" s="41" t="n">
        <v>0</v>
      </c>
      <c r="N549" s="41" t="n">
        <v>0</v>
      </c>
      <c r="O549" s="41" t="n">
        <v>0</v>
      </c>
      <c r="P549" s="42" t="n">
        <v>5486</v>
      </c>
    </row>
    <row r="550" spans="1:16">
      <c r="A550" s="37" t="n">
        <v>560</v>
      </c>
      <c r="B550" s="38" t="s">
        <v>1797</v>
      </c>
      <c r="C550" s="39" t="s">
        <v>120</v>
      </c>
      <c r="D550" s="39" t="s">
        <v>278</v>
      </c>
      <c r="E550" s="39" t="s">
        <v>16</v>
      </c>
      <c r="F550" s="38" t="n">
        <v>0</v>
      </c>
      <c r="G550" s="40" t="n">
        <v>0</v>
      </c>
      <c r="H550" s="122" t="s">
        <v>1798</v>
      </c>
      <c r="I550" s="41" t="n">
        <v>5486</v>
      </c>
      <c r="J550" s="41" t="n">
        <v>5486</v>
      </c>
      <c r="K550" s="41" t="n">
        <v>0</v>
      </c>
      <c r="L550" s="41" t="n">
        <v>0</v>
      </c>
      <c r="M550" s="41" t="n">
        <v>0</v>
      </c>
      <c r="N550" s="41" t="n">
        <v>0</v>
      </c>
      <c r="O550" s="41" t="n">
        <v>0</v>
      </c>
      <c r="P550" s="42" t="n">
        <v>5486</v>
      </c>
    </row>
    <row r="551" spans="1:16">
      <c r="A551" s="37" t="n">
        <v>561</v>
      </c>
      <c r="B551" s="38" t="s">
        <v>1799</v>
      </c>
      <c r="C551" s="39" t="s">
        <v>120</v>
      </c>
      <c r="D551" s="39" t="s">
        <v>278</v>
      </c>
      <c r="E551" s="39" t="s">
        <v>16</v>
      </c>
      <c r="F551" s="38" t="n">
        <v>0</v>
      </c>
      <c r="G551" s="40" t="n">
        <v>0</v>
      </c>
      <c r="H551" s="122" t="s">
        <v>1800</v>
      </c>
      <c r="I551" s="41" t="n">
        <v>4572</v>
      </c>
      <c r="J551" s="41" t="n">
        <v>4572</v>
      </c>
      <c r="K551" s="41" t="n">
        <v>0</v>
      </c>
      <c r="L551" s="41" t="n">
        <v>0</v>
      </c>
      <c r="M551" s="41" t="n">
        <v>0</v>
      </c>
      <c r="N551" s="41" t="n">
        <v>0</v>
      </c>
      <c r="O551" s="41" t="n">
        <v>0</v>
      </c>
      <c r="P551" s="42" t="n">
        <v>4572</v>
      </c>
    </row>
    <row r="552" spans="1:16">
      <c r="A552" s="37" t="n">
        <v>562</v>
      </c>
      <c r="B552" s="38" t="s">
        <v>1801</v>
      </c>
      <c r="C552" s="39" t="s">
        <v>95</v>
      </c>
      <c r="D552" s="39" t="s">
        <v>128</v>
      </c>
      <c r="E552" s="39" t="s">
        <v>15</v>
      </c>
      <c r="F552" s="38" t="n">
        <v>0</v>
      </c>
      <c r="G552" s="40" t="n">
        <v>0</v>
      </c>
      <c r="H552" s="122" t="s">
        <v>1802</v>
      </c>
      <c r="I552" s="41" t="n">
        <v>5486</v>
      </c>
      <c r="J552" s="41" t="n">
        <v>5486</v>
      </c>
      <c r="K552" s="41" t="n">
        <v>0</v>
      </c>
      <c r="L552" s="41" t="n">
        <v>0</v>
      </c>
      <c r="M552" s="41" t="n">
        <v>0</v>
      </c>
      <c r="N552" s="41" t="n">
        <v>0</v>
      </c>
      <c r="O552" s="41" t="n">
        <v>0</v>
      </c>
      <c r="P552" s="42" t="n">
        <v>5486</v>
      </c>
    </row>
    <row r="553" spans="1:16">
      <c r="A553" s="37" t="n">
        <v>563</v>
      </c>
      <c r="B553" s="38" t="s">
        <v>1803</v>
      </c>
      <c r="C553" s="39" t="s">
        <v>120</v>
      </c>
      <c r="D553" s="39" t="s">
        <v>128</v>
      </c>
      <c r="E553" s="39" t="s">
        <v>15</v>
      </c>
      <c r="F553" s="38" t="n">
        <v>0</v>
      </c>
      <c r="G553" s="40" t="n">
        <v>0</v>
      </c>
      <c r="H553" s="122" t="s">
        <v>1805</v>
      </c>
      <c r="I553" s="41" t="n">
        <v>5486</v>
      </c>
      <c r="J553" s="41" t="n">
        <v>5486</v>
      </c>
      <c r="K553" s="41" t="n">
        <v>0</v>
      </c>
      <c r="L553" s="41" t="n">
        <v>0</v>
      </c>
      <c r="M553" s="41" t="n">
        <v>0</v>
      </c>
      <c r="N553" s="41" t="n">
        <v>0</v>
      </c>
      <c r="O553" s="41" t="n">
        <v>0</v>
      </c>
      <c r="P553" s="42" t="n">
        <v>5486</v>
      </c>
    </row>
    <row r="554" spans="1:16">
      <c r="A554" s="37" t="n">
        <v>564</v>
      </c>
      <c r="B554" s="38" t="s">
        <v>1806</v>
      </c>
      <c r="C554" s="39" t="s">
        <v>95</v>
      </c>
      <c r="D554" s="39" t="s">
        <v>278</v>
      </c>
      <c r="E554" s="39" t="s">
        <v>16</v>
      </c>
      <c r="F554" s="38" t="n">
        <v>0</v>
      </c>
      <c r="G554" s="40" t="n">
        <v>0</v>
      </c>
      <c r="H554" s="122" t="s">
        <v>1807</v>
      </c>
      <c r="I554" s="41" t="n">
        <v>5486</v>
      </c>
      <c r="J554" s="41" t="n">
        <v>5486</v>
      </c>
      <c r="K554" s="41" t="n">
        <v>0</v>
      </c>
      <c r="L554" s="41" t="n">
        <v>0</v>
      </c>
      <c r="M554" s="41" t="n">
        <v>0</v>
      </c>
      <c r="N554" s="41" t="n">
        <v>0</v>
      </c>
      <c r="O554" s="41" t="n">
        <v>0</v>
      </c>
      <c r="P554" s="42" t="n">
        <v>5486</v>
      </c>
    </row>
    <row r="555" spans="1:16">
      <c r="A555" s="37" t="n">
        <v>565</v>
      </c>
      <c r="B555" s="38" t="s">
        <v>1808</v>
      </c>
      <c r="C555" s="39" t="s">
        <v>95</v>
      </c>
      <c r="D555" s="39" t="s">
        <v>124</v>
      </c>
      <c r="E555" s="39" t="s">
        <v>15</v>
      </c>
      <c r="F555" s="38" t="n">
        <v>0</v>
      </c>
      <c r="G555" s="40" t="n">
        <v>0</v>
      </c>
      <c r="H555" s="122" t="s">
        <v>1809</v>
      </c>
      <c r="I555" s="41" t="n">
        <v>5486</v>
      </c>
      <c r="J555" s="41" t="n">
        <v>5486</v>
      </c>
      <c r="K555" s="41" t="n">
        <v>0</v>
      </c>
      <c r="L555" s="41" t="n">
        <v>0</v>
      </c>
      <c r="M555" s="41" t="n">
        <v>0</v>
      </c>
      <c r="N555" s="41" t="n">
        <v>0</v>
      </c>
      <c r="O555" s="41" t="n">
        <v>0</v>
      </c>
      <c r="P555" s="42" t="n">
        <v>5486</v>
      </c>
    </row>
    <row r="556" spans="1:16">
      <c r="A556" s="37" t="n">
        <v>566</v>
      </c>
      <c r="B556" s="38" t="s">
        <v>1810</v>
      </c>
      <c r="C556" s="39" t="s">
        <v>95</v>
      </c>
      <c r="D556" s="39" t="s">
        <v>124</v>
      </c>
      <c r="E556" s="39" t="s">
        <v>15</v>
      </c>
      <c r="F556" s="38" t="n">
        <v>0</v>
      </c>
      <c r="G556" s="40" t="n">
        <v>0</v>
      </c>
      <c r="H556" s="122" t="s">
        <v>1811</v>
      </c>
      <c r="I556" s="41" t="n">
        <v>5486</v>
      </c>
      <c r="J556" s="41" t="n">
        <v>5486</v>
      </c>
      <c r="K556" s="41" t="n">
        <v>0</v>
      </c>
      <c r="L556" s="41" t="n">
        <v>0</v>
      </c>
      <c r="M556" s="41" t="n">
        <v>0</v>
      </c>
      <c r="N556" s="41" t="n">
        <v>0</v>
      </c>
      <c r="O556" s="41" t="n">
        <v>0</v>
      </c>
      <c r="P556" s="42" t="n">
        <v>5486</v>
      </c>
    </row>
    <row r="557" spans="1:16">
      <c r="A557" s="37" t="n">
        <v>567</v>
      </c>
      <c r="B557" s="38" t="s">
        <v>1812</v>
      </c>
      <c r="C557" s="39" t="s">
        <v>95</v>
      </c>
      <c r="D557" s="39" t="s">
        <v>128</v>
      </c>
      <c r="E557" s="39" t="s">
        <v>15</v>
      </c>
      <c r="F557" s="38" t="n">
        <v>0</v>
      </c>
      <c r="G557" s="122" t="s">
        <v>1625</v>
      </c>
      <c r="H557" s="122" t="s">
        <v>1813</v>
      </c>
      <c r="I557" s="41" t="n">
        <v>101727</v>
      </c>
      <c r="J557" s="41" t="n">
        <v>101727</v>
      </c>
      <c r="K557" s="41" t="n">
        <v>0</v>
      </c>
      <c r="L557" s="41" t="n">
        <v>0</v>
      </c>
      <c r="M557" s="41" t="n">
        <v>0</v>
      </c>
      <c r="N557" s="41" t="n">
        <v>0</v>
      </c>
      <c r="O557" s="41" t="n">
        <v>0</v>
      </c>
      <c r="P557" s="42" t="n">
        <v>101727</v>
      </c>
    </row>
    <row r="558" spans="1:16">
      <c r="A558" s="37" t="n">
        <v>568</v>
      </c>
      <c r="B558" s="38" t="s">
        <v>1814</v>
      </c>
      <c r="C558" s="39" t="s">
        <v>95</v>
      </c>
      <c r="D558" s="39" t="s">
        <v>278</v>
      </c>
      <c r="E558" s="39" t="s">
        <v>16</v>
      </c>
      <c r="F558" s="38" t="n">
        <v>0</v>
      </c>
      <c r="G558" s="122" t="s">
        <v>1625</v>
      </c>
      <c r="H558" s="122" t="s">
        <v>1816</v>
      </c>
      <c r="I558" s="41" t="n">
        <v>5486</v>
      </c>
      <c r="J558" s="41" t="n">
        <v>5486</v>
      </c>
      <c r="K558" s="41" t="n">
        <v>0</v>
      </c>
      <c r="L558" s="41" t="n">
        <v>0</v>
      </c>
      <c r="M558" s="41" t="n">
        <v>0</v>
      </c>
      <c r="N558" s="41" t="n">
        <v>0</v>
      </c>
      <c r="O558" s="41" t="n">
        <v>0</v>
      </c>
      <c r="P558" s="42" t="n">
        <v>5486</v>
      </c>
    </row>
    <row r="559" spans="1:16">
      <c r="A559" s="37" t="n">
        <v>569</v>
      </c>
      <c r="B559" s="38" t="s">
        <v>1817</v>
      </c>
      <c r="C559" s="39" t="s">
        <v>120</v>
      </c>
      <c r="D559" s="39" t="s">
        <v>128</v>
      </c>
      <c r="E559" s="39" t="s">
        <v>15</v>
      </c>
      <c r="F559" s="38" t="n">
        <v>0</v>
      </c>
      <c r="G559" s="122" t="s">
        <v>1632</v>
      </c>
      <c r="H559" s="122" t="s">
        <v>1819</v>
      </c>
      <c r="I559" s="41" t="n">
        <v>5486</v>
      </c>
      <c r="J559" s="41" t="n">
        <v>5486</v>
      </c>
      <c r="K559" s="41" t="n">
        <v>0</v>
      </c>
      <c r="L559" s="41" t="n">
        <v>0</v>
      </c>
      <c r="M559" s="41" t="n">
        <v>0</v>
      </c>
      <c r="N559" s="41" t="n">
        <v>0</v>
      </c>
      <c r="O559" s="41" t="n">
        <v>0</v>
      </c>
      <c r="P559" s="42" t="n">
        <v>5486</v>
      </c>
    </row>
    <row r="560" spans="1:16">
      <c r="A560" s="37" t="n">
        <v>570</v>
      </c>
      <c r="B560" s="38" t="s">
        <v>1924</v>
      </c>
      <c r="C560" s="39" t="s">
        <v>120</v>
      </c>
      <c r="D560" s="39" t="s">
        <v>278</v>
      </c>
      <c r="E560" s="39" t="s">
        <v>16</v>
      </c>
      <c r="F560" s="38" t="n">
        <v>0</v>
      </c>
      <c r="G560" s="122" t="s">
        <v>1635</v>
      </c>
      <c r="H560" s="122" t="s">
        <v>1925</v>
      </c>
      <c r="I560" s="41" t="n">
        <v>9387</v>
      </c>
      <c r="J560" s="41" t="n">
        <v>9387</v>
      </c>
      <c r="K560" s="41" t="n">
        <v>0</v>
      </c>
      <c r="L560" s="41" t="n">
        <v>0</v>
      </c>
      <c r="M560" s="41" t="n">
        <v>0</v>
      </c>
      <c r="N560" s="41" t="n">
        <v>0</v>
      </c>
      <c r="O560" s="41" t="n">
        <v>0</v>
      </c>
      <c r="P560" s="42" t="n">
        <v>9387</v>
      </c>
    </row>
    <row r="561" spans="1:16">
      <c r="A561" s="37" t="n">
        <v>571</v>
      </c>
      <c r="B561" s="38" t="s">
        <v>1926</v>
      </c>
      <c r="C561" s="39" t="s">
        <v>120</v>
      </c>
      <c r="D561" s="39" t="s">
        <v>128</v>
      </c>
      <c r="E561" s="39" t="s">
        <v>15</v>
      </c>
      <c r="F561" s="38" t="n">
        <v>0</v>
      </c>
      <c r="G561" s="122" t="s">
        <v>1639</v>
      </c>
      <c r="H561" s="122" t="s">
        <v>1927</v>
      </c>
      <c r="I561" s="41" t="n">
        <v>8473</v>
      </c>
      <c r="J561" s="41" t="n">
        <v>8473</v>
      </c>
      <c r="K561" s="41" t="n">
        <v>0</v>
      </c>
      <c r="L561" s="41" t="n">
        <v>0</v>
      </c>
      <c r="M561" s="41" t="n">
        <v>0</v>
      </c>
      <c r="N561" s="41" t="n">
        <v>0</v>
      </c>
      <c r="O561" s="41" t="n">
        <v>0</v>
      </c>
      <c r="P561" s="42" t="n">
        <v>8473</v>
      </c>
    </row>
    <row r="562" spans="1:16">
      <c r="A562" s="37" t="n">
        <v>572</v>
      </c>
      <c r="B562" s="38" t="s">
        <v>1928</v>
      </c>
      <c r="C562" s="39" t="s">
        <v>120</v>
      </c>
      <c r="D562" s="39" t="s">
        <v>2099</v>
      </c>
      <c r="E562" s="39" t="s">
        <v>15</v>
      </c>
      <c r="F562" s="38" t="n">
        <v>0</v>
      </c>
      <c r="G562" s="122" t="s">
        <v>1643</v>
      </c>
      <c r="H562" s="122" t="s">
        <v>1929</v>
      </c>
      <c r="I562" s="41" t="n">
        <v>38966</v>
      </c>
      <c r="J562" s="41" t="n">
        <v>38966</v>
      </c>
      <c r="K562" s="41" t="n">
        <v>0</v>
      </c>
      <c r="L562" s="41" t="n">
        <v>0</v>
      </c>
      <c r="M562" s="41" t="n">
        <v>0</v>
      </c>
      <c r="N562" s="41" t="n">
        <v>0</v>
      </c>
      <c r="O562" s="41" t="n">
        <v>0</v>
      </c>
      <c r="P562" s="42" t="n">
        <v>38966</v>
      </c>
    </row>
    <row r="563" spans="1:16">
      <c r="A563" s="37" t="n">
        <v>573</v>
      </c>
      <c r="B563" s="38" t="s">
        <v>1930</v>
      </c>
      <c r="C563" s="39" t="s">
        <v>120</v>
      </c>
      <c r="D563" s="39" t="s">
        <v>128</v>
      </c>
      <c r="E563" s="39" t="s">
        <v>15</v>
      </c>
      <c r="F563" s="38" t="n">
        <v>0</v>
      </c>
      <c r="G563" s="122" t="s">
        <v>1647</v>
      </c>
      <c r="H563" s="122" t="s">
        <v>1931</v>
      </c>
      <c r="I563" s="41" t="n">
        <v>98532</v>
      </c>
      <c r="J563" s="41" t="n">
        <v>98532</v>
      </c>
      <c r="K563" s="41" t="n">
        <v>0</v>
      </c>
      <c r="L563" s="41" t="n">
        <v>0</v>
      </c>
      <c r="M563" s="41" t="n">
        <v>0</v>
      </c>
      <c r="N563" s="41" t="n">
        <v>0</v>
      </c>
      <c r="O563" s="41" t="n">
        <v>0</v>
      </c>
      <c r="P563" s="42" t="n">
        <v>98532</v>
      </c>
    </row>
    <row r="564" spans="1:16">
      <c r="A564" s="37" t="n">
        <v>574</v>
      </c>
      <c r="B564" s="38" t="s">
        <v>1932</v>
      </c>
      <c r="C564" s="39" t="s">
        <v>120</v>
      </c>
      <c r="D564" s="39" t="s">
        <v>128</v>
      </c>
      <c r="E564" s="39" t="s">
        <v>15</v>
      </c>
      <c r="F564" s="38" t="n">
        <v>0</v>
      </c>
      <c r="G564" s="122" t="s">
        <v>1651</v>
      </c>
      <c r="H564" s="122" t="s">
        <v>1933</v>
      </c>
      <c r="I564" s="41" t="n">
        <v>39517</v>
      </c>
      <c r="J564" s="41" t="n">
        <v>39517</v>
      </c>
      <c r="K564" s="41" t="n">
        <v>0</v>
      </c>
      <c r="L564" s="41" t="n">
        <v>0</v>
      </c>
      <c r="M564" s="41" t="n">
        <v>0</v>
      </c>
      <c r="N564" s="41" t="n">
        <v>0</v>
      </c>
      <c r="O564" s="41" t="n">
        <v>0</v>
      </c>
      <c r="P564" s="42" t="n">
        <v>39517</v>
      </c>
    </row>
    <row r="565" spans="1:16">
      <c r="A565" s="37" t="n">
        <v>575</v>
      </c>
      <c r="B565" s="44" t="s">
        <v>455</v>
      </c>
      <c r="C565" s="39" t="s">
        <v>19</v>
      </c>
      <c r="D565" s="39" t="s">
        <v>20</v>
      </c>
      <c r="E565" s="39" t="s">
        <v>21</v>
      </c>
      <c r="F565" s="38" t="s">
        <v>456</v>
      </c>
      <c r="G565" s="122" t="s">
        <v>1655</v>
      </c>
      <c r="H565" s="122" t="s">
        <v>457</v>
      </c>
      <c r="I565" s="41" t="n">
        <v>412185</v>
      </c>
      <c r="J565" s="41" t="n">
        <v>412185</v>
      </c>
      <c r="K565" s="41" t="n">
        <v>0</v>
      </c>
      <c r="L565" s="41" t="n">
        <v>61828</v>
      </c>
      <c r="M565" s="41" t="n">
        <v>0</v>
      </c>
      <c r="N565" s="41" t="n">
        <v>0</v>
      </c>
      <c r="O565" s="41" t="n">
        <v>0</v>
      </c>
      <c r="P565" s="42" t="n">
        <v>350357</v>
      </c>
    </row>
    <row r="566" spans="1:16">
      <c r="A566" s="37" t="n">
        <v>576</v>
      </c>
      <c r="B566" s="38" t="s">
        <v>452</v>
      </c>
      <c r="C566" s="39" t="s">
        <v>19</v>
      </c>
      <c r="D566" s="39" t="s">
        <v>20</v>
      </c>
      <c r="E566" s="39" t="s">
        <v>21</v>
      </c>
      <c r="F566" s="38" t="s">
        <v>453</v>
      </c>
      <c r="G566" s="122" t="s">
        <v>1659</v>
      </c>
      <c r="H566" s="122" t="s">
        <v>454</v>
      </c>
      <c r="I566" s="41" t="n">
        <v>373562</v>
      </c>
      <c r="J566" s="41" t="n">
        <v>373562</v>
      </c>
      <c r="K566" s="41" t="n">
        <v>0</v>
      </c>
      <c r="L566" s="41" t="n">
        <v>56034</v>
      </c>
      <c r="M566" s="41" t="n">
        <v>0</v>
      </c>
      <c r="N566" s="41" t="n">
        <v>0</v>
      </c>
      <c r="O566" s="41" t="n">
        <v>0</v>
      </c>
      <c r="P566" s="42" t="n">
        <v>317528</v>
      </c>
    </row>
    <row r="567" spans="1:16">
      <c r="A567" s="37" t="n">
        <v>577</v>
      </c>
      <c r="B567" s="38" t="s">
        <v>1820</v>
      </c>
      <c r="C567" s="39" t="s">
        <v>19</v>
      </c>
      <c r="D567" s="39" t="s">
        <v>20</v>
      </c>
      <c r="E567" s="39" t="s">
        <v>21</v>
      </c>
      <c r="F567" s="38" t="s">
        <v>1821</v>
      </c>
      <c r="G567" s="122" t="s">
        <v>1663</v>
      </c>
      <c r="H567" s="122" t="s">
        <v>1823</v>
      </c>
      <c r="I567" s="41" t="n">
        <v>291244</v>
      </c>
      <c r="J567" s="41" t="n">
        <v>291244</v>
      </c>
      <c r="K567" s="41" t="n">
        <v>0</v>
      </c>
      <c r="L567" s="41" t="n">
        <v>43687</v>
      </c>
      <c r="M567" s="41" t="n">
        <v>0</v>
      </c>
      <c r="N567" s="41" t="n">
        <v>0</v>
      </c>
      <c r="O567" s="41" t="n">
        <v>0</v>
      </c>
      <c r="P567" s="42" t="n">
        <v>247557</v>
      </c>
    </row>
    <row r="568" spans="1:16">
      <c r="A568" s="37" t="n">
        <v>578</v>
      </c>
      <c r="B568" s="38" t="s">
        <v>1839</v>
      </c>
      <c r="C568" s="39" t="s">
        <v>131</v>
      </c>
      <c r="D568" s="39" t="s">
        <v>20</v>
      </c>
      <c r="E568" s="39" t="s">
        <v>21</v>
      </c>
      <c r="F568" s="38" t="s">
        <v>1840</v>
      </c>
      <c r="G568" s="122" t="s">
        <v>1667</v>
      </c>
      <c r="H568" s="122" t="s">
        <v>1842</v>
      </c>
      <c r="I568" s="41" t="n">
        <v>239294</v>
      </c>
      <c r="J568" s="41" t="n">
        <v>239294</v>
      </c>
      <c r="K568" s="41" t="n">
        <v>11965</v>
      </c>
      <c r="L568" s="41" t="n">
        <v>0</v>
      </c>
      <c r="M568" s="41" t="n">
        <v>0</v>
      </c>
      <c r="N568" s="41" t="n">
        <v>0</v>
      </c>
      <c r="O568" s="41" t="n">
        <v>0</v>
      </c>
      <c r="P568" s="42" t="n">
        <v>227329</v>
      </c>
    </row>
    <row r="569" spans="1:16">
      <c r="A569" s="37" t="n">
        <v>579</v>
      </c>
      <c r="B569" s="38" t="s">
        <v>1835</v>
      </c>
      <c r="C569" s="39" t="s">
        <v>131</v>
      </c>
      <c r="D569" s="39" t="s">
        <v>20</v>
      </c>
      <c r="E569" s="39" t="s">
        <v>21</v>
      </c>
      <c r="F569" s="38" t="s">
        <v>1836</v>
      </c>
      <c r="G569" s="122" t="s">
        <v>1670</v>
      </c>
      <c r="H569" s="122" t="s">
        <v>1838</v>
      </c>
      <c r="I569" s="41" t="n">
        <v>239294</v>
      </c>
      <c r="J569" s="41" t="n">
        <v>239294</v>
      </c>
      <c r="K569" s="41" t="n">
        <v>11965</v>
      </c>
      <c r="L569" s="41" t="n">
        <v>0</v>
      </c>
      <c r="M569" s="41" t="n">
        <v>0</v>
      </c>
      <c r="N569" s="41" t="n">
        <v>0</v>
      </c>
      <c r="O569" s="41" t="n">
        <v>0</v>
      </c>
      <c r="P569" s="42" t="n">
        <v>227329</v>
      </c>
    </row>
    <row r="570" spans="1:16">
      <c r="A570" s="37" t="n">
        <v>580</v>
      </c>
      <c r="B570" s="38" t="s">
        <v>1843</v>
      </c>
      <c r="C570" s="39" t="s">
        <v>58</v>
      </c>
      <c r="D570" s="39" t="s">
        <v>20</v>
      </c>
      <c r="E570" s="39" t="s">
        <v>21</v>
      </c>
      <c r="F570" s="38" t="s">
        <v>1844</v>
      </c>
      <c r="G570" s="122" t="s">
        <v>1673</v>
      </c>
      <c r="H570" s="122" t="s">
        <v>1846</v>
      </c>
      <c r="I570" s="41" t="n">
        <v>239294</v>
      </c>
      <c r="J570" s="41" t="n">
        <v>239294</v>
      </c>
      <c r="K570" s="41" t="n">
        <v>11965</v>
      </c>
      <c r="L570" s="41" t="n">
        <v>0</v>
      </c>
      <c r="M570" s="41" t="n">
        <v>0</v>
      </c>
      <c r="N570" s="41" t="n">
        <v>0</v>
      </c>
      <c r="O570" s="41" t="n">
        <v>0</v>
      </c>
      <c r="P570" s="42" t="n">
        <v>227329</v>
      </c>
    </row>
    <row r="571" spans="1:16">
      <c r="A571" s="37" t="n">
        <v>581</v>
      </c>
      <c r="B571" s="38" t="s">
        <v>1850</v>
      </c>
      <c r="C571" s="39" t="s">
        <v>95</v>
      </c>
      <c r="D571" s="39" t="s">
        <v>121</v>
      </c>
      <c r="E571" s="39" t="s">
        <v>14</v>
      </c>
      <c r="F571" s="38" t="n">
        <v>0</v>
      </c>
      <c r="G571" s="122" t="s">
        <v>1676</v>
      </c>
      <c r="H571" s="122" t="s">
        <v>1852</v>
      </c>
      <c r="I571" s="41" t="n">
        <v>196144</v>
      </c>
      <c r="J571" s="41" t="n">
        <v>196144</v>
      </c>
      <c r="K571" s="41" t="n">
        <v>0</v>
      </c>
      <c r="L571" s="41" t="n">
        <v>0</v>
      </c>
      <c r="M571" s="41" t="n">
        <v>0</v>
      </c>
      <c r="N571" s="41" t="n">
        <v>0</v>
      </c>
      <c r="O571" s="41" t="n">
        <v>0</v>
      </c>
      <c r="P571" s="42" t="n">
        <v>196144</v>
      </c>
    </row>
    <row r="572" spans="1:16">
      <c r="A572" s="37" t="n">
        <v>582</v>
      </c>
      <c r="B572" s="38" t="s">
        <v>1847</v>
      </c>
      <c r="C572" s="39" t="s">
        <v>58</v>
      </c>
      <c r="D572" s="39" t="s">
        <v>20</v>
      </c>
      <c r="E572" s="39" t="s">
        <v>21</v>
      </c>
      <c r="F572" s="38" t="s">
        <v>1848</v>
      </c>
      <c r="G572" s="122" t="s">
        <v>1679</v>
      </c>
      <c r="H572" s="122" t="s">
        <v>1849</v>
      </c>
      <c r="I572" s="41" t="n">
        <v>239294</v>
      </c>
      <c r="J572" s="41" t="n">
        <v>239294</v>
      </c>
      <c r="K572" s="41" t="n">
        <v>11965</v>
      </c>
      <c r="L572" s="41" t="n">
        <v>0</v>
      </c>
      <c r="M572" s="41" t="n">
        <v>0</v>
      </c>
      <c r="N572" s="41" t="n">
        <v>0</v>
      </c>
      <c r="O572" s="41" t="n">
        <v>0</v>
      </c>
      <c r="P572" s="42" t="n">
        <v>227329</v>
      </c>
    </row>
    <row r="573" spans="1:16">
      <c r="A573" s="37" t="n">
        <v>583</v>
      </c>
      <c r="B573" s="38" t="s">
        <v>1824</v>
      </c>
      <c r="C573" s="39" t="s">
        <v>58</v>
      </c>
      <c r="D573" s="39" t="s">
        <v>20</v>
      </c>
      <c r="E573" s="39" t="s">
        <v>21</v>
      </c>
      <c r="F573" s="38" t="s">
        <v>1825</v>
      </c>
      <c r="G573" s="122" t="s">
        <v>1683</v>
      </c>
      <c r="H573" s="122" t="s">
        <v>1826</v>
      </c>
      <c r="I573" s="41" t="n">
        <v>239294</v>
      </c>
      <c r="J573" s="41" t="n">
        <v>239294</v>
      </c>
      <c r="K573" s="41" t="n">
        <v>11965</v>
      </c>
      <c r="L573" s="41" t="n">
        <v>0</v>
      </c>
      <c r="M573" s="41" t="n">
        <v>0</v>
      </c>
      <c r="N573" s="41" t="n">
        <v>0</v>
      </c>
      <c r="O573" s="41" t="n">
        <v>0</v>
      </c>
      <c r="P573" s="42" t="n">
        <v>227329</v>
      </c>
    </row>
    <row r="574" spans="1:16">
      <c r="A574" s="37" t="n">
        <v>584</v>
      </c>
      <c r="B574" s="38" t="s">
        <v>1827</v>
      </c>
      <c r="C574" s="39" t="s">
        <v>58</v>
      </c>
      <c r="D574" s="39" t="s">
        <v>20</v>
      </c>
      <c r="E574" s="39" t="s">
        <v>21</v>
      </c>
      <c r="F574" s="38" t="s">
        <v>1828</v>
      </c>
      <c r="G574" s="122" t="s">
        <v>1686</v>
      </c>
      <c r="H574" s="122" t="s">
        <v>1830</v>
      </c>
      <c r="I574" s="41" t="n">
        <v>239294</v>
      </c>
      <c r="J574" s="41" t="n">
        <v>239294</v>
      </c>
      <c r="K574" s="41" t="n">
        <v>11965</v>
      </c>
      <c r="L574" s="41" t="n">
        <v>0</v>
      </c>
      <c r="M574" s="41" t="n">
        <v>0</v>
      </c>
      <c r="N574" s="41" t="n">
        <v>0</v>
      </c>
      <c r="O574" s="41" t="n">
        <v>0</v>
      </c>
      <c r="P574" s="42" t="n">
        <v>227329</v>
      </c>
    </row>
    <row r="575" spans="1:16">
      <c r="A575" s="37" t="n">
        <v>585</v>
      </c>
      <c r="B575" s="38" t="s">
        <v>1853</v>
      </c>
      <c r="C575" s="39" t="s">
        <v>58</v>
      </c>
      <c r="D575" s="39" t="s">
        <v>20</v>
      </c>
      <c r="E575" s="39" t="s">
        <v>21</v>
      </c>
      <c r="F575" s="38" t="s">
        <v>1854</v>
      </c>
      <c r="G575" s="122" t="s">
        <v>1689</v>
      </c>
      <c r="H575" s="122" t="s">
        <v>1855</v>
      </c>
      <c r="I575" s="41" t="n">
        <v>219130</v>
      </c>
      <c r="J575" s="41" t="n">
        <v>219130</v>
      </c>
      <c r="K575" s="41" t="n">
        <v>10957</v>
      </c>
      <c r="L575" s="41" t="n">
        <v>0</v>
      </c>
      <c r="M575" s="41" t="n">
        <v>0</v>
      </c>
      <c r="N575" s="41" t="n">
        <v>0</v>
      </c>
      <c r="O575" s="41" t="n">
        <v>0</v>
      </c>
      <c r="P575" s="42" t="n">
        <v>208173</v>
      </c>
    </row>
    <row r="576" spans="1:16">
      <c r="A576" s="37" t="n">
        <v>586</v>
      </c>
      <c r="B576" s="38" t="s">
        <v>1831</v>
      </c>
      <c r="C576" s="39" t="s">
        <v>58</v>
      </c>
      <c r="D576" s="39" t="s">
        <v>20</v>
      </c>
      <c r="E576" s="39" t="s">
        <v>21</v>
      </c>
      <c r="F576" s="38" t="s">
        <v>1832</v>
      </c>
      <c r="G576" s="122" t="s">
        <v>1693</v>
      </c>
      <c r="H576" s="122" t="s">
        <v>1834</v>
      </c>
      <c r="I576" s="41" t="n">
        <v>238380</v>
      </c>
      <c r="J576" s="41" t="n">
        <v>238380</v>
      </c>
      <c r="K576" s="41" t="n">
        <v>11919</v>
      </c>
      <c r="L576" s="41" t="n">
        <v>0</v>
      </c>
      <c r="M576" s="41" t="n">
        <v>0</v>
      </c>
      <c r="N576" s="41" t="n">
        <v>0</v>
      </c>
      <c r="O576" s="41" t="n">
        <v>0</v>
      </c>
      <c r="P576" s="42" t="n">
        <v>226461</v>
      </c>
    </row>
    <row r="577" spans="1:16">
      <c r="A577" s="37" t="n">
        <v>587</v>
      </c>
      <c r="B577" s="38" t="s">
        <v>1856</v>
      </c>
      <c r="C577" s="39" t="s">
        <v>58</v>
      </c>
      <c r="D577" s="39" t="s">
        <v>20</v>
      </c>
      <c r="E577" s="39" t="s">
        <v>21</v>
      </c>
      <c r="F577" s="38" t="s">
        <v>1857</v>
      </c>
      <c r="G577" s="122" t="s">
        <v>1696</v>
      </c>
      <c r="H577" s="122" t="s">
        <v>1858</v>
      </c>
      <c r="I577" s="41" t="n">
        <v>193315</v>
      </c>
      <c r="J577" s="41" t="n">
        <v>193315</v>
      </c>
      <c r="K577" s="41" t="n">
        <v>9666</v>
      </c>
      <c r="L577" s="41" t="n">
        <v>0</v>
      </c>
      <c r="M577" s="41" t="n">
        <v>0</v>
      </c>
      <c r="N577" s="41" t="n">
        <v>0</v>
      </c>
      <c r="O577" s="41" t="n">
        <v>0</v>
      </c>
      <c r="P577" s="42" t="n">
        <v>183649</v>
      </c>
    </row>
    <row r="578" spans="1:16">
      <c r="A578" s="37" t="n">
        <v>588</v>
      </c>
      <c r="B578" s="38" t="s">
        <v>1859</v>
      </c>
      <c r="C578" s="39" t="s">
        <v>58</v>
      </c>
      <c r="D578" s="39" t="s">
        <v>20</v>
      </c>
      <c r="E578" s="39" t="s">
        <v>21</v>
      </c>
      <c r="F578" s="38" t="s">
        <v>1860</v>
      </c>
      <c r="G578" s="122" t="s">
        <v>1700</v>
      </c>
      <c r="H578" s="122" t="s">
        <v>1861</v>
      </c>
      <c r="I578" s="41" t="n">
        <v>177315</v>
      </c>
      <c r="J578" s="41" t="n">
        <v>177315</v>
      </c>
      <c r="K578" s="41" t="n">
        <v>8866</v>
      </c>
      <c r="L578" s="41" t="n">
        <v>0</v>
      </c>
      <c r="M578" s="41" t="n">
        <v>0</v>
      </c>
      <c r="N578" s="41" t="n">
        <v>0</v>
      </c>
      <c r="O578" s="41" t="n">
        <v>0</v>
      </c>
      <c r="P578" s="42" t="n">
        <v>168449</v>
      </c>
    </row>
    <row r="579" spans="1:16">
      <c r="A579" s="37" t="n">
        <v>589</v>
      </c>
      <c r="B579" s="38" t="s">
        <v>1866</v>
      </c>
      <c r="C579" s="39" t="s">
        <v>58</v>
      </c>
      <c r="D579" s="39" t="s">
        <v>20</v>
      </c>
      <c r="E579" s="39" t="s">
        <v>21</v>
      </c>
      <c r="F579" s="38" t="s">
        <v>1867</v>
      </c>
      <c r="G579" s="122" t="s">
        <v>1704</v>
      </c>
      <c r="H579" s="122" t="s">
        <v>1869</v>
      </c>
      <c r="I579" s="41" t="n">
        <v>177315</v>
      </c>
      <c r="J579" s="41" t="n">
        <v>177315</v>
      </c>
      <c r="K579" s="41" t="n">
        <v>8866</v>
      </c>
      <c r="L579" s="41" t="n">
        <v>0</v>
      </c>
      <c r="M579" s="41" t="n">
        <v>0</v>
      </c>
      <c r="N579" s="41" t="n">
        <v>0</v>
      </c>
      <c r="O579" s="41" t="n">
        <v>0</v>
      </c>
      <c r="P579" s="42" t="n">
        <v>168449</v>
      </c>
    </row>
    <row r="580" spans="1:16">
      <c r="A580" s="37" t="n">
        <v>590</v>
      </c>
      <c r="B580" s="38" t="s">
        <v>555</v>
      </c>
      <c r="C580" s="39" t="s">
        <v>58</v>
      </c>
      <c r="D580" s="39" t="s">
        <v>20</v>
      </c>
      <c r="E580" s="39" t="s">
        <v>21</v>
      </c>
      <c r="F580" s="38" t="s">
        <v>556</v>
      </c>
      <c r="G580" s="122" t="s">
        <v>1708</v>
      </c>
      <c r="H580" s="122" t="s">
        <v>557</v>
      </c>
      <c r="I580" s="41" t="n">
        <v>162230</v>
      </c>
      <c r="J580" s="41" t="n">
        <v>162230</v>
      </c>
      <c r="K580" s="41" t="n">
        <v>8112</v>
      </c>
      <c r="L580" s="41" t="n">
        <v>0</v>
      </c>
      <c r="M580" s="41" t="n">
        <v>0</v>
      </c>
      <c r="N580" s="41" t="n">
        <v>0</v>
      </c>
      <c r="O580" s="41" t="n">
        <v>0</v>
      </c>
      <c r="P580" s="42" t="n">
        <v>154118</v>
      </c>
    </row>
    <row r="581" spans="1:16">
      <c r="A581" s="37" t="n">
        <v>591</v>
      </c>
      <c r="B581" s="38" t="s">
        <v>565</v>
      </c>
      <c r="C581" s="39" t="s">
        <v>111</v>
      </c>
      <c r="D581" s="39" t="s">
        <v>20</v>
      </c>
      <c r="E581" s="39" t="s">
        <v>21</v>
      </c>
      <c r="F581" s="38" t="s">
        <v>566</v>
      </c>
      <c r="G581" s="122" t="s">
        <v>1712</v>
      </c>
      <c r="H581" s="122" t="s">
        <v>567</v>
      </c>
      <c r="I581" s="41" t="n">
        <v>155236</v>
      </c>
      <c r="J581" s="41" t="n">
        <v>155236</v>
      </c>
      <c r="K581" s="41" t="n">
        <v>0</v>
      </c>
      <c r="L581" s="41" t="n">
        <v>0</v>
      </c>
      <c r="M581" s="41" t="n">
        <v>0</v>
      </c>
      <c r="N581" s="41" t="n">
        <v>0</v>
      </c>
      <c r="O581" s="41" t="n">
        <v>0</v>
      </c>
      <c r="P581" s="42" t="n">
        <v>155236</v>
      </c>
    </row>
    <row r="582" spans="1:16">
      <c r="A582" s="37" t="n">
        <v>592</v>
      </c>
      <c r="B582" s="38" t="s">
        <v>551</v>
      </c>
      <c r="C582" s="39" t="s">
        <v>111</v>
      </c>
      <c r="D582" s="39" t="s">
        <v>20</v>
      </c>
      <c r="E582" s="39" t="s">
        <v>21</v>
      </c>
      <c r="F582" s="38" t="s">
        <v>552</v>
      </c>
      <c r="G582" s="122" t="s">
        <v>1716</v>
      </c>
      <c r="H582" s="122" t="s">
        <v>554</v>
      </c>
      <c r="I582" s="41" t="n">
        <v>160830</v>
      </c>
      <c r="J582" s="41" t="n">
        <v>160830</v>
      </c>
      <c r="K582" s="41" t="n">
        <v>0</v>
      </c>
      <c r="L582" s="41" t="n">
        <v>0</v>
      </c>
      <c r="M582" s="41" t="n">
        <v>0</v>
      </c>
      <c r="N582" s="41" t="n">
        <v>0</v>
      </c>
      <c r="O582" s="41" t="n">
        <v>0</v>
      </c>
      <c r="P582" s="42" t="n">
        <v>160830</v>
      </c>
    </row>
    <row r="583" spans="1:16">
      <c r="A583" s="37" t="n">
        <v>593</v>
      </c>
      <c r="B583" s="38" t="s">
        <v>1862</v>
      </c>
      <c r="C583" s="39" t="s">
        <v>58</v>
      </c>
      <c r="D583" s="39" t="s">
        <v>20</v>
      </c>
      <c r="E583" s="39" t="s">
        <v>21</v>
      </c>
      <c r="F583" s="38" t="s">
        <v>1863</v>
      </c>
      <c r="G583" s="40" t="n">
        <v>0</v>
      </c>
      <c r="H583" s="122" t="s">
        <v>1865</v>
      </c>
      <c r="I583" s="41" t="n">
        <v>163265</v>
      </c>
      <c r="J583" s="41" t="n">
        <v>163265</v>
      </c>
      <c r="K583" s="41" t="n">
        <v>8163</v>
      </c>
      <c r="L583" s="41" t="n">
        <v>0</v>
      </c>
      <c r="M583" s="41" t="n">
        <v>0</v>
      </c>
      <c r="N583" s="41" t="n">
        <v>0</v>
      </c>
      <c r="O583" s="41" t="n">
        <v>0</v>
      </c>
      <c r="P583" s="42" t="n">
        <v>155102</v>
      </c>
    </row>
    <row r="584" spans="1:16">
      <c r="A584" s="37" t="n">
        <v>594</v>
      </c>
      <c r="B584" s="38" t="s">
        <v>1885</v>
      </c>
      <c r="C584" s="39" t="s">
        <v>111</v>
      </c>
      <c r="D584" s="39" t="s">
        <v>20</v>
      </c>
      <c r="E584" s="39" t="s">
        <v>21</v>
      </c>
      <c r="F584" s="38" t="s">
        <v>1886</v>
      </c>
      <c r="G584" s="40" t="n">
        <v>0</v>
      </c>
      <c r="H584" s="122" t="s">
        <v>1887</v>
      </c>
      <c r="I584" s="41" t="n">
        <v>159015</v>
      </c>
      <c r="J584" s="41" t="n">
        <v>159015</v>
      </c>
      <c r="K584" s="41" t="n">
        <v>0</v>
      </c>
      <c r="L584" s="41" t="n">
        <v>0</v>
      </c>
      <c r="M584" s="41" t="n">
        <v>0</v>
      </c>
      <c r="N584" s="41" t="n">
        <v>0</v>
      </c>
      <c r="O584" s="41" t="n">
        <v>0</v>
      </c>
      <c r="P584" s="42" t="n">
        <v>159015</v>
      </c>
    </row>
    <row r="585" spans="1:16">
      <c r="A585" s="37" t="n">
        <v>595</v>
      </c>
      <c r="B585" s="38" t="s">
        <v>1870</v>
      </c>
      <c r="C585" s="39" t="s">
        <v>111</v>
      </c>
      <c r="D585" s="39" t="s">
        <v>20</v>
      </c>
      <c r="E585" s="39" t="s">
        <v>21</v>
      </c>
      <c r="F585" s="38" t="s">
        <v>1871</v>
      </c>
      <c r="G585" s="40" t="n">
        <v>0</v>
      </c>
      <c r="H585" s="122" t="s">
        <v>1873</v>
      </c>
      <c r="I585" s="41" t="n">
        <v>159015</v>
      </c>
      <c r="J585" s="41" t="n">
        <v>159015</v>
      </c>
      <c r="K585" s="41" t="n">
        <v>0</v>
      </c>
      <c r="L585" s="41" t="n">
        <v>0</v>
      </c>
      <c r="M585" s="41" t="n">
        <v>0</v>
      </c>
      <c r="N585" s="41" t="n">
        <v>0</v>
      </c>
      <c r="O585" s="41" t="n">
        <v>0</v>
      </c>
      <c r="P585" s="42" t="n">
        <v>159015</v>
      </c>
    </row>
    <row r="586" spans="1:16">
      <c r="A586" s="37" t="n">
        <v>596</v>
      </c>
      <c r="B586" s="38" t="s">
        <v>1874</v>
      </c>
      <c r="C586" s="39" t="s">
        <v>111</v>
      </c>
      <c r="D586" s="39" t="s">
        <v>20</v>
      </c>
      <c r="E586" s="39" t="s">
        <v>21</v>
      </c>
      <c r="F586" s="38" t="s">
        <v>1875</v>
      </c>
      <c r="G586" s="40" t="n">
        <v>0</v>
      </c>
      <c r="H586" s="122" t="s">
        <v>1877</v>
      </c>
      <c r="I586" s="41" t="n">
        <v>159015</v>
      </c>
      <c r="J586" s="41" t="n">
        <v>159015</v>
      </c>
      <c r="K586" s="41" t="n">
        <v>0</v>
      </c>
      <c r="L586" s="41" t="n">
        <v>0</v>
      </c>
      <c r="M586" s="41" t="n">
        <v>0</v>
      </c>
      <c r="N586" s="41" t="n">
        <v>0</v>
      </c>
      <c r="O586" s="41" t="n">
        <v>0</v>
      </c>
      <c r="P586" s="42" t="n">
        <v>159015</v>
      </c>
    </row>
    <row r="587" spans="1:16">
      <c r="A587" s="37" t="n">
        <v>597</v>
      </c>
      <c r="B587" s="38" t="s">
        <v>1882</v>
      </c>
      <c r="C587" s="39" t="s">
        <v>111</v>
      </c>
      <c r="D587" s="39" t="s">
        <v>20</v>
      </c>
      <c r="E587" s="39" t="s">
        <v>21</v>
      </c>
      <c r="F587" s="38" t="s">
        <v>1883</v>
      </c>
      <c r="G587" s="40" t="n">
        <v>0</v>
      </c>
      <c r="H587" s="122" t="s">
        <v>1884</v>
      </c>
      <c r="I587" s="41" t="n">
        <v>159015</v>
      </c>
      <c r="J587" s="41" t="n">
        <v>159015</v>
      </c>
      <c r="K587" s="41" t="n">
        <v>0</v>
      </c>
      <c r="L587" s="41" t="n">
        <v>0</v>
      </c>
      <c r="M587" s="41" t="n">
        <v>0</v>
      </c>
      <c r="N587" s="41" t="n">
        <v>0</v>
      </c>
      <c r="O587" s="41" t="n">
        <v>0</v>
      </c>
      <c r="P587" s="42" t="n">
        <v>159015</v>
      </c>
    </row>
    <row r="588" spans="1:16">
      <c r="A588" s="37" t="n">
        <v>598</v>
      </c>
      <c r="B588" s="38" t="s">
        <v>1878</v>
      </c>
      <c r="C588" s="39" t="s">
        <v>111</v>
      </c>
      <c r="D588" s="39" t="s">
        <v>20</v>
      </c>
      <c r="E588" s="39" t="s">
        <v>21</v>
      </c>
      <c r="F588" s="38" t="s">
        <v>1879</v>
      </c>
      <c r="G588" s="40" t="n">
        <v>0</v>
      </c>
      <c r="H588" s="122" t="s">
        <v>1881</v>
      </c>
      <c r="I588" s="41" t="n">
        <v>159015</v>
      </c>
      <c r="J588" s="41" t="n">
        <v>159015</v>
      </c>
      <c r="K588" s="41" t="n">
        <v>0</v>
      </c>
      <c r="L588" s="41" t="n">
        <v>0</v>
      </c>
      <c r="M588" s="41" t="n">
        <v>0</v>
      </c>
      <c r="N588" s="41" t="n">
        <v>0</v>
      </c>
      <c r="O588" s="41" t="n">
        <v>0</v>
      </c>
      <c r="P588" s="42" t="n">
        <v>159015</v>
      </c>
    </row>
    <row r="589" spans="1:16">
      <c r="A589" s="37" t="n">
        <v>599</v>
      </c>
      <c r="B589" s="38" t="s">
        <v>2100</v>
      </c>
      <c r="C589" s="39" t="s">
        <v>283</v>
      </c>
      <c r="D589" s="39" t="s">
        <v>20</v>
      </c>
      <c r="E589" s="39" t="s">
        <v>21</v>
      </c>
      <c r="F589" s="38" t="n">
        <v>0</v>
      </c>
      <c r="G589" s="40" t="n">
        <v>0</v>
      </c>
      <c r="H589" s="122" t="s">
        <v>1889</v>
      </c>
      <c r="I589" s="41" t="n">
        <v>158636</v>
      </c>
      <c r="J589" s="41" t="n">
        <v>158636</v>
      </c>
      <c r="K589" s="41" t="n">
        <v>0</v>
      </c>
      <c r="L589" s="41" t="n">
        <v>0</v>
      </c>
      <c r="M589" s="41" t="n">
        <v>0</v>
      </c>
      <c r="N589" s="41" t="n">
        <v>0</v>
      </c>
      <c r="O589" s="41" t="n">
        <v>0</v>
      </c>
      <c r="P589" s="42" t="n">
        <v>158636</v>
      </c>
    </row>
    <row r="590" spans="1:16">
      <c r="A590" s="37" t="n">
        <v>600</v>
      </c>
      <c r="B590" s="38" t="s">
        <v>2101</v>
      </c>
      <c r="C590" s="39" t="s">
        <v>283</v>
      </c>
      <c r="D590" s="39" t="s">
        <v>20</v>
      </c>
      <c r="E590" s="39" t="s">
        <v>21</v>
      </c>
      <c r="F590" s="38" t="n">
        <v>0</v>
      </c>
      <c r="G590" s="40" t="n">
        <v>0</v>
      </c>
      <c r="H590" s="122" t="s">
        <v>1895</v>
      </c>
      <c r="I590" s="41" t="n">
        <v>158636</v>
      </c>
      <c r="J590" s="41" t="n">
        <v>158636</v>
      </c>
      <c r="K590" s="41" t="n">
        <v>0</v>
      </c>
      <c r="L590" s="41" t="n">
        <v>0</v>
      </c>
      <c r="M590" s="41" t="n">
        <v>0</v>
      </c>
      <c r="N590" s="41" t="n">
        <v>0</v>
      </c>
      <c r="O590" s="41" t="n">
        <v>0</v>
      </c>
      <c r="P590" s="42" t="n">
        <v>158636</v>
      </c>
    </row>
    <row r="591" spans="1:16">
      <c r="A591" s="37" t="n">
        <v>601</v>
      </c>
      <c r="B591" s="38" t="s">
        <v>1890</v>
      </c>
      <c r="C591" s="39" t="s">
        <v>283</v>
      </c>
      <c r="D591" s="39" t="s">
        <v>20</v>
      </c>
      <c r="E591" s="39" t="s">
        <v>21</v>
      </c>
      <c r="F591" s="38" t="n">
        <v>0</v>
      </c>
      <c r="G591" s="40" t="n">
        <v>0</v>
      </c>
      <c r="H591" s="122" t="s">
        <v>1891</v>
      </c>
      <c r="I591" s="41" t="n">
        <v>160465</v>
      </c>
      <c r="J591" s="41" t="n">
        <v>160465</v>
      </c>
      <c r="K591" s="41" t="n">
        <v>0</v>
      </c>
      <c r="L591" s="41" t="n">
        <v>0</v>
      </c>
      <c r="M591" s="41" t="n">
        <v>0</v>
      </c>
      <c r="N591" s="41" t="n">
        <v>0</v>
      </c>
      <c r="O591" s="41" t="n">
        <v>0</v>
      </c>
      <c r="P591" s="42" t="n">
        <v>160465</v>
      </c>
    </row>
    <row r="592" spans="1:16">
      <c r="A592" s="37" t="n">
        <v>602</v>
      </c>
      <c r="B592" s="38" t="s">
        <v>561</v>
      </c>
      <c r="C592" s="39" t="s">
        <v>120</v>
      </c>
      <c r="D592" s="39" t="s">
        <v>137</v>
      </c>
      <c r="E592" s="39" t="s">
        <v>14</v>
      </c>
      <c r="F592" s="38" t="n">
        <v>0</v>
      </c>
      <c r="G592" s="40" t="n">
        <v>0</v>
      </c>
      <c r="H592" s="122" t="s">
        <v>562</v>
      </c>
      <c r="I592" s="41" t="n">
        <v>129186</v>
      </c>
      <c r="J592" s="41" t="n">
        <v>129186</v>
      </c>
      <c r="K592" s="41" t="n">
        <v>0</v>
      </c>
      <c r="L592" s="41" t="n">
        <v>0</v>
      </c>
      <c r="M592" s="41" t="n">
        <v>0</v>
      </c>
      <c r="N592" s="41" t="n">
        <v>0</v>
      </c>
      <c r="O592" s="41" t="n">
        <v>0</v>
      </c>
      <c r="P592" s="42" t="n">
        <v>129186</v>
      </c>
    </row>
    <row r="593" spans="1:16">
      <c r="A593" s="37" t="n">
        <v>603</v>
      </c>
      <c r="B593" s="38" t="s">
        <v>558</v>
      </c>
      <c r="C593" s="39" t="s">
        <v>120</v>
      </c>
      <c r="D593" s="39" t="s">
        <v>128</v>
      </c>
      <c r="E593" s="39" t="s">
        <v>15</v>
      </c>
      <c r="F593" s="38" t="n">
        <v>0</v>
      </c>
      <c r="G593" s="40" t="n">
        <v>0</v>
      </c>
      <c r="H593" s="122" t="s">
        <v>560</v>
      </c>
      <c r="I593" s="41" t="n">
        <v>129186</v>
      </c>
      <c r="J593" s="41" t="n">
        <v>129186</v>
      </c>
      <c r="K593" s="41" t="n">
        <v>0</v>
      </c>
      <c r="L593" s="41" t="n">
        <v>0</v>
      </c>
      <c r="M593" s="41" t="n">
        <v>0</v>
      </c>
      <c r="N593" s="41" t="n">
        <v>0</v>
      </c>
      <c r="O593" s="41" t="n">
        <v>0</v>
      </c>
      <c r="P593" s="42" t="n">
        <v>129186</v>
      </c>
    </row>
    <row r="594" spans="1:16">
      <c r="A594" s="37" t="n">
        <v>604</v>
      </c>
      <c r="B594" s="38" t="s">
        <v>1892</v>
      </c>
      <c r="C594" s="39" t="s">
        <v>283</v>
      </c>
      <c r="D594" s="39" t="s">
        <v>20</v>
      </c>
      <c r="E594" s="39" t="s">
        <v>21</v>
      </c>
      <c r="F594" s="38" t="n">
        <v>0</v>
      </c>
      <c r="G594" s="40" t="n">
        <v>0</v>
      </c>
      <c r="H594" s="122" t="s">
        <v>1893</v>
      </c>
      <c r="I594" s="41" t="n">
        <v>160465</v>
      </c>
      <c r="J594" s="41" t="n">
        <v>160465</v>
      </c>
      <c r="K594" s="41" t="n">
        <v>0</v>
      </c>
      <c r="L594" s="41" t="n">
        <v>0</v>
      </c>
      <c r="M594" s="41" t="n">
        <v>0</v>
      </c>
      <c r="N594" s="41" t="n">
        <v>0</v>
      </c>
      <c r="O594" s="41" t="n">
        <v>0</v>
      </c>
      <c r="P594" s="42" t="n">
        <v>160465</v>
      </c>
    </row>
    <row r="595" spans="1:16">
      <c r="A595" s="37" t="n">
        <v>605</v>
      </c>
      <c r="B595" s="38" t="s">
        <v>563</v>
      </c>
      <c r="C595" s="39" t="s">
        <v>120</v>
      </c>
      <c r="D595" s="39" t="s">
        <v>124</v>
      </c>
      <c r="E595" s="39" t="s">
        <v>15</v>
      </c>
      <c r="F595" s="38" t="n">
        <v>0</v>
      </c>
      <c r="G595" s="122" t="s">
        <v>1751</v>
      </c>
      <c r="H595" s="122" t="s">
        <v>564</v>
      </c>
      <c r="I595" s="41" t="n">
        <v>129186</v>
      </c>
      <c r="J595" s="41" t="n">
        <v>129186</v>
      </c>
      <c r="K595" s="41" t="n">
        <v>0</v>
      </c>
      <c r="L595" s="41" t="n">
        <v>0</v>
      </c>
      <c r="M595" s="41" t="n">
        <v>0</v>
      </c>
      <c r="N595" s="41" t="n">
        <v>0</v>
      </c>
      <c r="O595" s="41" t="n">
        <v>0</v>
      </c>
      <c r="P595" s="42" t="n">
        <v>129186</v>
      </c>
    </row>
    <row r="596" spans="1:16">
      <c r="A596" s="37" t="n">
        <v>606</v>
      </c>
      <c r="B596" s="38" t="s">
        <v>570</v>
      </c>
      <c r="C596" s="39" t="s">
        <v>120</v>
      </c>
      <c r="D596" s="39" t="s">
        <v>128</v>
      </c>
      <c r="E596" s="39" t="s">
        <v>15</v>
      </c>
      <c r="F596" s="38" t="n">
        <v>0</v>
      </c>
      <c r="G596" s="122" t="s">
        <v>1755</v>
      </c>
      <c r="H596" s="122" t="s">
        <v>571</v>
      </c>
      <c r="I596" s="41" t="n">
        <v>130530</v>
      </c>
      <c r="J596" s="41" t="n">
        <v>130530</v>
      </c>
      <c r="K596" s="41" t="n">
        <v>0</v>
      </c>
      <c r="L596" s="41" t="n">
        <v>0</v>
      </c>
      <c r="M596" s="41" t="n">
        <v>0</v>
      </c>
      <c r="N596" s="41" t="n">
        <v>0</v>
      </c>
      <c r="O596" s="41" t="n">
        <v>0</v>
      </c>
      <c r="P596" s="42" t="n">
        <v>130530</v>
      </c>
    </row>
    <row r="597" spans="1:16">
      <c r="A597" s="37" t="n">
        <v>607</v>
      </c>
      <c r="B597" s="38" t="s">
        <v>568</v>
      </c>
      <c r="C597" s="39" t="s">
        <v>95</v>
      </c>
      <c r="D597" s="39" t="s">
        <v>137</v>
      </c>
      <c r="E597" s="39" t="s">
        <v>14</v>
      </c>
      <c r="F597" s="38" t="n">
        <v>0</v>
      </c>
      <c r="G597" s="122" t="s">
        <v>1759</v>
      </c>
      <c r="H597" s="122" t="s">
        <v>569</v>
      </c>
      <c r="I597" s="41" t="n">
        <v>125901</v>
      </c>
      <c r="J597" s="41" t="n">
        <v>125901</v>
      </c>
      <c r="K597" s="41" t="n">
        <v>0</v>
      </c>
      <c r="L597" s="41" t="n">
        <v>0</v>
      </c>
      <c r="M597" s="41" t="n">
        <v>0</v>
      </c>
      <c r="N597" s="41" t="n">
        <v>0</v>
      </c>
      <c r="O597" s="41" t="n">
        <v>0</v>
      </c>
      <c r="P597" s="42" t="n">
        <v>125901</v>
      </c>
    </row>
    <row r="598" spans="1:16">
      <c r="A598" s="37" t="n">
        <v>608</v>
      </c>
      <c r="B598" s="38" t="s">
        <v>572</v>
      </c>
      <c r="C598" s="39" t="s">
        <v>120</v>
      </c>
      <c r="D598" s="39" t="s">
        <v>137</v>
      </c>
      <c r="E598" s="39" t="s">
        <v>14</v>
      </c>
      <c r="F598" s="38" t="n">
        <v>0</v>
      </c>
      <c r="G598" s="122" t="s">
        <v>1762</v>
      </c>
      <c r="H598" s="122" t="s">
        <v>573</v>
      </c>
      <c r="I598" s="41" t="n">
        <v>127301</v>
      </c>
      <c r="J598" s="41" t="n">
        <v>127301</v>
      </c>
      <c r="K598" s="41" t="n">
        <v>0</v>
      </c>
      <c r="L598" s="41" t="n">
        <v>0</v>
      </c>
      <c r="M598" s="41" t="n">
        <v>0</v>
      </c>
      <c r="N598" s="41" t="n">
        <v>0</v>
      </c>
      <c r="O598" s="41" t="n">
        <v>0</v>
      </c>
      <c r="P598" s="42" t="n">
        <v>127301</v>
      </c>
    </row>
    <row r="599" spans="1:16">
      <c r="A599" s="37" t="n">
        <v>609</v>
      </c>
      <c r="B599" s="38" t="s">
        <v>592</v>
      </c>
      <c r="C599" s="39" t="s">
        <v>120</v>
      </c>
      <c r="D599" s="39" t="s">
        <v>128</v>
      </c>
      <c r="E599" s="39" t="s">
        <v>15</v>
      </c>
      <c r="F599" s="38" t="n">
        <v>0</v>
      </c>
      <c r="G599" s="122" t="s">
        <v>1765</v>
      </c>
      <c r="H599" s="122" t="s">
        <v>594</v>
      </c>
      <c r="I599" s="41" t="n">
        <v>105508</v>
      </c>
      <c r="J599" s="41" t="n">
        <v>105508</v>
      </c>
      <c r="K599" s="41" t="n">
        <v>0</v>
      </c>
      <c r="L599" s="41" t="n">
        <v>0</v>
      </c>
      <c r="M599" s="41" t="n">
        <v>0</v>
      </c>
      <c r="N599" s="41" t="n">
        <v>0</v>
      </c>
      <c r="O599" s="41" t="n">
        <v>0</v>
      </c>
      <c r="P599" s="42" t="n">
        <v>105508</v>
      </c>
    </row>
    <row r="600" spans="1:16">
      <c r="A600" s="37" t="n">
        <v>610</v>
      </c>
      <c r="B600" s="38" t="s">
        <v>589</v>
      </c>
      <c r="C600" s="39" t="s">
        <v>120</v>
      </c>
      <c r="D600" s="39" t="s">
        <v>128</v>
      </c>
      <c r="E600" s="39" t="s">
        <v>15</v>
      </c>
      <c r="F600" s="38" t="n">
        <v>0</v>
      </c>
      <c r="G600" s="40" t="n">
        <v>0</v>
      </c>
      <c r="H600" s="122" t="s">
        <v>591</v>
      </c>
      <c r="I600" s="41" t="n">
        <v>106422</v>
      </c>
      <c r="J600" s="41" t="n">
        <v>106422</v>
      </c>
      <c r="K600" s="41" t="n">
        <v>0</v>
      </c>
      <c r="L600" s="41" t="n">
        <v>0</v>
      </c>
      <c r="M600" s="41" t="n">
        <v>0</v>
      </c>
      <c r="N600" s="41" t="n">
        <v>0</v>
      </c>
      <c r="O600" s="41" t="n">
        <v>0</v>
      </c>
      <c r="P600" s="42" t="n">
        <v>106422</v>
      </c>
    </row>
    <row r="601" spans="1:16">
      <c r="A601" s="37" t="n">
        <v>611</v>
      </c>
      <c r="B601" s="38" t="s">
        <v>597</v>
      </c>
      <c r="C601" s="39" t="s">
        <v>95</v>
      </c>
      <c r="D601" s="39" t="s">
        <v>128</v>
      </c>
      <c r="E601" s="39" t="s">
        <v>15</v>
      </c>
      <c r="F601" s="38" t="n">
        <v>0</v>
      </c>
      <c r="G601" s="40" t="n">
        <v>0</v>
      </c>
      <c r="H601" s="122" t="s">
        <v>598</v>
      </c>
      <c r="I601" s="41" t="n">
        <v>103186</v>
      </c>
      <c r="J601" s="41" t="n">
        <v>103186</v>
      </c>
      <c r="K601" s="41" t="n">
        <v>0</v>
      </c>
      <c r="L601" s="41" t="n">
        <v>0</v>
      </c>
      <c r="M601" s="41" t="n">
        <v>0</v>
      </c>
      <c r="N601" s="41" t="n">
        <v>0</v>
      </c>
      <c r="O601" s="41" t="n">
        <v>0</v>
      </c>
      <c r="P601" s="42" t="n">
        <v>103186</v>
      </c>
    </row>
    <row r="602" spans="1:16">
      <c r="A602" s="37" t="n">
        <v>612</v>
      </c>
      <c r="B602" s="38" t="s">
        <v>595</v>
      </c>
      <c r="C602" s="39" t="s">
        <v>95</v>
      </c>
      <c r="D602" s="39" t="s">
        <v>137</v>
      </c>
      <c r="E602" s="39" t="s">
        <v>14</v>
      </c>
      <c r="F602" s="38" t="n">
        <v>0</v>
      </c>
      <c r="G602" s="122" t="s">
        <v>1772</v>
      </c>
      <c r="H602" s="122" t="s">
        <v>596</v>
      </c>
      <c r="I602" s="41" t="n">
        <v>103186</v>
      </c>
      <c r="J602" s="41" t="n">
        <v>103186</v>
      </c>
      <c r="K602" s="41" t="n">
        <v>0</v>
      </c>
      <c r="L602" s="41" t="n">
        <v>0</v>
      </c>
      <c r="M602" s="41" t="n">
        <v>0</v>
      </c>
      <c r="N602" s="41" t="n">
        <v>0</v>
      </c>
      <c r="O602" s="41" t="n">
        <v>0</v>
      </c>
      <c r="P602" s="42" t="n">
        <v>103186</v>
      </c>
    </row>
    <row r="603" spans="1:16">
      <c r="A603" s="37" t="n">
        <v>613</v>
      </c>
      <c r="B603" s="38" t="s">
        <v>599</v>
      </c>
      <c r="C603" s="39" t="s">
        <v>111</v>
      </c>
      <c r="D603" s="39" t="s">
        <v>20</v>
      </c>
      <c r="E603" s="39" t="s">
        <v>21</v>
      </c>
      <c r="F603" s="38" t="s">
        <v>600</v>
      </c>
      <c r="G603" s="122" t="s">
        <v>1776</v>
      </c>
      <c r="H603" s="122" t="s">
        <v>602</v>
      </c>
      <c r="I603" s="41" t="n">
        <v>107336</v>
      </c>
      <c r="J603" s="41" t="n">
        <v>107336</v>
      </c>
      <c r="K603" s="41" t="n">
        <v>0</v>
      </c>
      <c r="L603" s="41" t="n">
        <v>0</v>
      </c>
      <c r="M603" s="41" t="n">
        <v>0</v>
      </c>
      <c r="N603" s="41" t="n">
        <v>0</v>
      </c>
      <c r="O603" s="41" t="n">
        <v>0</v>
      </c>
      <c r="P603" s="42" t="n">
        <v>107336</v>
      </c>
    </row>
    <row r="604" spans="1:16">
      <c r="A604" s="37" t="n">
        <v>614</v>
      </c>
      <c r="B604" s="38" t="s">
        <v>2102</v>
      </c>
      <c r="C604" s="39" t="s">
        <v>58</v>
      </c>
      <c r="D604" s="39" t="s">
        <v>20</v>
      </c>
      <c r="E604" s="39" t="s">
        <v>21</v>
      </c>
      <c r="F604" s="38" t="n">
        <v>0</v>
      </c>
      <c r="G604" s="122" t="s">
        <v>1780</v>
      </c>
      <c r="H604" s="122" t="s">
        <v>2103</v>
      </c>
      <c r="I604" s="41" t="n">
        <v>28349</v>
      </c>
      <c r="J604" s="41" t="n">
        <v>28349</v>
      </c>
      <c r="K604" s="41" t="n">
        <v>1417</v>
      </c>
      <c r="L604" s="41" t="n">
        <v>0</v>
      </c>
      <c r="M604" s="41" t="n">
        <v>0</v>
      </c>
      <c r="N604" s="41" t="n">
        <v>0</v>
      </c>
      <c r="O604" s="41" t="n">
        <v>0</v>
      </c>
      <c r="P604" s="42" t="n">
        <v>26932</v>
      </c>
    </row>
    <row r="605" spans="1:16">
      <c r="A605" s="37" t="n">
        <v>615</v>
      </c>
      <c r="B605" s="38" t="s">
        <v>1366</v>
      </c>
      <c r="C605" s="39" t="s">
        <v>19</v>
      </c>
      <c r="D605" s="39" t="s">
        <v>20</v>
      </c>
      <c r="E605" s="39" t="s">
        <v>21</v>
      </c>
      <c r="F605" s="38" t="s">
        <v>1367</v>
      </c>
      <c r="G605" s="40" t="n">
        <v>0</v>
      </c>
      <c r="H605" s="122" t="s">
        <v>1368</v>
      </c>
      <c r="I605" s="41" t="n">
        <v>276934</v>
      </c>
      <c r="J605" s="41" t="n">
        <v>276934</v>
      </c>
      <c r="K605" s="41" t="n">
        <v>0</v>
      </c>
      <c r="L605" s="41" t="n">
        <v>41540</v>
      </c>
      <c r="M605" s="41" t="n">
        <v>0</v>
      </c>
      <c r="N605" s="41" t="n">
        <v>0</v>
      </c>
      <c r="O605" s="41" t="n">
        <v>0</v>
      </c>
      <c r="P605" s="42" t="n">
        <v>235394</v>
      </c>
    </row>
    <row r="606" spans="1:16">
      <c r="A606" s="37" t="n">
        <v>616</v>
      </c>
      <c r="B606" s="38" t="s">
        <v>1369</v>
      </c>
      <c r="C606" s="39" t="s">
        <v>58</v>
      </c>
      <c r="D606" s="39" t="s">
        <v>20</v>
      </c>
      <c r="E606" s="39" t="s">
        <v>21</v>
      </c>
      <c r="F606" s="38" t="s">
        <v>1370</v>
      </c>
      <c r="G606" s="122" t="s">
        <v>1786</v>
      </c>
      <c r="H606" s="122" t="s">
        <v>1371</v>
      </c>
      <c r="I606" s="41" t="n">
        <v>184949</v>
      </c>
      <c r="J606" s="41" t="n">
        <v>184949</v>
      </c>
      <c r="K606" s="41" t="n">
        <v>9247</v>
      </c>
      <c r="L606" s="41" t="n">
        <v>0</v>
      </c>
      <c r="M606" s="41" t="n">
        <v>0</v>
      </c>
      <c r="N606" s="41" t="n">
        <v>0</v>
      </c>
      <c r="O606" s="41" t="n">
        <v>0</v>
      </c>
      <c r="P606" s="42" t="n">
        <v>175702</v>
      </c>
    </row>
    <row r="607" spans="1:16">
      <c r="A607" s="37" t="n">
        <v>617</v>
      </c>
      <c r="B607" s="38" t="s">
        <v>1372</v>
      </c>
      <c r="C607" s="39" t="s">
        <v>58</v>
      </c>
      <c r="D607" s="39" t="s">
        <v>20</v>
      </c>
      <c r="E607" s="39" t="s">
        <v>21</v>
      </c>
      <c r="F607" s="38" t="s">
        <v>1373</v>
      </c>
      <c r="G607" s="40" t="n">
        <v>0</v>
      </c>
      <c r="H607" s="122" t="s">
        <v>1374</v>
      </c>
      <c r="I607" s="41" t="n">
        <v>166939</v>
      </c>
      <c r="J607" s="41" t="n">
        <v>166939</v>
      </c>
      <c r="K607" s="41" t="n">
        <v>8347</v>
      </c>
      <c r="L607" s="41" t="n">
        <v>0</v>
      </c>
      <c r="M607" s="41" t="n">
        <v>0</v>
      </c>
      <c r="N607" s="41" t="n">
        <v>0</v>
      </c>
      <c r="O607" s="41" t="n">
        <v>0</v>
      </c>
      <c r="P607" s="42" t="n">
        <v>158592</v>
      </c>
    </row>
    <row r="608" spans="1:16">
      <c r="A608" s="37" t="n">
        <v>618</v>
      </c>
      <c r="B608" s="38" t="s">
        <v>1375</v>
      </c>
      <c r="C608" s="39" t="s">
        <v>58</v>
      </c>
      <c r="D608" s="39" t="s">
        <v>20</v>
      </c>
      <c r="E608" s="39" t="s">
        <v>21</v>
      </c>
      <c r="F608" s="38" t="s">
        <v>1376</v>
      </c>
      <c r="G608" s="122" t="s">
        <v>1791</v>
      </c>
      <c r="H608" s="122" t="s">
        <v>1378</v>
      </c>
      <c r="I608" s="41" t="n">
        <v>166939</v>
      </c>
      <c r="J608" s="41" t="n">
        <v>166939</v>
      </c>
      <c r="K608" s="41" t="n">
        <v>8347</v>
      </c>
      <c r="L608" s="41" t="n">
        <v>0</v>
      </c>
      <c r="M608" s="41" t="n">
        <v>0</v>
      </c>
      <c r="N608" s="41" t="n">
        <v>0</v>
      </c>
      <c r="O608" s="41" t="n">
        <v>0</v>
      </c>
      <c r="P608" s="42" t="n">
        <v>158592</v>
      </c>
    </row>
    <row r="609" spans="1:16">
      <c r="A609" s="37" t="n">
        <v>619</v>
      </c>
      <c r="B609" s="38" t="s">
        <v>1379</v>
      </c>
      <c r="C609" s="39" t="s">
        <v>58</v>
      </c>
      <c r="D609" s="39" t="s">
        <v>20</v>
      </c>
      <c r="E609" s="39" t="s">
        <v>21</v>
      </c>
      <c r="F609" s="38" t="s">
        <v>1380</v>
      </c>
      <c r="G609" s="40" t="n">
        <v>0</v>
      </c>
      <c r="H609" s="122" t="s">
        <v>1381</v>
      </c>
      <c r="I609" s="41" t="n">
        <v>166939</v>
      </c>
      <c r="J609" s="41" t="n">
        <v>166939</v>
      </c>
      <c r="K609" s="41" t="n">
        <v>8347</v>
      </c>
      <c r="L609" s="41" t="n">
        <v>0</v>
      </c>
      <c r="M609" s="41" t="n">
        <v>0</v>
      </c>
      <c r="N609" s="41" t="n">
        <v>0</v>
      </c>
      <c r="O609" s="41" t="n">
        <v>0</v>
      </c>
      <c r="P609" s="42" t="n">
        <v>158592</v>
      </c>
    </row>
    <row r="610" spans="1:16">
      <c r="A610" s="37" t="n">
        <v>620</v>
      </c>
      <c r="B610" s="38" t="s">
        <v>1386</v>
      </c>
      <c r="C610" s="39" t="s">
        <v>283</v>
      </c>
      <c r="D610" s="39" t="s">
        <v>20</v>
      </c>
      <c r="E610" s="39" t="s">
        <v>21</v>
      </c>
      <c r="F610" s="38" t="n">
        <v>0</v>
      </c>
      <c r="G610" s="40" t="n">
        <v>0</v>
      </c>
      <c r="H610" s="122" t="s">
        <v>1388</v>
      </c>
      <c r="I610" s="41" t="n">
        <v>165110</v>
      </c>
      <c r="J610" s="41" t="n">
        <v>165110</v>
      </c>
      <c r="K610" s="41" t="n">
        <v>0</v>
      </c>
      <c r="L610" s="41" t="n">
        <v>0</v>
      </c>
      <c r="M610" s="41" t="n">
        <v>0</v>
      </c>
      <c r="N610" s="41" t="n">
        <v>0</v>
      </c>
      <c r="O610" s="41" t="n">
        <v>0</v>
      </c>
      <c r="P610" s="42" t="n">
        <v>165110</v>
      </c>
    </row>
    <row r="611" spans="1:16">
      <c r="A611" s="37" t="n">
        <v>621</v>
      </c>
      <c r="B611" s="38" t="s">
        <v>1389</v>
      </c>
      <c r="C611" s="39" t="s">
        <v>283</v>
      </c>
      <c r="D611" s="39" t="s">
        <v>20</v>
      </c>
      <c r="E611" s="39" t="s">
        <v>21</v>
      </c>
      <c r="F611" s="38" t="n">
        <v>0</v>
      </c>
      <c r="G611" s="40" t="n">
        <v>0</v>
      </c>
      <c r="H611" s="122" t="s">
        <v>1391</v>
      </c>
      <c r="I611" s="41" t="n">
        <v>156105</v>
      </c>
      <c r="J611" s="41" t="n">
        <v>156105</v>
      </c>
      <c r="K611" s="41" t="n">
        <v>0</v>
      </c>
      <c r="L611" s="41" t="n">
        <v>0</v>
      </c>
      <c r="M611" s="41" t="n">
        <v>0</v>
      </c>
      <c r="N611" s="41" t="n">
        <v>0</v>
      </c>
      <c r="O611" s="41" t="n">
        <v>0</v>
      </c>
      <c r="P611" s="42" t="n">
        <v>156105</v>
      </c>
    </row>
    <row r="612" spans="1:16">
      <c r="A612" s="37" t="n">
        <v>622</v>
      </c>
      <c r="B612" s="38" t="s">
        <v>1382</v>
      </c>
      <c r="C612" s="39" t="s">
        <v>111</v>
      </c>
      <c r="D612" s="39" t="s">
        <v>20</v>
      </c>
      <c r="E612" s="39" t="s">
        <v>21</v>
      </c>
      <c r="F612" s="38" t="s">
        <v>1383</v>
      </c>
      <c r="G612" s="40" t="n">
        <v>0</v>
      </c>
      <c r="H612" s="122" t="s">
        <v>1385</v>
      </c>
      <c r="I612" s="41" t="n">
        <v>156105</v>
      </c>
      <c r="J612" s="41" t="n">
        <v>156105</v>
      </c>
      <c r="K612" s="41" t="n">
        <v>0</v>
      </c>
      <c r="L612" s="41" t="n">
        <v>0</v>
      </c>
      <c r="M612" s="41" t="n">
        <v>0</v>
      </c>
      <c r="N612" s="41" t="n">
        <v>0</v>
      </c>
      <c r="O612" s="41" t="n">
        <v>0</v>
      </c>
      <c r="P612" s="42" t="n">
        <v>156105</v>
      </c>
    </row>
    <row r="613" spans="1:16">
      <c r="A613" s="37" t="n">
        <v>623</v>
      </c>
      <c r="B613" s="38" t="s">
        <v>1430</v>
      </c>
      <c r="C613" s="39" t="s">
        <v>58</v>
      </c>
      <c r="D613" s="39" t="s">
        <v>20</v>
      </c>
      <c r="E613" s="39" t="s">
        <v>21</v>
      </c>
      <c r="F613" s="38" t="s">
        <v>1431</v>
      </c>
      <c r="G613" s="40" t="n">
        <v>0</v>
      </c>
      <c r="H613" s="122" t="s">
        <v>1433</v>
      </c>
      <c r="I613" s="41" t="n">
        <v>156105</v>
      </c>
      <c r="J613" s="41" t="n">
        <v>156105</v>
      </c>
      <c r="K613" s="41" t="n">
        <v>7805</v>
      </c>
      <c r="L613" s="41" t="n">
        <v>0</v>
      </c>
      <c r="M613" s="41" t="n">
        <v>0</v>
      </c>
      <c r="N613" s="41" t="n">
        <v>0</v>
      </c>
      <c r="O613" s="41" t="n">
        <v>0</v>
      </c>
      <c r="P613" s="42" t="n">
        <v>148300</v>
      </c>
    </row>
    <row r="614" spans="1:16">
      <c r="A614" s="37" t="n">
        <v>624</v>
      </c>
      <c r="B614" s="38" t="s">
        <v>1409</v>
      </c>
      <c r="C614" s="39" t="s">
        <v>283</v>
      </c>
      <c r="D614" s="39" t="s">
        <v>20</v>
      </c>
      <c r="E614" s="39" t="s">
        <v>21</v>
      </c>
      <c r="F614" s="38" t="n">
        <v>0</v>
      </c>
      <c r="G614" s="122" t="s">
        <v>1804</v>
      </c>
      <c r="H614" s="122" t="s">
        <v>1411</v>
      </c>
      <c r="I614" s="41" t="n">
        <v>156105</v>
      </c>
      <c r="J614" s="41" t="n">
        <v>156105</v>
      </c>
      <c r="K614" s="41" t="n">
        <v>0</v>
      </c>
      <c r="L614" s="41" t="n">
        <v>0</v>
      </c>
      <c r="M614" s="41" t="n">
        <v>0</v>
      </c>
      <c r="N614" s="41" t="n">
        <v>0</v>
      </c>
      <c r="O614" s="41" t="n">
        <v>0</v>
      </c>
      <c r="P614" s="42" t="n">
        <v>156105</v>
      </c>
    </row>
    <row r="615" spans="1:16">
      <c r="A615" s="37" t="n">
        <v>625</v>
      </c>
      <c r="B615" s="38" t="s">
        <v>1395</v>
      </c>
      <c r="C615" s="39" t="s">
        <v>111</v>
      </c>
      <c r="D615" s="39" t="s">
        <v>20</v>
      </c>
      <c r="E615" s="39" t="s">
        <v>21</v>
      </c>
      <c r="F615" s="38" t="s">
        <v>1396</v>
      </c>
      <c r="G615" s="40" t="n">
        <v>0</v>
      </c>
      <c r="H615" s="122" t="s">
        <v>1398</v>
      </c>
      <c r="I615" s="41" t="n">
        <v>147100</v>
      </c>
      <c r="J615" s="41" t="n">
        <v>147100</v>
      </c>
      <c r="K615" s="41" t="n">
        <v>0</v>
      </c>
      <c r="L615" s="41" t="n">
        <v>0</v>
      </c>
      <c r="M615" s="41" t="n">
        <v>0</v>
      </c>
      <c r="N615" s="41" t="n">
        <v>0</v>
      </c>
      <c r="O615" s="41" t="n">
        <v>0</v>
      </c>
      <c r="P615" s="42" t="n">
        <v>147100</v>
      </c>
    </row>
    <row r="616" spans="1:16">
      <c r="A616" s="37" t="n">
        <v>626</v>
      </c>
      <c r="B616" s="38" t="s">
        <v>1399</v>
      </c>
      <c r="C616" s="39" t="s">
        <v>111</v>
      </c>
      <c r="D616" s="39" t="s">
        <v>20</v>
      </c>
      <c r="E616" s="39" t="s">
        <v>21</v>
      </c>
      <c r="F616" s="38" t="s">
        <v>1400</v>
      </c>
      <c r="G616" s="40" t="n">
        <v>0</v>
      </c>
      <c r="H616" s="122" t="s">
        <v>1402</v>
      </c>
      <c r="I616" s="41" t="n">
        <v>147100</v>
      </c>
      <c r="J616" s="41" t="n">
        <v>147100</v>
      </c>
      <c r="K616" s="41" t="n">
        <v>0</v>
      </c>
      <c r="L616" s="41" t="n">
        <v>0</v>
      </c>
      <c r="M616" s="41" t="n">
        <v>0</v>
      </c>
      <c r="N616" s="41" t="n">
        <v>0</v>
      </c>
      <c r="O616" s="41" t="n">
        <v>0</v>
      </c>
      <c r="P616" s="42" t="n">
        <v>147100</v>
      </c>
    </row>
    <row r="617" spans="1:16">
      <c r="A617" s="37" t="n">
        <v>627</v>
      </c>
      <c r="B617" s="38" t="s">
        <v>1403</v>
      </c>
      <c r="C617" s="39" t="s">
        <v>283</v>
      </c>
      <c r="D617" s="39" t="s">
        <v>20</v>
      </c>
      <c r="E617" s="39" t="s">
        <v>21</v>
      </c>
      <c r="F617" s="38" t="n">
        <v>0</v>
      </c>
      <c r="G617" s="40" t="n">
        <v>0</v>
      </c>
      <c r="H617" s="122" t="s">
        <v>1404</v>
      </c>
      <c r="I617" s="41" t="n">
        <v>147100</v>
      </c>
      <c r="J617" s="41" t="n">
        <v>147100</v>
      </c>
      <c r="K617" s="41" t="n">
        <v>0</v>
      </c>
      <c r="L617" s="41" t="n">
        <v>0</v>
      </c>
      <c r="M617" s="41" t="n">
        <v>0</v>
      </c>
      <c r="N617" s="41" t="n">
        <v>0</v>
      </c>
      <c r="O617" s="41" t="n">
        <v>0</v>
      </c>
      <c r="P617" s="42" t="n">
        <v>147100</v>
      </c>
    </row>
    <row r="618" spans="1:16">
      <c r="A618" s="37" t="n">
        <v>628</v>
      </c>
      <c r="B618" s="38" t="s">
        <v>1405</v>
      </c>
      <c r="C618" s="39" t="s">
        <v>58</v>
      </c>
      <c r="D618" s="39" t="s">
        <v>20</v>
      </c>
      <c r="E618" s="39" t="s">
        <v>21</v>
      </c>
      <c r="F618" s="38" t="s">
        <v>1406</v>
      </c>
      <c r="G618" s="40" t="n">
        <v>0</v>
      </c>
      <c r="H618" s="122" t="s">
        <v>1408</v>
      </c>
      <c r="I618" s="41" t="n">
        <v>148929</v>
      </c>
      <c r="J618" s="41" t="n">
        <v>148929</v>
      </c>
      <c r="K618" s="41" t="n">
        <v>7446</v>
      </c>
      <c r="L618" s="41" t="n">
        <v>0</v>
      </c>
      <c r="M618" s="41" t="n">
        <v>0</v>
      </c>
      <c r="N618" s="41" t="n">
        <v>0</v>
      </c>
      <c r="O618" s="41" t="n">
        <v>0</v>
      </c>
      <c r="P618" s="42" t="n">
        <v>141483</v>
      </c>
    </row>
    <row r="619" spans="1:16">
      <c r="A619" s="37" t="n">
        <v>629</v>
      </c>
      <c r="B619" s="38" t="s">
        <v>1392</v>
      </c>
      <c r="C619" s="39" t="s">
        <v>111</v>
      </c>
      <c r="D619" s="39" t="s">
        <v>20</v>
      </c>
      <c r="E619" s="39" t="s">
        <v>21</v>
      </c>
      <c r="F619" s="38" t="s">
        <v>1393</v>
      </c>
      <c r="G619" s="122" t="s">
        <v>1815</v>
      </c>
      <c r="H619" s="122" t="s">
        <v>1394</v>
      </c>
      <c r="I619" s="41" t="n">
        <v>147100</v>
      </c>
      <c r="J619" s="41" t="n">
        <v>147100</v>
      </c>
      <c r="K619" s="41" t="n">
        <v>0</v>
      </c>
      <c r="L619" s="41" t="n">
        <v>0</v>
      </c>
      <c r="M619" s="41" t="n">
        <v>0</v>
      </c>
      <c r="N619" s="41" t="n">
        <v>0</v>
      </c>
      <c r="O619" s="41" t="n">
        <v>0</v>
      </c>
      <c r="P619" s="42" t="n">
        <v>147100</v>
      </c>
    </row>
    <row r="620" spans="1:16">
      <c r="A620" s="37" t="n">
        <v>630</v>
      </c>
      <c r="B620" s="38" t="s">
        <v>1412</v>
      </c>
      <c r="C620" s="39" t="s">
        <v>131</v>
      </c>
      <c r="D620" s="39" t="s">
        <v>20</v>
      </c>
      <c r="E620" s="39" t="s">
        <v>21</v>
      </c>
      <c r="F620" s="38" t="s">
        <v>1413</v>
      </c>
      <c r="G620" s="122" t="s">
        <v>1818</v>
      </c>
      <c r="H620" s="122" t="s">
        <v>1415</v>
      </c>
      <c r="I620" s="41" t="n">
        <v>148929</v>
      </c>
      <c r="J620" s="41" t="n">
        <v>148929</v>
      </c>
      <c r="K620" s="41" t="n">
        <v>7446</v>
      </c>
      <c r="L620" s="41" t="n">
        <v>0</v>
      </c>
      <c r="M620" s="41" t="n">
        <v>0</v>
      </c>
      <c r="N620" s="41" t="n">
        <v>0</v>
      </c>
      <c r="O620" s="41" t="n">
        <v>0</v>
      </c>
      <c r="P620" s="42" t="n">
        <v>141483</v>
      </c>
    </row>
    <row r="621" spans="1:16">
      <c r="A621" s="37" t="n">
        <v>631</v>
      </c>
      <c r="B621" s="38" t="s">
        <v>1416</v>
      </c>
      <c r="C621" s="39" t="s">
        <v>283</v>
      </c>
      <c r="D621" s="39" t="s">
        <v>20</v>
      </c>
      <c r="E621" s="39" t="s">
        <v>21</v>
      </c>
      <c r="F621" s="38" t="n">
        <v>0</v>
      </c>
      <c r="G621" s="122" t="s">
        <v>1822</v>
      </c>
      <c r="H621" s="122" t="s">
        <v>1417</v>
      </c>
      <c r="I621" s="41" t="n">
        <v>147100</v>
      </c>
      <c r="J621" s="41" t="n">
        <v>147100</v>
      </c>
      <c r="K621" s="41" t="n">
        <v>0</v>
      </c>
      <c r="L621" s="41" t="n">
        <v>0</v>
      </c>
      <c r="M621" s="41" t="n">
        <v>0</v>
      </c>
      <c r="N621" s="41" t="n">
        <v>0</v>
      </c>
      <c r="O621" s="41" t="n">
        <v>0</v>
      </c>
      <c r="P621" s="42" t="n">
        <v>147100</v>
      </c>
    </row>
    <row r="622" spans="1:16">
      <c r="A622" s="37" t="n">
        <v>632</v>
      </c>
      <c r="B622" s="38" t="s">
        <v>1418</v>
      </c>
      <c r="C622" s="39" t="s">
        <v>283</v>
      </c>
      <c r="D622" s="39" t="s">
        <v>20</v>
      </c>
      <c r="E622" s="39" t="s">
        <v>21</v>
      </c>
      <c r="F622" s="38" t="n">
        <v>0</v>
      </c>
      <c r="G622" s="40" t="n">
        <v>0</v>
      </c>
      <c r="H622" s="122" t="s">
        <v>1420</v>
      </c>
      <c r="I622" s="41" t="n">
        <v>147100</v>
      </c>
      <c r="J622" s="41" t="n">
        <v>147100</v>
      </c>
      <c r="K622" s="41" t="n">
        <v>0</v>
      </c>
      <c r="L622" s="41" t="n">
        <v>0</v>
      </c>
      <c r="M622" s="41" t="n">
        <v>0</v>
      </c>
      <c r="N622" s="41" t="n">
        <v>0</v>
      </c>
      <c r="O622" s="41" t="n">
        <v>0</v>
      </c>
      <c r="P622" s="42" t="n">
        <v>147100</v>
      </c>
    </row>
    <row r="623" spans="1:16">
      <c r="A623" s="37" t="n">
        <v>633</v>
      </c>
      <c r="B623" s="38" t="s">
        <v>1421</v>
      </c>
      <c r="C623" s="39" t="s">
        <v>283</v>
      </c>
      <c r="D623" s="39" t="s">
        <v>20</v>
      </c>
      <c r="E623" s="39" t="s">
        <v>21</v>
      </c>
      <c r="F623" s="38" t="n">
        <v>0</v>
      </c>
      <c r="G623" s="122" t="s">
        <v>1829</v>
      </c>
      <c r="H623" s="122" t="s">
        <v>1423</v>
      </c>
      <c r="I623" s="41" t="n">
        <v>147100</v>
      </c>
      <c r="J623" s="41" t="n">
        <v>147100</v>
      </c>
      <c r="K623" s="41" t="n">
        <v>0</v>
      </c>
      <c r="L623" s="41" t="n">
        <v>0</v>
      </c>
      <c r="M623" s="41" t="n">
        <v>0</v>
      </c>
      <c r="N623" s="41" t="n">
        <v>0</v>
      </c>
      <c r="O623" s="41" t="n">
        <v>0</v>
      </c>
      <c r="P623" s="42" t="n">
        <v>147100</v>
      </c>
    </row>
    <row r="624" spans="1:16">
      <c r="A624" s="37" t="n">
        <v>634</v>
      </c>
      <c r="B624" s="38" t="s">
        <v>1424</v>
      </c>
      <c r="C624" s="39" t="s">
        <v>283</v>
      </c>
      <c r="D624" s="39" t="s">
        <v>20</v>
      </c>
      <c r="E624" s="39" t="s">
        <v>21</v>
      </c>
      <c r="F624" s="38" t="n">
        <v>0</v>
      </c>
      <c r="G624" s="122" t="s">
        <v>1833</v>
      </c>
      <c r="H624" s="122" t="s">
        <v>1426</v>
      </c>
      <c r="I624" s="41" t="n">
        <v>147100</v>
      </c>
      <c r="J624" s="41" t="n">
        <v>147100</v>
      </c>
      <c r="K624" s="41" t="n">
        <v>0</v>
      </c>
      <c r="L624" s="41" t="n">
        <v>0</v>
      </c>
      <c r="M624" s="41" t="n">
        <v>0</v>
      </c>
      <c r="N624" s="41" t="n">
        <v>0</v>
      </c>
      <c r="O624" s="41" t="n">
        <v>0</v>
      </c>
      <c r="P624" s="42" t="n">
        <v>147100</v>
      </c>
    </row>
    <row r="625" spans="1:16">
      <c r="A625" s="37" t="n">
        <v>635</v>
      </c>
      <c r="B625" s="38" t="s">
        <v>1427</v>
      </c>
      <c r="C625" s="39" t="s">
        <v>283</v>
      </c>
      <c r="D625" s="39" t="s">
        <v>20</v>
      </c>
      <c r="E625" s="39" t="s">
        <v>21</v>
      </c>
      <c r="F625" s="38" t="n">
        <v>0</v>
      </c>
      <c r="G625" s="122" t="s">
        <v>1837</v>
      </c>
      <c r="H625" s="122" t="s">
        <v>1429</v>
      </c>
      <c r="I625" s="41" t="n">
        <v>147100</v>
      </c>
      <c r="J625" s="41" t="n">
        <v>147100</v>
      </c>
      <c r="K625" s="41" t="n">
        <v>0</v>
      </c>
      <c r="L625" s="41" t="n">
        <v>0</v>
      </c>
      <c r="M625" s="41" t="n">
        <v>0</v>
      </c>
      <c r="N625" s="41" t="n">
        <v>0</v>
      </c>
      <c r="O625" s="41" t="n">
        <v>0</v>
      </c>
      <c r="P625" s="42" t="n">
        <v>147100</v>
      </c>
    </row>
    <row r="626" spans="1:16">
      <c r="A626" s="37" t="n">
        <v>636</v>
      </c>
      <c r="B626" s="38" t="s">
        <v>1434</v>
      </c>
      <c r="C626" s="39" t="s">
        <v>95</v>
      </c>
      <c r="D626" s="39" t="s">
        <v>121</v>
      </c>
      <c r="E626" s="39" t="s">
        <v>14</v>
      </c>
      <c r="F626" s="38" t="n">
        <v>0</v>
      </c>
      <c r="G626" s="122" t="s">
        <v>1841</v>
      </c>
      <c r="H626" s="122" t="s">
        <v>1436</v>
      </c>
      <c r="I626" s="41" t="n">
        <v>85866</v>
      </c>
      <c r="J626" s="41" t="n">
        <v>85866</v>
      </c>
      <c r="K626" s="41" t="n">
        <v>0</v>
      </c>
      <c r="L626" s="41" t="n">
        <v>0</v>
      </c>
      <c r="M626" s="41" t="n">
        <v>0</v>
      </c>
      <c r="N626" s="41" t="n">
        <v>0</v>
      </c>
      <c r="O626" s="41" t="n">
        <v>0</v>
      </c>
      <c r="P626" s="42" t="n">
        <v>85866</v>
      </c>
    </row>
    <row r="627" spans="1:16">
      <c r="A627" s="37" t="n">
        <v>637</v>
      </c>
      <c r="B627" s="38" t="s">
        <v>1437</v>
      </c>
      <c r="C627" s="39" t="s">
        <v>95</v>
      </c>
      <c r="D627" s="39" t="s">
        <v>121</v>
      </c>
      <c r="E627" s="39" t="s">
        <v>14</v>
      </c>
      <c r="F627" s="38" t="n">
        <v>0</v>
      </c>
      <c r="G627" s="122" t="s">
        <v>1845</v>
      </c>
      <c r="H627" s="122" t="s">
        <v>1438</v>
      </c>
      <c r="I627" s="41" t="n">
        <v>85866</v>
      </c>
      <c r="J627" s="41" t="n">
        <v>85866</v>
      </c>
      <c r="K627" s="41" t="n">
        <v>0</v>
      </c>
      <c r="L627" s="41" t="n">
        <v>0</v>
      </c>
      <c r="M627" s="41" t="n">
        <v>0</v>
      </c>
      <c r="N627" s="41" t="n">
        <v>0</v>
      </c>
      <c r="O627" s="41" t="n">
        <v>0</v>
      </c>
      <c r="P627" s="42" t="n">
        <v>85866</v>
      </c>
    </row>
    <row r="628" spans="1:16">
      <c r="A628" s="37" t="n">
        <v>638</v>
      </c>
      <c r="B628" s="38" t="s">
        <v>1439</v>
      </c>
      <c r="C628" s="39" t="s">
        <v>95</v>
      </c>
      <c r="D628" s="39" t="s">
        <v>124</v>
      </c>
      <c r="E628" s="39" t="s">
        <v>15</v>
      </c>
      <c r="F628" s="38" t="n">
        <v>0</v>
      </c>
      <c r="G628" s="40" t="n">
        <v>0</v>
      </c>
      <c r="H628" s="122" t="s">
        <v>1440</v>
      </c>
      <c r="I628" s="41" t="n">
        <v>85866</v>
      </c>
      <c r="J628" s="41" t="n">
        <v>85866</v>
      </c>
      <c r="K628" s="41" t="n">
        <v>0</v>
      </c>
      <c r="L628" s="41" t="n">
        <v>0</v>
      </c>
      <c r="M628" s="41" t="n">
        <v>0</v>
      </c>
      <c r="N628" s="41" t="n">
        <v>0</v>
      </c>
      <c r="O628" s="41" t="n">
        <v>0</v>
      </c>
      <c r="P628" s="42" t="n">
        <v>85866</v>
      </c>
    </row>
    <row r="629" spans="1:16">
      <c r="A629" s="37" t="n">
        <v>639</v>
      </c>
      <c r="B629" s="38" t="s">
        <v>1441</v>
      </c>
      <c r="C629" s="39" t="s">
        <v>111</v>
      </c>
      <c r="D629" s="39" t="s">
        <v>124</v>
      </c>
      <c r="E629" s="39" t="s">
        <v>15</v>
      </c>
      <c r="F629" s="38" t="n">
        <v>0</v>
      </c>
      <c r="G629" s="122" t="s">
        <v>1851</v>
      </c>
      <c r="H629" s="40" t="n">
        <v>1612042825</v>
      </c>
      <c r="I629" s="41" t="n">
        <v>85866</v>
      </c>
      <c r="J629" s="41" t="n">
        <v>85866</v>
      </c>
      <c r="K629" s="41" t="n">
        <v>0</v>
      </c>
      <c r="L629" s="41" t="n">
        <v>0</v>
      </c>
      <c r="M629" s="41" t="n">
        <v>0</v>
      </c>
      <c r="N629" s="41" t="n">
        <v>0</v>
      </c>
      <c r="O629" s="41" t="n">
        <v>0</v>
      </c>
      <c r="P629" s="42" t="n">
        <v>85866</v>
      </c>
    </row>
    <row r="630" spans="1:16">
      <c r="A630" s="37" t="n">
        <v>640</v>
      </c>
      <c r="B630" s="38" t="s">
        <v>507</v>
      </c>
      <c r="C630" s="39" t="s">
        <v>111</v>
      </c>
      <c r="D630" s="39" t="s">
        <v>20</v>
      </c>
      <c r="E630" s="39" t="s">
        <v>21</v>
      </c>
      <c r="F630" s="38" t="s">
        <v>508</v>
      </c>
      <c r="G630" s="40" t="n">
        <v>0</v>
      </c>
      <c r="H630" s="122" t="s">
        <v>509</v>
      </c>
      <c r="I630" s="41" t="n">
        <v>44250</v>
      </c>
      <c r="J630" s="41" t="n">
        <v>44250</v>
      </c>
      <c r="K630" s="41" t="n">
        <v>0</v>
      </c>
      <c r="L630" s="41" t="n">
        <v>0</v>
      </c>
      <c r="M630" s="41" t="n">
        <v>0</v>
      </c>
      <c r="N630" s="41" t="n">
        <v>0</v>
      </c>
      <c r="O630" s="41" t="n">
        <v>0</v>
      </c>
      <c r="P630" s="42" t="n">
        <v>44250</v>
      </c>
    </row>
    <row r="631" spans="1:16">
      <c r="A631" s="43" t="n">
        <v>641</v>
      </c>
      <c r="B631" s="44" t="s">
        <v>512</v>
      </c>
      <c r="C631" s="45" t="s">
        <v>111</v>
      </c>
      <c r="D631" s="45" t="s">
        <v>20</v>
      </c>
      <c r="E631" s="45" t="s">
        <v>21</v>
      </c>
      <c r="F631" s="44" t="s">
        <v>513</v>
      </c>
      <c r="G631" s="46" t="n">
        <v>0</v>
      </c>
      <c r="H631" s="124" t="s">
        <v>514</v>
      </c>
      <c r="I631" s="47" t="n">
        <v>44250</v>
      </c>
      <c r="J631" s="47" t="n">
        <v>44250</v>
      </c>
      <c r="K631" s="47" t="n">
        <v>0</v>
      </c>
      <c r="L631" s="47" t="n">
        <v>0</v>
      </c>
      <c r="M631" s="47" t="n">
        <v>0</v>
      </c>
      <c r="N631" s="47" t="n">
        <v>0</v>
      </c>
      <c r="O631" s="47" t="n">
        <v>0</v>
      </c>
      <c r="P631" s="48" t="n">
        <v>44250</v>
      </c>
    </row>
    <row r="632" spans="1:16">
      <c r="A632" s="37" t="n">
        <v>642</v>
      </c>
      <c r="B632" s="38" t="s">
        <v>515</v>
      </c>
      <c r="C632" s="39" t="s">
        <v>111</v>
      </c>
      <c r="D632" s="39" t="s">
        <v>20</v>
      </c>
      <c r="E632" s="39" t="s">
        <v>21</v>
      </c>
      <c r="F632" s="38" t="s">
        <v>516</v>
      </c>
      <c r="G632" s="40" t="n">
        <v>0</v>
      </c>
      <c r="H632" s="122" t="s">
        <v>517</v>
      </c>
      <c r="I632" s="41" t="n">
        <v>44250</v>
      </c>
      <c r="J632" s="41" t="n">
        <v>44250</v>
      </c>
      <c r="K632" s="41" t="n">
        <v>0</v>
      </c>
      <c r="L632" s="41" t="n">
        <v>0</v>
      </c>
      <c r="M632" s="41" t="n">
        <v>0</v>
      </c>
      <c r="N632" s="41" t="n">
        <v>0</v>
      </c>
      <c r="O632" s="41" t="n">
        <v>0</v>
      </c>
      <c r="P632" s="42" t="n">
        <v>44250</v>
      </c>
    </row>
    <row r="633" spans="1:16">
      <c r="A633" s="37" t="n">
        <v>643</v>
      </c>
      <c r="B633" s="38" t="s">
        <v>510</v>
      </c>
      <c r="C633" s="39" t="s">
        <v>95</v>
      </c>
      <c r="D633" s="39" t="s">
        <v>137</v>
      </c>
      <c r="E633" s="39" t="s">
        <v>14</v>
      </c>
      <c r="F633" s="38" t="n">
        <v>0</v>
      </c>
      <c r="G633" s="122" t="s">
        <v>1864</v>
      </c>
      <c r="H633" s="122" t="s">
        <v>511</v>
      </c>
      <c r="I633" s="41" t="n">
        <v>44250</v>
      </c>
      <c r="J633" s="41" t="n">
        <v>44250</v>
      </c>
      <c r="K633" s="41" t="n">
        <v>0</v>
      </c>
      <c r="L633" s="41" t="n">
        <v>0</v>
      </c>
      <c r="M633" s="41" t="n">
        <v>0</v>
      </c>
      <c r="N633" s="41" t="n">
        <v>0</v>
      </c>
      <c r="O633" s="41" t="n">
        <v>0</v>
      </c>
      <c r="P633" s="42" t="n">
        <v>44250</v>
      </c>
    </row>
    <row r="634" spans="1:16">
      <c r="A634" s="37" t="n">
        <v>644</v>
      </c>
      <c r="B634" s="38" t="s">
        <v>1442</v>
      </c>
      <c r="C634" s="39" t="s">
        <v>58</v>
      </c>
      <c r="D634" s="39" t="s">
        <v>20</v>
      </c>
      <c r="E634" s="39" t="s">
        <v>21</v>
      </c>
      <c r="F634" s="38" t="s">
        <v>1443</v>
      </c>
      <c r="G634" s="122" t="s">
        <v>1868</v>
      </c>
      <c r="H634" s="122" t="s">
        <v>1444</v>
      </c>
      <c r="I634" s="41" t="n">
        <v>219942</v>
      </c>
      <c r="J634" s="41" t="n">
        <v>219942</v>
      </c>
      <c r="K634" s="41" t="n">
        <v>10997</v>
      </c>
      <c r="L634" s="41" t="n">
        <v>0</v>
      </c>
      <c r="M634" s="41" t="n">
        <v>0</v>
      </c>
      <c r="N634" s="41" t="n">
        <v>0</v>
      </c>
      <c r="O634" s="41" t="n">
        <v>0</v>
      </c>
      <c r="P634" s="42" t="n">
        <v>208945</v>
      </c>
    </row>
    <row r="635" spans="1:16">
      <c r="A635" s="37" t="n">
        <v>645</v>
      </c>
      <c r="B635" s="38" t="s">
        <v>1445</v>
      </c>
      <c r="C635" s="39" t="s">
        <v>58</v>
      </c>
      <c r="D635" s="39" t="s">
        <v>20</v>
      </c>
      <c r="E635" s="39" t="s">
        <v>21</v>
      </c>
      <c r="F635" s="38" t="s">
        <v>1446</v>
      </c>
      <c r="G635" s="122" t="s">
        <v>1872</v>
      </c>
      <c r="H635" s="122" t="s">
        <v>1448</v>
      </c>
      <c r="I635" s="41" t="n">
        <v>198043</v>
      </c>
      <c r="J635" s="41" t="n">
        <v>198043</v>
      </c>
      <c r="K635" s="41" t="n">
        <v>9902</v>
      </c>
      <c r="L635" s="41" t="n">
        <v>0</v>
      </c>
      <c r="M635" s="41" t="n">
        <v>0</v>
      </c>
      <c r="N635" s="41" t="n">
        <v>0</v>
      </c>
      <c r="O635" s="41" t="n">
        <v>0</v>
      </c>
      <c r="P635" s="42" t="n">
        <v>188141</v>
      </c>
    </row>
    <row r="636" spans="1:16">
      <c r="A636" s="37" t="n">
        <v>646</v>
      </c>
      <c r="B636" s="38" t="s">
        <v>1449</v>
      </c>
      <c r="C636" s="39" t="s">
        <v>58</v>
      </c>
      <c r="D636" s="39" t="s">
        <v>20</v>
      </c>
      <c r="E636" s="39" t="s">
        <v>21</v>
      </c>
      <c r="F636" s="38" t="s">
        <v>1450</v>
      </c>
      <c r="G636" s="122" t="s">
        <v>1876</v>
      </c>
      <c r="H636" s="122" t="s">
        <v>1452</v>
      </c>
      <c r="I636" s="41" t="n">
        <v>198043</v>
      </c>
      <c r="J636" s="41" t="n">
        <v>198043</v>
      </c>
      <c r="K636" s="41" t="n">
        <v>9902</v>
      </c>
      <c r="L636" s="41" t="n">
        <v>0</v>
      </c>
      <c r="M636" s="41" t="n">
        <v>0</v>
      </c>
      <c r="N636" s="41" t="n">
        <v>0</v>
      </c>
      <c r="O636" s="41" t="n">
        <v>0</v>
      </c>
      <c r="P636" s="42" t="n">
        <v>188141</v>
      </c>
    </row>
    <row r="637" spans="1:16">
      <c r="A637" s="37" t="n">
        <v>647</v>
      </c>
      <c r="B637" s="38" t="s">
        <v>1453</v>
      </c>
      <c r="C637" s="39" t="s">
        <v>58</v>
      </c>
      <c r="D637" s="39" t="s">
        <v>20</v>
      </c>
      <c r="E637" s="39" t="s">
        <v>21</v>
      </c>
      <c r="F637" s="38" t="s">
        <v>1454</v>
      </c>
      <c r="G637" s="122" t="s">
        <v>1880</v>
      </c>
      <c r="H637" s="122" t="s">
        <v>1456</v>
      </c>
      <c r="I637" s="41" t="n">
        <v>196214</v>
      </c>
      <c r="J637" s="41" t="n">
        <v>196214</v>
      </c>
      <c r="K637" s="41" t="n">
        <v>9811</v>
      </c>
      <c r="L637" s="41" t="n">
        <v>0</v>
      </c>
      <c r="M637" s="41" t="n">
        <v>0</v>
      </c>
      <c r="N637" s="41" t="n">
        <v>0</v>
      </c>
      <c r="O637" s="41" t="n">
        <v>0</v>
      </c>
      <c r="P637" s="42" t="n">
        <v>186403</v>
      </c>
    </row>
    <row r="638" spans="1:16">
      <c r="A638" s="37" t="n">
        <v>648</v>
      </c>
      <c r="B638" s="38" t="s">
        <v>1460</v>
      </c>
      <c r="C638" s="39" t="s">
        <v>283</v>
      </c>
      <c r="D638" s="39" t="s">
        <v>20</v>
      </c>
      <c r="E638" s="39" t="s">
        <v>21</v>
      </c>
      <c r="F638" s="38" t="n">
        <v>0</v>
      </c>
      <c r="G638" s="40" t="n">
        <v>0</v>
      </c>
      <c r="H638" s="122" t="s">
        <v>1461</v>
      </c>
      <c r="I638" s="41" t="n">
        <v>196214</v>
      </c>
      <c r="J638" s="41" t="n">
        <v>196214</v>
      </c>
      <c r="K638" s="41" t="n">
        <v>0</v>
      </c>
      <c r="L638" s="41" t="n">
        <v>0</v>
      </c>
      <c r="M638" s="41" t="n">
        <v>0</v>
      </c>
      <c r="N638" s="41" t="n">
        <v>0</v>
      </c>
      <c r="O638" s="41" t="n">
        <v>0</v>
      </c>
      <c r="P638" s="42" t="n">
        <v>196214</v>
      </c>
    </row>
    <row r="639" spans="1:16">
      <c r="A639" s="37" t="n">
        <v>649</v>
      </c>
      <c r="B639" s="38" t="s">
        <v>1466</v>
      </c>
      <c r="C639" s="39" t="s">
        <v>95</v>
      </c>
      <c r="D639" s="39" t="s">
        <v>278</v>
      </c>
      <c r="E639" s="39" t="s">
        <v>16</v>
      </c>
      <c r="F639" s="38" t="n">
        <v>0</v>
      </c>
      <c r="G639" s="40" t="n">
        <v>0</v>
      </c>
      <c r="H639" s="122" t="s">
        <v>1468</v>
      </c>
      <c r="I639" s="41" t="n">
        <v>196214</v>
      </c>
      <c r="J639" s="41" t="n">
        <v>196214</v>
      </c>
      <c r="K639" s="41" t="n">
        <v>0</v>
      </c>
      <c r="L639" s="41" t="n">
        <v>0</v>
      </c>
      <c r="M639" s="41" t="n">
        <v>0</v>
      </c>
      <c r="N639" s="41" t="n">
        <v>0</v>
      </c>
      <c r="O639" s="41" t="n">
        <v>0</v>
      </c>
      <c r="P639" s="42" t="n">
        <v>196214</v>
      </c>
    </row>
    <row r="640" spans="1:16">
      <c r="A640" s="37" t="n">
        <v>650</v>
      </c>
      <c r="B640" s="38" t="s">
        <v>1457</v>
      </c>
      <c r="C640" s="39" t="s">
        <v>111</v>
      </c>
      <c r="D640" s="39" t="s">
        <v>20</v>
      </c>
      <c r="E640" s="39" t="s">
        <v>21</v>
      </c>
      <c r="F640" s="38" t="s">
        <v>1458</v>
      </c>
      <c r="G640" s="40" t="n">
        <v>0</v>
      </c>
      <c r="H640" s="122" t="s">
        <v>1459</v>
      </c>
      <c r="I640" s="41" t="n">
        <v>174316</v>
      </c>
      <c r="J640" s="41" t="n">
        <v>174316</v>
      </c>
      <c r="K640" s="41" t="n">
        <v>0</v>
      </c>
      <c r="L640" s="41" t="n">
        <v>0</v>
      </c>
      <c r="M640" s="41" t="n">
        <v>0</v>
      </c>
      <c r="N640" s="41" t="n">
        <v>0</v>
      </c>
      <c r="O640" s="41" t="n">
        <v>0</v>
      </c>
      <c r="P640" s="42" t="n">
        <v>174316</v>
      </c>
    </row>
    <row r="641" spans="1:16">
      <c r="A641" s="37" t="n">
        <v>651</v>
      </c>
      <c r="B641" s="38" t="s">
        <v>1462</v>
      </c>
      <c r="C641" s="39" t="s">
        <v>131</v>
      </c>
      <c r="D641" s="39" t="s">
        <v>20</v>
      </c>
      <c r="E641" s="39" t="s">
        <v>21</v>
      </c>
      <c r="F641" s="38" t="s">
        <v>1463</v>
      </c>
      <c r="G641" s="40" t="n">
        <v>0</v>
      </c>
      <c r="H641" s="122" t="s">
        <v>1465</v>
      </c>
      <c r="I641" s="41" t="n">
        <v>176145</v>
      </c>
      <c r="J641" s="41" t="n">
        <v>176145</v>
      </c>
      <c r="K641" s="41" t="n">
        <v>8807</v>
      </c>
      <c r="L641" s="41" t="n">
        <v>0</v>
      </c>
      <c r="M641" s="41" t="n">
        <v>0</v>
      </c>
      <c r="N641" s="41" t="n">
        <v>0</v>
      </c>
      <c r="O641" s="41" t="n">
        <v>0</v>
      </c>
      <c r="P641" s="42" t="n">
        <v>167338</v>
      </c>
    </row>
    <row r="642" spans="1:16">
      <c r="A642" s="37" t="n">
        <v>652</v>
      </c>
      <c r="B642" s="38" t="s">
        <v>1469</v>
      </c>
      <c r="C642" s="39" t="s">
        <v>283</v>
      </c>
      <c r="D642" s="39" t="s">
        <v>20</v>
      </c>
      <c r="E642" s="39" t="s">
        <v>21</v>
      </c>
      <c r="F642" s="38" t="n">
        <v>0</v>
      </c>
      <c r="G642" s="40" t="n">
        <v>0</v>
      </c>
      <c r="H642" s="122" t="s">
        <v>1471</v>
      </c>
      <c r="I642" s="41" t="n">
        <v>152418</v>
      </c>
      <c r="J642" s="41" t="n">
        <v>152418</v>
      </c>
      <c r="K642" s="41" t="n">
        <v>0</v>
      </c>
      <c r="L642" s="41" t="n">
        <v>0</v>
      </c>
      <c r="M642" s="41" t="n">
        <v>0</v>
      </c>
      <c r="N642" s="41" t="n">
        <v>0</v>
      </c>
      <c r="O642" s="41" t="n">
        <v>0</v>
      </c>
      <c r="P642" s="42" t="n">
        <v>152418</v>
      </c>
    </row>
    <row r="643" spans="1:16">
      <c r="A643" s="37" t="n">
        <v>653</v>
      </c>
      <c r="B643" s="38" t="s">
        <v>1472</v>
      </c>
      <c r="C643" s="39" t="s">
        <v>95</v>
      </c>
      <c r="D643" s="39" t="s">
        <v>121</v>
      </c>
      <c r="E643" s="39" t="s">
        <v>14</v>
      </c>
      <c r="F643" s="38" t="n">
        <v>0</v>
      </c>
      <c r="G643" s="40" t="n">
        <v>0</v>
      </c>
      <c r="H643" s="122" t="s">
        <v>1473</v>
      </c>
      <c r="I643" s="41" t="n">
        <v>109538</v>
      </c>
      <c r="J643" s="41" t="n">
        <v>109538</v>
      </c>
      <c r="K643" s="41" t="n">
        <v>0</v>
      </c>
      <c r="L643" s="41" t="n">
        <v>0</v>
      </c>
      <c r="M643" s="41" t="n">
        <v>0</v>
      </c>
      <c r="N643" s="41" t="n">
        <v>0</v>
      </c>
      <c r="O643" s="41" t="n">
        <v>0</v>
      </c>
      <c r="P643" s="42" t="n">
        <v>109538</v>
      </c>
    </row>
    <row r="644" spans="1:16">
      <c r="A644" s="37" t="n">
        <v>654</v>
      </c>
      <c r="B644" s="38" t="s">
        <v>1474</v>
      </c>
      <c r="C644" s="39" t="s">
        <v>58</v>
      </c>
      <c r="D644" s="39" t="s">
        <v>20</v>
      </c>
      <c r="E644" s="39" t="s">
        <v>21</v>
      </c>
      <c r="F644" s="38" t="s">
        <v>1475</v>
      </c>
      <c r="G644" s="122" t="s">
        <v>1804</v>
      </c>
      <c r="H644" s="122" t="s">
        <v>1477</v>
      </c>
      <c r="I644" s="41" t="n">
        <v>160500</v>
      </c>
      <c r="J644" s="41" t="n">
        <v>160500</v>
      </c>
      <c r="K644" s="41" t="n">
        <v>8025</v>
      </c>
      <c r="L644" s="41" t="n">
        <v>0</v>
      </c>
      <c r="M644" s="41" t="n">
        <v>0</v>
      </c>
      <c r="N644" s="41" t="n">
        <v>0</v>
      </c>
      <c r="O644" s="41" t="n">
        <v>0</v>
      </c>
      <c r="P644" s="42" t="n">
        <v>152475</v>
      </c>
    </row>
    <row r="645" spans="1:16">
      <c r="A645" s="37" t="n">
        <v>655</v>
      </c>
      <c r="B645" s="38" t="s">
        <v>1478</v>
      </c>
      <c r="C645" s="39" t="s">
        <v>58</v>
      </c>
      <c r="D645" s="39" t="s">
        <v>20</v>
      </c>
      <c r="E645" s="39" t="s">
        <v>21</v>
      </c>
      <c r="F645" s="38" t="s">
        <v>1479</v>
      </c>
      <c r="G645" s="40" t="n">
        <v>0</v>
      </c>
      <c r="H645" s="122" t="s">
        <v>1480</v>
      </c>
      <c r="I645" s="41" t="n">
        <v>113886</v>
      </c>
      <c r="J645" s="41" t="n">
        <v>113886</v>
      </c>
      <c r="K645" s="41" t="n">
        <v>5694</v>
      </c>
      <c r="L645" s="41" t="n">
        <v>0</v>
      </c>
      <c r="M645" s="41" t="n">
        <v>0</v>
      </c>
      <c r="N645" s="41" t="n">
        <v>0</v>
      </c>
      <c r="O645" s="41" t="n">
        <v>0</v>
      </c>
      <c r="P645" s="42" t="n">
        <v>108192</v>
      </c>
    </row>
    <row r="646" spans="1:16">
      <c r="A646" s="37" t="n">
        <v>656</v>
      </c>
      <c r="B646" s="38" t="s">
        <v>1481</v>
      </c>
      <c r="C646" s="39" t="s">
        <v>58</v>
      </c>
      <c r="D646" s="39" t="s">
        <v>20</v>
      </c>
      <c r="E646" s="39" t="s">
        <v>21</v>
      </c>
      <c r="F646" s="38" t="s">
        <v>1482</v>
      </c>
      <c r="G646" s="40" t="n">
        <v>0</v>
      </c>
      <c r="H646" s="122" t="s">
        <v>1483</v>
      </c>
      <c r="I646" s="41" t="n">
        <v>113886</v>
      </c>
      <c r="J646" s="41" t="n">
        <v>113886</v>
      </c>
      <c r="K646" s="41" t="n">
        <v>5694</v>
      </c>
      <c r="L646" s="41" t="n">
        <v>0</v>
      </c>
      <c r="M646" s="41" t="n">
        <v>0</v>
      </c>
      <c r="N646" s="41" t="n">
        <v>0</v>
      </c>
      <c r="O646" s="41" t="n">
        <v>0</v>
      </c>
      <c r="P646" s="42" t="n">
        <v>108192</v>
      </c>
    </row>
    <row r="647" spans="1:16">
      <c r="A647" s="37" t="n">
        <v>657</v>
      </c>
      <c r="B647" s="38" t="s">
        <v>1484</v>
      </c>
      <c r="C647" s="39" t="s">
        <v>58</v>
      </c>
      <c r="D647" s="39" t="s">
        <v>20</v>
      </c>
      <c r="E647" s="39" t="s">
        <v>21</v>
      </c>
      <c r="F647" s="38" t="s">
        <v>1485</v>
      </c>
      <c r="G647" s="40" t="n">
        <v>0</v>
      </c>
      <c r="H647" s="122" t="s">
        <v>1487</v>
      </c>
      <c r="I647" s="41" t="n">
        <v>112058</v>
      </c>
      <c r="J647" s="41" t="n">
        <v>112058</v>
      </c>
      <c r="K647" s="41" t="n">
        <v>5603</v>
      </c>
      <c r="L647" s="41" t="n">
        <v>0</v>
      </c>
      <c r="M647" s="41" t="n">
        <v>0</v>
      </c>
      <c r="N647" s="41" t="n">
        <v>0</v>
      </c>
      <c r="O647" s="41" t="n">
        <v>0</v>
      </c>
      <c r="P647" s="42" t="n">
        <v>106455</v>
      </c>
    </row>
    <row r="648" spans="1:16">
      <c r="A648" s="37" t="n">
        <v>658</v>
      </c>
      <c r="B648" s="38" t="s">
        <v>1488</v>
      </c>
      <c r="C648" s="39" t="s">
        <v>58</v>
      </c>
      <c r="D648" s="39" t="s">
        <v>20</v>
      </c>
      <c r="E648" s="39" t="s">
        <v>21</v>
      </c>
      <c r="F648" s="38" t="s">
        <v>1489</v>
      </c>
      <c r="G648" s="40" t="n">
        <v>0</v>
      </c>
      <c r="H648" s="122" t="s">
        <v>1491</v>
      </c>
      <c r="I648" s="41" t="n">
        <v>113886</v>
      </c>
      <c r="J648" s="41" t="n">
        <v>113886</v>
      </c>
      <c r="K648" s="41" t="n">
        <v>5694</v>
      </c>
      <c r="L648" s="41" t="n">
        <v>0</v>
      </c>
      <c r="M648" s="41" t="n">
        <v>0</v>
      </c>
      <c r="N648" s="41" t="n">
        <v>0</v>
      </c>
      <c r="O648" s="41" t="n">
        <v>0</v>
      </c>
      <c r="P648" s="42" t="n">
        <v>108192</v>
      </c>
    </row>
    <row r="649" spans="1:16">
      <c r="A649" s="37" t="n">
        <v>659</v>
      </c>
      <c r="B649" s="38" t="s">
        <v>1492</v>
      </c>
      <c r="C649" s="39" t="s">
        <v>283</v>
      </c>
      <c r="D649" s="39" t="s">
        <v>20</v>
      </c>
      <c r="E649" s="39" t="s">
        <v>21</v>
      </c>
      <c r="F649" s="38" t="n">
        <v>0</v>
      </c>
      <c r="G649" s="122" t="s">
        <v>1815</v>
      </c>
      <c r="H649" s="122" t="s">
        <v>1493</v>
      </c>
      <c r="I649" s="41" t="n">
        <v>112058</v>
      </c>
      <c r="J649" s="41" t="n">
        <v>112058</v>
      </c>
      <c r="K649" s="41" t="n">
        <v>0</v>
      </c>
      <c r="L649" s="41" t="n">
        <v>0</v>
      </c>
      <c r="M649" s="41" t="n">
        <v>0</v>
      </c>
      <c r="N649" s="41" t="n">
        <v>0</v>
      </c>
      <c r="O649" s="41" t="n">
        <v>0</v>
      </c>
      <c r="P649" s="42" t="n">
        <v>112058</v>
      </c>
    </row>
    <row r="650" spans="1:16">
      <c r="A650" s="37" t="n">
        <v>660</v>
      </c>
      <c r="B650" s="38" t="s">
        <v>2104</v>
      </c>
      <c r="C650" s="39" t="s">
        <v>95</v>
      </c>
      <c r="D650" s="39" t="s">
        <v>121</v>
      </c>
      <c r="E650" s="39" t="s">
        <v>14</v>
      </c>
      <c r="F650" s="38" t="s">
        <v>2105</v>
      </c>
      <c r="G650" s="122" t="s">
        <v>1818</v>
      </c>
      <c r="H650" s="122" t="s">
        <v>2106</v>
      </c>
      <c r="I650" s="41" t="n">
        <v>10058</v>
      </c>
      <c r="J650" s="41" t="n">
        <v>10058</v>
      </c>
      <c r="K650" s="41" t="n">
        <v>0</v>
      </c>
      <c r="L650" s="41" t="n">
        <v>0</v>
      </c>
      <c r="M650" s="41" t="n">
        <v>0</v>
      </c>
      <c r="N650" s="41" t="n">
        <v>0</v>
      </c>
      <c r="O650" s="41" t="n">
        <v>0</v>
      </c>
      <c r="P650" s="42" t="n">
        <v>10058</v>
      </c>
    </row>
    <row r="651" spans="1:16">
      <c r="A651" s="37" t="n">
        <v>661</v>
      </c>
      <c r="B651" s="38" t="s">
        <v>2107</v>
      </c>
      <c r="C651" s="39" t="s">
        <v>95</v>
      </c>
      <c r="D651" s="39" t="s">
        <v>124</v>
      </c>
      <c r="E651" s="39" t="s">
        <v>15</v>
      </c>
      <c r="F651" s="38" t="s">
        <v>2108</v>
      </c>
      <c r="G651" s="122" t="s">
        <v>1822</v>
      </c>
      <c r="H651" s="122" t="s">
        <v>2109</v>
      </c>
      <c r="I651" s="41" t="n">
        <v>18359</v>
      </c>
      <c r="J651" s="41" t="n">
        <v>18359</v>
      </c>
      <c r="K651" s="41" t="n">
        <v>0</v>
      </c>
      <c r="L651" s="41" t="n">
        <v>0</v>
      </c>
      <c r="M651" s="41" t="n">
        <v>0</v>
      </c>
      <c r="N651" s="41" t="n">
        <v>0</v>
      </c>
      <c r="O651" s="41" t="n">
        <v>0</v>
      </c>
      <c r="P651" s="42" t="n">
        <v>18359</v>
      </c>
    </row>
    <row r="652" spans="1:16">
      <c r="A652" s="37" t="n">
        <v>662</v>
      </c>
      <c r="B652" s="38" t="s">
        <v>2110</v>
      </c>
      <c r="C652" s="39" t="s">
        <v>95</v>
      </c>
      <c r="D652" s="39" t="s">
        <v>128</v>
      </c>
      <c r="E652" s="39" t="s">
        <v>15</v>
      </c>
      <c r="F652" s="38" t="s">
        <v>2111</v>
      </c>
      <c r="G652" s="40" t="n">
        <v>0</v>
      </c>
      <c r="H652" s="122" t="s">
        <v>2112</v>
      </c>
      <c r="I652" s="41" t="n">
        <v>115328</v>
      </c>
      <c r="J652" s="41" t="n">
        <v>115328</v>
      </c>
      <c r="K652" s="41" t="n">
        <v>0</v>
      </c>
      <c r="L652" s="41" t="n">
        <v>0</v>
      </c>
      <c r="M652" s="41" t="n">
        <v>0</v>
      </c>
      <c r="N652" s="41" t="n">
        <v>0</v>
      </c>
      <c r="O652" s="41" t="n">
        <v>0</v>
      </c>
      <c r="P652" s="42" t="n">
        <v>115328</v>
      </c>
    </row>
    <row r="653" spans="1:16">
      <c r="A653" s="37" t="n">
        <v>663</v>
      </c>
      <c r="B653" s="38" t="s">
        <v>2113</v>
      </c>
      <c r="C653" s="39" t="s">
        <v>95</v>
      </c>
      <c r="D653" s="39" t="s">
        <v>128</v>
      </c>
      <c r="E653" s="39" t="s">
        <v>15</v>
      </c>
      <c r="F653" s="38" t="s">
        <v>2114</v>
      </c>
      <c r="G653" s="122" t="s">
        <v>1829</v>
      </c>
      <c r="H653" s="122" t="s">
        <v>2115</v>
      </c>
      <c r="I653" s="41" t="n">
        <v>10058</v>
      </c>
      <c r="J653" s="41" t="n">
        <v>10058</v>
      </c>
      <c r="K653" s="41" t="n">
        <v>0</v>
      </c>
      <c r="L653" s="41" t="n">
        <v>0</v>
      </c>
      <c r="M653" s="41" t="n">
        <v>0</v>
      </c>
      <c r="N653" s="41" t="n">
        <v>0</v>
      </c>
      <c r="O653" s="41" t="n">
        <v>0</v>
      </c>
      <c r="P653" s="42" t="n">
        <v>10058</v>
      </c>
    </row>
    <row r="654" spans="1:16">
      <c r="A654" s="37" t="n">
        <v>664</v>
      </c>
      <c r="B654" s="38" t="s">
        <v>2116</v>
      </c>
      <c r="C654" s="39" t="s">
        <v>95</v>
      </c>
      <c r="D654" s="39" t="s">
        <v>124</v>
      </c>
      <c r="E654" s="39" t="s">
        <v>15</v>
      </c>
      <c r="F654" s="38" t="s">
        <v>2117</v>
      </c>
      <c r="G654" s="122" t="s">
        <v>1833</v>
      </c>
      <c r="H654" s="122" t="s">
        <v>2118</v>
      </c>
      <c r="I654" s="41" t="n">
        <v>115328</v>
      </c>
      <c r="J654" s="41" t="n">
        <v>115328</v>
      </c>
      <c r="K654" s="41" t="n">
        <v>0</v>
      </c>
      <c r="L654" s="41" t="n">
        <v>0</v>
      </c>
      <c r="M654" s="41" t="n">
        <v>0</v>
      </c>
      <c r="N654" s="41" t="n">
        <v>0</v>
      </c>
      <c r="O654" s="41" t="n">
        <v>0</v>
      </c>
      <c r="P654" s="42" t="n">
        <v>115328</v>
      </c>
    </row>
    <row r="655" spans="1:16">
      <c r="A655" s="37" t="n">
        <v>665</v>
      </c>
      <c r="B655" s="38" t="s">
        <v>2119</v>
      </c>
      <c r="C655" s="39" t="s">
        <v>95</v>
      </c>
      <c r="D655" s="39" t="s">
        <v>121</v>
      </c>
      <c r="E655" s="39" t="s">
        <v>14</v>
      </c>
      <c r="F655" s="38" t="s">
        <v>2120</v>
      </c>
      <c r="G655" s="122" t="s">
        <v>1837</v>
      </c>
      <c r="H655" s="122" t="s">
        <v>2121</v>
      </c>
      <c r="I655" s="41" t="n">
        <v>18359</v>
      </c>
      <c r="J655" s="41" t="n">
        <v>18359</v>
      </c>
      <c r="K655" s="41" t="n">
        <v>0</v>
      </c>
      <c r="L655" s="41" t="n">
        <v>0</v>
      </c>
      <c r="M655" s="41" t="n">
        <v>0</v>
      </c>
      <c r="N655" s="41" t="n">
        <v>0</v>
      </c>
      <c r="O655" s="41" t="n">
        <v>0</v>
      </c>
      <c r="P655" s="42" t="n">
        <v>18359</v>
      </c>
    </row>
    <row r="656" spans="1:16">
      <c r="A656" s="37" t="n">
        <v>666</v>
      </c>
      <c r="B656" s="38" t="s">
        <v>2122</v>
      </c>
      <c r="C656" s="39" t="s">
        <v>95</v>
      </c>
      <c r="D656" s="39" t="s">
        <v>128</v>
      </c>
      <c r="E656" s="39" t="s">
        <v>15</v>
      </c>
      <c r="F656" s="38" t="s">
        <v>2123</v>
      </c>
      <c r="G656" s="122" t="s">
        <v>1841</v>
      </c>
      <c r="H656" s="122" t="s">
        <v>2124</v>
      </c>
      <c r="I656" s="41" t="n">
        <v>115328</v>
      </c>
      <c r="J656" s="41" t="n">
        <v>115328</v>
      </c>
      <c r="K656" s="41" t="n">
        <v>0</v>
      </c>
      <c r="L656" s="41" t="n">
        <v>0</v>
      </c>
      <c r="M656" s="41" t="n">
        <v>0</v>
      </c>
      <c r="N656" s="41" t="n">
        <v>0</v>
      </c>
      <c r="O656" s="41" t="n">
        <v>0</v>
      </c>
      <c r="P656" s="42" t="n">
        <v>115328</v>
      </c>
    </row>
    <row r="657" spans="1:16">
      <c r="A657" s="37" t="n">
        <v>667</v>
      </c>
      <c r="B657" s="38" t="s">
        <v>2125</v>
      </c>
      <c r="C657" s="39" t="s">
        <v>95</v>
      </c>
      <c r="D657" s="39" t="s">
        <v>128</v>
      </c>
      <c r="E657" s="39" t="s">
        <v>15</v>
      </c>
      <c r="F657" s="38" t="s">
        <v>2126</v>
      </c>
      <c r="G657" s="122" t="s">
        <v>1845</v>
      </c>
      <c r="H657" s="122" t="s">
        <v>2127</v>
      </c>
      <c r="I657" s="41" t="n">
        <v>18285</v>
      </c>
      <c r="J657" s="41" t="n">
        <v>18285</v>
      </c>
      <c r="K657" s="41" t="n">
        <v>0</v>
      </c>
      <c r="L657" s="41" t="n">
        <v>0</v>
      </c>
      <c r="M657" s="41" t="n">
        <v>0</v>
      </c>
      <c r="N657" s="41" t="n">
        <v>0</v>
      </c>
      <c r="O657" s="41" t="n">
        <v>0</v>
      </c>
      <c r="P657" s="42" t="n">
        <v>18285</v>
      </c>
    </row>
    <row r="658" spans="1:16">
      <c r="A658" s="37" t="n">
        <v>668</v>
      </c>
      <c r="B658" s="38" t="s">
        <v>2128</v>
      </c>
      <c r="C658" s="39" t="s">
        <v>95</v>
      </c>
      <c r="D658" s="39" t="s">
        <v>121</v>
      </c>
      <c r="E658" s="39" t="s">
        <v>14</v>
      </c>
      <c r="F658" s="38" t="s">
        <v>2129</v>
      </c>
      <c r="G658" s="40" t="n">
        <v>0</v>
      </c>
      <c r="H658" s="122" t="s">
        <v>2130</v>
      </c>
      <c r="I658" s="41" t="n">
        <v>9510</v>
      </c>
      <c r="J658" s="41" t="n">
        <v>9510</v>
      </c>
      <c r="K658" s="41" t="n">
        <v>0</v>
      </c>
      <c r="L658" s="41" t="n">
        <v>0</v>
      </c>
      <c r="M658" s="41" t="n">
        <v>0</v>
      </c>
      <c r="N658" s="41" t="n">
        <v>0</v>
      </c>
      <c r="O658" s="41" t="n">
        <v>0</v>
      </c>
      <c r="P658" s="42" t="n">
        <v>9510</v>
      </c>
    </row>
    <row r="659" spans="1:16">
      <c r="A659" s="37" t="n">
        <v>669</v>
      </c>
      <c r="B659" s="38" t="s">
        <v>2131</v>
      </c>
      <c r="C659" s="39" t="s">
        <v>95</v>
      </c>
      <c r="D659" s="39" t="s">
        <v>124</v>
      </c>
      <c r="E659" s="39" t="s">
        <v>15</v>
      </c>
      <c r="F659" s="38" t="s">
        <v>2132</v>
      </c>
      <c r="G659" s="122" t="s">
        <v>1851</v>
      </c>
      <c r="H659" s="122" t="s">
        <v>2133</v>
      </c>
      <c r="I659" s="41" t="n">
        <v>10058</v>
      </c>
      <c r="J659" s="41" t="n">
        <v>10058</v>
      </c>
      <c r="K659" s="41" t="n">
        <v>0</v>
      </c>
      <c r="L659" s="41" t="n">
        <v>0</v>
      </c>
      <c r="M659" s="41" t="n">
        <v>0</v>
      </c>
      <c r="N659" s="41" t="n">
        <v>0</v>
      </c>
      <c r="O659" s="41" t="n">
        <v>0</v>
      </c>
      <c r="P659" s="42" t="n">
        <v>10058</v>
      </c>
    </row>
    <row r="660" spans="1:16">
      <c r="A660" s="37" t="n">
        <v>670</v>
      </c>
      <c r="B660" s="38" t="s">
        <v>2134</v>
      </c>
      <c r="C660" s="39" t="s">
        <v>95</v>
      </c>
      <c r="D660" s="39" t="s">
        <v>121</v>
      </c>
      <c r="E660" s="39" t="s">
        <v>14</v>
      </c>
      <c r="F660" s="38" t="s">
        <v>2135</v>
      </c>
      <c r="G660" s="40" t="n">
        <v>0</v>
      </c>
      <c r="H660" s="122" t="s">
        <v>2136</v>
      </c>
      <c r="I660" s="41" t="n">
        <v>9510</v>
      </c>
      <c r="J660" s="41" t="n">
        <v>9510</v>
      </c>
      <c r="K660" s="41" t="n">
        <v>0</v>
      </c>
      <c r="L660" s="41" t="n">
        <v>0</v>
      </c>
      <c r="M660" s="41" t="n">
        <v>0</v>
      </c>
      <c r="N660" s="41" t="n">
        <v>0</v>
      </c>
      <c r="O660" s="41" t="n">
        <v>0</v>
      </c>
      <c r="P660" s="42" t="n">
        <v>9510</v>
      </c>
    </row>
    <row r="661" spans="1:16">
      <c r="A661" s="37" t="n">
        <v>671</v>
      </c>
      <c r="B661" s="38" t="s">
        <v>2137</v>
      </c>
      <c r="C661" s="39" t="s">
        <v>95</v>
      </c>
      <c r="D661" s="39" t="s">
        <v>121</v>
      </c>
      <c r="E661" s="39" t="s">
        <v>14</v>
      </c>
      <c r="F661" s="38" t="s">
        <v>2138</v>
      </c>
      <c r="G661" s="40" t="n">
        <v>0</v>
      </c>
      <c r="H661" s="122" t="s">
        <v>2139</v>
      </c>
      <c r="I661" s="41" t="n">
        <v>18285</v>
      </c>
      <c r="J661" s="41" t="n">
        <v>18285</v>
      </c>
      <c r="K661" s="41" t="n">
        <v>0</v>
      </c>
      <c r="L661" s="41" t="n">
        <v>0</v>
      </c>
      <c r="M661" s="41" t="n">
        <v>0</v>
      </c>
      <c r="N661" s="41" t="n">
        <v>0</v>
      </c>
      <c r="O661" s="41" t="n">
        <v>0</v>
      </c>
      <c r="P661" s="42" t="n">
        <v>18285</v>
      </c>
    </row>
    <row r="662" spans="1:16">
      <c r="A662" s="37" t="n">
        <v>672</v>
      </c>
      <c r="B662" s="38" t="s">
        <v>2140</v>
      </c>
      <c r="C662" s="39" t="s">
        <v>95</v>
      </c>
      <c r="D662" s="39" t="s">
        <v>124</v>
      </c>
      <c r="E662" s="39" t="s">
        <v>15</v>
      </c>
      <c r="F662" s="38" t="s">
        <v>2141</v>
      </c>
      <c r="G662" s="40" t="n">
        <v>0</v>
      </c>
      <c r="H662" s="122" t="s">
        <v>2142</v>
      </c>
      <c r="I662" s="41" t="n">
        <v>18359</v>
      </c>
      <c r="J662" s="41" t="n">
        <v>18359</v>
      </c>
      <c r="K662" s="41" t="n">
        <v>0</v>
      </c>
      <c r="L662" s="41" t="n">
        <v>0</v>
      </c>
      <c r="M662" s="41" t="n">
        <v>0</v>
      </c>
      <c r="N662" s="41" t="n">
        <v>0</v>
      </c>
      <c r="O662" s="41" t="n">
        <v>0</v>
      </c>
      <c r="P662" s="42" t="n">
        <v>18359</v>
      </c>
    </row>
    <row r="663" spans="1:16">
      <c r="A663" s="37" t="n">
        <v>673</v>
      </c>
      <c r="B663" s="38" t="s">
        <v>2143</v>
      </c>
      <c r="C663" s="39" t="s">
        <v>95</v>
      </c>
      <c r="D663" s="39" t="s">
        <v>128</v>
      </c>
      <c r="E663" s="39" t="s">
        <v>15</v>
      </c>
      <c r="F663" s="38" t="s">
        <v>2144</v>
      </c>
      <c r="G663" s="122" t="s">
        <v>1864</v>
      </c>
      <c r="H663" s="122" t="s">
        <v>2145</v>
      </c>
      <c r="I663" s="41" t="n">
        <v>18285</v>
      </c>
      <c r="J663" s="41" t="n">
        <v>18285</v>
      </c>
      <c r="K663" s="41" t="n">
        <v>0</v>
      </c>
      <c r="L663" s="41" t="n">
        <v>0</v>
      </c>
      <c r="M663" s="41" t="n">
        <v>0</v>
      </c>
      <c r="N663" s="41" t="n">
        <v>0</v>
      </c>
      <c r="O663" s="41" t="n">
        <v>0</v>
      </c>
      <c r="P663" s="42" t="n">
        <v>18285</v>
      </c>
    </row>
    <row r="664" spans="1:16">
      <c r="A664" s="37" t="n">
        <v>674</v>
      </c>
      <c r="B664" s="38" t="s">
        <v>2146</v>
      </c>
      <c r="C664" s="39" t="s">
        <v>95</v>
      </c>
      <c r="D664" s="39" t="s">
        <v>124</v>
      </c>
      <c r="E664" s="39" t="s">
        <v>15</v>
      </c>
      <c r="F664" s="38" t="s">
        <v>2147</v>
      </c>
      <c r="G664" s="122" t="s">
        <v>1868</v>
      </c>
      <c r="H664" s="122" t="s">
        <v>2148</v>
      </c>
      <c r="I664" s="41" t="n">
        <v>9510</v>
      </c>
      <c r="J664" s="41" t="n">
        <v>9510</v>
      </c>
      <c r="K664" s="41" t="n">
        <v>0</v>
      </c>
      <c r="L664" s="41" t="n">
        <v>0</v>
      </c>
      <c r="M664" s="41" t="n">
        <v>0</v>
      </c>
      <c r="N664" s="41" t="n">
        <v>0</v>
      </c>
      <c r="O664" s="41" t="n">
        <v>0</v>
      </c>
      <c r="P664" s="42" t="n">
        <v>9510</v>
      </c>
    </row>
    <row r="665" spans="1:16">
      <c r="A665" s="37" t="n">
        <v>675</v>
      </c>
      <c r="B665" s="38" t="s">
        <v>2149</v>
      </c>
      <c r="C665" s="39" t="s">
        <v>95</v>
      </c>
      <c r="D665" s="39" t="s">
        <v>128</v>
      </c>
      <c r="E665" s="39" t="s">
        <v>15</v>
      </c>
      <c r="F665" s="38" t="s">
        <v>2150</v>
      </c>
      <c r="G665" s="122" t="s">
        <v>1872</v>
      </c>
      <c r="H665" s="122" t="s">
        <v>2151</v>
      </c>
      <c r="I665" s="41" t="n">
        <v>9510</v>
      </c>
      <c r="J665" s="41" t="n">
        <v>9510</v>
      </c>
      <c r="K665" s="41" t="n">
        <v>0</v>
      </c>
      <c r="L665" s="41" t="n">
        <v>0</v>
      </c>
      <c r="M665" s="41" t="n">
        <v>0</v>
      </c>
      <c r="N665" s="41" t="n">
        <v>0</v>
      </c>
      <c r="O665" s="41" t="n">
        <v>0</v>
      </c>
      <c r="P665" s="42" t="n">
        <v>9510</v>
      </c>
    </row>
    <row r="666" spans="1:16">
      <c r="A666" s="37" t="n">
        <v>676</v>
      </c>
      <c r="B666" s="38" t="s">
        <v>2152</v>
      </c>
      <c r="C666" s="39" t="s">
        <v>95</v>
      </c>
      <c r="D666" s="39" t="s">
        <v>128</v>
      </c>
      <c r="E666" s="39" t="s">
        <v>15</v>
      </c>
      <c r="F666" s="38" t="s">
        <v>2153</v>
      </c>
      <c r="G666" s="122" t="s">
        <v>1876</v>
      </c>
      <c r="H666" s="122" t="s">
        <v>2154</v>
      </c>
      <c r="I666" s="41" t="n">
        <v>10058</v>
      </c>
      <c r="J666" s="41" t="n">
        <v>10058</v>
      </c>
      <c r="K666" s="41" t="n">
        <v>0</v>
      </c>
      <c r="L666" s="41" t="n">
        <v>0</v>
      </c>
      <c r="M666" s="41" t="n">
        <v>0</v>
      </c>
      <c r="N666" s="41" t="n">
        <v>0</v>
      </c>
      <c r="O666" s="41" t="n">
        <v>0</v>
      </c>
      <c r="P666" s="42" t="n">
        <v>10058</v>
      </c>
    </row>
    <row r="667" spans="1:16">
      <c r="A667" s="37" t="n">
        <v>677</v>
      </c>
      <c r="B667" s="38" t="s">
        <v>2155</v>
      </c>
      <c r="C667" s="39" t="s">
        <v>95</v>
      </c>
      <c r="D667" s="39" t="s">
        <v>124</v>
      </c>
      <c r="E667" s="39" t="s">
        <v>15</v>
      </c>
      <c r="F667" s="38" t="s">
        <v>2156</v>
      </c>
      <c r="G667" s="122" t="s">
        <v>1880</v>
      </c>
      <c r="H667" s="122" t="s">
        <v>2157</v>
      </c>
      <c r="I667" s="41" t="n">
        <v>9510</v>
      </c>
      <c r="J667" s="41" t="n">
        <v>9510</v>
      </c>
      <c r="K667" s="41" t="n">
        <v>0</v>
      </c>
      <c r="L667" s="41" t="n">
        <v>0</v>
      </c>
      <c r="M667" s="41" t="n">
        <v>0</v>
      </c>
      <c r="N667" s="41" t="n">
        <v>0</v>
      </c>
      <c r="O667" s="41" t="n">
        <v>0</v>
      </c>
      <c r="P667" s="42" t="n">
        <v>9510</v>
      </c>
    </row>
    <row r="668" spans="1:16">
      <c r="A668" s="37" t="n">
        <v>678</v>
      </c>
      <c r="B668" s="38" t="s">
        <v>2158</v>
      </c>
      <c r="C668" s="39" t="s">
        <v>95</v>
      </c>
      <c r="D668" s="39" t="s">
        <v>121</v>
      </c>
      <c r="E668" s="39" t="s">
        <v>14</v>
      </c>
      <c r="F668" s="38" t="s">
        <v>2159</v>
      </c>
      <c r="G668" s="40" t="n">
        <v>0</v>
      </c>
      <c r="H668" s="122" t="s">
        <v>2160</v>
      </c>
      <c r="I668" s="41" t="n">
        <v>9510</v>
      </c>
      <c r="J668" s="41" t="n">
        <v>9510</v>
      </c>
      <c r="K668" s="41" t="n">
        <v>0</v>
      </c>
      <c r="L668" s="41" t="n">
        <v>0</v>
      </c>
      <c r="M668" s="41" t="n">
        <v>0</v>
      </c>
      <c r="N668" s="41" t="n">
        <v>0</v>
      </c>
      <c r="O668" s="41" t="n">
        <v>0</v>
      </c>
      <c r="P668" s="42" t="n">
        <v>9510</v>
      </c>
    </row>
    <row r="669" spans="1:16">
      <c r="A669" s="37" t="n">
        <v>679</v>
      </c>
      <c r="B669" s="38" t="s">
        <v>2161</v>
      </c>
      <c r="C669" s="39" t="s">
        <v>95</v>
      </c>
      <c r="D669" s="39" t="s">
        <v>124</v>
      </c>
      <c r="E669" s="39" t="s">
        <v>15</v>
      </c>
      <c r="F669" s="38" t="s">
        <v>2162</v>
      </c>
      <c r="G669" s="122" t="s">
        <v>1960</v>
      </c>
      <c r="H669" s="122" t="s">
        <v>2163</v>
      </c>
      <c r="I669" s="41" t="n">
        <v>10058</v>
      </c>
      <c r="J669" s="41" t="n">
        <v>10058</v>
      </c>
      <c r="K669" s="41" t="n">
        <v>0</v>
      </c>
      <c r="L669" s="41" t="n">
        <v>0</v>
      </c>
      <c r="M669" s="41" t="n">
        <v>0</v>
      </c>
      <c r="N669" s="41" t="n">
        <v>0</v>
      </c>
      <c r="O669" s="41" t="n">
        <v>0</v>
      </c>
      <c r="P669" s="42" t="n">
        <v>10058</v>
      </c>
    </row>
    <row r="670" spans="1:16">
      <c r="A670" s="37" t="n">
        <v>680</v>
      </c>
      <c r="B670" s="38" t="s">
        <v>2164</v>
      </c>
      <c r="C670" s="39" t="s">
        <v>95</v>
      </c>
      <c r="D670" s="39" t="s">
        <v>137</v>
      </c>
      <c r="E670" s="39" t="s">
        <v>14</v>
      </c>
      <c r="F670" s="38" t="s">
        <v>2165</v>
      </c>
      <c r="G670" s="122" t="s">
        <v>1964</v>
      </c>
      <c r="H670" s="122" t="s">
        <v>2166</v>
      </c>
      <c r="I670" s="41" t="n">
        <v>18285</v>
      </c>
      <c r="J670" s="41" t="n">
        <v>18285</v>
      </c>
      <c r="K670" s="41" t="n">
        <v>0</v>
      </c>
      <c r="L670" s="41" t="n">
        <v>0</v>
      </c>
      <c r="M670" s="41" t="n">
        <v>0</v>
      </c>
      <c r="N670" s="41" t="n">
        <v>0</v>
      </c>
      <c r="O670" s="41" t="n">
        <v>0</v>
      </c>
      <c r="P670" s="42" t="n">
        <v>18285</v>
      </c>
    </row>
    <row r="671" spans="1:16">
      <c r="A671" s="37" t="n">
        <v>681</v>
      </c>
      <c r="B671" s="38" t="s">
        <v>2167</v>
      </c>
      <c r="C671" s="39" t="s">
        <v>95</v>
      </c>
      <c r="D671" s="39" t="s">
        <v>121</v>
      </c>
      <c r="E671" s="39" t="s">
        <v>14</v>
      </c>
      <c r="F671" s="38" t="s">
        <v>2168</v>
      </c>
      <c r="G671" s="122" t="s">
        <v>1966</v>
      </c>
      <c r="H671" s="122" t="s">
        <v>2169</v>
      </c>
      <c r="I671" s="41" t="n">
        <v>10058</v>
      </c>
      <c r="J671" s="41" t="n">
        <v>10058</v>
      </c>
      <c r="K671" s="41" t="n">
        <v>0</v>
      </c>
      <c r="L671" s="41" t="n">
        <v>0</v>
      </c>
      <c r="M671" s="41" t="n">
        <v>0</v>
      </c>
      <c r="N671" s="41" t="n">
        <v>0</v>
      </c>
      <c r="O671" s="41" t="n">
        <v>0</v>
      </c>
      <c r="P671" s="42" t="n">
        <v>10058</v>
      </c>
    </row>
    <row r="672" spans="1:16">
      <c r="A672" s="37" t="n">
        <v>682</v>
      </c>
      <c r="B672" s="38" t="s">
        <v>2170</v>
      </c>
      <c r="C672" s="39" t="s">
        <v>95</v>
      </c>
      <c r="D672" s="39" t="s">
        <v>137</v>
      </c>
      <c r="E672" s="39" t="s">
        <v>14</v>
      </c>
      <c r="F672" s="38" t="s">
        <v>2171</v>
      </c>
      <c r="G672" s="122" t="s">
        <v>1969</v>
      </c>
      <c r="H672" s="122" t="s">
        <v>2172</v>
      </c>
      <c r="I672" s="41" t="n">
        <v>18285</v>
      </c>
      <c r="J672" s="41" t="n">
        <v>18285</v>
      </c>
      <c r="K672" s="41" t="n">
        <v>0</v>
      </c>
      <c r="L672" s="41" t="n">
        <v>0</v>
      </c>
      <c r="M672" s="41" t="n">
        <v>0</v>
      </c>
      <c r="N672" s="41" t="n">
        <v>0</v>
      </c>
      <c r="O672" s="41" t="n">
        <v>0</v>
      </c>
      <c r="P672" s="42" t="n">
        <v>18285</v>
      </c>
    </row>
    <row r="673" spans="1:16">
      <c r="A673" s="37" t="n">
        <v>683</v>
      </c>
      <c r="B673" s="38" t="s">
        <v>2173</v>
      </c>
      <c r="C673" s="39" t="s">
        <v>95</v>
      </c>
      <c r="D673" s="39" t="s">
        <v>121</v>
      </c>
      <c r="E673" s="39" t="s">
        <v>14</v>
      </c>
      <c r="F673" s="38" t="s">
        <v>2174</v>
      </c>
      <c r="G673" s="122" t="s">
        <v>1973</v>
      </c>
      <c r="H673" s="122" t="s">
        <v>2175</v>
      </c>
      <c r="I673" s="41" t="n">
        <v>65874</v>
      </c>
      <c r="J673" s="41" t="n">
        <v>65874</v>
      </c>
      <c r="K673" s="41" t="n">
        <v>0</v>
      </c>
      <c r="L673" s="41" t="n">
        <v>0</v>
      </c>
      <c r="M673" s="41" t="n">
        <v>0</v>
      </c>
      <c r="N673" s="41" t="n">
        <v>0</v>
      </c>
      <c r="O673" s="41" t="n">
        <v>0</v>
      </c>
      <c r="P673" s="42" t="n">
        <v>65874</v>
      </c>
    </row>
    <row r="674" spans="1:16">
      <c r="A674" s="37" t="n">
        <v>684</v>
      </c>
      <c r="B674" s="38" t="s">
        <v>2176</v>
      </c>
      <c r="C674" s="39" t="s">
        <v>95</v>
      </c>
      <c r="D674" s="39" t="s">
        <v>121</v>
      </c>
      <c r="E674" s="39" t="s">
        <v>14</v>
      </c>
      <c r="F674" s="38" t="s">
        <v>2177</v>
      </c>
      <c r="G674" s="122" t="s">
        <v>1976</v>
      </c>
      <c r="H674" s="122" t="s">
        <v>2178</v>
      </c>
      <c r="I674" s="41" t="n">
        <v>122136</v>
      </c>
      <c r="J674" s="41" t="n">
        <v>122136</v>
      </c>
      <c r="K674" s="41" t="n">
        <v>0</v>
      </c>
      <c r="L674" s="41" t="n">
        <v>0</v>
      </c>
      <c r="M674" s="41" t="n">
        <v>0</v>
      </c>
      <c r="N674" s="41" t="n">
        <v>0</v>
      </c>
      <c r="O674" s="41" t="n">
        <v>0</v>
      </c>
      <c r="P674" s="42" t="n">
        <v>122136</v>
      </c>
    </row>
    <row r="675" spans="1:16">
      <c r="A675" s="37" t="n">
        <v>685</v>
      </c>
      <c r="B675" s="38" t="s">
        <v>2179</v>
      </c>
      <c r="C675" s="39" t="s">
        <v>95</v>
      </c>
      <c r="D675" s="39" t="s">
        <v>121</v>
      </c>
      <c r="E675" s="39" t="s">
        <v>14</v>
      </c>
      <c r="F675" s="38" t="s">
        <v>2180</v>
      </c>
      <c r="G675" s="122" t="s">
        <v>1980</v>
      </c>
      <c r="H675" s="122" t="s">
        <v>2181</v>
      </c>
      <c r="I675" s="41" t="n">
        <v>124880</v>
      </c>
      <c r="J675" s="41" t="n">
        <v>124880</v>
      </c>
      <c r="K675" s="41" t="n">
        <v>0</v>
      </c>
      <c r="L675" s="41" t="n">
        <v>0</v>
      </c>
      <c r="M675" s="41" t="n">
        <v>0</v>
      </c>
      <c r="N675" s="41" t="n">
        <v>0</v>
      </c>
      <c r="O675" s="41" t="n">
        <v>0</v>
      </c>
      <c r="P675" s="42" t="n">
        <v>124880</v>
      </c>
    </row>
    <row r="676" spans="1:16">
      <c r="A676" s="43" t="n">
        <v>686</v>
      </c>
      <c r="B676" s="44" t="s">
        <v>2182</v>
      </c>
      <c r="C676" s="45" t="s">
        <v>95</v>
      </c>
      <c r="D676" s="45" t="s">
        <v>121</v>
      </c>
      <c r="E676" s="45" t="s">
        <v>14</v>
      </c>
      <c r="F676" s="44" t="s">
        <v>2183</v>
      </c>
      <c r="G676" s="124" t="s">
        <v>1984</v>
      </c>
      <c r="H676" s="124" t="s">
        <v>2184</v>
      </c>
      <c r="I676" s="47" t="n">
        <v>160844</v>
      </c>
      <c r="J676" s="47" t="n">
        <v>160844</v>
      </c>
      <c r="K676" s="47" t="n">
        <v>0</v>
      </c>
      <c r="L676" s="47" t="n">
        <v>0</v>
      </c>
      <c r="M676" s="47" t="n">
        <v>0</v>
      </c>
      <c r="N676" s="47" t="n">
        <v>0</v>
      </c>
      <c r="O676" s="47" t="n">
        <v>0</v>
      </c>
      <c r="P676" s="48" t="n">
        <v>160844</v>
      </c>
    </row>
    <row r="677" spans="1:16">
      <c r="A677" s="37" t="n">
        <v>688</v>
      </c>
      <c r="B677" s="38" t="s">
        <v>2185</v>
      </c>
      <c r="C677" s="39" t="s">
        <v>95</v>
      </c>
      <c r="D677" s="39" t="s">
        <v>121</v>
      </c>
      <c r="E677" s="39" t="s">
        <v>14</v>
      </c>
      <c r="F677" s="38" t="s">
        <v>2186</v>
      </c>
      <c r="G677" s="122" t="s">
        <v>1988</v>
      </c>
      <c r="H677" s="122" t="s">
        <v>2187</v>
      </c>
      <c r="I677" s="41" t="n">
        <v>248495</v>
      </c>
      <c r="J677" s="41" t="n">
        <v>248495</v>
      </c>
      <c r="K677" s="41" t="n">
        <v>0</v>
      </c>
      <c r="L677" s="41" t="n">
        <v>0</v>
      </c>
      <c r="M677" s="41" t="n">
        <v>0</v>
      </c>
      <c r="N677" s="41" t="n">
        <v>0</v>
      </c>
      <c r="O677" s="41" t="n">
        <v>0</v>
      </c>
      <c r="P677" s="42" t="n">
        <v>248495</v>
      </c>
    </row>
    <row r="678" spans="1:16">
      <c r="A678" s="37" t="n">
        <v>689</v>
      </c>
      <c r="B678" s="38" t="s">
        <v>2188</v>
      </c>
      <c r="C678" s="39" t="s">
        <v>95</v>
      </c>
      <c r="D678" s="39" t="s">
        <v>121</v>
      </c>
      <c r="E678" s="39" t="s">
        <v>14</v>
      </c>
      <c r="F678" s="38" t="s">
        <v>2189</v>
      </c>
      <c r="G678" s="122" t="s">
        <v>1992</v>
      </c>
      <c r="H678" s="122" t="s">
        <v>2190</v>
      </c>
      <c r="I678" s="41" t="n">
        <v>127855</v>
      </c>
      <c r="J678" s="41" t="n">
        <v>127855</v>
      </c>
      <c r="K678" s="41" t="n">
        <v>0</v>
      </c>
      <c r="L678" s="41" t="n">
        <v>0</v>
      </c>
      <c r="M678" s="41" t="n">
        <v>0</v>
      </c>
      <c r="N678" s="41" t="n">
        <v>0</v>
      </c>
      <c r="O678" s="41" t="n">
        <v>0</v>
      </c>
      <c r="P678" s="42" t="n">
        <v>127855</v>
      </c>
    </row>
    <row r="679" spans="1:16">
      <c r="A679" s="37" t="n">
        <v>690</v>
      </c>
      <c r="B679" s="38" t="s">
        <v>417</v>
      </c>
      <c r="C679" s="39" t="s">
        <v>19</v>
      </c>
      <c r="D679" s="39" t="s">
        <v>20</v>
      </c>
      <c r="E679" s="39" t="s">
        <v>21</v>
      </c>
      <c r="F679" s="38" t="s">
        <v>418</v>
      </c>
      <c r="G679" s="122" t="s">
        <v>1996</v>
      </c>
      <c r="H679" s="122" t="s">
        <v>419</v>
      </c>
      <c r="I679" s="41" t="n">
        <v>1252958</v>
      </c>
      <c r="J679" s="41" t="n">
        <v>1252958</v>
      </c>
      <c r="K679" s="41" t="n">
        <v>0</v>
      </c>
      <c r="L679" s="41" t="n">
        <v>187944</v>
      </c>
      <c r="M679" s="41" t="n">
        <v>0</v>
      </c>
      <c r="N679" s="41" t="n">
        <v>0</v>
      </c>
      <c r="O679" s="41" t="n">
        <v>0</v>
      </c>
      <c r="P679" s="42" t="n">
        <v>1065014</v>
      </c>
    </row>
    <row r="680" spans="1:16">
      <c r="A680" s="37" t="n">
        <v>691</v>
      </c>
      <c r="B680" s="38" t="s">
        <v>1934</v>
      </c>
      <c r="C680" s="39" t="s">
        <v>58</v>
      </c>
      <c r="D680" s="39" t="s">
        <v>20</v>
      </c>
      <c r="E680" s="39" t="s">
        <v>21</v>
      </c>
      <c r="F680" s="38" t="s">
        <v>1935</v>
      </c>
      <c r="G680" s="122" t="s">
        <v>2000</v>
      </c>
      <c r="H680" s="122" t="s">
        <v>1936</v>
      </c>
      <c r="I680" s="41" t="n">
        <v>5100602</v>
      </c>
      <c r="J680" s="41" t="n">
        <v>5100602</v>
      </c>
      <c r="K680" s="41" t="n">
        <v>255030</v>
      </c>
      <c r="L680" s="41" t="n">
        <v>0</v>
      </c>
      <c r="M680" s="41" t="n">
        <v>0</v>
      </c>
      <c r="N680" s="41" t="n">
        <v>0</v>
      </c>
      <c r="O680" s="41" t="n">
        <v>0</v>
      </c>
      <c r="P680" s="42" t="n">
        <v>4845572</v>
      </c>
    </row>
    <row r="681" spans="1:16">
      <c r="A681" s="37" t="n">
        <v>692</v>
      </c>
      <c r="B681" s="38" t="s">
        <v>1937</v>
      </c>
      <c r="C681" s="39" t="s">
        <v>19</v>
      </c>
      <c r="D681" s="39" t="s">
        <v>20</v>
      </c>
      <c r="E681" s="39" t="s">
        <v>21</v>
      </c>
      <c r="F681" s="38" t="s">
        <v>1938</v>
      </c>
      <c r="G681" s="122" t="s">
        <v>2002</v>
      </c>
      <c r="H681" s="122" t="s">
        <v>1939</v>
      </c>
      <c r="I681" s="41" t="n">
        <v>232436</v>
      </c>
      <c r="J681" s="41" t="n">
        <v>232436</v>
      </c>
      <c r="K681" s="41" t="n">
        <v>0</v>
      </c>
      <c r="L681" s="41" t="n">
        <v>34865</v>
      </c>
      <c r="M681" s="41" t="n">
        <v>0</v>
      </c>
      <c r="N681" s="41" t="n">
        <v>0</v>
      </c>
      <c r="O681" s="41" t="n">
        <v>0</v>
      </c>
      <c r="P681" s="42" t="n">
        <v>197571</v>
      </c>
    </row>
    <row r="682" spans="1:16">
      <c r="A682" s="37" t="n">
        <v>693</v>
      </c>
      <c r="B682" s="38" t="s">
        <v>1940</v>
      </c>
      <c r="C682" s="39" t="s">
        <v>58</v>
      </c>
      <c r="D682" s="39" t="s">
        <v>20</v>
      </c>
      <c r="E682" s="39" t="s">
        <v>21</v>
      </c>
      <c r="F682" s="38" t="s">
        <v>1941</v>
      </c>
      <c r="G682" s="122" t="s">
        <v>2004</v>
      </c>
      <c r="H682" s="122" t="s">
        <v>1942</v>
      </c>
      <c r="I682" s="41" t="n">
        <v>1594903</v>
      </c>
      <c r="J682" s="41" t="n">
        <v>1594903</v>
      </c>
      <c r="K682" s="41" t="n">
        <v>79745</v>
      </c>
      <c r="L682" s="41" t="n">
        <v>0</v>
      </c>
      <c r="M682" s="41" t="n">
        <v>0</v>
      </c>
      <c r="N682" s="41" t="n">
        <v>0</v>
      </c>
      <c r="O682" s="41" t="n">
        <v>0</v>
      </c>
      <c r="P682" s="42" t="n">
        <v>1515158</v>
      </c>
    </row>
    <row r="683" spans="1:16">
      <c r="A683" s="37" t="n">
        <v>694</v>
      </c>
      <c r="B683" s="38" t="s">
        <v>430</v>
      </c>
      <c r="C683" s="39" t="s">
        <v>58</v>
      </c>
      <c r="D683" s="39" t="s">
        <v>20</v>
      </c>
      <c r="E683" s="39" t="s">
        <v>21</v>
      </c>
      <c r="F683" s="38" t="s">
        <v>431</v>
      </c>
      <c r="G683" s="122" t="s">
        <v>20</v>
      </c>
      <c r="H683" s="122" t="s">
        <v>433</v>
      </c>
      <c r="I683" s="41" t="n">
        <v>4721205</v>
      </c>
      <c r="J683" s="41" t="n">
        <v>4721205</v>
      </c>
      <c r="K683" s="41" t="n">
        <v>236060</v>
      </c>
      <c r="L683" s="41" t="n">
        <v>0</v>
      </c>
      <c r="M683" s="41" t="n">
        <v>0</v>
      </c>
      <c r="N683" s="41" t="n">
        <v>0</v>
      </c>
      <c r="O683" s="41" t="n">
        <v>0</v>
      </c>
      <c r="P683" s="42" t="n">
        <v>4485145</v>
      </c>
    </row>
    <row r="684" spans="1:16">
      <c r="A684" s="37" t="n">
        <v>695</v>
      </c>
      <c r="B684" s="38" t="s">
        <v>1943</v>
      </c>
      <c r="C684" s="39" t="s">
        <v>131</v>
      </c>
      <c r="D684" s="39" t="s">
        <v>20</v>
      </c>
      <c r="E684" s="39" t="s">
        <v>21</v>
      </c>
      <c r="F684" s="38" t="s">
        <v>1976</v>
      </c>
      <c r="G684" s="122" t="s">
        <v>2009</v>
      </c>
      <c r="H684" s="122" t="s">
        <v>1945</v>
      </c>
      <c r="I684" s="41" t="n">
        <v>2198662</v>
      </c>
      <c r="J684" s="41" t="n">
        <v>2198662</v>
      </c>
      <c r="K684" s="41" t="n">
        <v>109933</v>
      </c>
      <c r="L684" s="41" t="n">
        <v>0</v>
      </c>
      <c r="M684" s="41" t="n">
        <v>0</v>
      </c>
      <c r="N684" s="41" t="n">
        <v>0</v>
      </c>
      <c r="O684" s="41" t="n">
        <v>0</v>
      </c>
      <c r="P684" s="42" t="n">
        <v>2088729</v>
      </c>
    </row>
    <row r="685" spans="1:16">
      <c r="A685" s="37" t="n">
        <v>696</v>
      </c>
      <c r="B685" s="38" t="s">
        <v>86</v>
      </c>
      <c r="C685" s="39" t="s">
        <v>58</v>
      </c>
      <c r="D685" s="39" t="s">
        <v>20</v>
      </c>
      <c r="E685" s="39" t="s">
        <v>21</v>
      </c>
      <c r="F685" s="38" t="s">
        <v>87</v>
      </c>
      <c r="G685" s="122" t="s">
        <v>593</v>
      </c>
      <c r="H685" s="122" t="s">
        <v>89</v>
      </c>
      <c r="I685" s="41" t="n">
        <v>2933338</v>
      </c>
      <c r="J685" s="41" t="n">
        <v>2933338</v>
      </c>
      <c r="K685" s="41" t="n">
        <v>146667</v>
      </c>
      <c r="L685" s="41" t="n">
        <v>0</v>
      </c>
      <c r="M685" s="41" t="n">
        <v>0</v>
      </c>
      <c r="N685" s="41" t="n">
        <v>0</v>
      </c>
      <c r="O685" s="41" t="n">
        <v>0</v>
      </c>
      <c r="P685" s="42" t="n">
        <v>2786671</v>
      </c>
    </row>
    <row r="686" spans="1:16">
      <c r="A686" s="37" t="n">
        <v>697</v>
      </c>
      <c r="B686" s="38" t="s">
        <v>1946</v>
      </c>
      <c r="C686" s="39" t="s">
        <v>58</v>
      </c>
      <c r="D686" s="39" t="s">
        <v>20</v>
      </c>
      <c r="E686" s="39" t="s">
        <v>21</v>
      </c>
      <c r="F686" s="38" t="s">
        <v>1947</v>
      </c>
      <c r="G686" s="122" t="s">
        <v>2011</v>
      </c>
      <c r="H686" s="122" t="s">
        <v>1948</v>
      </c>
      <c r="I686" s="41" t="n">
        <v>3569428</v>
      </c>
      <c r="J686" s="41" t="n">
        <v>3569428</v>
      </c>
      <c r="K686" s="41" t="n">
        <v>178471</v>
      </c>
      <c r="L686" s="41" t="n">
        <v>0</v>
      </c>
      <c r="M686" s="41" t="n">
        <v>0</v>
      </c>
      <c r="N686" s="41" t="n">
        <v>0</v>
      </c>
      <c r="O686" s="41" t="n">
        <v>0</v>
      </c>
      <c r="P686" s="42" t="n">
        <v>3390957</v>
      </c>
    </row>
    <row r="687" spans="1:16">
      <c r="A687" s="37" t="n">
        <v>698</v>
      </c>
      <c r="B687" s="38" t="s">
        <v>1949</v>
      </c>
      <c r="C687" s="39" t="s">
        <v>58</v>
      </c>
      <c r="D687" s="39" t="s">
        <v>20</v>
      </c>
      <c r="E687" s="39" t="s">
        <v>21</v>
      </c>
      <c r="F687" s="38" t="s">
        <v>1950</v>
      </c>
      <c r="G687" s="122" t="s">
        <v>2012</v>
      </c>
      <c r="H687" s="122" t="s">
        <v>1951</v>
      </c>
      <c r="I687" s="41" t="n">
        <v>1435593</v>
      </c>
      <c r="J687" s="41" t="n">
        <v>1435593</v>
      </c>
      <c r="K687" s="41" t="n">
        <v>71780</v>
      </c>
      <c r="L687" s="41" t="n">
        <v>0</v>
      </c>
      <c r="M687" s="41" t="n">
        <v>0</v>
      </c>
      <c r="N687" s="41" t="n">
        <v>0</v>
      </c>
      <c r="O687" s="41" t="n">
        <v>0</v>
      </c>
      <c r="P687" s="42" t="n">
        <v>1363813</v>
      </c>
    </row>
    <row r="688" spans="1:16">
      <c r="A688" s="37" t="n">
        <v>699</v>
      </c>
      <c r="B688" s="38" t="s">
        <v>1952</v>
      </c>
      <c r="C688" s="39" t="s">
        <v>19</v>
      </c>
      <c r="D688" s="39" t="s">
        <v>20</v>
      </c>
      <c r="E688" s="39" t="s">
        <v>21</v>
      </c>
      <c r="F688" s="38" t="s">
        <v>1953</v>
      </c>
      <c r="G688" s="122" t="s">
        <v>20</v>
      </c>
      <c r="H688" s="122" t="s">
        <v>1954</v>
      </c>
      <c r="I688" s="41" t="n">
        <v>183642</v>
      </c>
      <c r="J688" s="41" t="n">
        <v>183642</v>
      </c>
      <c r="K688" s="41" t="n">
        <v>0</v>
      </c>
      <c r="L688" s="41" t="n">
        <v>27546</v>
      </c>
      <c r="M688" s="41" t="n">
        <v>0</v>
      </c>
      <c r="N688" s="41" t="n">
        <v>0</v>
      </c>
      <c r="O688" s="41" t="n">
        <v>0</v>
      </c>
      <c r="P688" s="42" t="n">
        <v>156096</v>
      </c>
    </row>
    <row r="689" spans="1:16">
      <c r="A689" s="37" t="n">
        <v>700</v>
      </c>
      <c r="B689" s="38" t="s">
        <v>1955</v>
      </c>
      <c r="C689" s="39" t="s">
        <v>19</v>
      </c>
      <c r="D689" s="39" t="s">
        <v>20</v>
      </c>
      <c r="E689" s="39" t="s">
        <v>21</v>
      </c>
      <c r="F689" s="38" t="s">
        <v>1956</v>
      </c>
      <c r="G689" s="122" t="s">
        <v>2014</v>
      </c>
      <c r="H689" s="122" t="s">
        <v>1957</v>
      </c>
      <c r="I689" s="41" t="n">
        <v>68702</v>
      </c>
      <c r="J689" s="41" t="n">
        <v>68702</v>
      </c>
      <c r="K689" s="41" t="n">
        <v>0</v>
      </c>
      <c r="L689" s="41" t="n">
        <v>10305</v>
      </c>
      <c r="M689" s="41" t="n">
        <v>0</v>
      </c>
      <c r="N689" s="41" t="n">
        <v>0</v>
      </c>
      <c r="O689" s="41" t="n">
        <v>0</v>
      </c>
      <c r="P689" s="42" t="n">
        <v>58397</v>
      </c>
    </row>
    <row r="690" spans="1:16">
      <c r="A690" s="37" t="n">
        <v>701</v>
      </c>
      <c r="B690" s="38" t="s">
        <v>1962</v>
      </c>
      <c r="C690" s="39" t="s">
        <v>131</v>
      </c>
      <c r="D690" s="39" t="s">
        <v>20</v>
      </c>
      <c r="E690" s="39" t="s">
        <v>21</v>
      </c>
      <c r="F690" s="38" t="s">
        <v>1963</v>
      </c>
      <c r="G690" s="122" t="s">
        <v>2015</v>
      </c>
      <c r="H690" s="122" t="s">
        <v>1965</v>
      </c>
      <c r="I690" s="41" t="n">
        <v>35662</v>
      </c>
      <c r="J690" s="41" t="n">
        <v>35662</v>
      </c>
      <c r="K690" s="41" t="n">
        <v>1783</v>
      </c>
      <c r="L690" s="41" t="n">
        <v>0</v>
      </c>
      <c r="M690" s="41" t="n">
        <v>0</v>
      </c>
      <c r="N690" s="41" t="n">
        <v>0</v>
      </c>
      <c r="O690" s="41" t="n">
        <v>0</v>
      </c>
      <c r="P690" s="42" t="n">
        <v>33879</v>
      </c>
    </row>
    <row r="691" spans="1:16">
      <c r="A691" s="37" t="n">
        <v>702</v>
      </c>
      <c r="B691" s="38" t="s">
        <v>90</v>
      </c>
      <c r="C691" s="39" t="s">
        <v>19</v>
      </c>
      <c r="D691" s="39" t="s">
        <v>20</v>
      </c>
      <c r="E691" s="39" t="s">
        <v>21</v>
      </c>
      <c r="F691" s="38" t="s">
        <v>91</v>
      </c>
      <c r="G691" s="122" t="s">
        <v>2016</v>
      </c>
      <c r="H691" s="122" t="s">
        <v>93</v>
      </c>
      <c r="I691" s="41" t="n">
        <v>1704948</v>
      </c>
      <c r="J691" s="41" t="n">
        <v>1704948</v>
      </c>
      <c r="K691" s="41" t="n">
        <v>0</v>
      </c>
      <c r="L691" s="41" t="n">
        <v>255742</v>
      </c>
      <c r="M691" s="41" t="n">
        <v>0</v>
      </c>
      <c r="N691" s="41" t="n">
        <v>0</v>
      </c>
      <c r="O691" s="41" t="n">
        <v>0</v>
      </c>
      <c r="P691" s="42" t="n">
        <v>1449206</v>
      </c>
    </row>
    <row r="692" spans="1:16">
      <c r="A692" s="37" t="n">
        <v>703</v>
      </c>
      <c r="B692" s="38" t="s">
        <v>434</v>
      </c>
      <c r="C692" s="39" t="s">
        <v>58</v>
      </c>
      <c r="D692" s="39" t="s">
        <v>20</v>
      </c>
      <c r="E692" s="39" t="s">
        <v>21</v>
      </c>
      <c r="F692" s="38" t="s">
        <v>435</v>
      </c>
      <c r="G692" s="122" t="s">
        <v>2019</v>
      </c>
      <c r="H692" s="122" t="s">
        <v>437</v>
      </c>
      <c r="I692" s="41" t="n">
        <v>5434690</v>
      </c>
      <c r="J692" s="41" t="n">
        <v>5434690</v>
      </c>
      <c r="K692" s="41" t="n">
        <v>271735</v>
      </c>
      <c r="L692" s="41" t="n">
        <v>0</v>
      </c>
      <c r="M692" s="41" t="n">
        <v>0</v>
      </c>
      <c r="N692" s="41" t="n">
        <v>0</v>
      </c>
      <c r="O692" s="41" t="n">
        <v>0</v>
      </c>
      <c r="P692" s="42" t="n">
        <v>5162955</v>
      </c>
    </row>
    <row r="693" spans="1:16">
      <c r="A693" s="37" t="n">
        <v>704</v>
      </c>
      <c r="B693" s="38" t="s">
        <v>442</v>
      </c>
      <c r="C693" s="39" t="s">
        <v>131</v>
      </c>
      <c r="D693" s="39" t="s">
        <v>20</v>
      </c>
      <c r="E693" s="39" t="s">
        <v>21</v>
      </c>
      <c r="F693" s="38" t="s">
        <v>443</v>
      </c>
      <c r="G693" s="122" t="s">
        <v>2019</v>
      </c>
      <c r="H693" s="122" t="s">
        <v>445</v>
      </c>
      <c r="I693" s="41" t="n">
        <v>17861694</v>
      </c>
      <c r="J693" s="41" t="n">
        <v>17861694</v>
      </c>
      <c r="K693" s="41" t="n">
        <v>893085</v>
      </c>
      <c r="L693" s="41" t="n">
        <v>0</v>
      </c>
      <c r="M693" s="41" t="n">
        <v>0</v>
      </c>
      <c r="N693" s="41" t="n">
        <v>0</v>
      </c>
      <c r="O693" s="41" t="n">
        <v>0</v>
      </c>
      <c r="P693" s="42" t="n">
        <v>16968609</v>
      </c>
    </row>
    <row r="694" spans="1:16">
      <c r="A694" s="37" t="n">
        <v>705</v>
      </c>
      <c r="B694" s="38" t="s">
        <v>1967</v>
      </c>
      <c r="C694" s="39" t="s">
        <v>131</v>
      </c>
      <c r="D694" s="39" t="s">
        <v>20</v>
      </c>
      <c r="E694" s="39" t="s">
        <v>21</v>
      </c>
      <c r="F694" s="38" t="s">
        <v>1968</v>
      </c>
      <c r="G694" s="122" t="s">
        <v>2026</v>
      </c>
      <c r="H694" s="122" t="s">
        <v>1970</v>
      </c>
      <c r="I694" s="41" t="n">
        <v>1451429</v>
      </c>
      <c r="J694" s="41" t="n">
        <v>1451429</v>
      </c>
      <c r="K694" s="41" t="n">
        <v>72571</v>
      </c>
      <c r="L694" s="41" t="n">
        <v>0</v>
      </c>
      <c r="M694" s="41" t="n">
        <v>0</v>
      </c>
      <c r="N694" s="41" t="n">
        <v>0</v>
      </c>
      <c r="O694" s="41" t="n">
        <v>0</v>
      </c>
      <c r="P694" s="42" t="n">
        <v>1378858</v>
      </c>
    </row>
    <row r="695" spans="1:16">
      <c r="A695" s="37" t="n">
        <v>706</v>
      </c>
      <c r="B695" s="38" t="s">
        <v>1971</v>
      </c>
      <c r="C695" s="39" t="s">
        <v>58</v>
      </c>
      <c r="D695" s="39" t="s">
        <v>20</v>
      </c>
      <c r="E695" s="39" t="s">
        <v>21</v>
      </c>
      <c r="F695" s="38" t="s">
        <v>1972</v>
      </c>
      <c r="G695" s="40" t="n">
        <v>0</v>
      </c>
      <c r="H695" s="122" t="s">
        <v>1974</v>
      </c>
      <c r="I695" s="41" t="n">
        <v>894759</v>
      </c>
      <c r="J695" s="41" t="n">
        <v>894759</v>
      </c>
      <c r="K695" s="41" t="n">
        <v>44738</v>
      </c>
      <c r="L695" s="41" t="n">
        <v>0</v>
      </c>
      <c r="M695" s="41" t="n">
        <v>0</v>
      </c>
      <c r="N695" s="41" t="n">
        <v>0</v>
      </c>
      <c r="O695" s="41" t="n">
        <v>0</v>
      </c>
      <c r="P695" s="42" t="n">
        <v>850021</v>
      </c>
    </row>
    <row r="696" spans="1:16">
      <c r="A696" s="37" t="n">
        <v>707</v>
      </c>
      <c r="B696" s="38" t="s">
        <v>1975</v>
      </c>
      <c r="C696" s="39" t="s">
        <v>131</v>
      </c>
      <c r="D696" s="39" t="s">
        <v>20</v>
      </c>
      <c r="E696" s="39" t="s">
        <v>21</v>
      </c>
      <c r="F696" s="38" t="s">
        <v>758</v>
      </c>
      <c r="G696" s="40" t="n">
        <v>0</v>
      </c>
      <c r="H696" s="122" t="s">
        <v>1977</v>
      </c>
      <c r="I696" s="41" t="n">
        <v>1633240</v>
      </c>
      <c r="J696" s="41" t="n">
        <v>1633240</v>
      </c>
      <c r="K696" s="41" t="n">
        <v>81662</v>
      </c>
      <c r="L696" s="41" t="n">
        <v>0</v>
      </c>
      <c r="M696" s="41" t="n">
        <v>0</v>
      </c>
      <c r="N696" s="41" t="n">
        <v>0</v>
      </c>
      <c r="O696" s="41" t="n">
        <v>0</v>
      </c>
      <c r="P696" s="42" t="n">
        <v>1551578</v>
      </c>
    </row>
    <row r="697" spans="1:16">
      <c r="A697" s="37" t="n">
        <v>708</v>
      </c>
      <c r="B697" s="38" t="s">
        <v>446</v>
      </c>
      <c r="C697" s="39" t="s">
        <v>58</v>
      </c>
      <c r="D697" s="39" t="s">
        <v>20</v>
      </c>
      <c r="E697" s="39" t="s">
        <v>21</v>
      </c>
      <c r="F697" s="38" t="s">
        <v>447</v>
      </c>
      <c r="G697" s="40" t="n">
        <v>0</v>
      </c>
      <c r="H697" s="122" t="s">
        <v>449</v>
      </c>
      <c r="I697" s="41" t="n">
        <v>101830</v>
      </c>
      <c r="J697" s="41" t="n">
        <v>101830</v>
      </c>
      <c r="K697" s="41" t="n">
        <v>5092</v>
      </c>
      <c r="L697" s="41" t="n">
        <v>0</v>
      </c>
      <c r="M697" s="41" t="n">
        <v>0</v>
      </c>
      <c r="N697" s="41" t="n">
        <v>0</v>
      </c>
      <c r="O697" s="41" t="n">
        <v>0</v>
      </c>
      <c r="P697" s="42" t="n">
        <v>96738</v>
      </c>
    </row>
    <row r="698" spans="1:16">
      <c r="A698" s="37" t="n">
        <v>709</v>
      </c>
      <c r="B698" s="38" t="s">
        <v>1978</v>
      </c>
      <c r="C698" s="39" t="s">
        <v>58</v>
      </c>
      <c r="D698" s="39" t="s">
        <v>20</v>
      </c>
      <c r="E698" s="39" t="s">
        <v>21</v>
      </c>
      <c r="F698" s="38" t="s">
        <v>1979</v>
      </c>
      <c r="G698" s="40" t="n">
        <v>0</v>
      </c>
      <c r="H698" s="122" t="s">
        <v>1981</v>
      </c>
      <c r="I698" s="41" t="n">
        <v>1175199</v>
      </c>
      <c r="J698" s="41" t="n">
        <v>1175199</v>
      </c>
      <c r="K698" s="41" t="n">
        <v>58760</v>
      </c>
      <c r="L698" s="41" t="n">
        <v>0</v>
      </c>
      <c r="M698" s="41" t="n">
        <v>0</v>
      </c>
      <c r="N698" s="41" t="n">
        <v>0</v>
      </c>
      <c r="O698" s="41" t="n">
        <v>0</v>
      </c>
      <c r="P698" s="42" t="n">
        <v>1116439</v>
      </c>
    </row>
    <row r="699" spans="1:16">
      <c r="A699" s="37" t="n">
        <v>710</v>
      </c>
      <c r="B699" s="38" t="s">
        <v>1986</v>
      </c>
      <c r="C699" s="39" t="s">
        <v>58</v>
      </c>
      <c r="D699" s="39" t="s">
        <v>20</v>
      </c>
      <c r="E699" s="39" t="s">
        <v>21</v>
      </c>
      <c r="F699" s="38" t="s">
        <v>1987</v>
      </c>
      <c r="G699" s="40" t="n">
        <v>0</v>
      </c>
      <c r="H699" s="122" t="s">
        <v>1989</v>
      </c>
      <c r="I699" s="41" t="n">
        <v>1522095</v>
      </c>
      <c r="J699" s="41" t="n">
        <v>1522095</v>
      </c>
      <c r="K699" s="41" t="n">
        <v>76105</v>
      </c>
      <c r="L699" s="41" t="n">
        <v>0</v>
      </c>
      <c r="M699" s="41" t="n">
        <v>0</v>
      </c>
      <c r="N699" s="41" t="n">
        <v>0</v>
      </c>
      <c r="O699" s="41" t="n">
        <v>0</v>
      </c>
      <c r="P699" s="42" t="n">
        <v>1445990</v>
      </c>
    </row>
    <row r="700" spans="1:16">
      <c r="A700" s="37" t="n">
        <v>711</v>
      </c>
      <c r="B700" s="38" t="s">
        <v>1990</v>
      </c>
      <c r="C700" s="39" t="s">
        <v>58</v>
      </c>
      <c r="D700" s="39" t="s">
        <v>20</v>
      </c>
      <c r="E700" s="39" t="s">
        <v>21</v>
      </c>
      <c r="F700" s="38" t="s">
        <v>1991</v>
      </c>
      <c r="G700" s="40" t="n">
        <v>0</v>
      </c>
      <c r="H700" s="122" t="s">
        <v>1993</v>
      </c>
      <c r="I700" s="41" t="n">
        <v>1438237</v>
      </c>
      <c r="J700" s="41" t="n">
        <v>1438237</v>
      </c>
      <c r="K700" s="41" t="n">
        <v>71912</v>
      </c>
      <c r="L700" s="41" t="n">
        <v>0</v>
      </c>
      <c r="M700" s="41" t="n">
        <v>0</v>
      </c>
      <c r="N700" s="41" t="n">
        <v>0</v>
      </c>
      <c r="O700" s="41" t="n">
        <v>0</v>
      </c>
      <c r="P700" s="42" t="n">
        <v>1366325</v>
      </c>
    </row>
    <row r="701" spans="1:16">
      <c r="A701" s="37" t="n">
        <v>712</v>
      </c>
      <c r="B701" s="38" t="s">
        <v>420</v>
      </c>
      <c r="C701" s="39" t="s">
        <v>58</v>
      </c>
      <c r="D701" s="39" t="s">
        <v>20</v>
      </c>
      <c r="E701" s="39" t="s">
        <v>21</v>
      </c>
      <c r="F701" s="38" t="s">
        <v>421</v>
      </c>
      <c r="G701" s="40" t="n">
        <v>0</v>
      </c>
      <c r="H701" s="122" t="s">
        <v>422</v>
      </c>
      <c r="I701" s="41" t="n">
        <v>1917042</v>
      </c>
      <c r="J701" s="41" t="n">
        <v>1917042</v>
      </c>
      <c r="K701" s="41" t="n">
        <v>95852</v>
      </c>
      <c r="L701" s="41" t="n">
        <v>0</v>
      </c>
      <c r="M701" s="41" t="n">
        <v>0</v>
      </c>
      <c r="N701" s="41" t="n">
        <v>0</v>
      </c>
      <c r="O701" s="41" t="n">
        <v>0</v>
      </c>
      <c r="P701" s="42" t="n">
        <v>1821190</v>
      </c>
    </row>
    <row r="702" spans="1:16">
      <c r="A702" s="37" t="n">
        <v>713</v>
      </c>
      <c r="B702" s="38" t="s">
        <v>423</v>
      </c>
      <c r="C702" s="39" t="s">
        <v>19</v>
      </c>
      <c r="D702" s="39" t="s">
        <v>20</v>
      </c>
      <c r="E702" s="39" t="s">
        <v>21</v>
      </c>
      <c r="F702" s="38" t="s">
        <v>424</v>
      </c>
      <c r="G702" s="122" t="s">
        <v>2014</v>
      </c>
      <c r="H702" s="122" t="s">
        <v>425</v>
      </c>
      <c r="I702" s="41" t="n">
        <v>2522744</v>
      </c>
      <c r="J702" s="41" t="n">
        <v>2522744</v>
      </c>
      <c r="K702" s="41" t="n">
        <v>0</v>
      </c>
      <c r="L702" s="41" t="n">
        <v>378412</v>
      </c>
      <c r="M702" s="41" t="n">
        <v>0</v>
      </c>
      <c r="N702" s="41" t="n">
        <v>0</v>
      </c>
      <c r="O702" s="41" t="n">
        <v>0</v>
      </c>
      <c r="P702" s="42" t="n">
        <v>2144332</v>
      </c>
    </row>
    <row r="703" spans="1:16">
      <c r="A703" s="37" t="n">
        <v>714</v>
      </c>
      <c r="B703" s="38" t="s">
        <v>82</v>
      </c>
      <c r="C703" s="39" t="s">
        <v>19</v>
      </c>
      <c r="D703" s="39" t="s">
        <v>20</v>
      </c>
      <c r="E703" s="39" t="s">
        <v>21</v>
      </c>
      <c r="F703" s="38" t="s">
        <v>83</v>
      </c>
      <c r="G703" s="122" t="s">
        <v>2015</v>
      </c>
      <c r="H703" s="122" t="s">
        <v>85</v>
      </c>
      <c r="I703" s="41" t="n">
        <v>1551400</v>
      </c>
      <c r="J703" s="41" t="n">
        <v>1551400</v>
      </c>
      <c r="K703" s="41" t="n">
        <v>0</v>
      </c>
      <c r="L703" s="41" t="n">
        <v>232710</v>
      </c>
      <c r="M703" s="41" t="n">
        <v>0</v>
      </c>
      <c r="N703" s="41" t="n">
        <v>0</v>
      </c>
      <c r="O703" s="41" t="n">
        <v>0</v>
      </c>
      <c r="P703" s="42" t="n">
        <v>1318690</v>
      </c>
    </row>
    <row r="704" spans="1:16">
      <c r="A704" s="37" t="n">
        <v>715</v>
      </c>
      <c r="B704" s="38" t="s">
        <v>1994</v>
      </c>
      <c r="C704" s="39" t="s">
        <v>19</v>
      </c>
      <c r="D704" s="39" t="s">
        <v>20</v>
      </c>
      <c r="E704" s="39" t="s">
        <v>21</v>
      </c>
      <c r="F704" s="38" t="s">
        <v>1995</v>
      </c>
      <c r="G704" s="122" t="s">
        <v>2016</v>
      </c>
      <c r="H704" s="122" t="s">
        <v>1997</v>
      </c>
      <c r="I704" s="41" t="n">
        <v>1220364</v>
      </c>
      <c r="J704" s="41" t="n">
        <v>1220364</v>
      </c>
      <c r="K704" s="41" t="n">
        <v>0</v>
      </c>
      <c r="L704" s="41" t="n">
        <v>183055</v>
      </c>
      <c r="M704" s="41" t="n">
        <v>0</v>
      </c>
      <c r="N704" s="41" t="n">
        <v>0</v>
      </c>
      <c r="O704" s="41" t="n">
        <v>0</v>
      </c>
      <c r="P704" s="42" t="n">
        <v>1037309</v>
      </c>
    </row>
    <row r="705" spans="1:16">
      <c r="A705" s="37" t="n">
        <v>716</v>
      </c>
      <c r="B705" s="38" t="s">
        <v>426</v>
      </c>
      <c r="C705" s="39" t="s">
        <v>58</v>
      </c>
      <c r="D705" s="39" t="s">
        <v>20</v>
      </c>
      <c r="E705" s="39" t="s">
        <v>21</v>
      </c>
      <c r="F705" s="38" t="s">
        <v>427</v>
      </c>
      <c r="G705" s="122" t="s">
        <v>2019</v>
      </c>
      <c r="H705" s="122" t="s">
        <v>429</v>
      </c>
      <c r="I705" s="41" t="n">
        <v>3547955</v>
      </c>
      <c r="J705" s="41" t="n">
        <v>3547955</v>
      </c>
      <c r="K705" s="41" t="n">
        <v>177398</v>
      </c>
      <c r="L705" s="41" t="n">
        <v>0</v>
      </c>
      <c r="M705" s="41" t="n">
        <v>0</v>
      </c>
      <c r="N705" s="41" t="n">
        <v>0</v>
      </c>
      <c r="O705" s="41" t="n">
        <v>0</v>
      </c>
      <c r="P705" s="42" t="n">
        <v>3370557</v>
      </c>
    </row>
    <row r="706" spans="1:16">
      <c r="A706" s="37" t="n">
        <v>717</v>
      </c>
      <c r="B706" s="38" t="s">
        <v>1998</v>
      </c>
      <c r="C706" s="39" t="s">
        <v>58</v>
      </c>
      <c r="D706" s="39" t="s">
        <v>20</v>
      </c>
      <c r="E706" s="39" t="s">
        <v>21</v>
      </c>
      <c r="F706" s="38" t="s">
        <v>1999</v>
      </c>
      <c r="G706" s="122" t="s">
        <v>2019</v>
      </c>
      <c r="H706" s="122" t="s">
        <v>2001</v>
      </c>
      <c r="I706" s="41" t="n">
        <v>1463934</v>
      </c>
      <c r="J706" s="41" t="n">
        <v>1463934</v>
      </c>
      <c r="K706" s="41" t="n">
        <v>73197</v>
      </c>
      <c r="L706" s="41" t="n">
        <v>0</v>
      </c>
      <c r="M706" s="41" t="n">
        <v>0</v>
      </c>
      <c r="N706" s="41" t="n">
        <v>0</v>
      </c>
      <c r="O706" s="41" t="n">
        <v>0</v>
      </c>
      <c r="P706" s="42" t="n">
        <v>1390737</v>
      </c>
    </row>
    <row r="707" spans="1:16">
      <c r="A707" s="37" t="n">
        <v>718</v>
      </c>
      <c r="B707" s="38" t="s">
        <v>18</v>
      </c>
      <c r="C707" s="39" t="s">
        <v>19</v>
      </c>
      <c r="D707" s="39" t="s">
        <v>20</v>
      </c>
      <c r="E707" s="39" t="s">
        <v>21</v>
      </c>
      <c r="F707" s="38" t="s">
        <v>22</v>
      </c>
      <c r="G707" s="122" t="s">
        <v>2026</v>
      </c>
      <c r="H707" s="122" t="s">
        <v>24</v>
      </c>
      <c r="I707" s="41" t="n">
        <v>81602</v>
      </c>
      <c r="J707" s="41" t="n">
        <v>81602</v>
      </c>
      <c r="K707" s="41" t="n">
        <v>0</v>
      </c>
      <c r="L707" s="41" t="n">
        <v>12240</v>
      </c>
      <c r="M707" s="41" t="n">
        <v>0</v>
      </c>
      <c r="N707" s="41" t="n">
        <v>0</v>
      </c>
      <c r="O707" s="41" t="n">
        <v>0</v>
      </c>
      <c r="P707" s="42" t="n">
        <v>69362</v>
      </c>
    </row>
    <row r="708" spans="1:16">
      <c r="A708" s="37" t="n">
        <v>719</v>
      </c>
      <c r="B708" s="38" t="s">
        <v>2003</v>
      </c>
      <c r="C708" s="39" t="s">
        <v>58</v>
      </c>
      <c r="D708" s="39" t="s">
        <v>20</v>
      </c>
      <c r="E708" s="39" t="s">
        <v>21</v>
      </c>
      <c r="F708" s="38" t="s">
        <v>2191</v>
      </c>
      <c r="G708" s="40" t="n">
        <v>0</v>
      </c>
      <c r="H708" s="122" t="s">
        <v>2005</v>
      </c>
      <c r="I708" s="41" t="n">
        <v>2328997</v>
      </c>
      <c r="J708" s="41" t="n">
        <v>2328997</v>
      </c>
      <c r="K708" s="41" t="n">
        <v>116450</v>
      </c>
      <c r="L708" s="41" t="n">
        <v>0</v>
      </c>
      <c r="M708" s="41" t="n">
        <v>0</v>
      </c>
      <c r="N708" s="41" t="n">
        <v>0</v>
      </c>
      <c r="O708" s="41" t="n">
        <v>0</v>
      </c>
      <c r="P708" s="42" t="n">
        <v>2212547</v>
      </c>
    </row>
    <row r="709" spans="1:16">
      <c r="A709" s="37" t="n">
        <v>720</v>
      </c>
      <c r="B709" s="38" t="s">
        <v>2006</v>
      </c>
      <c r="C709" s="39" t="s">
        <v>19</v>
      </c>
      <c r="D709" s="39" t="s">
        <v>20</v>
      </c>
      <c r="E709" s="39" t="s">
        <v>21</v>
      </c>
      <c r="F709" s="38" t="s">
        <v>2192</v>
      </c>
      <c r="G709" s="40" t="n">
        <v>0</v>
      </c>
      <c r="H709" s="122" t="s">
        <v>2007</v>
      </c>
      <c r="I709" s="41" t="n">
        <v>448394</v>
      </c>
      <c r="J709" s="41" t="n">
        <v>448394</v>
      </c>
      <c r="K709" s="41" t="n">
        <v>0</v>
      </c>
      <c r="L709" s="41" t="n">
        <v>67259</v>
      </c>
      <c r="M709" s="41" t="n">
        <v>0</v>
      </c>
      <c r="N709" s="41" t="n">
        <v>0</v>
      </c>
      <c r="O709" s="41" t="n">
        <v>0</v>
      </c>
      <c r="P709" s="42" t="n">
        <v>381135</v>
      </c>
    </row>
    <row r="710" spans="1:16">
      <c r="A710" s="37" t="n">
        <v>721</v>
      </c>
      <c r="B710" s="38" t="s">
        <v>2008</v>
      </c>
      <c r="C710" s="39" t="s">
        <v>19</v>
      </c>
      <c r="D710" s="39" t="s">
        <v>20</v>
      </c>
      <c r="E710" s="39" t="s">
        <v>21</v>
      </c>
      <c r="F710" s="38" t="s">
        <v>2193</v>
      </c>
      <c r="G710" s="40" t="n">
        <v>0</v>
      </c>
      <c r="H710" s="122" t="s">
        <v>2010</v>
      </c>
      <c r="I710" s="41" t="n">
        <v>304050</v>
      </c>
      <c r="J710" s="41" t="n">
        <v>304050</v>
      </c>
      <c r="K710" s="41" t="n">
        <v>0</v>
      </c>
      <c r="L710" s="41" t="n">
        <v>45608</v>
      </c>
      <c r="M710" s="41" t="n">
        <v>0</v>
      </c>
      <c r="N710" s="41" t="n">
        <v>0</v>
      </c>
      <c r="O710" s="41" t="n">
        <v>0</v>
      </c>
      <c r="P710" s="42" t="n">
        <v>258442</v>
      </c>
    </row>
    <row r="711" spans="1:16">
      <c r="A711" s="37" t="n">
        <v>722</v>
      </c>
      <c r="B711" s="38" t="s">
        <v>2194</v>
      </c>
      <c r="C711" s="39" t="s">
        <v>58</v>
      </c>
      <c r="D711" s="39" t="s">
        <v>20</v>
      </c>
      <c r="E711" s="39" t="s">
        <v>21</v>
      </c>
      <c r="F711" s="38" t="s">
        <v>1959</v>
      </c>
      <c r="G711" s="122" t="s">
        <v>2026</v>
      </c>
      <c r="H711" s="122" t="s">
        <v>1961</v>
      </c>
      <c r="I711" s="41" t="n">
        <v>453807</v>
      </c>
      <c r="J711" s="41" t="n">
        <v>453807</v>
      </c>
      <c r="K711" s="41" t="n">
        <v>22690</v>
      </c>
      <c r="L711" s="41" t="n">
        <v>0</v>
      </c>
      <c r="M711" s="41" t="n">
        <v>0</v>
      </c>
      <c r="N711" s="41" t="n">
        <v>0</v>
      </c>
      <c r="O711" s="41" t="n">
        <v>0</v>
      </c>
      <c r="P711" s="42" t="n">
        <v>431117</v>
      </c>
    </row>
    <row r="712" spans="1:16">
      <c r="A712" s="37" t="n">
        <v>723</v>
      </c>
      <c r="B712" s="38" t="s">
        <v>1982</v>
      </c>
      <c r="C712" s="39" t="s">
        <v>58</v>
      </c>
      <c r="D712" s="39" t="s">
        <v>137</v>
      </c>
      <c r="E712" s="39" t="s">
        <v>14</v>
      </c>
      <c r="F712" s="38" t="s">
        <v>1983</v>
      </c>
      <c r="G712" s="40" t="n">
        <v>0</v>
      </c>
      <c r="H712" s="122" t="s">
        <v>1985</v>
      </c>
      <c r="I712" s="41" t="n">
        <v>966686</v>
      </c>
      <c r="J712" s="41" t="n">
        <v>966686</v>
      </c>
      <c r="K712" s="41" t="n">
        <v>48334</v>
      </c>
      <c r="L712" s="41" t="n">
        <v>0</v>
      </c>
      <c r="M712" s="41" t="n">
        <v>0</v>
      </c>
      <c r="N712" s="41" t="n">
        <v>0</v>
      </c>
      <c r="O712" s="41" t="n">
        <v>0</v>
      </c>
      <c r="P712" s="42" t="n">
        <v>918352</v>
      </c>
    </row>
    <row r="713" spans="1:16">
      <c r="A713" s="37" t="n">
        <v>724</v>
      </c>
      <c r="B713" s="38" t="s">
        <v>450</v>
      </c>
      <c r="C713" s="39" t="s">
        <v>58</v>
      </c>
      <c r="D713" s="39" t="n">
        <v>0</v>
      </c>
      <c r="E713" s="39" t="s">
        <v>21</v>
      </c>
      <c r="F713" s="38" t="s">
        <v>2195</v>
      </c>
      <c r="G713" s="40" t="n">
        <v>0</v>
      </c>
      <c r="H713" s="122" t="s">
        <v>451</v>
      </c>
      <c r="I713" s="41" t="n">
        <v>1920355</v>
      </c>
      <c r="J713" s="41" t="n">
        <v>1920355</v>
      </c>
      <c r="K713" s="41" t="n">
        <v>96018</v>
      </c>
      <c r="L713" s="41" t="n">
        <v>0</v>
      </c>
      <c r="M713" s="41" t="n">
        <v>0</v>
      </c>
      <c r="N713" s="41" t="n">
        <v>0</v>
      </c>
      <c r="O713" s="41" t="n">
        <v>0</v>
      </c>
      <c r="P713" s="42" t="n">
        <v>1824337</v>
      </c>
    </row>
    <row r="714" spans="1:16">
      <c r="A714" s="37" t="n">
        <v>725</v>
      </c>
      <c r="B714" s="38" t="s">
        <v>2028</v>
      </c>
      <c r="C714" s="39" t="s">
        <v>58</v>
      </c>
      <c r="D714" s="39" t="n">
        <v>0</v>
      </c>
      <c r="E714" s="39" t="s">
        <v>21</v>
      </c>
      <c r="F714" s="38" t="s">
        <v>2029</v>
      </c>
      <c r="G714" s="40" t="n">
        <v>0</v>
      </c>
      <c r="H714" s="122" t="s">
        <v>2030</v>
      </c>
      <c r="I714" s="41" t="n">
        <v>559723</v>
      </c>
      <c r="J714" s="41" t="n">
        <v>559723</v>
      </c>
      <c r="K714" s="41" t="n">
        <v>27986</v>
      </c>
      <c r="L714" s="41" t="n">
        <v>0</v>
      </c>
      <c r="M714" s="41" t="n">
        <v>0</v>
      </c>
      <c r="N714" s="41" t="n">
        <v>0</v>
      </c>
      <c r="O714" s="41" t="n">
        <v>0</v>
      </c>
      <c r="P714" s="42" t="n">
        <v>531737</v>
      </c>
    </row>
    <row r="715" spans="1:16">
      <c r="A715" s="54"/>
      <c r="B715" s="55"/>
      <c r="C715" s="56"/>
      <c r="D715" s="56"/>
      <c r="E715" s="56"/>
      <c r="F715" s="56"/>
      <c r="G715" s="56"/>
      <c r="H715" s="56"/>
      <c r="I715" s="57" t="n">
        <v>170449427</v>
      </c>
      <c r="J715" s="57" t="n">
        <v>170449427</v>
      </c>
      <c r="K715" s="57" t="n">
        <v>5234335</v>
      </c>
      <c r="L715" s="57" t="n">
        <v>3387329</v>
      </c>
      <c r="M715" s="57" t="n">
        <v>0</v>
      </c>
      <c r="N715" s="57" t="n">
        <v>0</v>
      </c>
      <c r="O715" s="57" t="n">
        <v>0</v>
      </c>
      <c r="P715" s="57" t="n">
        <v>161827763</v>
      </c>
    </row>
    <row r="716" spans="1:16">
      <c r="A716" s="58"/>
      <c r="B716" s="59" t="s">
        <v>2013</v>
      </c>
      <c r="C716" s="60"/>
      <c r="D716" s="60"/>
      <c r="E716" s="60"/>
      <c r="F716" s="60"/>
      <c r="G716" s="60"/>
      <c r="H716" s="60"/>
      <c r="I716" s="60"/>
      <c r="J716" s="60"/>
      <c r="K716" s="61"/>
      <c r="L716" s="61"/>
      <c r="M716" s="61"/>
      <c r="N716" s="61"/>
      <c r="O716" s="61"/>
      <c r="P716" s="61"/>
    </row>
    <row r="717" spans="1:16">
      <c r="A717" s="37" t="n">
        <v>728</v>
      </c>
      <c r="B717" s="38" t="s">
        <v>2017</v>
      </c>
      <c r="C717" s="39" t="s">
        <v>120</v>
      </c>
      <c r="D717" s="39" t="n">
        <v>0</v>
      </c>
      <c r="E717" s="39" t="s">
        <v>21</v>
      </c>
      <c r="F717" s="38" t="s">
        <v>2018</v>
      </c>
      <c r="G717" s="122" t="s">
        <v>20</v>
      </c>
      <c r="H717" s="122" t="s">
        <v>2020</v>
      </c>
      <c r="I717" s="41" t="n">
        <v>10999690</v>
      </c>
      <c r="J717" s="41" t="n">
        <v>5499845</v>
      </c>
      <c r="K717" s="61" t="n">
        <v>0</v>
      </c>
      <c r="L717" s="61" t="n">
        <v>824977</v>
      </c>
      <c r="M717" s="41" t="n">
        <v>0</v>
      </c>
      <c r="N717" s="41" t="n">
        <v>0</v>
      </c>
      <c r="O717" s="41" t="n">
        <v>0</v>
      </c>
      <c r="P717" s="42" t="n">
        <v>10174713</v>
      </c>
    </row>
    <row r="718" spans="1:16">
      <c r="A718" s="37" t="n">
        <v>729</v>
      </c>
      <c r="B718" s="38" t="s">
        <v>2021</v>
      </c>
      <c r="C718" s="39" t="s">
        <v>95</v>
      </c>
      <c r="D718" s="39" t="n">
        <v>0</v>
      </c>
      <c r="E718" s="39" t="s">
        <v>21</v>
      </c>
      <c r="F718" s="38" t="s">
        <v>2022</v>
      </c>
      <c r="G718" s="122" t="s">
        <v>20</v>
      </c>
      <c r="H718" s="122" t="s">
        <v>2023</v>
      </c>
      <c r="I718" s="41" t="n">
        <v>2142443</v>
      </c>
      <c r="J718" s="41" t="n">
        <v>1071221.5</v>
      </c>
      <c r="K718" s="61" t="n">
        <v>53561</v>
      </c>
      <c r="L718" s="41" t="n">
        <v>0</v>
      </c>
      <c r="M718" s="41" t="n">
        <v>0</v>
      </c>
      <c r="N718" s="41" t="n">
        <v>0</v>
      </c>
      <c r="O718" s="41" t="n">
        <v>0</v>
      </c>
      <c r="P718" s="42" t="n">
        <v>2088882</v>
      </c>
    </row>
    <row r="719" spans="1:16">
      <c r="A719" s="37" t="n">
        <v>730</v>
      </c>
      <c r="B719" s="38" t="s">
        <v>2024</v>
      </c>
      <c r="C719" s="39" t="s">
        <v>120</v>
      </c>
      <c r="D719" s="39" t="n">
        <v>0</v>
      </c>
      <c r="E719" s="39" t="s">
        <v>21</v>
      </c>
      <c r="F719" s="38" t="s">
        <v>2025</v>
      </c>
      <c r="G719" s="122" t="s">
        <v>20</v>
      </c>
      <c r="H719" s="122" t="s">
        <v>2027</v>
      </c>
      <c r="I719" s="41" t="n">
        <v>2992913</v>
      </c>
      <c r="J719" s="41" t="n">
        <v>1496456.5</v>
      </c>
      <c r="K719" s="61" t="n">
        <v>74823</v>
      </c>
      <c r="L719" s="41" t="n">
        <v>0</v>
      </c>
      <c r="M719" s="41" t="n">
        <v>0</v>
      </c>
      <c r="N719" s="41" t="n">
        <v>0</v>
      </c>
      <c r="O719" s="41" t="n">
        <v>0</v>
      </c>
      <c r="P719" s="42" t="n">
        <v>2918090</v>
      </c>
    </row>
    <row r="720" spans="1:16">
      <c r="A720" s="37" t="n">
        <v>731</v>
      </c>
      <c r="B720" s="38" t="s">
        <v>2031</v>
      </c>
      <c r="C720" s="39" t="s">
        <v>95</v>
      </c>
      <c r="D720" s="39" t="n">
        <v>0</v>
      </c>
      <c r="E720" s="39" t="s">
        <v>21</v>
      </c>
      <c r="F720" s="38" t="s">
        <v>2032</v>
      </c>
      <c r="G720" s="122" t="s">
        <v>20</v>
      </c>
      <c r="H720" s="122" t="s">
        <v>2033</v>
      </c>
      <c r="I720" s="41" t="n">
        <v>6943750</v>
      </c>
      <c r="J720" s="41" t="n">
        <v>3471875</v>
      </c>
      <c r="K720" s="61" t="n">
        <v>173594</v>
      </c>
      <c r="L720" s="41" t="n">
        <v>0</v>
      </c>
      <c r="M720" s="41" t="n">
        <v>0</v>
      </c>
      <c r="N720" s="41" t="n">
        <v>0</v>
      </c>
      <c r="O720" s="41" t="n">
        <v>0</v>
      </c>
      <c r="P720" s="42" t="n">
        <v>6770156</v>
      </c>
    </row>
    <row r="721" spans="1:16">
      <c r="A721" s="37" t="n">
        <v>732</v>
      </c>
      <c r="B721" s="38" t="s">
        <v>2034</v>
      </c>
      <c r="C721" s="39" t="s">
        <v>120</v>
      </c>
      <c r="D721" s="39" t="n">
        <v>0</v>
      </c>
      <c r="E721" s="39" t="s">
        <v>21</v>
      </c>
      <c r="F721" s="38" t="s">
        <v>2035</v>
      </c>
      <c r="G721" s="122" t="s">
        <v>20</v>
      </c>
      <c r="H721" s="122" t="s">
        <v>2036</v>
      </c>
      <c r="I721" s="41" t="n">
        <v>246002</v>
      </c>
      <c r="J721" s="41" t="n">
        <v>123001</v>
      </c>
      <c r="K721" s="61" t="n">
        <v>6150</v>
      </c>
      <c r="L721" s="41" t="n">
        <v>0</v>
      </c>
      <c r="M721" s="41" t="n">
        <v>0</v>
      </c>
      <c r="N721" s="41" t="n">
        <v>0</v>
      </c>
      <c r="O721" s="41" t="n">
        <v>0</v>
      </c>
      <c r="P721" s="42" t="n">
        <v>239852</v>
      </c>
    </row>
    <row r="722" spans="1:16">
      <c r="A722" s="37" t="n">
        <v>733</v>
      </c>
      <c r="B722" s="38" t="s">
        <v>2037</v>
      </c>
      <c r="C722" s="39" t="s">
        <v>95</v>
      </c>
      <c r="D722" s="39" t="n">
        <v>0</v>
      </c>
      <c r="E722" s="39" t="s">
        <v>21</v>
      </c>
      <c r="F722" s="38" t="s">
        <v>2038</v>
      </c>
      <c r="G722" s="122" t="s">
        <v>20</v>
      </c>
      <c r="H722" s="122" t="s">
        <v>2039</v>
      </c>
      <c r="I722" s="41" t="n">
        <v>1179099</v>
      </c>
      <c r="J722" s="41" t="n">
        <v>589549.5</v>
      </c>
      <c r="K722" s="61" t="n">
        <v>29477</v>
      </c>
      <c r="L722" s="41" t="n">
        <v>0</v>
      </c>
      <c r="M722" s="41" t="n">
        <v>0</v>
      </c>
      <c r="N722" s="41" t="n">
        <v>0</v>
      </c>
      <c r="O722" s="41" t="n">
        <v>0</v>
      </c>
      <c r="P722" s="42" t="n">
        <v>1149622</v>
      </c>
    </row>
    <row r="723" spans="1:16">
      <c r="A723" s="37" t="n">
        <v>734</v>
      </c>
      <c r="B723" s="38" t="s">
        <v>2040</v>
      </c>
      <c r="C723" s="39" t="s">
        <v>120</v>
      </c>
      <c r="D723" s="39" t="n">
        <v>0</v>
      </c>
      <c r="E723" s="39" t="s">
        <v>21</v>
      </c>
      <c r="F723" s="38" t="s">
        <v>2041</v>
      </c>
      <c r="G723" s="122" t="s">
        <v>20</v>
      </c>
      <c r="H723" s="122" t="s">
        <v>2042</v>
      </c>
      <c r="I723" s="41" t="n">
        <v>35662</v>
      </c>
      <c r="J723" s="41" t="n">
        <v>17831</v>
      </c>
      <c r="K723" s="61" t="n">
        <v>892</v>
      </c>
      <c r="L723" s="41" t="n">
        <v>0</v>
      </c>
      <c r="M723" s="41" t="n">
        <v>0</v>
      </c>
      <c r="N723" s="41" t="n">
        <v>0</v>
      </c>
      <c r="O723" s="41" t="n">
        <v>0</v>
      </c>
      <c r="P723" s="42" t="n">
        <v>34770</v>
      </c>
    </row>
    <row r="724" spans="1:16">
      <c r="A724" s="37" t="n">
        <v>735</v>
      </c>
      <c r="B724" s="38" t="s">
        <v>2043</v>
      </c>
      <c r="C724" s="39" t="s">
        <v>95</v>
      </c>
      <c r="D724" s="39" t="s">
        <v>137</v>
      </c>
      <c r="E724" s="39" t="s">
        <v>14</v>
      </c>
      <c r="F724" s="38" t="s">
        <v>2044</v>
      </c>
      <c r="G724" s="122" t="s">
        <v>20</v>
      </c>
      <c r="H724" s="122" t="s">
        <v>2045</v>
      </c>
      <c r="I724" s="41" t="n">
        <v>476956</v>
      </c>
      <c r="J724" s="41" t="n">
        <v>238478</v>
      </c>
      <c r="K724" s="61" t="n">
        <v>11924</v>
      </c>
      <c r="L724" s="41" t="n">
        <v>0</v>
      </c>
      <c r="M724" s="41" t="n">
        <v>0</v>
      </c>
      <c r="N724" s="41" t="n">
        <v>0</v>
      </c>
      <c r="O724" s="41" t="n">
        <v>0</v>
      </c>
      <c r="P724" s="42" t="n">
        <v>465032</v>
      </c>
    </row>
    <row r="725" spans="1:16">
      <c r="A725" s="37" t="n">
        <v>736</v>
      </c>
      <c r="B725" s="38" t="s">
        <v>438</v>
      </c>
      <c r="C725" s="39" t="s">
        <v>95</v>
      </c>
      <c r="D725" s="39" t="s">
        <v>137</v>
      </c>
      <c r="E725" s="39" t="s">
        <v>14</v>
      </c>
      <c r="F725" s="38" t="s">
        <v>439</v>
      </c>
      <c r="G725" s="40" t="n">
        <v>0</v>
      </c>
      <c r="H725" s="122" t="s">
        <v>441</v>
      </c>
      <c r="I725" s="41" t="n">
        <v>3457102</v>
      </c>
      <c r="J725" s="41" t="n">
        <v>1728551</v>
      </c>
      <c r="K725" s="61" t="n">
        <v>86428</v>
      </c>
      <c r="L725" s="41" t="n">
        <v>0</v>
      </c>
      <c r="M725" s="41" t="n">
        <v>0</v>
      </c>
      <c r="N725" s="41" t="n">
        <v>0</v>
      </c>
      <c r="O725" s="41" t="n">
        <v>0</v>
      </c>
      <c r="P725" s="42" t="n">
        <v>3370674</v>
      </c>
    </row>
    <row r="726" spans="1:16">
      <c r="A726" s="37" t="n">
        <v>737</v>
      </c>
      <c r="B726" s="38" t="s">
        <v>94</v>
      </c>
      <c r="C726" s="39" t="s">
        <v>95</v>
      </c>
      <c r="D726" s="39" t="s">
        <v>20</v>
      </c>
      <c r="E726" s="39" t="s">
        <v>21</v>
      </c>
      <c r="F726" s="38" t="s">
        <v>2196</v>
      </c>
      <c r="G726" s="40" t="n">
        <v>0</v>
      </c>
      <c r="H726" s="122" t="s">
        <v>97</v>
      </c>
      <c r="I726" s="41" t="n">
        <v>1501899</v>
      </c>
      <c r="J726" s="41" t="n">
        <v>750949.5</v>
      </c>
      <c r="K726" s="61" t="n">
        <v>37547</v>
      </c>
      <c r="L726" s="41" t="n">
        <v>0</v>
      </c>
      <c r="M726" s="41" t="n">
        <v>0</v>
      </c>
      <c r="N726" s="41" t="n">
        <v>0</v>
      </c>
      <c r="O726" s="41" t="n">
        <v>0</v>
      </c>
      <c r="P726" s="42" t="n">
        <v>1464352</v>
      </c>
    </row>
    <row r="727" spans="1:16">
      <c r="A727" s="37" t="n">
        <v>738</v>
      </c>
      <c r="B727" s="38" t="s">
        <v>2046</v>
      </c>
      <c r="C727" s="39" t="s">
        <v>95</v>
      </c>
      <c r="D727" s="39" t="s">
        <v>137</v>
      </c>
      <c r="E727" s="39" t="s">
        <v>14</v>
      </c>
      <c r="F727" s="38" t="s">
        <v>2197</v>
      </c>
      <c r="G727" s="40" t="n">
        <v>0</v>
      </c>
      <c r="H727" s="122" t="s">
        <v>2047</v>
      </c>
      <c r="I727" s="41" t="n">
        <v>372736</v>
      </c>
      <c r="J727" s="41" t="n">
        <v>186368</v>
      </c>
      <c r="K727" s="61" t="n">
        <v>9318</v>
      </c>
      <c r="L727" s="41" t="n">
        <v>0</v>
      </c>
      <c r="M727" s="41" t="n">
        <v>0</v>
      </c>
      <c r="N727" s="41" t="n">
        <v>0</v>
      </c>
      <c r="O727" s="41" t="n">
        <v>0</v>
      </c>
      <c r="P727" s="42" t="n">
        <v>363418</v>
      </c>
    </row>
    <row r="728" spans="1:16">
      <c r="A728" s="37" t="n">
        <v>739</v>
      </c>
      <c r="B728" s="38" t="s">
        <v>2048</v>
      </c>
      <c r="C728" s="39" t="s">
        <v>95</v>
      </c>
      <c r="D728" s="39" t="s">
        <v>121</v>
      </c>
      <c r="E728" s="39" t="s">
        <v>14</v>
      </c>
      <c r="F728" s="38" t="s">
        <v>2198</v>
      </c>
      <c r="G728" s="122" t="s">
        <v>20</v>
      </c>
      <c r="H728" s="122" t="s">
        <v>2049</v>
      </c>
      <c r="I728" s="41" t="n">
        <v>1805545</v>
      </c>
      <c r="J728" s="41" t="n">
        <v>902772.5</v>
      </c>
      <c r="K728" s="61" t="n">
        <v>45139</v>
      </c>
      <c r="L728" s="41" t="n">
        <v>0</v>
      </c>
      <c r="M728" s="41" t="n">
        <v>0</v>
      </c>
      <c r="N728" s="41" t="n">
        <v>0</v>
      </c>
      <c r="O728" s="41" t="n">
        <v>0</v>
      </c>
      <c r="P728" s="42" t="n">
        <v>1760406</v>
      </c>
    </row>
    <row r="729" spans="1:16">
      <c r="A729" s="37" t="n">
        <v>740</v>
      </c>
      <c r="B729" s="38" t="s">
        <v>2050</v>
      </c>
      <c r="C729" s="39" t="s">
        <v>95</v>
      </c>
      <c r="D729" s="39" t="s">
        <v>121</v>
      </c>
      <c r="E729" s="39" t="s">
        <v>14</v>
      </c>
      <c r="F729" s="38" t="s">
        <v>2199</v>
      </c>
      <c r="G729" s="122" t="s">
        <v>20</v>
      </c>
      <c r="H729" s="122" t="s">
        <v>2051</v>
      </c>
      <c r="I729" s="41" t="n">
        <v>1985823</v>
      </c>
      <c r="J729" s="41" t="n">
        <v>992911.5</v>
      </c>
      <c r="K729" s="61" t="n">
        <v>49646</v>
      </c>
      <c r="L729" s="41" t="n">
        <v>0</v>
      </c>
      <c r="M729" s="41" t="n">
        <v>0</v>
      </c>
      <c r="N729" s="41" t="n">
        <v>0</v>
      </c>
      <c r="O729" s="41" t="n">
        <v>0</v>
      </c>
      <c r="P729" s="42" t="n">
        <v>1936177</v>
      </c>
    </row>
    <row r="730" spans="1:16">
      <c r="A730" s="37" t="n">
        <v>741</v>
      </c>
      <c r="B730" s="38" t="s">
        <v>2052</v>
      </c>
      <c r="C730" s="39" t="s">
        <v>95</v>
      </c>
      <c r="D730" s="39" t="s">
        <v>121</v>
      </c>
      <c r="E730" s="39" t="s">
        <v>14</v>
      </c>
      <c r="F730" s="38" t="s">
        <v>2200</v>
      </c>
      <c r="G730" s="40" t="n">
        <v>0</v>
      </c>
      <c r="H730" s="122" t="s">
        <v>2053</v>
      </c>
      <c r="I730" s="41" t="n">
        <v>649642</v>
      </c>
      <c r="J730" s="41" t="n">
        <v>324821</v>
      </c>
      <c r="K730" s="61" t="n">
        <v>16241</v>
      </c>
      <c r="L730" s="41" t="n">
        <v>0</v>
      </c>
      <c r="M730" s="41" t="n">
        <v>0</v>
      </c>
      <c r="N730" s="41" t="n">
        <v>0</v>
      </c>
      <c r="O730" s="41" t="n">
        <v>0</v>
      </c>
      <c r="P730" s="42" t="n">
        <v>633401</v>
      </c>
    </row>
    <row r="731" spans="1:16">
      <c r="A731" s="37" t="n">
        <v>742</v>
      </c>
      <c r="B731" s="38" t="s">
        <v>2054</v>
      </c>
      <c r="C731" s="39" t="s">
        <v>95</v>
      </c>
      <c r="D731" s="39" t="s">
        <v>20</v>
      </c>
      <c r="E731" s="39" t="s">
        <v>21</v>
      </c>
      <c r="F731" s="38" t="s">
        <v>2201</v>
      </c>
      <c r="G731" s="40" t="n">
        <v>0</v>
      </c>
      <c r="H731" s="122" t="s">
        <v>2055</v>
      </c>
      <c r="I731" s="41" t="n">
        <v>35662</v>
      </c>
      <c r="J731" s="41" t="n">
        <v>17831</v>
      </c>
      <c r="K731" s="61" t="n">
        <v>892</v>
      </c>
      <c r="L731" s="41" t="n">
        <v>0</v>
      </c>
      <c r="M731" s="41" t="n">
        <v>0</v>
      </c>
      <c r="N731" s="41" t="n">
        <v>0</v>
      </c>
      <c r="O731" s="41" t="n">
        <v>0</v>
      </c>
      <c r="P731" s="42" t="n">
        <v>34770</v>
      </c>
    </row>
    <row r="732" spans="1:16">
      <c r="A732" s="62"/>
      <c r="B732" s="63"/>
      <c r="C732" s="64"/>
      <c r="D732" s="64"/>
      <c r="E732" s="64"/>
      <c r="F732" s="64"/>
      <c r="G732" s="64"/>
      <c r="H732" s="64"/>
      <c r="I732" s="64"/>
      <c r="J732" s="64"/>
      <c r="K732" s="65"/>
      <c r="L732" s="65"/>
      <c r="M732" s="65"/>
      <c r="N732" s="65"/>
      <c r="O732" s="65"/>
      <c r="P732" s="65"/>
    </row>
    <row r="733" spans="1:16">
      <c r="A733" s="54"/>
      <c r="B733" s="55"/>
      <c r="C733" s="56"/>
      <c r="D733" s="56"/>
      <c r="E733" s="56"/>
      <c r="F733" s="56"/>
      <c r="G733" s="56"/>
      <c r="H733" s="56"/>
      <c r="I733" s="57" t="n">
        <v>34824924</v>
      </c>
      <c r="J733" s="57" t="n">
        <v>17412462</v>
      </c>
      <c r="K733" s="57" t="n">
        <v>595632</v>
      </c>
      <c r="L733" s="57" t="n">
        <v>824977</v>
      </c>
      <c r="M733" s="57" t="n">
        <v>0</v>
      </c>
      <c r="N733" s="57" t="n">
        <v>0</v>
      </c>
      <c r="O733" s="57" t="n">
        <v>0</v>
      </c>
      <c r="P733" s="57" t="n">
        <v>33404315</v>
      </c>
    </row>
    <row r="734" spans="1:16">
      <c r="A734" s="66"/>
      <c r="B734" s="63"/>
      <c r="C734" s="67"/>
      <c r="D734" s="67"/>
      <c r="E734" s="67"/>
      <c r="F734" s="67"/>
      <c r="G734" s="67"/>
      <c r="H734" s="67"/>
      <c r="I734" s="68"/>
      <c r="J734" s="68"/>
      <c r="K734" s="68"/>
      <c r="L734" s="68"/>
      <c r="M734" s="68"/>
      <c r="N734" s="68"/>
      <c r="O734" s="68"/>
      <c r="P734" s="68"/>
    </row>
    <row r="735" spans="1:16">
      <c r="A735" s="69"/>
      <c r="B735" s="70"/>
      <c r="C735" s="71"/>
      <c r="D735" s="71"/>
      <c r="E735" s="71"/>
      <c r="F735" s="71"/>
      <c r="G735" s="71"/>
      <c r="H735" s="71"/>
      <c r="I735" s="72" t="n">
        <v>205274351</v>
      </c>
      <c r="J735" s="72" t="n">
        <v>187861889</v>
      </c>
      <c r="K735" s="72" t="n">
        <v>5829967</v>
      </c>
      <c r="L735" s="72" t="n">
        <v>4212306</v>
      </c>
      <c r="M735" s="72" t="n">
        <v>0</v>
      </c>
      <c r="N735" s="72" t="n">
        <v>0</v>
      </c>
      <c r="O735" s="72" t="n">
        <v>0</v>
      </c>
      <c r="P735" s="72" t="n">
        <v>195232078</v>
      </c>
    </row>
    <row r="736" spans="1:16">
      <c r="A736" s="73"/>
      <c r="B736" s="20"/>
      <c r="C736" s="21"/>
      <c r="D736" s="21"/>
      <c r="E736" s="21"/>
      <c r="F736" s="20"/>
      <c r="G736" s="74"/>
      <c r="H736" s="74"/>
      <c r="I736" s="75"/>
      <c r="J736" s="75"/>
      <c r="K736" s="75"/>
      <c r="L736" s="75"/>
      <c r="M736" s="75"/>
      <c r="N736" s="75"/>
      <c r="O736" s="75"/>
      <c r="P736" s="75"/>
    </row>
    <row r="737" spans="1:16">
      <c r="A737" s="76"/>
      <c r="B737" s="77"/>
      <c r="C737" s="78"/>
      <c r="D737" s="78"/>
      <c r="E737" s="78"/>
      <c r="F737" s="77"/>
      <c r="G737" s="76"/>
      <c r="H737" s="76"/>
      <c r="I737" s="76"/>
      <c r="J737" s="76"/>
      <c r="K737" s="76"/>
      <c r="L737" s="76"/>
      <c r="M737" s="76"/>
      <c r="N737" s="76"/>
      <c r="O737" s="76"/>
      <c r="P737" s="79"/>
    </row>
    <row r="738" spans="1:16">
      <c r="A738" s="76"/>
      <c r="B738" s="77"/>
      <c r="C738" s="78"/>
      <c r="D738" s="78"/>
      <c r="E738" s="78"/>
      <c r="F738" s="77"/>
      <c r="G738" s="76"/>
      <c r="H738" s="76"/>
      <c r="I738" s="76"/>
      <c r="J738" s="76"/>
      <c r="K738" s="76"/>
      <c r="L738" s="76"/>
      <c r="M738" s="76"/>
      <c r="N738" s="76"/>
      <c r="O738" s="76"/>
      <c r="P738" s="79"/>
    </row>
    <row r="739" spans="2:16">
      <c r="B739" s="77"/>
      <c r="C739" s="78"/>
      <c r="D739" s="78"/>
      <c r="E739" s="78"/>
      <c r="F739" s="77"/>
      <c r="G739" s="74"/>
      <c r="H739" s="74" t="s">
        <v>2202</v>
      </c>
      <c r="I739" s="75"/>
      <c r="J739" s="75"/>
      <c r="K739" s="75"/>
      <c r="L739" s="75"/>
      <c r="M739" s="75"/>
      <c r="N739" s="75"/>
      <c r="O739" s="75"/>
      <c r="P739" s="79"/>
    </row>
    <row r="740" spans="2:16">
      <c r="B740" s="77"/>
      <c r="C740" s="78"/>
      <c r="D740" s="78"/>
      <c r="E740" s="78"/>
      <c r="F740" s="77"/>
      <c r="G740" s="74"/>
      <c r="H740" s="74" t="s">
        <v>2203</v>
      </c>
      <c r="I740" s="75"/>
      <c r="J740" s="75"/>
      <c r="K740" s="75"/>
      <c r="L740" s="75"/>
      <c r="M740" s="75"/>
      <c r="N740" s="75"/>
      <c r="O740" s="75"/>
      <c r="P740" s="79"/>
    </row>
    <row r="741" spans="2:16">
      <c r="B741" s="77"/>
      <c r="C741" s="78"/>
      <c r="D741" s="78"/>
      <c r="E741" s="78"/>
      <c r="F741" s="77"/>
      <c r="G741" s="74"/>
      <c r="H741" s="74" t="s">
        <v>2204</v>
      </c>
      <c r="I741" s="75"/>
      <c r="J741" s="75"/>
      <c r="K741" s="75"/>
      <c r="L741" s="75"/>
      <c r="M741" s="75"/>
      <c r="N741" s="75"/>
      <c r="O741" s="75"/>
      <c r="P741" s="79"/>
    </row>
    <row r="742" spans="2:16">
      <c r="B742" s="77"/>
      <c r="C742" s="78"/>
      <c r="D742" s="78"/>
      <c r="E742" s="78"/>
      <c r="F742" s="77"/>
      <c r="G742" s="74"/>
      <c r="H742" s="74"/>
      <c r="I742" s="75"/>
      <c r="J742" s="75"/>
      <c r="K742" s="75"/>
      <c r="L742" s="75"/>
      <c r="M742" s="75"/>
      <c r="N742" s="75"/>
      <c r="O742" s="75"/>
      <c r="P742" s="79"/>
    </row>
    <row r="743" spans="2:16">
      <c r="B743" s="77"/>
      <c r="C743" s="78"/>
      <c r="D743" s="78"/>
      <c r="E743" s="78"/>
      <c r="F743" s="77"/>
      <c r="G743" s="74"/>
      <c r="H743" s="74"/>
      <c r="I743" s="75"/>
      <c r="J743" s="75"/>
      <c r="K743" s="75"/>
      <c r="L743" s="75"/>
      <c r="M743" s="75"/>
      <c r="N743" s="75"/>
      <c r="O743" s="75"/>
      <c r="P743" s="79"/>
    </row>
    <row r="744" spans="2:16">
      <c r="B744" s="77"/>
      <c r="C744" s="78"/>
      <c r="D744" s="78"/>
      <c r="E744" s="78"/>
      <c r="F744" s="77"/>
      <c r="G744" s="74"/>
      <c r="H744" s="74"/>
      <c r="I744" s="75"/>
      <c r="J744" s="75"/>
      <c r="K744" s="75"/>
      <c r="L744" s="75"/>
      <c r="M744" s="75"/>
      <c r="N744" s="75"/>
      <c r="O744" s="75"/>
      <c r="P744" s="79"/>
    </row>
    <row r="745" spans="2:16">
      <c r="B745" s="77"/>
      <c r="C745" s="78"/>
      <c r="D745" s="78"/>
      <c r="E745" s="78"/>
      <c r="F745" s="77"/>
      <c r="G745" s="80"/>
      <c r="H745" s="80" t="s">
        <v>146</v>
      </c>
      <c r="I745" s="81"/>
      <c r="J745" s="81"/>
      <c r="K745" s="81"/>
      <c r="L745" s="81"/>
      <c r="M745" s="81"/>
      <c r="N745" s="81"/>
      <c r="O745" s="81"/>
      <c r="P745" s="79"/>
    </row>
    <row r="746" spans="2:15">
      <c r="B746" s="82"/>
      <c r="C746" s="83"/>
      <c r="D746" s="83"/>
      <c r="E746" s="83"/>
      <c r="F746" s="82"/>
      <c r="G746" s="84"/>
      <c r="H746" s="84" t="s">
        <v>2205</v>
      </c>
      <c r="I746" s="85"/>
      <c r="J746" s="85"/>
      <c r="K746" s="85"/>
      <c r="L746" s="85"/>
      <c r="M746" s="85"/>
      <c r="N746" s="85"/>
      <c r="O746" s="85"/>
    </row>
    <row r="747" spans="2:16">
      <c r="B747" s="77"/>
      <c r="C747" s="78"/>
      <c r="D747" s="78"/>
      <c r="E747" s="78"/>
      <c r="F747" s="77"/>
      <c r="G747" s="86"/>
      <c r="H747" s="87" t="s">
        <v>2206</v>
      </c>
      <c r="I747" s="87"/>
      <c r="J747" s="87"/>
      <c r="K747" s="87"/>
      <c r="L747" s="87"/>
      <c r="M747" s="87"/>
      <c r="N747" s="87"/>
      <c r="O747" s="87"/>
      <c r="P747" s="79"/>
    </row>
  </sheetData>
  <mergeCells count="1">
    <mergeCell ref="D5:E5"/>
  </mergeCells>
  <conditionalFormatting sqref="I732">
    <cfRule type="duplicateValues" dxfId="52" priority="1"/>
  </conditionalFormatting>
  <conditionalFormatting sqref="J732">
    <cfRule type="duplicateValues" dxfId="53" priority="2"/>
  </conditionalFormatting>
  <conditionalFormatting sqref="J716">
    <cfRule type="duplicateValues" dxfId="54" priority="3"/>
  </conditionalFormatting>
  <conditionalFormatting sqref="B716">
    <cfRule type="duplicateValues" dxfId="55" priority="4"/>
  </conditionalFormatting>
  <conditionalFormatting sqref="I716">
    <cfRule type="duplicateValues" dxfId="56" priority="5"/>
  </conditionalFormatting>
  <conditionalFormatting sqref="I715:P715">
    <cfRule type="duplicateValues" dxfId="57" priority="6"/>
  </conditionalFormatting>
  <printOptions>
    <extLst>
      <ext uri="smNativeData">
        <pm:pageFlags xmlns:pm="smNativeData" id="175973252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9732528" l="56" r="56" t="56" b="56" borderId="0" fillId="0" vertical="0"/>
        <pm:footer xmlns:pm="smNativeData" id="1759732528" l="56" r="56" t="56" b="56" borderId="0" fillId="0" vertical="2"/>
      </ext>
    </extLst>
  </headerFooter>
  <drawing r:id="rId1"/>
  <extLst>
    <ext uri="smNativeData">
      <pm:sheetPrefs xmlns:pm="smNativeData" day="175973252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O610"/>
  <sheetViews>
    <sheetView view="normal" zoomScale="80" workbookViewId="0">
      <selection activeCell="F7" sqref="F7"/>
    </sheetView>
  </sheetViews>
  <sheetFormatPr defaultRowHeight="15.40"/>
  <cols>
    <col min="1" max="1" width="4.241071" customWidth="1"/>
    <col min="2" max="2" width="69.669643" customWidth="1"/>
    <col min="3" max="3" width="7.348214" customWidth="1"/>
    <col min="4" max="4" width="5.330357" customWidth="1"/>
    <col min="5" max="5" width="5.214286" customWidth="1"/>
    <col min="6" max="6" width="17.946429" customWidth="1"/>
    <col min="7" max="7" width="25.964286" customWidth="1"/>
    <col min="8" max="8" width="17.053571" customWidth="1"/>
    <col min="9" max="9" width="17.526786" customWidth="1"/>
    <col min="10" max="10" width="14.928571" customWidth="1"/>
    <col min="11" max="11" width="15.982143" customWidth="1"/>
    <col min="12" max="14" width="7.589286" customWidth="1"/>
    <col min="15" max="15" width="17.053571" customWidth="1"/>
    <col min="16" max="16384" width="10.000000" customWidth="1"/>
  </cols>
  <sheetData>
    <row r="1" spans="1:15">
      <c r="A1" s="73"/>
      <c r="B1" s="8" t="s">
        <v>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</row>
    <row r="2" spans="1:15">
      <c r="A2" s="73"/>
      <c r="B2" s="13" t="s">
        <v>2207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16"/>
      <c r="B3" s="88" t="s">
        <v>2208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>
      <c r="A4" s="19"/>
      <c r="B4" s="20"/>
      <c r="C4" s="22"/>
      <c r="D4" s="22"/>
      <c r="E4" s="22"/>
      <c r="F4" s="22"/>
      <c r="G4" s="22"/>
      <c r="H4" s="24"/>
      <c r="I4" s="24"/>
      <c r="J4" s="24"/>
      <c r="K4" s="24"/>
      <c r="L4" s="24"/>
      <c r="M4" s="24"/>
      <c r="N4" s="24"/>
      <c r="O4" s="24"/>
    </row>
    <row r="5" spans="1:15">
      <c r="A5" s="89" t="s">
        <v>3</v>
      </c>
      <c r="B5" s="90" t="s">
        <v>4</v>
      </c>
      <c r="C5" s="27" t="s">
        <v>5</v>
      </c>
      <c r="D5" s="27" t="s">
        <v>6</v>
      </c>
      <c r="E5" s="27"/>
      <c r="F5" s="27" t="s">
        <v>7</v>
      </c>
      <c r="G5" s="27" t="s">
        <v>9</v>
      </c>
      <c r="H5" s="91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30" t="s">
        <v>17</v>
      </c>
    </row>
    <row r="6" spans="1:15">
      <c r="A6" s="92"/>
      <c r="B6" s="93"/>
      <c r="C6" s="94"/>
      <c r="D6" s="94"/>
      <c r="E6" s="94"/>
      <c r="F6" s="94"/>
      <c r="G6" s="94"/>
      <c r="H6" s="95"/>
      <c r="I6" s="95"/>
      <c r="J6" s="95"/>
      <c r="K6" s="95"/>
      <c r="L6" s="95"/>
      <c r="M6" s="95"/>
      <c r="N6" s="95"/>
      <c r="O6" s="96"/>
    </row>
    <row r="7" spans="1:15">
      <c r="A7" s="37" t="n">
        <v>1</v>
      </c>
      <c r="B7" s="97" t="s">
        <v>2209</v>
      </c>
      <c r="C7" s="121" t="s">
        <v>19</v>
      </c>
      <c r="D7" s="121" t="s">
        <v>20</v>
      </c>
      <c r="E7" s="121" t="s">
        <v>21</v>
      </c>
      <c r="F7" s="121" t="s">
        <v>20</v>
      </c>
      <c r="G7" s="121" t="s">
        <v>2210</v>
      </c>
      <c r="H7" s="99" t="n">
        <v>1107194</v>
      </c>
      <c r="I7" s="99" t="n">
        <v>1107194</v>
      </c>
      <c r="J7" s="99" t="n">
        <v>0</v>
      </c>
      <c r="K7" s="99" t="n">
        <v>166079</v>
      </c>
      <c r="L7" s="99" t="n">
        <v>0</v>
      </c>
      <c r="M7" s="99" t="n">
        <v>0</v>
      </c>
      <c r="N7" s="99" t="n">
        <v>0</v>
      </c>
      <c r="O7" s="42" t="n">
        <v>941115</v>
      </c>
    </row>
    <row r="8" spans="1:15">
      <c r="A8" s="37" t="n">
        <v>2</v>
      </c>
      <c r="B8" s="97" t="s">
        <v>2211</v>
      </c>
      <c r="C8" s="121" t="s">
        <v>19</v>
      </c>
      <c r="D8" s="121" t="s">
        <v>20</v>
      </c>
      <c r="E8" s="121" t="s">
        <v>21</v>
      </c>
      <c r="F8" s="98" t="n">
        <v>0</v>
      </c>
      <c r="G8" s="121" t="s">
        <v>2212</v>
      </c>
      <c r="H8" s="99" t="n">
        <v>775013</v>
      </c>
      <c r="I8" s="99" t="n">
        <v>775013</v>
      </c>
      <c r="J8" s="99" t="n">
        <v>0</v>
      </c>
      <c r="K8" s="99" t="n">
        <v>116252</v>
      </c>
      <c r="L8" s="99" t="n">
        <v>0</v>
      </c>
      <c r="M8" s="99" t="n">
        <v>0</v>
      </c>
      <c r="N8" s="99" t="n">
        <v>0</v>
      </c>
      <c r="O8" s="42" t="n">
        <v>658761</v>
      </c>
    </row>
    <row r="9" spans="1:15">
      <c r="A9" s="37" t="n">
        <v>3</v>
      </c>
      <c r="B9" s="97" t="s">
        <v>2213</v>
      </c>
      <c r="C9" s="121" t="s">
        <v>19</v>
      </c>
      <c r="D9" s="121" t="s">
        <v>20</v>
      </c>
      <c r="E9" s="121" t="s">
        <v>21</v>
      </c>
      <c r="F9" s="98" t="n">
        <v>0</v>
      </c>
      <c r="G9" s="121" t="s">
        <v>2214</v>
      </c>
      <c r="H9" s="99" t="n">
        <v>442865</v>
      </c>
      <c r="I9" s="99" t="n">
        <v>442865</v>
      </c>
      <c r="J9" s="99" t="n">
        <v>0</v>
      </c>
      <c r="K9" s="99" t="n">
        <v>66430</v>
      </c>
      <c r="L9" s="99" t="n">
        <v>0</v>
      </c>
      <c r="M9" s="99" t="n">
        <v>0</v>
      </c>
      <c r="N9" s="99" t="n">
        <v>0</v>
      </c>
      <c r="O9" s="42" t="n">
        <v>376435</v>
      </c>
    </row>
    <row r="10" spans="1:15">
      <c r="A10" s="37" t="n">
        <v>4</v>
      </c>
      <c r="B10" s="97" t="s">
        <v>2215</v>
      </c>
      <c r="C10" s="121" t="s">
        <v>19</v>
      </c>
      <c r="D10" s="121" t="s">
        <v>20</v>
      </c>
      <c r="E10" s="121" t="s">
        <v>21</v>
      </c>
      <c r="F10" s="98" t="n">
        <v>0</v>
      </c>
      <c r="G10" s="121" t="s">
        <v>2216</v>
      </c>
      <c r="H10" s="99" t="n">
        <v>442865</v>
      </c>
      <c r="I10" s="99" t="n">
        <v>442865</v>
      </c>
      <c r="J10" s="99" t="n">
        <v>0</v>
      </c>
      <c r="K10" s="99" t="n">
        <v>66430</v>
      </c>
      <c r="L10" s="99" t="n">
        <v>0</v>
      </c>
      <c r="M10" s="99" t="n">
        <v>0</v>
      </c>
      <c r="N10" s="99" t="n">
        <v>0</v>
      </c>
      <c r="O10" s="42" t="n">
        <v>376435</v>
      </c>
    </row>
    <row r="11" spans="1:15">
      <c r="A11" s="37" t="n">
        <v>5</v>
      </c>
      <c r="B11" s="97" t="s">
        <v>2217</v>
      </c>
      <c r="C11" s="121" t="s">
        <v>19</v>
      </c>
      <c r="D11" s="121" t="s">
        <v>20</v>
      </c>
      <c r="E11" s="121" t="s">
        <v>21</v>
      </c>
      <c r="F11" s="98" t="n">
        <v>0</v>
      </c>
      <c r="G11" s="121" t="s">
        <v>2218</v>
      </c>
      <c r="H11" s="99" t="n">
        <v>442865</v>
      </c>
      <c r="I11" s="99" t="n">
        <v>442865</v>
      </c>
      <c r="J11" s="99" t="n">
        <v>0</v>
      </c>
      <c r="K11" s="99" t="n">
        <v>66430</v>
      </c>
      <c r="L11" s="99" t="n">
        <v>0</v>
      </c>
      <c r="M11" s="99" t="n">
        <v>0</v>
      </c>
      <c r="N11" s="99" t="n">
        <v>0</v>
      </c>
      <c r="O11" s="42" t="n">
        <v>376435</v>
      </c>
    </row>
    <row r="12" spans="1:15">
      <c r="A12" s="37" t="n">
        <v>6</v>
      </c>
      <c r="B12" s="97" t="s">
        <v>2219</v>
      </c>
      <c r="C12" s="121" t="s">
        <v>19</v>
      </c>
      <c r="D12" s="121" t="s">
        <v>20</v>
      </c>
      <c r="E12" s="121" t="s">
        <v>21</v>
      </c>
      <c r="F12" s="98" t="n">
        <v>0</v>
      </c>
      <c r="G12" s="121" t="s">
        <v>2220</v>
      </c>
      <c r="H12" s="99" t="n">
        <v>442865</v>
      </c>
      <c r="I12" s="99" t="n">
        <v>442865</v>
      </c>
      <c r="J12" s="99" t="n">
        <v>0</v>
      </c>
      <c r="K12" s="99" t="n">
        <v>66430</v>
      </c>
      <c r="L12" s="99" t="n">
        <v>0</v>
      </c>
      <c r="M12" s="99" t="n">
        <v>0</v>
      </c>
      <c r="N12" s="99" t="n">
        <v>0</v>
      </c>
      <c r="O12" s="42" t="n">
        <v>376435</v>
      </c>
    </row>
    <row r="13" spans="1:15">
      <c r="A13" s="37" t="n">
        <v>7</v>
      </c>
      <c r="B13" s="97" t="s">
        <v>2221</v>
      </c>
      <c r="C13" s="121" t="s">
        <v>19</v>
      </c>
      <c r="D13" s="121" t="s">
        <v>20</v>
      </c>
      <c r="E13" s="121" t="s">
        <v>21</v>
      </c>
      <c r="F13" s="98" t="n">
        <v>0</v>
      </c>
      <c r="G13" s="121" t="s">
        <v>2222</v>
      </c>
      <c r="H13" s="99" t="n">
        <v>442865</v>
      </c>
      <c r="I13" s="99" t="n">
        <v>442865</v>
      </c>
      <c r="J13" s="99" t="n">
        <v>0</v>
      </c>
      <c r="K13" s="99" t="n">
        <v>66430</v>
      </c>
      <c r="L13" s="99" t="n">
        <v>0</v>
      </c>
      <c r="M13" s="99" t="n">
        <v>0</v>
      </c>
      <c r="N13" s="99" t="n">
        <v>0</v>
      </c>
      <c r="O13" s="42" t="n">
        <v>376435</v>
      </c>
    </row>
    <row r="14" spans="1:15">
      <c r="A14" s="37" t="n">
        <v>8</v>
      </c>
      <c r="B14" s="97" t="s">
        <v>2223</v>
      </c>
      <c r="C14" s="121" t="s">
        <v>19</v>
      </c>
      <c r="D14" s="121" t="s">
        <v>20</v>
      </c>
      <c r="E14" s="121" t="s">
        <v>21</v>
      </c>
      <c r="F14" s="98" t="n">
        <v>0</v>
      </c>
      <c r="G14" s="121" t="s">
        <v>2224</v>
      </c>
      <c r="H14" s="99" t="n">
        <v>442865</v>
      </c>
      <c r="I14" s="99" t="n">
        <v>442865</v>
      </c>
      <c r="J14" s="99" t="n">
        <v>0</v>
      </c>
      <c r="K14" s="99" t="n">
        <v>66430</v>
      </c>
      <c r="L14" s="99" t="n">
        <v>0</v>
      </c>
      <c r="M14" s="99" t="n">
        <v>0</v>
      </c>
      <c r="N14" s="99" t="n">
        <v>0</v>
      </c>
      <c r="O14" s="42" t="n">
        <v>376435</v>
      </c>
    </row>
    <row r="15" spans="1:15">
      <c r="A15" s="37" t="n">
        <v>9</v>
      </c>
      <c r="B15" s="97" t="s">
        <v>41</v>
      </c>
      <c r="C15" s="121" t="s">
        <v>19</v>
      </c>
      <c r="D15" s="121" t="s">
        <v>20</v>
      </c>
      <c r="E15" s="121" t="s">
        <v>21</v>
      </c>
      <c r="F15" s="121" t="s">
        <v>42</v>
      </c>
      <c r="G15" s="121" t="s">
        <v>44</v>
      </c>
      <c r="H15" s="99" t="n">
        <v>442865</v>
      </c>
      <c r="I15" s="99" t="n">
        <v>442865</v>
      </c>
      <c r="J15" s="99" t="n">
        <v>0</v>
      </c>
      <c r="K15" s="99" t="n">
        <v>66430</v>
      </c>
      <c r="L15" s="99" t="n">
        <v>0</v>
      </c>
      <c r="M15" s="99" t="n">
        <v>0</v>
      </c>
      <c r="N15" s="99" t="n">
        <v>0</v>
      </c>
      <c r="O15" s="42" t="n">
        <v>376435</v>
      </c>
    </row>
    <row r="16" spans="1:15">
      <c r="A16" s="37" t="n">
        <v>10</v>
      </c>
      <c r="B16" s="97" t="s">
        <v>2225</v>
      </c>
      <c r="C16" s="121" t="s">
        <v>58</v>
      </c>
      <c r="D16" s="121" t="s">
        <v>20</v>
      </c>
      <c r="E16" s="121" t="s">
        <v>21</v>
      </c>
      <c r="F16" s="98" t="n">
        <v>0</v>
      </c>
      <c r="G16" s="121" t="s">
        <v>2226</v>
      </c>
      <c r="H16" s="99" t="n">
        <v>332148</v>
      </c>
      <c r="I16" s="99" t="n">
        <v>332148</v>
      </c>
      <c r="J16" s="99" t="n">
        <v>16607</v>
      </c>
      <c r="K16" s="99" t="n">
        <v>0</v>
      </c>
      <c r="L16" s="99" t="n">
        <v>0</v>
      </c>
      <c r="M16" s="99" t="n">
        <v>0</v>
      </c>
      <c r="N16" s="99" t="n">
        <v>0</v>
      </c>
      <c r="O16" s="42" t="n">
        <v>315541</v>
      </c>
    </row>
    <row r="17" spans="1:15">
      <c r="A17" s="37" t="n">
        <v>11</v>
      </c>
      <c r="B17" s="97" t="s">
        <v>62</v>
      </c>
      <c r="C17" s="121" t="s">
        <v>58</v>
      </c>
      <c r="D17" s="121" t="s">
        <v>20</v>
      </c>
      <c r="E17" s="121" t="s">
        <v>21</v>
      </c>
      <c r="F17" s="121" t="s">
        <v>63</v>
      </c>
      <c r="G17" s="121" t="s">
        <v>65</v>
      </c>
      <c r="H17" s="99" t="n">
        <v>332148</v>
      </c>
      <c r="I17" s="99" t="n">
        <v>332148</v>
      </c>
      <c r="J17" s="99" t="n">
        <v>16607</v>
      </c>
      <c r="K17" s="99" t="n">
        <v>0</v>
      </c>
      <c r="L17" s="99" t="n">
        <v>0</v>
      </c>
      <c r="M17" s="99" t="n">
        <v>0</v>
      </c>
      <c r="N17" s="99" t="n">
        <v>0</v>
      </c>
      <c r="O17" s="42" t="n">
        <v>315541</v>
      </c>
    </row>
    <row r="18" spans="1:15">
      <c r="A18" s="37" t="n">
        <v>12</v>
      </c>
      <c r="B18" s="97" t="s">
        <v>33</v>
      </c>
      <c r="C18" s="121" t="s">
        <v>19</v>
      </c>
      <c r="D18" s="121" t="s">
        <v>20</v>
      </c>
      <c r="E18" s="121" t="s">
        <v>21</v>
      </c>
      <c r="F18" s="121" t="s">
        <v>34</v>
      </c>
      <c r="G18" s="121" t="s">
        <v>36</v>
      </c>
      <c r="H18" s="99" t="n">
        <v>332148</v>
      </c>
      <c r="I18" s="99" t="n">
        <v>332148</v>
      </c>
      <c r="J18" s="99" t="n">
        <v>0</v>
      </c>
      <c r="K18" s="99" t="n">
        <v>49822</v>
      </c>
      <c r="L18" s="99" t="n">
        <v>0</v>
      </c>
      <c r="M18" s="99" t="n">
        <v>0</v>
      </c>
      <c r="N18" s="99" t="n">
        <v>0</v>
      </c>
      <c r="O18" s="42" t="n">
        <v>282326</v>
      </c>
    </row>
    <row r="19" spans="1:15">
      <c r="A19" s="37" t="n">
        <v>13</v>
      </c>
      <c r="B19" s="97" t="s">
        <v>2227</v>
      </c>
      <c r="C19" s="121" t="s">
        <v>58</v>
      </c>
      <c r="D19" s="121" t="s">
        <v>20</v>
      </c>
      <c r="E19" s="121" t="s">
        <v>21</v>
      </c>
      <c r="F19" s="98" t="n">
        <v>0</v>
      </c>
      <c r="G19" s="121" t="s">
        <v>2228</v>
      </c>
      <c r="H19" s="99" t="n">
        <v>332148</v>
      </c>
      <c r="I19" s="99" t="n">
        <v>332148</v>
      </c>
      <c r="J19" s="99" t="n">
        <v>16607</v>
      </c>
      <c r="K19" s="99" t="n">
        <v>0</v>
      </c>
      <c r="L19" s="99" t="n">
        <v>0</v>
      </c>
      <c r="M19" s="99" t="n">
        <v>0</v>
      </c>
      <c r="N19" s="99" t="n">
        <v>0</v>
      </c>
      <c r="O19" s="42" t="n">
        <v>315541</v>
      </c>
    </row>
    <row r="20" spans="1:15">
      <c r="A20" s="37" t="n">
        <v>14</v>
      </c>
      <c r="B20" s="97" t="s">
        <v>2061</v>
      </c>
      <c r="C20" s="121" t="s">
        <v>58</v>
      </c>
      <c r="D20" s="121" t="s">
        <v>20</v>
      </c>
      <c r="E20" s="121" t="s">
        <v>21</v>
      </c>
      <c r="F20" s="121" t="s">
        <v>50</v>
      </c>
      <c r="G20" s="121" t="s">
        <v>52</v>
      </c>
      <c r="H20" s="99" t="n">
        <v>332148</v>
      </c>
      <c r="I20" s="99" t="n">
        <v>332148</v>
      </c>
      <c r="J20" s="99" t="n">
        <v>16607</v>
      </c>
      <c r="K20" s="99" t="n">
        <v>0</v>
      </c>
      <c r="L20" s="99" t="n">
        <v>0</v>
      </c>
      <c r="M20" s="99" t="n">
        <v>0</v>
      </c>
      <c r="N20" s="99" t="n">
        <v>0</v>
      </c>
      <c r="O20" s="42" t="n">
        <v>315541</v>
      </c>
    </row>
    <row r="21" spans="1:15">
      <c r="A21" s="37" t="n">
        <v>15</v>
      </c>
      <c r="B21" s="97" t="s">
        <v>2229</v>
      </c>
      <c r="C21" s="121" t="s">
        <v>111</v>
      </c>
      <c r="D21" s="121" t="s">
        <v>20</v>
      </c>
      <c r="E21" s="121" t="s">
        <v>21</v>
      </c>
      <c r="F21" s="121" t="s">
        <v>2230</v>
      </c>
      <c r="G21" s="121" t="s">
        <v>2231</v>
      </c>
      <c r="H21" s="99" t="n">
        <v>24542</v>
      </c>
      <c r="I21" s="99" t="n">
        <v>24542</v>
      </c>
      <c r="J21" s="99" t="n">
        <v>0</v>
      </c>
      <c r="K21" s="99" t="n">
        <v>0</v>
      </c>
      <c r="L21" s="99" t="n">
        <v>0</v>
      </c>
      <c r="M21" s="99" t="n">
        <v>0</v>
      </c>
      <c r="N21" s="99" t="n">
        <v>0</v>
      </c>
      <c r="O21" s="42" t="n">
        <v>24542</v>
      </c>
    </row>
    <row r="22" spans="1:15">
      <c r="A22" s="37" t="n">
        <v>16</v>
      </c>
      <c r="B22" s="97" t="s">
        <v>2232</v>
      </c>
      <c r="C22" s="121" t="s">
        <v>95</v>
      </c>
      <c r="D22" s="121" t="s">
        <v>137</v>
      </c>
      <c r="E22" s="121" t="s">
        <v>14</v>
      </c>
      <c r="F22" s="98" t="n">
        <v>0</v>
      </c>
      <c r="G22" s="121" t="s">
        <v>2233</v>
      </c>
      <c r="H22" s="99" t="n">
        <v>24542</v>
      </c>
      <c r="I22" s="99" t="n">
        <v>24542</v>
      </c>
      <c r="J22" s="99" t="n">
        <v>0</v>
      </c>
      <c r="K22" s="99" t="n">
        <v>0</v>
      </c>
      <c r="L22" s="99" t="n">
        <v>0</v>
      </c>
      <c r="M22" s="99" t="n">
        <v>0</v>
      </c>
      <c r="N22" s="99" t="n">
        <v>0</v>
      </c>
      <c r="O22" s="42" t="n">
        <v>24542</v>
      </c>
    </row>
    <row r="23" spans="1:15">
      <c r="A23" s="37" t="n">
        <v>17</v>
      </c>
      <c r="B23" s="97" t="s">
        <v>193</v>
      </c>
      <c r="C23" s="121" t="s">
        <v>95</v>
      </c>
      <c r="D23" s="121" t="s">
        <v>128</v>
      </c>
      <c r="E23" s="121" t="s">
        <v>15</v>
      </c>
      <c r="F23" s="98" t="n">
        <v>0</v>
      </c>
      <c r="G23" s="121" t="s">
        <v>194</v>
      </c>
      <c r="H23" s="99" t="n">
        <v>30078</v>
      </c>
      <c r="I23" s="99" t="n">
        <v>30078</v>
      </c>
      <c r="J23" s="99" t="n">
        <v>0</v>
      </c>
      <c r="K23" s="99" t="n">
        <v>0</v>
      </c>
      <c r="L23" s="99" t="n">
        <v>0</v>
      </c>
      <c r="M23" s="99" t="n">
        <v>0</v>
      </c>
      <c r="N23" s="99" t="n">
        <v>0</v>
      </c>
      <c r="O23" s="42" t="n">
        <v>30078</v>
      </c>
    </row>
    <row r="24" spans="1:15">
      <c r="A24" s="37" t="n">
        <v>18</v>
      </c>
      <c r="B24" s="97" t="s">
        <v>386</v>
      </c>
      <c r="C24" s="121" t="s">
        <v>95</v>
      </c>
      <c r="D24" s="121" t="s">
        <v>124</v>
      </c>
      <c r="E24" s="121" t="s">
        <v>15</v>
      </c>
      <c r="F24" s="98" t="n">
        <v>0</v>
      </c>
      <c r="G24" s="121" t="s">
        <v>387</v>
      </c>
      <c r="H24" s="99" t="n">
        <v>26756</v>
      </c>
      <c r="I24" s="99" t="n">
        <v>26756</v>
      </c>
      <c r="J24" s="99" t="n">
        <v>0</v>
      </c>
      <c r="K24" s="99" t="n">
        <v>0</v>
      </c>
      <c r="L24" s="99" t="n">
        <v>0</v>
      </c>
      <c r="M24" s="99" t="n">
        <v>0</v>
      </c>
      <c r="N24" s="99" t="n">
        <v>0</v>
      </c>
      <c r="O24" s="42" t="n">
        <v>26756</v>
      </c>
    </row>
    <row r="25" spans="1:15">
      <c r="A25" s="37" t="n">
        <v>19</v>
      </c>
      <c r="B25" s="97" t="s">
        <v>388</v>
      </c>
      <c r="C25" s="121" t="s">
        <v>95</v>
      </c>
      <c r="D25" s="121" t="s">
        <v>278</v>
      </c>
      <c r="E25" s="121" t="s">
        <v>16</v>
      </c>
      <c r="F25" s="98" t="n">
        <v>0</v>
      </c>
      <c r="G25" s="121" t="s">
        <v>390</v>
      </c>
      <c r="H25" s="99" t="n">
        <v>26756</v>
      </c>
      <c r="I25" s="99" t="n">
        <v>26756</v>
      </c>
      <c r="J25" s="99" t="n">
        <v>0</v>
      </c>
      <c r="K25" s="99" t="n">
        <v>0</v>
      </c>
      <c r="L25" s="99" t="n">
        <v>0</v>
      </c>
      <c r="M25" s="99" t="n">
        <v>0</v>
      </c>
      <c r="N25" s="99" t="n">
        <v>0</v>
      </c>
      <c r="O25" s="42" t="n">
        <v>26756</v>
      </c>
    </row>
    <row r="26" spans="1:15">
      <c r="A26" s="37" t="n">
        <v>20</v>
      </c>
      <c r="B26" s="97" t="s">
        <v>391</v>
      </c>
      <c r="C26" s="121" t="s">
        <v>95</v>
      </c>
      <c r="D26" s="121" t="s">
        <v>128</v>
      </c>
      <c r="E26" s="121" t="s">
        <v>15</v>
      </c>
      <c r="F26" s="98" t="n">
        <v>0</v>
      </c>
      <c r="G26" s="121" t="s">
        <v>392</v>
      </c>
      <c r="H26" s="99" t="n">
        <v>24542</v>
      </c>
      <c r="I26" s="99" t="n">
        <v>24542</v>
      </c>
      <c r="J26" s="99" t="n">
        <v>0</v>
      </c>
      <c r="K26" s="99" t="n">
        <v>0</v>
      </c>
      <c r="L26" s="99" t="n">
        <v>0</v>
      </c>
      <c r="M26" s="99" t="n">
        <v>0</v>
      </c>
      <c r="N26" s="99" t="n">
        <v>0</v>
      </c>
      <c r="O26" s="42" t="n">
        <v>24542</v>
      </c>
    </row>
    <row r="27" spans="1:15">
      <c r="A27" s="37" t="n">
        <v>21</v>
      </c>
      <c r="B27" s="97" t="s">
        <v>393</v>
      </c>
      <c r="C27" s="121" t="s">
        <v>95</v>
      </c>
      <c r="D27" s="121" t="s">
        <v>128</v>
      </c>
      <c r="E27" s="121" t="s">
        <v>15</v>
      </c>
      <c r="F27" s="98" t="n">
        <v>0</v>
      </c>
      <c r="G27" s="121" t="s">
        <v>395</v>
      </c>
      <c r="H27" s="99" t="n">
        <v>24542</v>
      </c>
      <c r="I27" s="99" t="n">
        <v>24542</v>
      </c>
      <c r="J27" s="99" t="n">
        <v>0</v>
      </c>
      <c r="K27" s="99" t="n">
        <v>0</v>
      </c>
      <c r="L27" s="99" t="n">
        <v>0</v>
      </c>
      <c r="M27" s="99" t="n">
        <v>0</v>
      </c>
      <c r="N27" s="99" t="n">
        <v>0</v>
      </c>
      <c r="O27" s="42" t="n">
        <v>24542</v>
      </c>
    </row>
    <row r="28" spans="1:15">
      <c r="A28" s="37" t="n">
        <v>22</v>
      </c>
      <c r="B28" s="97" t="s">
        <v>2234</v>
      </c>
      <c r="C28" s="121" t="s">
        <v>95</v>
      </c>
      <c r="D28" s="121" t="s">
        <v>128</v>
      </c>
      <c r="E28" s="121" t="s">
        <v>15</v>
      </c>
      <c r="F28" s="98" t="n">
        <v>0</v>
      </c>
      <c r="G28" s="121" t="s">
        <v>2235</v>
      </c>
      <c r="H28" s="99" t="n">
        <v>24542</v>
      </c>
      <c r="I28" s="99" t="n">
        <v>24542</v>
      </c>
      <c r="J28" s="99" t="n">
        <v>0</v>
      </c>
      <c r="K28" s="99" t="n">
        <v>0</v>
      </c>
      <c r="L28" s="99" t="n">
        <v>0</v>
      </c>
      <c r="M28" s="99" t="n">
        <v>0</v>
      </c>
      <c r="N28" s="99" t="n">
        <v>0</v>
      </c>
      <c r="O28" s="42" t="n">
        <v>24542</v>
      </c>
    </row>
    <row r="29" spans="1:15">
      <c r="A29" s="37" t="n">
        <v>23</v>
      </c>
      <c r="B29" s="97" t="s">
        <v>396</v>
      </c>
      <c r="C29" s="121" t="s">
        <v>95</v>
      </c>
      <c r="D29" s="121" t="s">
        <v>124</v>
      </c>
      <c r="E29" s="121" t="s">
        <v>15</v>
      </c>
      <c r="F29" s="98" t="n">
        <v>0</v>
      </c>
      <c r="G29" s="121" t="s">
        <v>398</v>
      </c>
      <c r="H29" s="99" t="n">
        <v>24542</v>
      </c>
      <c r="I29" s="99" t="n">
        <v>24542</v>
      </c>
      <c r="J29" s="99" t="n">
        <v>0</v>
      </c>
      <c r="K29" s="99" t="n">
        <v>0</v>
      </c>
      <c r="L29" s="99" t="n">
        <v>0</v>
      </c>
      <c r="M29" s="99" t="n">
        <v>0</v>
      </c>
      <c r="N29" s="99" t="n">
        <v>0</v>
      </c>
      <c r="O29" s="42" t="n">
        <v>24542</v>
      </c>
    </row>
    <row r="30" spans="1:15">
      <c r="A30" s="37" t="n">
        <v>24</v>
      </c>
      <c r="B30" s="97" t="s">
        <v>2236</v>
      </c>
      <c r="C30" s="121" t="s">
        <v>95</v>
      </c>
      <c r="D30" s="121" t="s">
        <v>137</v>
      </c>
      <c r="E30" s="121" t="s">
        <v>14</v>
      </c>
      <c r="F30" s="98" t="n">
        <v>0</v>
      </c>
      <c r="G30" s="121" t="s">
        <v>2237</v>
      </c>
      <c r="H30" s="99" t="n">
        <v>24542</v>
      </c>
      <c r="I30" s="99" t="n">
        <v>24542</v>
      </c>
      <c r="J30" s="99" t="n">
        <v>0</v>
      </c>
      <c r="K30" s="99" t="n">
        <v>0</v>
      </c>
      <c r="L30" s="99" t="n">
        <v>0</v>
      </c>
      <c r="M30" s="99" t="n">
        <v>0</v>
      </c>
      <c r="N30" s="99" t="n">
        <v>0</v>
      </c>
      <c r="O30" s="42" t="n">
        <v>24542</v>
      </c>
    </row>
    <row r="31" spans="1:15">
      <c r="A31" s="37" t="n">
        <v>25</v>
      </c>
      <c r="B31" s="97" t="s">
        <v>399</v>
      </c>
      <c r="C31" s="121" t="s">
        <v>95</v>
      </c>
      <c r="D31" s="121" t="s">
        <v>128</v>
      </c>
      <c r="E31" s="121" t="s">
        <v>15</v>
      </c>
      <c r="F31" s="98" t="n">
        <v>0</v>
      </c>
      <c r="G31" s="121" t="s">
        <v>400</v>
      </c>
      <c r="H31" s="99" t="n">
        <v>24542</v>
      </c>
      <c r="I31" s="99" t="n">
        <v>24542</v>
      </c>
      <c r="J31" s="99" t="n">
        <v>0</v>
      </c>
      <c r="K31" s="99" t="n">
        <v>0</v>
      </c>
      <c r="L31" s="99" t="n">
        <v>0</v>
      </c>
      <c r="M31" s="99" t="n">
        <v>0</v>
      </c>
      <c r="N31" s="99" t="n">
        <v>0</v>
      </c>
      <c r="O31" s="42" t="n">
        <v>24542</v>
      </c>
    </row>
    <row r="32" spans="1:15">
      <c r="A32" s="37" t="n">
        <v>26</v>
      </c>
      <c r="B32" s="97" t="s">
        <v>2238</v>
      </c>
      <c r="C32" s="121" t="s">
        <v>95</v>
      </c>
      <c r="D32" s="121" t="s">
        <v>137</v>
      </c>
      <c r="E32" s="121" t="s">
        <v>14</v>
      </c>
      <c r="F32" s="98" t="n">
        <v>0</v>
      </c>
      <c r="G32" s="121" t="s">
        <v>2239</v>
      </c>
      <c r="H32" s="99" t="n">
        <v>26756</v>
      </c>
      <c r="I32" s="99" t="n">
        <v>26756</v>
      </c>
      <c r="J32" s="99" t="n">
        <v>0</v>
      </c>
      <c r="K32" s="99" t="n">
        <v>0</v>
      </c>
      <c r="L32" s="99" t="n">
        <v>0</v>
      </c>
      <c r="M32" s="99" t="n">
        <v>0</v>
      </c>
      <c r="N32" s="99" t="n">
        <v>0</v>
      </c>
      <c r="O32" s="42" t="n">
        <v>26756</v>
      </c>
    </row>
    <row r="33" spans="1:15">
      <c r="A33" s="37" t="n">
        <v>27</v>
      </c>
      <c r="B33" s="97" t="s">
        <v>401</v>
      </c>
      <c r="C33" s="121" t="s">
        <v>95</v>
      </c>
      <c r="D33" s="121" t="s">
        <v>128</v>
      </c>
      <c r="E33" s="121" t="s">
        <v>15</v>
      </c>
      <c r="F33" s="98" t="n">
        <v>0</v>
      </c>
      <c r="G33" s="121" t="s">
        <v>403</v>
      </c>
      <c r="H33" s="99" t="n">
        <v>26756</v>
      </c>
      <c r="I33" s="99" t="n">
        <v>26756</v>
      </c>
      <c r="J33" s="99" t="n">
        <v>0</v>
      </c>
      <c r="K33" s="99" t="n">
        <v>0</v>
      </c>
      <c r="L33" s="99" t="n">
        <v>0</v>
      </c>
      <c r="M33" s="99" t="n">
        <v>0</v>
      </c>
      <c r="N33" s="99" t="n">
        <v>0</v>
      </c>
      <c r="O33" s="42" t="n">
        <v>26756</v>
      </c>
    </row>
    <row r="34" spans="1:15">
      <c r="A34" s="37" t="n">
        <v>28</v>
      </c>
      <c r="B34" s="97" t="s">
        <v>404</v>
      </c>
      <c r="C34" s="121" t="s">
        <v>95</v>
      </c>
      <c r="D34" s="121" t="s">
        <v>124</v>
      </c>
      <c r="E34" s="121" t="s">
        <v>15</v>
      </c>
      <c r="F34" s="98" t="n">
        <v>0</v>
      </c>
      <c r="G34" s="121" t="s">
        <v>405</v>
      </c>
      <c r="H34" s="99" t="n">
        <v>24542</v>
      </c>
      <c r="I34" s="99" t="n">
        <v>24542</v>
      </c>
      <c r="J34" s="99" t="n">
        <v>0</v>
      </c>
      <c r="K34" s="99" t="n">
        <v>0</v>
      </c>
      <c r="L34" s="99" t="n">
        <v>0</v>
      </c>
      <c r="M34" s="99" t="n">
        <v>0</v>
      </c>
      <c r="N34" s="99" t="n">
        <v>0</v>
      </c>
      <c r="O34" s="42" t="n">
        <v>24542</v>
      </c>
    </row>
    <row r="35" spans="1:15">
      <c r="A35" s="37" t="n">
        <v>29</v>
      </c>
      <c r="B35" s="97" t="s">
        <v>406</v>
      </c>
      <c r="C35" s="121" t="s">
        <v>95</v>
      </c>
      <c r="D35" s="121" t="s">
        <v>137</v>
      </c>
      <c r="E35" s="121" t="s">
        <v>14</v>
      </c>
      <c r="F35" s="98" t="n">
        <v>0</v>
      </c>
      <c r="G35" s="121" t="s">
        <v>407</v>
      </c>
      <c r="H35" s="99" t="n">
        <v>24542</v>
      </c>
      <c r="I35" s="99" t="n">
        <v>24542</v>
      </c>
      <c r="J35" s="99" t="n">
        <v>0</v>
      </c>
      <c r="K35" s="99" t="n">
        <v>0</v>
      </c>
      <c r="L35" s="99" t="n">
        <v>0</v>
      </c>
      <c r="M35" s="99" t="n">
        <v>0</v>
      </c>
      <c r="N35" s="99" t="n">
        <v>0</v>
      </c>
      <c r="O35" s="42" t="n">
        <v>24542</v>
      </c>
    </row>
    <row r="36" spans="1:15">
      <c r="A36" s="37" t="n">
        <v>30</v>
      </c>
      <c r="B36" s="97" t="s">
        <v>2240</v>
      </c>
      <c r="C36" s="121" t="s">
        <v>95</v>
      </c>
      <c r="D36" s="121" t="s">
        <v>124</v>
      </c>
      <c r="E36" s="121" t="s">
        <v>15</v>
      </c>
      <c r="F36" s="98" t="n">
        <v>0</v>
      </c>
      <c r="G36" s="121" t="s">
        <v>2241</v>
      </c>
      <c r="H36" s="99" t="n">
        <v>24542</v>
      </c>
      <c r="I36" s="99" t="n">
        <v>24542</v>
      </c>
      <c r="J36" s="99" t="n">
        <v>0</v>
      </c>
      <c r="K36" s="99" t="n">
        <v>0</v>
      </c>
      <c r="L36" s="99" t="n">
        <v>0</v>
      </c>
      <c r="M36" s="99" t="n">
        <v>0</v>
      </c>
      <c r="N36" s="99" t="n">
        <v>0</v>
      </c>
      <c r="O36" s="42" t="n">
        <v>24542</v>
      </c>
    </row>
    <row r="37" spans="1:15">
      <c r="A37" s="37" t="n">
        <v>31</v>
      </c>
      <c r="B37" s="97" t="s">
        <v>2242</v>
      </c>
      <c r="C37" s="121" t="s">
        <v>95</v>
      </c>
      <c r="D37" s="121" t="s">
        <v>137</v>
      </c>
      <c r="E37" s="121" t="s">
        <v>14</v>
      </c>
      <c r="F37" s="98" t="n">
        <v>0</v>
      </c>
      <c r="G37" s="121" t="s">
        <v>2243</v>
      </c>
      <c r="H37" s="99" t="n">
        <v>24542</v>
      </c>
      <c r="I37" s="99" t="n">
        <v>24542</v>
      </c>
      <c r="J37" s="99" t="n">
        <v>0</v>
      </c>
      <c r="K37" s="99" t="n">
        <v>0</v>
      </c>
      <c r="L37" s="99" t="n">
        <v>0</v>
      </c>
      <c r="M37" s="99" t="n">
        <v>0</v>
      </c>
      <c r="N37" s="99" t="n">
        <v>0</v>
      </c>
      <c r="O37" s="42" t="n">
        <v>24542</v>
      </c>
    </row>
    <row r="38" spans="1:15">
      <c r="A38" s="37" t="n">
        <v>32</v>
      </c>
      <c r="B38" s="97" t="s">
        <v>146</v>
      </c>
      <c r="C38" s="121" t="s">
        <v>58</v>
      </c>
      <c r="D38" s="121" t="s">
        <v>20</v>
      </c>
      <c r="E38" s="121" t="s">
        <v>21</v>
      </c>
      <c r="F38" s="121" t="s">
        <v>147</v>
      </c>
      <c r="G38" s="121" t="s">
        <v>148</v>
      </c>
      <c r="H38" s="99" t="n">
        <v>129722</v>
      </c>
      <c r="I38" s="99" t="n">
        <v>129722</v>
      </c>
      <c r="J38" s="99" t="n">
        <v>6486</v>
      </c>
      <c r="K38" s="99" t="n">
        <v>0</v>
      </c>
      <c r="L38" s="99" t="n">
        <v>0</v>
      </c>
      <c r="M38" s="99" t="n">
        <v>0</v>
      </c>
      <c r="N38" s="99" t="n">
        <v>0</v>
      </c>
      <c r="O38" s="42" t="n">
        <v>123236</v>
      </c>
    </row>
    <row r="39" spans="1:15">
      <c r="A39" s="37" t="n">
        <v>33</v>
      </c>
      <c r="B39" s="97" t="s">
        <v>66</v>
      </c>
      <c r="C39" s="121" t="s">
        <v>58</v>
      </c>
      <c r="D39" s="121" t="s">
        <v>20</v>
      </c>
      <c r="E39" s="121" t="s">
        <v>21</v>
      </c>
      <c r="F39" s="121" t="s">
        <v>67</v>
      </c>
      <c r="G39" s="121" t="s">
        <v>69</v>
      </c>
      <c r="H39" s="99" t="n">
        <v>128984</v>
      </c>
      <c r="I39" s="99" t="n">
        <v>128984</v>
      </c>
      <c r="J39" s="99" t="n">
        <v>6449</v>
      </c>
      <c r="K39" s="99" t="n">
        <v>0</v>
      </c>
      <c r="L39" s="99" t="n">
        <v>0</v>
      </c>
      <c r="M39" s="99" t="n">
        <v>0</v>
      </c>
      <c r="N39" s="99" t="n">
        <v>0</v>
      </c>
      <c r="O39" s="42" t="n">
        <v>122535</v>
      </c>
    </row>
    <row r="40" spans="1:15">
      <c r="A40" s="37" t="n">
        <v>34</v>
      </c>
      <c r="B40" s="97" t="s">
        <v>156</v>
      </c>
      <c r="C40" s="121" t="s">
        <v>58</v>
      </c>
      <c r="D40" s="121" t="s">
        <v>20</v>
      </c>
      <c r="E40" s="121" t="s">
        <v>21</v>
      </c>
      <c r="F40" s="121" t="s">
        <v>157</v>
      </c>
      <c r="G40" s="121" t="s">
        <v>159</v>
      </c>
      <c r="H40" s="99" t="n">
        <v>123633</v>
      </c>
      <c r="I40" s="99" t="n">
        <v>123633</v>
      </c>
      <c r="J40" s="99" t="n">
        <v>6182</v>
      </c>
      <c r="K40" s="99" t="n">
        <v>0</v>
      </c>
      <c r="L40" s="99" t="n">
        <v>0</v>
      </c>
      <c r="M40" s="99" t="n">
        <v>0</v>
      </c>
      <c r="N40" s="99" t="n">
        <v>0</v>
      </c>
      <c r="O40" s="42" t="n">
        <v>117451</v>
      </c>
    </row>
    <row r="41" spans="1:15">
      <c r="A41" s="37" t="n">
        <v>35</v>
      </c>
      <c r="B41" s="97" t="s">
        <v>78</v>
      </c>
      <c r="C41" s="121" t="s">
        <v>58</v>
      </c>
      <c r="D41" s="121" t="s">
        <v>20</v>
      </c>
      <c r="E41" s="121" t="s">
        <v>21</v>
      </c>
      <c r="F41" s="121" t="s">
        <v>79</v>
      </c>
      <c r="G41" s="121" t="s">
        <v>81</v>
      </c>
      <c r="H41" s="99" t="n">
        <v>100567</v>
      </c>
      <c r="I41" s="99" t="n">
        <v>100567</v>
      </c>
      <c r="J41" s="99" t="n">
        <v>5028</v>
      </c>
      <c r="K41" s="99" t="n">
        <v>0</v>
      </c>
      <c r="L41" s="99" t="n">
        <v>0</v>
      </c>
      <c r="M41" s="99" t="n">
        <v>0</v>
      </c>
      <c r="N41" s="99" t="n">
        <v>0</v>
      </c>
      <c r="O41" s="42" t="n">
        <v>95539</v>
      </c>
    </row>
    <row r="42" spans="1:15">
      <c r="A42" s="37" t="n">
        <v>36</v>
      </c>
      <c r="B42" s="97" t="s">
        <v>149</v>
      </c>
      <c r="C42" s="121" t="s">
        <v>58</v>
      </c>
      <c r="D42" s="121" t="s">
        <v>20</v>
      </c>
      <c r="E42" s="121" t="s">
        <v>21</v>
      </c>
      <c r="F42" s="121" t="s">
        <v>150</v>
      </c>
      <c r="G42" s="121" t="s">
        <v>151</v>
      </c>
      <c r="H42" s="99" t="n">
        <v>80085</v>
      </c>
      <c r="I42" s="99" t="n">
        <v>80085</v>
      </c>
      <c r="J42" s="99" t="n">
        <v>4004</v>
      </c>
      <c r="K42" s="99" t="n">
        <v>0</v>
      </c>
      <c r="L42" s="99" t="n">
        <v>0</v>
      </c>
      <c r="M42" s="99" t="n">
        <v>0</v>
      </c>
      <c r="N42" s="99" t="n">
        <v>0</v>
      </c>
      <c r="O42" s="42" t="n">
        <v>76081</v>
      </c>
    </row>
    <row r="43" spans="1:15">
      <c r="A43" s="37" t="n">
        <v>37</v>
      </c>
      <c r="B43" s="97" t="s">
        <v>164</v>
      </c>
      <c r="C43" s="121" t="s">
        <v>58</v>
      </c>
      <c r="D43" s="121" t="s">
        <v>20</v>
      </c>
      <c r="E43" s="121" t="s">
        <v>21</v>
      </c>
      <c r="F43" s="121" t="s">
        <v>165</v>
      </c>
      <c r="G43" s="121" t="s">
        <v>167</v>
      </c>
      <c r="H43" s="99" t="n">
        <v>80638</v>
      </c>
      <c r="I43" s="99" t="n">
        <v>80638</v>
      </c>
      <c r="J43" s="99" t="n">
        <v>4032</v>
      </c>
      <c r="K43" s="99" t="n">
        <v>0</v>
      </c>
      <c r="L43" s="99" t="n">
        <v>0</v>
      </c>
      <c r="M43" s="99" t="n">
        <v>0</v>
      </c>
      <c r="N43" s="99" t="n">
        <v>0</v>
      </c>
      <c r="O43" s="42" t="n">
        <v>76606</v>
      </c>
    </row>
    <row r="44" spans="1:15">
      <c r="A44" s="37" t="n">
        <v>38</v>
      </c>
      <c r="B44" s="97" t="s">
        <v>2244</v>
      </c>
      <c r="C44" s="121" t="s">
        <v>58</v>
      </c>
      <c r="D44" s="121" t="s">
        <v>20</v>
      </c>
      <c r="E44" s="121" t="s">
        <v>21</v>
      </c>
      <c r="F44" s="121" t="s">
        <v>2245</v>
      </c>
      <c r="G44" s="121" t="s">
        <v>2246</v>
      </c>
      <c r="H44" s="99" t="n">
        <v>80638</v>
      </c>
      <c r="I44" s="99" t="n">
        <v>80638</v>
      </c>
      <c r="J44" s="99" t="n">
        <v>4032</v>
      </c>
      <c r="K44" s="99" t="n">
        <v>0</v>
      </c>
      <c r="L44" s="99" t="n">
        <v>0</v>
      </c>
      <c r="M44" s="99" t="n">
        <v>0</v>
      </c>
      <c r="N44" s="99" t="n">
        <v>0</v>
      </c>
      <c r="O44" s="42" t="n">
        <v>76606</v>
      </c>
    </row>
    <row r="45" spans="1:15">
      <c r="A45" s="37" t="n">
        <v>39</v>
      </c>
      <c r="B45" s="97" t="s">
        <v>152</v>
      </c>
      <c r="C45" s="121" t="s">
        <v>58</v>
      </c>
      <c r="D45" s="121" t="s">
        <v>20</v>
      </c>
      <c r="E45" s="121" t="s">
        <v>21</v>
      </c>
      <c r="F45" s="121" t="s">
        <v>153</v>
      </c>
      <c r="G45" s="121" t="s">
        <v>155</v>
      </c>
      <c r="H45" s="99" t="n">
        <v>75102</v>
      </c>
      <c r="I45" s="99" t="n">
        <v>75102</v>
      </c>
      <c r="J45" s="99" t="n">
        <v>3755</v>
      </c>
      <c r="K45" s="99" t="n">
        <v>0</v>
      </c>
      <c r="L45" s="99" t="n">
        <v>0</v>
      </c>
      <c r="M45" s="99" t="n">
        <v>0</v>
      </c>
      <c r="N45" s="99" t="n">
        <v>0</v>
      </c>
      <c r="O45" s="42" t="n">
        <v>71347</v>
      </c>
    </row>
    <row r="46" spans="1:15">
      <c r="A46" s="37" t="n">
        <v>40</v>
      </c>
      <c r="B46" s="97" t="s">
        <v>2247</v>
      </c>
      <c r="C46" s="121" t="s">
        <v>58</v>
      </c>
      <c r="D46" s="121" t="s">
        <v>20</v>
      </c>
      <c r="E46" s="121" t="s">
        <v>21</v>
      </c>
      <c r="F46" s="121" t="s">
        <v>2248</v>
      </c>
      <c r="G46" s="121" t="s">
        <v>2249</v>
      </c>
      <c r="H46" s="99" t="n">
        <v>80638</v>
      </c>
      <c r="I46" s="99" t="n">
        <v>80638</v>
      </c>
      <c r="J46" s="99" t="n">
        <v>4032</v>
      </c>
      <c r="K46" s="99" t="n">
        <v>0</v>
      </c>
      <c r="L46" s="99" t="n">
        <v>0</v>
      </c>
      <c r="M46" s="99" t="n">
        <v>0</v>
      </c>
      <c r="N46" s="99" t="n">
        <v>0</v>
      </c>
      <c r="O46" s="42" t="n">
        <v>76606</v>
      </c>
    </row>
    <row r="47" spans="1:15">
      <c r="A47" s="37" t="n">
        <v>41</v>
      </c>
      <c r="B47" s="97" t="s">
        <v>102</v>
      </c>
      <c r="C47" s="121" t="s">
        <v>58</v>
      </c>
      <c r="D47" s="121" t="s">
        <v>20</v>
      </c>
      <c r="E47" s="121" t="s">
        <v>21</v>
      </c>
      <c r="F47" s="121" t="s">
        <v>103</v>
      </c>
      <c r="G47" s="121" t="s">
        <v>105</v>
      </c>
      <c r="H47" s="99" t="n">
        <v>69567</v>
      </c>
      <c r="I47" s="99" t="n">
        <v>69567</v>
      </c>
      <c r="J47" s="99" t="n">
        <v>3478</v>
      </c>
      <c r="K47" s="99" t="n">
        <v>0</v>
      </c>
      <c r="L47" s="99" t="n">
        <v>0</v>
      </c>
      <c r="M47" s="99" t="n">
        <v>0</v>
      </c>
      <c r="N47" s="99" t="n">
        <v>0</v>
      </c>
      <c r="O47" s="42" t="n">
        <v>66089</v>
      </c>
    </row>
    <row r="48" spans="1:15">
      <c r="A48" s="37" t="n">
        <v>42</v>
      </c>
      <c r="B48" s="97" t="s">
        <v>168</v>
      </c>
      <c r="C48" s="121" t="s">
        <v>58</v>
      </c>
      <c r="D48" s="121" t="s">
        <v>20</v>
      </c>
      <c r="E48" s="121" t="s">
        <v>21</v>
      </c>
      <c r="F48" s="121" t="s">
        <v>169</v>
      </c>
      <c r="G48" s="121" t="s">
        <v>171</v>
      </c>
      <c r="H48" s="99" t="n">
        <v>69567</v>
      </c>
      <c r="I48" s="99" t="n">
        <v>69567</v>
      </c>
      <c r="J48" s="99" t="n">
        <v>3478</v>
      </c>
      <c r="K48" s="99" t="n">
        <v>0</v>
      </c>
      <c r="L48" s="99" t="n">
        <v>0</v>
      </c>
      <c r="M48" s="99" t="n">
        <v>0</v>
      </c>
      <c r="N48" s="99" t="n">
        <v>0</v>
      </c>
      <c r="O48" s="42" t="n">
        <v>66089</v>
      </c>
    </row>
    <row r="49" spans="1:15">
      <c r="A49" s="37" t="n">
        <v>43</v>
      </c>
      <c r="B49" s="97" t="s">
        <v>98</v>
      </c>
      <c r="C49" s="121" t="s">
        <v>58</v>
      </c>
      <c r="D49" s="121" t="s">
        <v>20</v>
      </c>
      <c r="E49" s="121" t="s">
        <v>21</v>
      </c>
      <c r="F49" s="121" t="s">
        <v>99</v>
      </c>
      <c r="G49" s="121" t="s">
        <v>101</v>
      </c>
      <c r="H49" s="99" t="n">
        <v>69567</v>
      </c>
      <c r="I49" s="99" t="n">
        <v>69567</v>
      </c>
      <c r="J49" s="99" t="n">
        <v>3478</v>
      </c>
      <c r="K49" s="99" t="n">
        <v>0</v>
      </c>
      <c r="L49" s="99" t="n">
        <v>0</v>
      </c>
      <c r="M49" s="99" t="n">
        <v>0</v>
      </c>
      <c r="N49" s="99" t="n">
        <v>0</v>
      </c>
      <c r="O49" s="42" t="n">
        <v>66089</v>
      </c>
    </row>
    <row r="50" spans="1:15">
      <c r="A50" s="37" t="n">
        <v>44</v>
      </c>
      <c r="B50" s="97" t="s">
        <v>115</v>
      </c>
      <c r="C50" s="121" t="s">
        <v>111</v>
      </c>
      <c r="D50" s="121" t="s">
        <v>20</v>
      </c>
      <c r="E50" s="121" t="s">
        <v>21</v>
      </c>
      <c r="F50" s="121" t="s">
        <v>116</v>
      </c>
      <c r="G50" s="121" t="s">
        <v>118</v>
      </c>
      <c r="H50" s="99" t="n">
        <v>78978</v>
      </c>
      <c r="I50" s="99" t="n">
        <v>78978</v>
      </c>
      <c r="J50" s="99" t="n">
        <v>0</v>
      </c>
      <c r="K50" s="99" t="n">
        <v>0</v>
      </c>
      <c r="L50" s="99" t="n">
        <v>0</v>
      </c>
      <c r="M50" s="99" t="n">
        <v>0</v>
      </c>
      <c r="N50" s="99" t="n">
        <v>0</v>
      </c>
      <c r="O50" s="42" t="n">
        <v>78978</v>
      </c>
    </row>
    <row r="51" spans="1:15">
      <c r="A51" s="37" t="n">
        <v>45</v>
      </c>
      <c r="B51" s="97" t="s">
        <v>2250</v>
      </c>
      <c r="C51" s="121" t="s">
        <v>111</v>
      </c>
      <c r="D51" s="121" t="s">
        <v>20</v>
      </c>
      <c r="E51" s="121" t="s">
        <v>21</v>
      </c>
      <c r="F51" s="121" t="s">
        <v>2251</v>
      </c>
      <c r="G51" s="121" t="s">
        <v>2252</v>
      </c>
      <c r="H51" s="99" t="n">
        <v>67906</v>
      </c>
      <c r="I51" s="99" t="n">
        <v>67906</v>
      </c>
      <c r="J51" s="99" t="n">
        <v>0</v>
      </c>
      <c r="K51" s="99" t="n">
        <v>0</v>
      </c>
      <c r="L51" s="99" t="n">
        <v>0</v>
      </c>
      <c r="M51" s="99" t="n">
        <v>0</v>
      </c>
      <c r="N51" s="99" t="n">
        <v>0</v>
      </c>
      <c r="O51" s="42" t="n">
        <v>67906</v>
      </c>
    </row>
    <row r="52" spans="1:15">
      <c r="A52" s="37" t="n">
        <v>46</v>
      </c>
      <c r="B52" s="97" t="s">
        <v>172</v>
      </c>
      <c r="C52" s="121" t="s">
        <v>111</v>
      </c>
      <c r="D52" s="121" t="s">
        <v>20</v>
      </c>
      <c r="E52" s="121" t="s">
        <v>21</v>
      </c>
      <c r="F52" s="121" t="s">
        <v>173</v>
      </c>
      <c r="G52" s="121" t="s">
        <v>175</v>
      </c>
      <c r="H52" s="99" t="n">
        <v>67906</v>
      </c>
      <c r="I52" s="99" t="n">
        <v>67906</v>
      </c>
      <c r="J52" s="99" t="n">
        <v>0</v>
      </c>
      <c r="K52" s="99" t="n">
        <v>0</v>
      </c>
      <c r="L52" s="99" t="n">
        <v>0</v>
      </c>
      <c r="M52" s="99" t="n">
        <v>0</v>
      </c>
      <c r="N52" s="99" t="n">
        <v>0</v>
      </c>
      <c r="O52" s="42" t="n">
        <v>67906</v>
      </c>
    </row>
    <row r="53" spans="1:15">
      <c r="A53" s="37" t="n">
        <v>47</v>
      </c>
      <c r="B53" s="97" t="s">
        <v>110</v>
      </c>
      <c r="C53" s="121" t="s">
        <v>111</v>
      </c>
      <c r="D53" s="121" t="s">
        <v>20</v>
      </c>
      <c r="E53" s="121" t="s">
        <v>21</v>
      </c>
      <c r="F53" s="121" t="s">
        <v>112</v>
      </c>
      <c r="G53" s="121" t="s">
        <v>114</v>
      </c>
      <c r="H53" s="99" t="n">
        <v>67906</v>
      </c>
      <c r="I53" s="99" t="n">
        <v>67906</v>
      </c>
      <c r="J53" s="99" t="n">
        <v>0</v>
      </c>
      <c r="K53" s="99" t="n">
        <v>0</v>
      </c>
      <c r="L53" s="99" t="n">
        <v>0</v>
      </c>
      <c r="M53" s="99" t="n">
        <v>0</v>
      </c>
      <c r="N53" s="99" t="n">
        <v>0</v>
      </c>
      <c r="O53" s="42" t="n">
        <v>67906</v>
      </c>
    </row>
    <row r="54" spans="1:15">
      <c r="A54" s="37" t="n">
        <v>48</v>
      </c>
      <c r="B54" s="97" t="s">
        <v>183</v>
      </c>
      <c r="C54" s="121" t="s">
        <v>120</v>
      </c>
      <c r="D54" s="121" t="s">
        <v>128</v>
      </c>
      <c r="E54" s="121" t="s">
        <v>15</v>
      </c>
      <c r="F54" s="98" t="n">
        <v>0</v>
      </c>
      <c r="G54" s="121" t="s">
        <v>185</v>
      </c>
      <c r="H54" s="99" t="n">
        <v>75102</v>
      </c>
      <c r="I54" s="99" t="n">
        <v>75102</v>
      </c>
      <c r="J54" s="99" t="n">
        <v>0</v>
      </c>
      <c r="K54" s="99" t="n">
        <v>0</v>
      </c>
      <c r="L54" s="99" t="n">
        <v>0</v>
      </c>
      <c r="M54" s="99" t="n">
        <v>0</v>
      </c>
      <c r="N54" s="99" t="n">
        <v>0</v>
      </c>
      <c r="O54" s="42" t="n">
        <v>75102</v>
      </c>
    </row>
    <row r="55" spans="1:15">
      <c r="A55" s="37" t="n">
        <v>49</v>
      </c>
      <c r="B55" s="97" t="s">
        <v>180</v>
      </c>
      <c r="C55" s="121" t="s">
        <v>120</v>
      </c>
      <c r="D55" s="121" t="s">
        <v>137</v>
      </c>
      <c r="E55" s="121" t="s">
        <v>14</v>
      </c>
      <c r="F55" s="98" t="n">
        <v>0</v>
      </c>
      <c r="G55" s="121" t="s">
        <v>182</v>
      </c>
      <c r="H55" s="99" t="n">
        <v>74549</v>
      </c>
      <c r="I55" s="99" t="n">
        <v>74549</v>
      </c>
      <c r="J55" s="99" t="n">
        <v>0</v>
      </c>
      <c r="K55" s="99" t="n">
        <v>0</v>
      </c>
      <c r="L55" s="99" t="n">
        <v>0</v>
      </c>
      <c r="M55" s="99" t="n">
        <v>0</v>
      </c>
      <c r="N55" s="99" t="n">
        <v>0</v>
      </c>
      <c r="O55" s="42" t="n">
        <v>74549</v>
      </c>
    </row>
    <row r="56" spans="1:15">
      <c r="A56" s="37" t="n">
        <v>50</v>
      </c>
      <c r="B56" s="97" t="s">
        <v>2253</v>
      </c>
      <c r="C56" s="121" t="s">
        <v>120</v>
      </c>
      <c r="D56" s="121" t="s">
        <v>137</v>
      </c>
      <c r="E56" s="121" t="s">
        <v>14</v>
      </c>
      <c r="F56" s="98" t="n">
        <v>0</v>
      </c>
      <c r="G56" s="121" t="s">
        <v>2254</v>
      </c>
      <c r="H56" s="99" t="n">
        <v>75102</v>
      </c>
      <c r="I56" s="99" t="n">
        <v>75102</v>
      </c>
      <c r="J56" s="99" t="n">
        <v>0</v>
      </c>
      <c r="K56" s="99" t="n">
        <v>0</v>
      </c>
      <c r="L56" s="99" t="n">
        <v>0</v>
      </c>
      <c r="M56" s="99" t="n">
        <v>0</v>
      </c>
      <c r="N56" s="99" t="n">
        <v>0</v>
      </c>
      <c r="O56" s="42" t="n">
        <v>75102</v>
      </c>
    </row>
    <row r="57" spans="1:15">
      <c r="A57" s="37" t="n">
        <v>51</v>
      </c>
      <c r="B57" s="97" t="s">
        <v>2255</v>
      </c>
      <c r="C57" s="121" t="s">
        <v>120</v>
      </c>
      <c r="D57" s="121" t="s">
        <v>137</v>
      </c>
      <c r="E57" s="121" t="s">
        <v>14</v>
      </c>
      <c r="F57" s="98" t="n">
        <v>0</v>
      </c>
      <c r="G57" s="121" t="s">
        <v>2256</v>
      </c>
      <c r="H57" s="99" t="n">
        <v>80085</v>
      </c>
      <c r="I57" s="99" t="n">
        <v>80085</v>
      </c>
      <c r="J57" s="99" t="n">
        <v>0</v>
      </c>
      <c r="K57" s="99" t="n">
        <v>0</v>
      </c>
      <c r="L57" s="99" t="n">
        <v>0</v>
      </c>
      <c r="M57" s="99" t="n">
        <v>0</v>
      </c>
      <c r="N57" s="99" t="n">
        <v>0</v>
      </c>
      <c r="O57" s="42" t="n">
        <v>80085</v>
      </c>
    </row>
    <row r="58" spans="1:15">
      <c r="A58" s="37" t="n">
        <v>52</v>
      </c>
      <c r="B58" s="97" t="s">
        <v>2257</v>
      </c>
      <c r="C58" s="121" t="s">
        <v>120</v>
      </c>
      <c r="D58" s="121" t="s">
        <v>128</v>
      </c>
      <c r="E58" s="121" t="s">
        <v>15</v>
      </c>
      <c r="F58" s="98" t="n">
        <v>0</v>
      </c>
      <c r="G58" s="121" t="s">
        <v>2258</v>
      </c>
      <c r="H58" s="99" t="n">
        <v>69567</v>
      </c>
      <c r="I58" s="99" t="n">
        <v>69567</v>
      </c>
      <c r="J58" s="99" t="n">
        <v>0</v>
      </c>
      <c r="K58" s="99" t="n">
        <v>0</v>
      </c>
      <c r="L58" s="99" t="n">
        <v>0</v>
      </c>
      <c r="M58" s="99" t="n">
        <v>0</v>
      </c>
      <c r="N58" s="99" t="n">
        <v>0</v>
      </c>
      <c r="O58" s="42" t="n">
        <v>69567</v>
      </c>
    </row>
    <row r="59" spans="1:15">
      <c r="A59" s="37" t="n">
        <v>53</v>
      </c>
      <c r="B59" s="97" t="s">
        <v>1075</v>
      </c>
      <c r="C59" s="121" t="s">
        <v>120</v>
      </c>
      <c r="D59" s="121" t="s">
        <v>128</v>
      </c>
      <c r="E59" s="121" t="s">
        <v>15</v>
      </c>
      <c r="F59" s="98" t="n">
        <v>0</v>
      </c>
      <c r="G59" s="121" t="s">
        <v>1076</v>
      </c>
      <c r="H59" s="99" t="n">
        <v>67352</v>
      </c>
      <c r="I59" s="99" t="n">
        <v>67352</v>
      </c>
      <c r="J59" s="99" t="n">
        <v>0</v>
      </c>
      <c r="K59" s="99" t="n">
        <v>0</v>
      </c>
      <c r="L59" s="99" t="n">
        <v>0</v>
      </c>
      <c r="M59" s="99" t="n">
        <v>0</v>
      </c>
      <c r="N59" s="99" t="n">
        <v>0</v>
      </c>
      <c r="O59" s="42" t="n">
        <v>67352</v>
      </c>
    </row>
    <row r="60" spans="1:15">
      <c r="A60" s="37" t="n">
        <v>54</v>
      </c>
      <c r="B60" s="97" t="s">
        <v>321</v>
      </c>
      <c r="C60" s="121" t="s">
        <v>120</v>
      </c>
      <c r="D60" s="121" t="s">
        <v>124</v>
      </c>
      <c r="E60" s="121" t="s">
        <v>15</v>
      </c>
      <c r="F60" s="98" t="n">
        <v>0</v>
      </c>
      <c r="G60" s="121" t="s">
        <v>322</v>
      </c>
      <c r="H60" s="99" t="n">
        <v>67906</v>
      </c>
      <c r="I60" s="99" t="n">
        <v>67906</v>
      </c>
      <c r="J60" s="99" t="n">
        <v>0</v>
      </c>
      <c r="K60" s="99" t="n">
        <v>0</v>
      </c>
      <c r="L60" s="99" t="n">
        <v>0</v>
      </c>
      <c r="M60" s="99" t="n">
        <v>0</v>
      </c>
      <c r="N60" s="99" t="n">
        <v>0</v>
      </c>
      <c r="O60" s="42" t="n">
        <v>67906</v>
      </c>
    </row>
    <row r="61" spans="1:15">
      <c r="A61" s="37" t="n">
        <v>55</v>
      </c>
      <c r="B61" s="97" t="s">
        <v>123</v>
      </c>
      <c r="C61" s="121" t="s">
        <v>120</v>
      </c>
      <c r="D61" s="121" t="s">
        <v>124</v>
      </c>
      <c r="E61" s="121" t="s">
        <v>15</v>
      </c>
      <c r="F61" s="98" t="n">
        <v>0</v>
      </c>
      <c r="G61" s="121" t="s">
        <v>126</v>
      </c>
      <c r="H61" s="99" t="n">
        <v>67906</v>
      </c>
      <c r="I61" s="99" t="n">
        <v>67906</v>
      </c>
      <c r="J61" s="99" t="n">
        <v>0</v>
      </c>
      <c r="K61" s="99" t="n">
        <v>0</v>
      </c>
      <c r="L61" s="99" t="n">
        <v>0</v>
      </c>
      <c r="M61" s="99" t="n">
        <v>0</v>
      </c>
      <c r="N61" s="99" t="n">
        <v>0</v>
      </c>
      <c r="O61" s="42" t="n">
        <v>67906</v>
      </c>
    </row>
    <row r="62" spans="1:15">
      <c r="A62" s="37" t="n">
        <v>56</v>
      </c>
      <c r="B62" s="97" t="s">
        <v>127</v>
      </c>
      <c r="C62" s="121" t="s">
        <v>120</v>
      </c>
      <c r="D62" s="121" t="s">
        <v>128</v>
      </c>
      <c r="E62" s="121" t="s">
        <v>15</v>
      </c>
      <c r="F62" s="98" t="n">
        <v>0</v>
      </c>
      <c r="G62" s="121" t="s">
        <v>129</v>
      </c>
      <c r="H62" s="99" t="n">
        <v>67906</v>
      </c>
      <c r="I62" s="99" t="n">
        <v>67906</v>
      </c>
      <c r="J62" s="99" t="n">
        <v>0</v>
      </c>
      <c r="K62" s="99" t="n">
        <v>0</v>
      </c>
      <c r="L62" s="99" t="n">
        <v>0</v>
      </c>
      <c r="M62" s="99" t="n">
        <v>0</v>
      </c>
      <c r="N62" s="99" t="n">
        <v>0</v>
      </c>
      <c r="O62" s="42" t="n">
        <v>67906</v>
      </c>
    </row>
    <row r="63" spans="1:15">
      <c r="A63" s="37" t="n">
        <v>57</v>
      </c>
      <c r="B63" s="97" t="s">
        <v>2259</v>
      </c>
      <c r="C63" s="121" t="s">
        <v>120</v>
      </c>
      <c r="D63" s="121" t="s">
        <v>128</v>
      </c>
      <c r="E63" s="121" t="s">
        <v>15</v>
      </c>
      <c r="F63" s="98" t="n">
        <v>0</v>
      </c>
      <c r="G63" s="121" t="s">
        <v>2260</v>
      </c>
      <c r="H63" s="99" t="n">
        <v>67906</v>
      </c>
      <c r="I63" s="99" t="n">
        <v>67906</v>
      </c>
      <c r="J63" s="99" t="n">
        <v>0</v>
      </c>
      <c r="K63" s="99" t="n">
        <v>0</v>
      </c>
      <c r="L63" s="99" t="n">
        <v>0</v>
      </c>
      <c r="M63" s="99" t="n">
        <v>0</v>
      </c>
      <c r="N63" s="99" t="n">
        <v>0</v>
      </c>
      <c r="O63" s="42" t="n">
        <v>67906</v>
      </c>
    </row>
    <row r="64" spans="1:15">
      <c r="A64" s="37" t="n">
        <v>58</v>
      </c>
      <c r="B64" s="97" t="s">
        <v>189</v>
      </c>
      <c r="C64" s="121" t="s">
        <v>120</v>
      </c>
      <c r="D64" s="121" t="s">
        <v>128</v>
      </c>
      <c r="E64" s="121" t="s">
        <v>15</v>
      </c>
      <c r="F64" s="98" t="n">
        <v>0</v>
      </c>
      <c r="G64" s="121" t="s">
        <v>190</v>
      </c>
      <c r="H64" s="99" t="n">
        <v>67906</v>
      </c>
      <c r="I64" s="99" t="n">
        <v>67906</v>
      </c>
      <c r="J64" s="99" t="n">
        <v>0</v>
      </c>
      <c r="K64" s="99" t="n">
        <v>0</v>
      </c>
      <c r="L64" s="99" t="n">
        <v>0</v>
      </c>
      <c r="M64" s="99" t="n">
        <v>0</v>
      </c>
      <c r="N64" s="99" t="n">
        <v>0</v>
      </c>
      <c r="O64" s="42" t="n">
        <v>67906</v>
      </c>
    </row>
    <row r="65" spans="1:15">
      <c r="A65" s="37" t="n">
        <v>59</v>
      </c>
      <c r="B65" s="97" t="s">
        <v>191</v>
      </c>
      <c r="C65" s="121" t="s">
        <v>120</v>
      </c>
      <c r="D65" s="121" t="s">
        <v>128</v>
      </c>
      <c r="E65" s="121" t="s">
        <v>15</v>
      </c>
      <c r="F65" s="98" t="n">
        <v>0</v>
      </c>
      <c r="G65" s="121" t="s">
        <v>192</v>
      </c>
      <c r="H65" s="99" t="n">
        <v>67906</v>
      </c>
      <c r="I65" s="99" t="n">
        <v>67906</v>
      </c>
      <c r="J65" s="99" t="n">
        <v>0</v>
      </c>
      <c r="K65" s="99" t="n">
        <v>0</v>
      </c>
      <c r="L65" s="99" t="n">
        <v>0</v>
      </c>
      <c r="M65" s="99" t="n">
        <v>0</v>
      </c>
      <c r="N65" s="99" t="n">
        <v>0</v>
      </c>
      <c r="O65" s="42" t="n">
        <v>67906</v>
      </c>
    </row>
    <row r="66" spans="1:15">
      <c r="A66" s="37" t="n">
        <v>60</v>
      </c>
      <c r="B66" s="97" t="s">
        <v>2261</v>
      </c>
      <c r="C66" s="121" t="s">
        <v>95</v>
      </c>
      <c r="D66" s="121" t="s">
        <v>124</v>
      </c>
      <c r="E66" s="121" t="s">
        <v>15</v>
      </c>
      <c r="F66" s="98" t="n">
        <v>0</v>
      </c>
      <c r="G66" s="121" t="s">
        <v>2262</v>
      </c>
      <c r="H66" s="99" t="n">
        <v>64584</v>
      </c>
      <c r="I66" s="99" t="n">
        <v>64584</v>
      </c>
      <c r="J66" s="99" t="n">
        <v>0</v>
      </c>
      <c r="K66" s="99" t="n">
        <v>0</v>
      </c>
      <c r="L66" s="99" t="n">
        <v>0</v>
      </c>
      <c r="M66" s="99" t="n">
        <v>0</v>
      </c>
      <c r="N66" s="99" t="n">
        <v>0</v>
      </c>
      <c r="O66" s="42" t="n">
        <v>64584</v>
      </c>
    </row>
    <row r="67" spans="1:15">
      <c r="A67" s="37" t="n">
        <v>61</v>
      </c>
      <c r="B67" s="97" t="s">
        <v>2263</v>
      </c>
      <c r="C67" s="121" t="s">
        <v>95</v>
      </c>
      <c r="D67" s="121" t="s">
        <v>278</v>
      </c>
      <c r="E67" s="121" t="s">
        <v>16</v>
      </c>
      <c r="F67" s="98" t="n">
        <v>0</v>
      </c>
      <c r="G67" s="121" t="s">
        <v>2264</v>
      </c>
      <c r="H67" s="99" t="n">
        <v>129722</v>
      </c>
      <c r="I67" s="99" t="n">
        <v>129722</v>
      </c>
      <c r="J67" s="99" t="n">
        <v>0</v>
      </c>
      <c r="K67" s="99" t="n">
        <v>0</v>
      </c>
      <c r="L67" s="99" t="n">
        <v>0</v>
      </c>
      <c r="M67" s="99" t="n">
        <v>0</v>
      </c>
      <c r="N67" s="99" t="n">
        <v>0</v>
      </c>
      <c r="O67" s="42" t="n">
        <v>129722</v>
      </c>
    </row>
    <row r="68" spans="1:15">
      <c r="A68" s="37" t="n">
        <v>62</v>
      </c>
      <c r="B68" s="97" t="s">
        <v>197</v>
      </c>
      <c r="C68" s="121" t="s">
        <v>95</v>
      </c>
      <c r="D68" s="121" t="s">
        <v>137</v>
      </c>
      <c r="E68" s="121" t="s">
        <v>14</v>
      </c>
      <c r="F68" s="98" t="n">
        <v>0</v>
      </c>
      <c r="G68" s="121" t="s">
        <v>199</v>
      </c>
      <c r="H68" s="99" t="n">
        <v>64400</v>
      </c>
      <c r="I68" s="99" t="n">
        <v>64400</v>
      </c>
      <c r="J68" s="99" t="n">
        <v>0</v>
      </c>
      <c r="K68" s="99" t="n">
        <v>0</v>
      </c>
      <c r="L68" s="99" t="n">
        <v>0</v>
      </c>
      <c r="M68" s="99" t="n">
        <v>0</v>
      </c>
      <c r="N68" s="99" t="n">
        <v>0</v>
      </c>
      <c r="O68" s="42" t="n">
        <v>64400</v>
      </c>
    </row>
    <row r="69" spans="1:15">
      <c r="A69" s="37" t="n">
        <v>63</v>
      </c>
      <c r="B69" s="97" t="s">
        <v>200</v>
      </c>
      <c r="C69" s="121" t="s">
        <v>58</v>
      </c>
      <c r="D69" s="121" t="s">
        <v>20</v>
      </c>
      <c r="E69" s="121" t="s">
        <v>21</v>
      </c>
      <c r="F69" s="121" t="s">
        <v>201</v>
      </c>
      <c r="G69" s="121" t="s">
        <v>203</v>
      </c>
      <c r="H69" s="99" t="n">
        <v>77132</v>
      </c>
      <c r="I69" s="99" t="n">
        <v>77132</v>
      </c>
      <c r="J69" s="99" t="n">
        <v>3857</v>
      </c>
      <c r="K69" s="99" t="n">
        <v>0</v>
      </c>
      <c r="L69" s="99" t="n">
        <v>0</v>
      </c>
      <c r="M69" s="99" t="n">
        <v>0</v>
      </c>
      <c r="N69" s="99" t="n">
        <v>0</v>
      </c>
      <c r="O69" s="42" t="n">
        <v>73275</v>
      </c>
    </row>
    <row r="70" spans="1:15">
      <c r="A70" s="37" t="n">
        <v>64</v>
      </c>
      <c r="B70" s="97" t="s">
        <v>204</v>
      </c>
      <c r="C70" s="121" t="s">
        <v>58</v>
      </c>
      <c r="D70" s="121" t="s">
        <v>20</v>
      </c>
      <c r="E70" s="121" t="s">
        <v>21</v>
      </c>
      <c r="F70" s="121" t="s">
        <v>205</v>
      </c>
      <c r="G70" s="121" t="s">
        <v>207</v>
      </c>
      <c r="H70" s="99" t="n">
        <v>76579</v>
      </c>
      <c r="I70" s="99" t="n">
        <v>76579</v>
      </c>
      <c r="J70" s="99" t="n">
        <v>3829</v>
      </c>
      <c r="K70" s="99" t="n">
        <v>0</v>
      </c>
      <c r="L70" s="99" t="n">
        <v>0</v>
      </c>
      <c r="M70" s="99" t="n">
        <v>0</v>
      </c>
      <c r="N70" s="99" t="n">
        <v>0</v>
      </c>
      <c r="O70" s="42" t="n">
        <v>72750</v>
      </c>
    </row>
    <row r="71" spans="1:15">
      <c r="A71" s="37" t="n">
        <v>65</v>
      </c>
      <c r="B71" s="97" t="s">
        <v>2265</v>
      </c>
      <c r="C71" s="121" t="s">
        <v>95</v>
      </c>
      <c r="D71" s="121" t="s">
        <v>20</v>
      </c>
      <c r="E71" s="121" t="s">
        <v>21</v>
      </c>
      <c r="F71" s="98" t="n">
        <v>0</v>
      </c>
      <c r="G71" s="121" t="s">
        <v>2266</v>
      </c>
      <c r="H71" s="99" t="n">
        <v>52775</v>
      </c>
      <c r="I71" s="99" t="n">
        <v>52775</v>
      </c>
      <c r="J71" s="99" t="n">
        <v>0</v>
      </c>
      <c r="K71" s="99" t="n">
        <v>0</v>
      </c>
      <c r="L71" s="99" t="n">
        <v>0</v>
      </c>
      <c r="M71" s="99" t="n">
        <v>0</v>
      </c>
      <c r="N71" s="99" t="n">
        <v>0</v>
      </c>
      <c r="O71" s="42" t="n">
        <v>52775</v>
      </c>
    </row>
    <row r="72" spans="1:15">
      <c r="A72" s="37" t="n">
        <v>66</v>
      </c>
      <c r="B72" s="97" t="s">
        <v>2267</v>
      </c>
      <c r="C72" s="121" t="s">
        <v>95</v>
      </c>
      <c r="D72" s="121" t="s">
        <v>20</v>
      </c>
      <c r="E72" s="121" t="s">
        <v>21</v>
      </c>
      <c r="F72" s="98" t="n">
        <v>0</v>
      </c>
      <c r="G72" s="121" t="s">
        <v>2268</v>
      </c>
      <c r="H72" s="99" t="n">
        <v>52775</v>
      </c>
      <c r="I72" s="99" t="n">
        <v>52775</v>
      </c>
      <c r="J72" s="99" t="n">
        <v>0</v>
      </c>
      <c r="K72" s="99" t="n">
        <v>0</v>
      </c>
      <c r="L72" s="99" t="n">
        <v>0</v>
      </c>
      <c r="M72" s="99" t="n">
        <v>0</v>
      </c>
      <c r="N72" s="99" t="n">
        <v>0</v>
      </c>
      <c r="O72" s="42" t="n">
        <v>52775</v>
      </c>
    </row>
    <row r="73" spans="1:15">
      <c r="A73" s="37" t="n">
        <v>67</v>
      </c>
      <c r="B73" s="97" t="s">
        <v>70</v>
      </c>
      <c r="C73" s="121" t="s">
        <v>58</v>
      </c>
      <c r="D73" s="121" t="s">
        <v>20</v>
      </c>
      <c r="E73" s="121" t="s">
        <v>21</v>
      </c>
      <c r="F73" s="121" t="s">
        <v>71</v>
      </c>
      <c r="G73" s="121" t="s">
        <v>73</v>
      </c>
      <c r="H73" s="99" t="n">
        <v>74733</v>
      </c>
      <c r="I73" s="99" t="n">
        <v>74733</v>
      </c>
      <c r="J73" s="99" t="n">
        <v>3737</v>
      </c>
      <c r="K73" s="99" t="n">
        <v>0</v>
      </c>
      <c r="L73" s="99" t="n">
        <v>0</v>
      </c>
      <c r="M73" s="99" t="n">
        <v>0</v>
      </c>
      <c r="N73" s="99" t="n">
        <v>0</v>
      </c>
      <c r="O73" s="42" t="n">
        <v>70996</v>
      </c>
    </row>
    <row r="74" spans="1:15">
      <c r="A74" s="37" t="n">
        <v>68</v>
      </c>
      <c r="B74" s="97" t="s">
        <v>232</v>
      </c>
      <c r="C74" s="121" t="s">
        <v>58</v>
      </c>
      <c r="D74" s="121" t="s">
        <v>20</v>
      </c>
      <c r="E74" s="121" t="s">
        <v>21</v>
      </c>
      <c r="F74" s="121" t="s">
        <v>233</v>
      </c>
      <c r="G74" s="121" t="s">
        <v>235</v>
      </c>
      <c r="H74" s="99" t="n">
        <v>48346</v>
      </c>
      <c r="I74" s="99" t="n">
        <v>48346</v>
      </c>
      <c r="J74" s="99" t="n">
        <v>2417</v>
      </c>
      <c r="K74" s="99" t="n">
        <v>0</v>
      </c>
      <c r="L74" s="99" t="n">
        <v>0</v>
      </c>
      <c r="M74" s="99" t="n">
        <v>0</v>
      </c>
      <c r="N74" s="99" t="n">
        <v>0</v>
      </c>
      <c r="O74" s="42" t="n">
        <v>45929</v>
      </c>
    </row>
    <row r="75" spans="1:15">
      <c r="A75" s="37" t="n">
        <v>69</v>
      </c>
      <c r="B75" s="97" t="s">
        <v>252</v>
      </c>
      <c r="C75" s="121" t="s">
        <v>120</v>
      </c>
      <c r="D75" s="121" t="s">
        <v>137</v>
      </c>
      <c r="E75" s="121" t="s">
        <v>14</v>
      </c>
      <c r="F75" s="98" t="n">
        <v>0</v>
      </c>
      <c r="G75" s="121" t="s">
        <v>253</v>
      </c>
      <c r="H75" s="99" t="n">
        <v>54804</v>
      </c>
      <c r="I75" s="99" t="n">
        <v>54804</v>
      </c>
      <c r="J75" s="99" t="n">
        <v>0</v>
      </c>
      <c r="K75" s="99" t="n">
        <v>0</v>
      </c>
      <c r="L75" s="99" t="n">
        <v>0</v>
      </c>
      <c r="M75" s="99" t="n">
        <v>0</v>
      </c>
      <c r="N75" s="99" t="n">
        <v>0</v>
      </c>
      <c r="O75" s="42" t="n">
        <v>54804</v>
      </c>
    </row>
    <row r="76" spans="1:15">
      <c r="A76" s="37" t="n">
        <v>70</v>
      </c>
      <c r="B76" s="97" t="s">
        <v>250</v>
      </c>
      <c r="C76" s="121" t="s">
        <v>120</v>
      </c>
      <c r="D76" s="121" t="s">
        <v>128</v>
      </c>
      <c r="E76" s="121" t="s">
        <v>15</v>
      </c>
      <c r="F76" s="98" t="n">
        <v>0</v>
      </c>
      <c r="G76" s="121" t="s">
        <v>251</v>
      </c>
      <c r="H76" s="99" t="n">
        <v>54251</v>
      </c>
      <c r="I76" s="99" t="n">
        <v>54251</v>
      </c>
      <c r="J76" s="99" t="n">
        <v>0</v>
      </c>
      <c r="K76" s="99" t="n">
        <v>0</v>
      </c>
      <c r="L76" s="99" t="n">
        <v>0</v>
      </c>
      <c r="M76" s="99" t="n">
        <v>0</v>
      </c>
      <c r="N76" s="99" t="n">
        <v>0</v>
      </c>
      <c r="O76" s="42" t="n">
        <v>54251</v>
      </c>
    </row>
    <row r="77" spans="1:15">
      <c r="A77" s="37" t="n">
        <v>71</v>
      </c>
      <c r="B77" s="97" t="s">
        <v>254</v>
      </c>
      <c r="C77" s="121" t="s">
        <v>120</v>
      </c>
      <c r="D77" s="121" t="s">
        <v>128</v>
      </c>
      <c r="E77" s="121" t="s">
        <v>15</v>
      </c>
      <c r="F77" s="98" t="n">
        <v>0</v>
      </c>
      <c r="G77" s="121" t="s">
        <v>255</v>
      </c>
      <c r="H77" s="99" t="n">
        <v>54804</v>
      </c>
      <c r="I77" s="99" t="n">
        <v>54804</v>
      </c>
      <c r="J77" s="99" t="n">
        <v>0</v>
      </c>
      <c r="K77" s="99" t="n">
        <v>0</v>
      </c>
      <c r="L77" s="99" t="n">
        <v>0</v>
      </c>
      <c r="M77" s="99" t="n">
        <v>0</v>
      </c>
      <c r="N77" s="99" t="n">
        <v>0</v>
      </c>
      <c r="O77" s="42" t="n">
        <v>54804</v>
      </c>
    </row>
    <row r="78" spans="1:15">
      <c r="A78" s="37" t="n">
        <v>72</v>
      </c>
      <c r="B78" s="97" t="s">
        <v>256</v>
      </c>
      <c r="C78" s="121" t="s">
        <v>120</v>
      </c>
      <c r="D78" s="121" t="s">
        <v>128</v>
      </c>
      <c r="E78" s="121" t="s">
        <v>15</v>
      </c>
      <c r="F78" s="98" t="n">
        <v>0</v>
      </c>
      <c r="G78" s="121" t="s">
        <v>258</v>
      </c>
      <c r="H78" s="99" t="n">
        <v>54066</v>
      </c>
      <c r="I78" s="99" t="n">
        <v>54066</v>
      </c>
      <c r="J78" s="99" t="n">
        <v>0</v>
      </c>
      <c r="K78" s="99" t="n">
        <v>0</v>
      </c>
      <c r="L78" s="99" t="n">
        <v>0</v>
      </c>
      <c r="M78" s="99" t="n">
        <v>0</v>
      </c>
      <c r="N78" s="99" t="n">
        <v>0</v>
      </c>
      <c r="O78" s="42" t="n">
        <v>54066</v>
      </c>
    </row>
    <row r="79" spans="1:15">
      <c r="A79" s="37" t="n">
        <v>73</v>
      </c>
      <c r="B79" s="97" t="s">
        <v>264</v>
      </c>
      <c r="C79" s="121" t="s">
        <v>120</v>
      </c>
      <c r="D79" s="121" t="s">
        <v>128</v>
      </c>
      <c r="E79" s="121" t="s">
        <v>15</v>
      </c>
      <c r="F79" s="98" t="n">
        <v>0</v>
      </c>
      <c r="G79" s="121" t="s">
        <v>266</v>
      </c>
      <c r="H79" s="99" t="n">
        <v>45947</v>
      </c>
      <c r="I79" s="99" t="n">
        <v>45947</v>
      </c>
      <c r="J79" s="99" t="n">
        <v>0</v>
      </c>
      <c r="K79" s="99" t="n">
        <v>0</v>
      </c>
      <c r="L79" s="99" t="n">
        <v>0</v>
      </c>
      <c r="M79" s="99" t="n">
        <v>0</v>
      </c>
      <c r="N79" s="99" t="n">
        <v>0</v>
      </c>
      <c r="O79" s="42" t="n">
        <v>45947</v>
      </c>
    </row>
    <row r="80" spans="1:15">
      <c r="A80" s="37" t="n">
        <v>74</v>
      </c>
      <c r="B80" s="97" t="s">
        <v>267</v>
      </c>
      <c r="C80" s="121" t="s">
        <v>120</v>
      </c>
      <c r="D80" s="121" t="s">
        <v>128</v>
      </c>
      <c r="E80" s="121" t="s">
        <v>15</v>
      </c>
      <c r="F80" s="98" t="n">
        <v>0</v>
      </c>
      <c r="G80" s="121" t="s">
        <v>269</v>
      </c>
      <c r="H80" s="99" t="n">
        <v>43917</v>
      </c>
      <c r="I80" s="99" t="n">
        <v>43917</v>
      </c>
      <c r="J80" s="99" t="n">
        <v>0</v>
      </c>
      <c r="K80" s="99" t="n">
        <v>0</v>
      </c>
      <c r="L80" s="99" t="n">
        <v>0</v>
      </c>
      <c r="M80" s="99" t="n">
        <v>0</v>
      </c>
      <c r="N80" s="99" t="n">
        <v>0</v>
      </c>
      <c r="O80" s="42" t="n">
        <v>43917</v>
      </c>
    </row>
    <row r="81" spans="1:15">
      <c r="A81" s="37" t="n">
        <v>75</v>
      </c>
      <c r="B81" s="97" t="s">
        <v>2269</v>
      </c>
      <c r="C81" s="121" t="s">
        <v>95</v>
      </c>
      <c r="D81" s="121" t="s">
        <v>20</v>
      </c>
      <c r="E81" s="121" t="s">
        <v>21</v>
      </c>
      <c r="F81" s="98" t="n">
        <v>0</v>
      </c>
      <c r="G81" s="121" t="s">
        <v>2270</v>
      </c>
      <c r="H81" s="99" t="n">
        <v>45394</v>
      </c>
      <c r="I81" s="99" t="n">
        <v>45394</v>
      </c>
      <c r="J81" s="99" t="n">
        <v>0</v>
      </c>
      <c r="K81" s="99" t="n">
        <v>0</v>
      </c>
      <c r="L81" s="99" t="n">
        <v>0</v>
      </c>
      <c r="M81" s="99" t="n">
        <v>0</v>
      </c>
      <c r="N81" s="99" t="n">
        <v>0</v>
      </c>
      <c r="O81" s="42" t="n">
        <v>45394</v>
      </c>
    </row>
    <row r="82" spans="1:15">
      <c r="A82" s="37" t="n">
        <v>76</v>
      </c>
      <c r="B82" s="97" t="s">
        <v>220</v>
      </c>
      <c r="C82" s="121" t="s">
        <v>58</v>
      </c>
      <c r="D82" s="121" t="s">
        <v>20</v>
      </c>
      <c r="E82" s="121" t="s">
        <v>21</v>
      </c>
      <c r="F82" s="121" t="s">
        <v>221</v>
      </c>
      <c r="G82" s="121" t="s">
        <v>223</v>
      </c>
      <c r="H82" s="99" t="n">
        <v>77132</v>
      </c>
      <c r="I82" s="99" t="n">
        <v>77132</v>
      </c>
      <c r="J82" s="99" t="n">
        <v>3857</v>
      </c>
      <c r="K82" s="99" t="n">
        <v>0</v>
      </c>
      <c r="L82" s="99" t="n">
        <v>0</v>
      </c>
      <c r="M82" s="99" t="n">
        <v>0</v>
      </c>
      <c r="N82" s="99" t="n">
        <v>0</v>
      </c>
      <c r="O82" s="42" t="n">
        <v>73275</v>
      </c>
    </row>
    <row r="83" spans="1:15">
      <c r="A83" s="37" t="n">
        <v>77</v>
      </c>
      <c r="B83" s="97" t="s">
        <v>2271</v>
      </c>
      <c r="C83" s="121" t="s">
        <v>58</v>
      </c>
      <c r="D83" s="121" t="s">
        <v>20</v>
      </c>
      <c r="E83" s="121" t="s">
        <v>21</v>
      </c>
      <c r="F83" s="121" t="s">
        <v>2272</v>
      </c>
      <c r="G83" s="121" t="s">
        <v>2273</v>
      </c>
      <c r="H83" s="99" t="n">
        <v>54066</v>
      </c>
      <c r="I83" s="99" t="n">
        <v>54066</v>
      </c>
      <c r="J83" s="99" t="n">
        <v>2703</v>
      </c>
      <c r="K83" s="99" t="n">
        <v>0</v>
      </c>
      <c r="L83" s="99" t="n">
        <v>0</v>
      </c>
      <c r="M83" s="99" t="n">
        <v>0</v>
      </c>
      <c r="N83" s="99" t="n">
        <v>0</v>
      </c>
      <c r="O83" s="42" t="n">
        <v>51363</v>
      </c>
    </row>
    <row r="84" spans="1:15">
      <c r="A84" s="37" t="n">
        <v>78</v>
      </c>
      <c r="B84" s="97" t="s">
        <v>228</v>
      </c>
      <c r="C84" s="121" t="s">
        <v>58</v>
      </c>
      <c r="D84" s="121" t="s">
        <v>20</v>
      </c>
      <c r="E84" s="121" t="s">
        <v>21</v>
      </c>
      <c r="F84" s="121" t="s">
        <v>229</v>
      </c>
      <c r="G84" s="121" t="s">
        <v>231</v>
      </c>
      <c r="H84" s="99" t="n">
        <v>55727</v>
      </c>
      <c r="I84" s="99" t="n">
        <v>55727</v>
      </c>
      <c r="J84" s="99" t="n">
        <v>2786</v>
      </c>
      <c r="K84" s="99" t="n">
        <v>0</v>
      </c>
      <c r="L84" s="99" t="n">
        <v>0</v>
      </c>
      <c r="M84" s="99" t="n">
        <v>0</v>
      </c>
      <c r="N84" s="99" t="n">
        <v>0</v>
      </c>
      <c r="O84" s="42" t="n">
        <v>52941</v>
      </c>
    </row>
    <row r="85" spans="1:15">
      <c r="A85" s="37" t="n">
        <v>79</v>
      </c>
      <c r="B85" s="97" t="s">
        <v>2274</v>
      </c>
      <c r="C85" s="121" t="s">
        <v>111</v>
      </c>
      <c r="D85" s="121" t="s">
        <v>20</v>
      </c>
      <c r="E85" s="121" t="s">
        <v>21</v>
      </c>
      <c r="F85" s="121" t="s">
        <v>2275</v>
      </c>
      <c r="G85" s="121" t="s">
        <v>2276</v>
      </c>
      <c r="H85" s="99" t="n">
        <v>62186</v>
      </c>
      <c r="I85" s="99" t="n">
        <v>62186</v>
      </c>
      <c r="J85" s="99" t="n">
        <v>0</v>
      </c>
      <c r="K85" s="99" t="n">
        <v>0</v>
      </c>
      <c r="L85" s="99" t="n">
        <v>0</v>
      </c>
      <c r="M85" s="99" t="n">
        <v>0</v>
      </c>
      <c r="N85" s="99" t="n">
        <v>0</v>
      </c>
      <c r="O85" s="42" t="n">
        <v>62186</v>
      </c>
    </row>
    <row r="86" spans="1:15">
      <c r="A86" s="37" t="n">
        <v>80</v>
      </c>
      <c r="B86" s="97" t="s">
        <v>259</v>
      </c>
      <c r="C86" s="121" t="s">
        <v>120</v>
      </c>
      <c r="D86" s="121" t="s">
        <v>124</v>
      </c>
      <c r="E86" s="121" t="s">
        <v>15</v>
      </c>
      <c r="F86" s="98" t="n">
        <v>0</v>
      </c>
      <c r="G86" s="121" t="s">
        <v>261</v>
      </c>
      <c r="H86" s="99" t="n">
        <v>51852</v>
      </c>
      <c r="I86" s="99" t="n">
        <v>51852</v>
      </c>
      <c r="J86" s="99" t="n">
        <v>0</v>
      </c>
      <c r="K86" s="99" t="n">
        <v>0</v>
      </c>
      <c r="L86" s="99" t="n">
        <v>0</v>
      </c>
      <c r="M86" s="99" t="n">
        <v>0</v>
      </c>
      <c r="N86" s="99" t="n">
        <v>0</v>
      </c>
      <c r="O86" s="42" t="n">
        <v>51852</v>
      </c>
    </row>
    <row r="87" spans="1:15">
      <c r="A87" s="37" t="n">
        <v>81</v>
      </c>
      <c r="B87" s="97" t="s">
        <v>2277</v>
      </c>
      <c r="C87" s="121" t="s">
        <v>120</v>
      </c>
      <c r="D87" s="98" t="n">
        <v>0</v>
      </c>
      <c r="E87" s="121" t="s">
        <v>21</v>
      </c>
      <c r="F87" s="98" t="n">
        <v>0</v>
      </c>
      <c r="G87" s="121" t="s">
        <v>2278</v>
      </c>
      <c r="H87" s="99" t="n">
        <v>49269</v>
      </c>
      <c r="I87" s="99" t="n">
        <v>49269</v>
      </c>
      <c r="J87" s="99" t="n">
        <v>0</v>
      </c>
      <c r="K87" s="99" t="n">
        <v>0</v>
      </c>
      <c r="L87" s="99" t="n">
        <v>0</v>
      </c>
      <c r="M87" s="99" t="n">
        <v>0</v>
      </c>
      <c r="N87" s="99" t="n">
        <v>0</v>
      </c>
      <c r="O87" s="42" t="n">
        <v>49269</v>
      </c>
    </row>
    <row r="88" spans="1:15">
      <c r="A88" s="37" t="n">
        <v>82</v>
      </c>
      <c r="B88" s="97" t="s">
        <v>236</v>
      </c>
      <c r="C88" s="121" t="s">
        <v>131</v>
      </c>
      <c r="D88" s="121" t="s">
        <v>20</v>
      </c>
      <c r="E88" s="121" t="s">
        <v>21</v>
      </c>
      <c r="F88" s="121" t="s">
        <v>237</v>
      </c>
      <c r="G88" s="121" t="s">
        <v>239</v>
      </c>
      <c r="H88" s="99" t="n">
        <v>52775</v>
      </c>
      <c r="I88" s="99" t="n">
        <v>52775</v>
      </c>
      <c r="J88" s="99" t="n">
        <v>2639</v>
      </c>
      <c r="K88" s="99" t="n">
        <v>0</v>
      </c>
      <c r="L88" s="99" t="n">
        <v>0</v>
      </c>
      <c r="M88" s="99" t="n">
        <v>0</v>
      </c>
      <c r="N88" s="99" t="n">
        <v>0</v>
      </c>
      <c r="O88" s="42" t="n">
        <v>50136</v>
      </c>
    </row>
    <row r="89" spans="1:15">
      <c r="A89" s="37" t="n">
        <v>83</v>
      </c>
      <c r="B89" s="97" t="s">
        <v>546</v>
      </c>
      <c r="C89" s="121" t="s">
        <v>120</v>
      </c>
      <c r="D89" s="121" t="s">
        <v>124</v>
      </c>
      <c r="E89" s="121" t="s">
        <v>15</v>
      </c>
      <c r="F89" s="98" t="n">
        <v>0</v>
      </c>
      <c r="G89" s="121" t="s">
        <v>547</v>
      </c>
      <c r="H89" s="99" t="n">
        <v>62186</v>
      </c>
      <c r="I89" s="99" t="n">
        <v>62186</v>
      </c>
      <c r="J89" s="99" t="n">
        <v>0</v>
      </c>
      <c r="K89" s="99" t="n">
        <v>0</v>
      </c>
      <c r="L89" s="99" t="n">
        <v>0</v>
      </c>
      <c r="M89" s="99" t="n">
        <v>0</v>
      </c>
      <c r="N89" s="99" t="n">
        <v>0</v>
      </c>
      <c r="O89" s="42" t="n">
        <v>62186</v>
      </c>
    </row>
    <row r="90" spans="1:15">
      <c r="A90" s="37" t="n">
        <v>84</v>
      </c>
      <c r="B90" s="97" t="s">
        <v>347</v>
      </c>
      <c r="C90" s="121" t="s">
        <v>95</v>
      </c>
      <c r="D90" s="121" t="s">
        <v>137</v>
      </c>
      <c r="E90" s="121" t="s">
        <v>14</v>
      </c>
      <c r="F90" s="98" t="n">
        <v>0</v>
      </c>
      <c r="G90" s="121" t="s">
        <v>348</v>
      </c>
      <c r="H90" s="99" t="n">
        <v>55358</v>
      </c>
      <c r="I90" s="99" t="n">
        <v>55358</v>
      </c>
      <c r="J90" s="99" t="n">
        <v>0</v>
      </c>
      <c r="K90" s="99" t="n">
        <v>0</v>
      </c>
      <c r="L90" s="99" t="n">
        <v>0</v>
      </c>
      <c r="M90" s="99" t="n">
        <v>0</v>
      </c>
      <c r="N90" s="99" t="n">
        <v>0</v>
      </c>
      <c r="O90" s="42" t="n">
        <v>55358</v>
      </c>
    </row>
    <row r="91" spans="1:15">
      <c r="A91" s="37" t="n">
        <v>85</v>
      </c>
      <c r="B91" s="97" t="s">
        <v>2279</v>
      </c>
      <c r="C91" s="121" t="s">
        <v>95</v>
      </c>
      <c r="D91" s="121" t="s">
        <v>128</v>
      </c>
      <c r="E91" s="121" t="s">
        <v>15</v>
      </c>
      <c r="F91" s="98" t="n">
        <v>0</v>
      </c>
      <c r="G91" s="121" t="s">
        <v>2280</v>
      </c>
      <c r="H91" s="99" t="n">
        <v>45394</v>
      </c>
      <c r="I91" s="99" t="n">
        <v>45394</v>
      </c>
      <c r="J91" s="99" t="n">
        <v>0</v>
      </c>
      <c r="K91" s="99" t="n">
        <v>0</v>
      </c>
      <c r="L91" s="99" t="n">
        <v>0</v>
      </c>
      <c r="M91" s="99" t="n">
        <v>0</v>
      </c>
      <c r="N91" s="99" t="n">
        <v>0</v>
      </c>
      <c r="O91" s="42" t="n">
        <v>45394</v>
      </c>
    </row>
    <row r="92" spans="1:15">
      <c r="A92" s="37" t="n">
        <v>86</v>
      </c>
      <c r="B92" s="97" t="s">
        <v>273</v>
      </c>
      <c r="C92" s="121" t="s">
        <v>58</v>
      </c>
      <c r="D92" s="121" t="s">
        <v>20</v>
      </c>
      <c r="E92" s="121" t="s">
        <v>21</v>
      </c>
      <c r="F92" s="121" t="s">
        <v>274</v>
      </c>
      <c r="G92" s="121" t="s">
        <v>276</v>
      </c>
      <c r="H92" s="99" t="n">
        <v>82668</v>
      </c>
      <c r="I92" s="99" t="n">
        <v>82668</v>
      </c>
      <c r="J92" s="99" t="n">
        <v>4133</v>
      </c>
      <c r="K92" s="99" t="n">
        <v>0</v>
      </c>
      <c r="L92" s="99" t="n">
        <v>0</v>
      </c>
      <c r="M92" s="99" t="n">
        <v>0</v>
      </c>
      <c r="N92" s="99" t="n">
        <v>0</v>
      </c>
      <c r="O92" s="42" t="n">
        <v>78535</v>
      </c>
    </row>
    <row r="93" spans="1:15">
      <c r="A93" s="37" t="n">
        <v>87</v>
      </c>
      <c r="B93" s="97" t="s">
        <v>2281</v>
      </c>
      <c r="C93" s="121" t="s">
        <v>120</v>
      </c>
      <c r="D93" s="98" t="n">
        <v>0</v>
      </c>
      <c r="E93" s="121" t="s">
        <v>21</v>
      </c>
      <c r="F93" s="98" t="n">
        <v>0</v>
      </c>
      <c r="G93" s="121" t="s">
        <v>2282</v>
      </c>
      <c r="H93" s="99" t="n">
        <v>81930</v>
      </c>
      <c r="I93" s="99" t="n">
        <v>81930</v>
      </c>
      <c r="J93" s="99" t="n">
        <v>0</v>
      </c>
      <c r="K93" s="99" t="n">
        <v>0</v>
      </c>
      <c r="L93" s="99" t="n">
        <v>0</v>
      </c>
      <c r="M93" s="99" t="n">
        <v>0</v>
      </c>
      <c r="N93" s="99" t="n">
        <v>0</v>
      </c>
      <c r="O93" s="42" t="n">
        <v>81930</v>
      </c>
    </row>
    <row r="94" spans="1:15">
      <c r="A94" s="37" t="n">
        <v>88</v>
      </c>
      <c r="B94" s="97" t="s">
        <v>277</v>
      </c>
      <c r="C94" s="121" t="s">
        <v>120</v>
      </c>
      <c r="D94" s="121" t="s">
        <v>278</v>
      </c>
      <c r="E94" s="121" t="s">
        <v>16</v>
      </c>
      <c r="F94" s="98" t="n">
        <v>0</v>
      </c>
      <c r="G94" s="121" t="s">
        <v>279</v>
      </c>
      <c r="H94" s="99" t="n">
        <v>73073</v>
      </c>
      <c r="I94" s="99" t="n">
        <v>73073</v>
      </c>
      <c r="J94" s="99" t="n">
        <v>0</v>
      </c>
      <c r="K94" s="99" t="n">
        <v>0</v>
      </c>
      <c r="L94" s="99" t="n">
        <v>0</v>
      </c>
      <c r="M94" s="99" t="n">
        <v>0</v>
      </c>
      <c r="N94" s="99" t="n">
        <v>0</v>
      </c>
      <c r="O94" s="42" t="n">
        <v>73073</v>
      </c>
    </row>
    <row r="95" spans="1:15">
      <c r="A95" s="37" t="n">
        <v>89</v>
      </c>
      <c r="B95" s="97" t="s">
        <v>280</v>
      </c>
      <c r="C95" s="121" t="s">
        <v>120</v>
      </c>
      <c r="D95" s="121" t="s">
        <v>128</v>
      </c>
      <c r="E95" s="121" t="s">
        <v>15</v>
      </c>
      <c r="F95" s="98" t="n">
        <v>0</v>
      </c>
      <c r="G95" s="121" t="s">
        <v>281</v>
      </c>
      <c r="H95" s="99" t="n">
        <v>69936</v>
      </c>
      <c r="I95" s="99" t="n">
        <v>69936</v>
      </c>
      <c r="J95" s="99" t="n">
        <v>0</v>
      </c>
      <c r="K95" s="99" t="n">
        <v>0</v>
      </c>
      <c r="L95" s="99" t="n">
        <v>0</v>
      </c>
      <c r="M95" s="99" t="n">
        <v>0</v>
      </c>
      <c r="N95" s="99" t="n">
        <v>0</v>
      </c>
      <c r="O95" s="42" t="n">
        <v>69936</v>
      </c>
    </row>
    <row r="96" spans="1:15">
      <c r="A96" s="37" t="n">
        <v>90</v>
      </c>
      <c r="B96" s="97" t="s">
        <v>2283</v>
      </c>
      <c r="C96" s="121" t="s">
        <v>120</v>
      </c>
      <c r="D96" s="121" t="s">
        <v>128</v>
      </c>
      <c r="E96" s="121" t="s">
        <v>15</v>
      </c>
      <c r="F96" s="98" t="n">
        <v>0</v>
      </c>
      <c r="G96" s="121" t="s">
        <v>2284</v>
      </c>
      <c r="H96" s="99" t="n">
        <v>71596</v>
      </c>
      <c r="I96" s="99" t="n">
        <v>71596</v>
      </c>
      <c r="J96" s="99" t="n">
        <v>0</v>
      </c>
      <c r="K96" s="99" t="n">
        <v>0</v>
      </c>
      <c r="L96" s="99" t="n">
        <v>0</v>
      </c>
      <c r="M96" s="99" t="n">
        <v>0</v>
      </c>
      <c r="N96" s="99" t="n">
        <v>0</v>
      </c>
      <c r="O96" s="42" t="n">
        <v>71596</v>
      </c>
    </row>
    <row r="97" spans="1:15">
      <c r="A97" s="37" t="n">
        <v>91</v>
      </c>
      <c r="B97" s="97" t="s">
        <v>2285</v>
      </c>
      <c r="C97" s="121" t="s">
        <v>95</v>
      </c>
      <c r="D97" s="121" t="s">
        <v>124</v>
      </c>
      <c r="E97" s="121" t="s">
        <v>15</v>
      </c>
      <c r="F97" s="98" t="n">
        <v>0</v>
      </c>
      <c r="G97" s="121" t="s">
        <v>2286</v>
      </c>
      <c r="H97" s="99" t="n">
        <v>67958</v>
      </c>
      <c r="I97" s="99" t="n">
        <v>67958</v>
      </c>
      <c r="J97" s="99" t="n">
        <v>0</v>
      </c>
      <c r="K97" s="99" t="n">
        <v>0</v>
      </c>
      <c r="L97" s="99" t="n">
        <v>0</v>
      </c>
      <c r="M97" s="99" t="n">
        <v>0</v>
      </c>
      <c r="N97" s="99" t="n">
        <v>0</v>
      </c>
      <c r="O97" s="42" t="n">
        <v>67958</v>
      </c>
    </row>
    <row r="98" spans="1:15">
      <c r="A98" s="37" t="n">
        <v>92</v>
      </c>
      <c r="B98" s="97" t="s">
        <v>2287</v>
      </c>
      <c r="C98" s="121" t="s">
        <v>95</v>
      </c>
      <c r="D98" s="121" t="s">
        <v>137</v>
      </c>
      <c r="E98" s="121" t="s">
        <v>14</v>
      </c>
      <c r="F98" s="98" t="n">
        <v>0</v>
      </c>
      <c r="G98" s="121" t="s">
        <v>2288</v>
      </c>
      <c r="H98" s="99" t="n">
        <v>68090</v>
      </c>
      <c r="I98" s="99" t="n">
        <v>68090</v>
      </c>
      <c r="J98" s="99" t="n">
        <v>0</v>
      </c>
      <c r="K98" s="99" t="n">
        <v>0</v>
      </c>
      <c r="L98" s="99" t="n">
        <v>0</v>
      </c>
      <c r="M98" s="99" t="n">
        <v>0</v>
      </c>
      <c r="N98" s="99" t="n">
        <v>0</v>
      </c>
      <c r="O98" s="42" t="n">
        <v>68090</v>
      </c>
    </row>
    <row r="99" spans="1:15">
      <c r="A99" s="37" t="n">
        <v>93</v>
      </c>
      <c r="B99" s="97" t="s">
        <v>2289</v>
      </c>
      <c r="C99" s="121" t="s">
        <v>58</v>
      </c>
      <c r="D99" s="121" t="s">
        <v>20</v>
      </c>
      <c r="E99" s="121" t="s">
        <v>21</v>
      </c>
      <c r="F99" s="121" t="s">
        <v>2290</v>
      </c>
      <c r="G99" s="121" t="s">
        <v>2291</v>
      </c>
      <c r="H99" s="99" t="n">
        <v>68644</v>
      </c>
      <c r="I99" s="99" t="n">
        <v>68644</v>
      </c>
      <c r="J99" s="99" t="n">
        <v>3432</v>
      </c>
      <c r="K99" s="99" t="n">
        <v>0</v>
      </c>
      <c r="L99" s="99" t="n">
        <v>0</v>
      </c>
      <c r="M99" s="99" t="n">
        <v>0</v>
      </c>
      <c r="N99" s="99" t="n">
        <v>0</v>
      </c>
      <c r="O99" s="42" t="n">
        <v>65212</v>
      </c>
    </row>
    <row r="100" spans="1:15">
      <c r="A100" s="37" t="n">
        <v>94</v>
      </c>
      <c r="B100" s="97" t="s">
        <v>299</v>
      </c>
      <c r="C100" s="121" t="s">
        <v>58</v>
      </c>
      <c r="D100" s="121" t="s">
        <v>20</v>
      </c>
      <c r="E100" s="121" t="s">
        <v>21</v>
      </c>
      <c r="F100" s="121" t="s">
        <v>300</v>
      </c>
      <c r="G100" s="121" t="s">
        <v>302</v>
      </c>
      <c r="H100" s="99" t="n">
        <v>68090</v>
      </c>
      <c r="I100" s="99" t="n">
        <v>68090</v>
      </c>
      <c r="J100" s="99" t="n">
        <v>3405</v>
      </c>
      <c r="K100" s="99" t="n">
        <v>0</v>
      </c>
      <c r="L100" s="99" t="n">
        <v>0</v>
      </c>
      <c r="M100" s="99" t="n">
        <v>0</v>
      </c>
      <c r="N100" s="99" t="n">
        <v>0</v>
      </c>
      <c r="O100" s="42" t="n">
        <v>64685</v>
      </c>
    </row>
    <row r="101" spans="1:15">
      <c r="A101" s="37" t="n">
        <v>95</v>
      </c>
      <c r="B101" s="97" t="s">
        <v>2292</v>
      </c>
      <c r="C101" s="121" t="s">
        <v>58</v>
      </c>
      <c r="D101" s="121" t="s">
        <v>20</v>
      </c>
      <c r="E101" s="121" t="s">
        <v>21</v>
      </c>
      <c r="F101" s="121" t="s">
        <v>2293</v>
      </c>
      <c r="G101" s="121" t="s">
        <v>2294</v>
      </c>
      <c r="H101" s="99" t="n">
        <v>65692</v>
      </c>
      <c r="I101" s="99" t="n">
        <v>65692</v>
      </c>
      <c r="J101" s="99" t="n">
        <v>3285</v>
      </c>
      <c r="K101" s="99" t="n">
        <v>0</v>
      </c>
      <c r="L101" s="99" t="n">
        <v>0</v>
      </c>
      <c r="M101" s="99" t="n">
        <v>0</v>
      </c>
      <c r="N101" s="99" t="n">
        <v>0</v>
      </c>
      <c r="O101" s="42" t="n">
        <v>62407</v>
      </c>
    </row>
    <row r="102" spans="1:15">
      <c r="A102" s="37" t="n">
        <v>96</v>
      </c>
      <c r="B102" s="97" t="s">
        <v>2295</v>
      </c>
      <c r="C102" s="121" t="s">
        <v>58</v>
      </c>
      <c r="D102" s="121" t="s">
        <v>20</v>
      </c>
      <c r="E102" s="121" t="s">
        <v>21</v>
      </c>
      <c r="F102" s="98" t="n">
        <v>0</v>
      </c>
      <c r="G102" s="121" t="s">
        <v>2296</v>
      </c>
      <c r="H102" s="99" t="n">
        <v>65692</v>
      </c>
      <c r="I102" s="99" t="n">
        <v>65692</v>
      </c>
      <c r="J102" s="99" t="n">
        <v>3285</v>
      </c>
      <c r="K102" s="99" t="n">
        <v>0</v>
      </c>
      <c r="L102" s="99" t="n">
        <v>0</v>
      </c>
      <c r="M102" s="99" t="n">
        <v>0</v>
      </c>
      <c r="N102" s="99" t="n">
        <v>0</v>
      </c>
      <c r="O102" s="42" t="n">
        <v>62407</v>
      </c>
    </row>
    <row r="103" spans="1:15">
      <c r="A103" s="37" t="n">
        <v>97</v>
      </c>
      <c r="B103" s="97" t="s">
        <v>295</v>
      </c>
      <c r="C103" s="121" t="s">
        <v>58</v>
      </c>
      <c r="D103" s="121" t="s">
        <v>20</v>
      </c>
      <c r="E103" s="121" t="s">
        <v>21</v>
      </c>
      <c r="F103" s="121" t="s">
        <v>296</v>
      </c>
      <c r="G103" s="121" t="s">
        <v>298</v>
      </c>
      <c r="H103" s="99" t="n">
        <v>65692</v>
      </c>
      <c r="I103" s="99" t="n">
        <v>65692</v>
      </c>
      <c r="J103" s="99" t="n">
        <v>3285</v>
      </c>
      <c r="K103" s="99" t="n">
        <v>0</v>
      </c>
      <c r="L103" s="99" t="n">
        <v>0</v>
      </c>
      <c r="M103" s="99" t="n">
        <v>0</v>
      </c>
      <c r="N103" s="99" t="n">
        <v>0</v>
      </c>
      <c r="O103" s="42" t="n">
        <v>62407</v>
      </c>
    </row>
    <row r="104" spans="1:15">
      <c r="A104" s="37" t="n">
        <v>98</v>
      </c>
      <c r="B104" s="97" t="s">
        <v>303</v>
      </c>
      <c r="C104" s="121" t="s">
        <v>111</v>
      </c>
      <c r="D104" s="121" t="s">
        <v>20</v>
      </c>
      <c r="E104" s="121" t="s">
        <v>21</v>
      </c>
      <c r="F104" s="121" t="s">
        <v>304</v>
      </c>
      <c r="G104" s="121" t="s">
        <v>306</v>
      </c>
      <c r="H104" s="99" t="n">
        <v>64584</v>
      </c>
      <c r="I104" s="99" t="n">
        <v>64584</v>
      </c>
      <c r="J104" s="99" t="n">
        <v>0</v>
      </c>
      <c r="K104" s="99" t="n">
        <v>0</v>
      </c>
      <c r="L104" s="99" t="n">
        <v>0</v>
      </c>
      <c r="M104" s="99" t="n">
        <v>0</v>
      </c>
      <c r="N104" s="99" t="n">
        <v>0</v>
      </c>
      <c r="O104" s="42" t="n">
        <v>64584</v>
      </c>
    </row>
    <row r="105" spans="1:15">
      <c r="A105" s="37" t="n">
        <v>99</v>
      </c>
      <c r="B105" s="97" t="s">
        <v>247</v>
      </c>
      <c r="C105" s="121" t="s">
        <v>111</v>
      </c>
      <c r="D105" s="121" t="s">
        <v>20</v>
      </c>
      <c r="E105" s="121" t="s">
        <v>21</v>
      </c>
      <c r="F105" s="121" t="s">
        <v>248</v>
      </c>
      <c r="G105" s="121" t="s">
        <v>249</v>
      </c>
      <c r="H105" s="99" t="n">
        <v>54435</v>
      </c>
      <c r="I105" s="99" t="n">
        <v>54435</v>
      </c>
      <c r="J105" s="99" t="n">
        <v>0</v>
      </c>
      <c r="K105" s="99" t="n">
        <v>0</v>
      </c>
      <c r="L105" s="99" t="n">
        <v>0</v>
      </c>
      <c r="M105" s="99" t="n">
        <v>0</v>
      </c>
      <c r="N105" s="99" t="n">
        <v>0</v>
      </c>
      <c r="O105" s="42" t="n">
        <v>54435</v>
      </c>
    </row>
    <row r="106" spans="1:15">
      <c r="A106" s="37" t="n">
        <v>100</v>
      </c>
      <c r="B106" s="97" t="s">
        <v>307</v>
      </c>
      <c r="C106" s="121" t="s">
        <v>58</v>
      </c>
      <c r="D106" s="121" t="s">
        <v>20</v>
      </c>
      <c r="E106" s="121" t="s">
        <v>21</v>
      </c>
      <c r="F106" s="121" t="s">
        <v>308</v>
      </c>
      <c r="G106" s="121" t="s">
        <v>309</v>
      </c>
      <c r="H106" s="99" t="n">
        <v>128984</v>
      </c>
      <c r="I106" s="99" t="n">
        <v>128984</v>
      </c>
      <c r="J106" s="99" t="n">
        <v>6449</v>
      </c>
      <c r="K106" s="99" t="n">
        <v>0</v>
      </c>
      <c r="L106" s="99" t="n">
        <v>0</v>
      </c>
      <c r="M106" s="99" t="n">
        <v>0</v>
      </c>
      <c r="N106" s="99" t="n">
        <v>0</v>
      </c>
      <c r="O106" s="42" t="n">
        <v>122535</v>
      </c>
    </row>
    <row r="107" spans="1:15">
      <c r="A107" s="37" t="n">
        <v>101</v>
      </c>
      <c r="B107" s="97" t="s">
        <v>783</v>
      </c>
      <c r="C107" s="121" t="s">
        <v>58</v>
      </c>
      <c r="D107" s="121" t="s">
        <v>20</v>
      </c>
      <c r="E107" s="121" t="s">
        <v>21</v>
      </c>
      <c r="F107" s="121" t="s">
        <v>784</v>
      </c>
      <c r="G107" s="121" t="s">
        <v>785</v>
      </c>
      <c r="H107" s="99" t="n">
        <v>128984</v>
      </c>
      <c r="I107" s="99" t="n">
        <v>128984</v>
      </c>
      <c r="J107" s="99" t="n">
        <v>6449</v>
      </c>
      <c r="K107" s="99" t="n">
        <v>0</v>
      </c>
      <c r="L107" s="99" t="n">
        <v>0</v>
      </c>
      <c r="M107" s="99" t="n">
        <v>0</v>
      </c>
      <c r="N107" s="99" t="n">
        <v>0</v>
      </c>
      <c r="O107" s="42" t="n">
        <v>122535</v>
      </c>
    </row>
    <row r="108" spans="1:15">
      <c r="A108" s="37" t="n">
        <v>102</v>
      </c>
      <c r="B108" s="97" t="s">
        <v>1088</v>
      </c>
      <c r="C108" s="121" t="s">
        <v>58</v>
      </c>
      <c r="D108" s="121" t="s">
        <v>20</v>
      </c>
      <c r="E108" s="121" t="s">
        <v>21</v>
      </c>
      <c r="F108" s="121" t="s">
        <v>1089</v>
      </c>
      <c r="G108" s="121" t="s">
        <v>1091</v>
      </c>
      <c r="H108" s="99" t="n">
        <v>128984</v>
      </c>
      <c r="I108" s="99" t="n">
        <v>128984</v>
      </c>
      <c r="J108" s="99" t="n">
        <v>6449</v>
      </c>
      <c r="K108" s="99" t="n">
        <v>0</v>
      </c>
      <c r="L108" s="99" t="n">
        <v>0</v>
      </c>
      <c r="M108" s="99" t="n">
        <v>0</v>
      </c>
      <c r="N108" s="99" t="n">
        <v>0</v>
      </c>
      <c r="O108" s="42" t="n">
        <v>122535</v>
      </c>
    </row>
    <row r="109" spans="1:15">
      <c r="A109" s="37" t="n">
        <v>104</v>
      </c>
      <c r="B109" s="97" t="s">
        <v>74</v>
      </c>
      <c r="C109" s="121" t="s">
        <v>58</v>
      </c>
      <c r="D109" s="121" t="s">
        <v>20</v>
      </c>
      <c r="E109" s="121" t="s">
        <v>21</v>
      </c>
      <c r="F109" s="121" t="s">
        <v>75</v>
      </c>
      <c r="G109" s="121" t="s">
        <v>77</v>
      </c>
      <c r="H109" s="99" t="n">
        <v>58680</v>
      </c>
      <c r="I109" s="99" t="n">
        <v>58680</v>
      </c>
      <c r="J109" s="99" t="n">
        <v>2934</v>
      </c>
      <c r="K109" s="99" t="n">
        <v>0</v>
      </c>
      <c r="L109" s="99" t="n">
        <v>0</v>
      </c>
      <c r="M109" s="99" t="n">
        <v>0</v>
      </c>
      <c r="N109" s="99" t="n">
        <v>0</v>
      </c>
      <c r="O109" s="42" t="n">
        <v>55746</v>
      </c>
    </row>
    <row r="110" spans="1:15">
      <c r="A110" s="37" t="n">
        <v>105</v>
      </c>
      <c r="B110" s="97" t="s">
        <v>2297</v>
      </c>
      <c r="C110" s="121" t="s">
        <v>111</v>
      </c>
      <c r="D110" s="121" t="s">
        <v>20</v>
      </c>
      <c r="E110" s="121" t="s">
        <v>21</v>
      </c>
      <c r="F110" s="98" t="n">
        <v>0</v>
      </c>
      <c r="G110" s="121" t="s">
        <v>2298</v>
      </c>
      <c r="H110" s="99" t="n">
        <v>54804</v>
      </c>
      <c r="I110" s="99" t="n">
        <v>54804</v>
      </c>
      <c r="J110" s="99" t="n">
        <v>0</v>
      </c>
      <c r="K110" s="99" t="n">
        <v>0</v>
      </c>
      <c r="L110" s="99" t="n">
        <v>0</v>
      </c>
      <c r="M110" s="99" t="n">
        <v>0</v>
      </c>
      <c r="N110" s="99" t="n">
        <v>0</v>
      </c>
      <c r="O110" s="42" t="n">
        <v>54804</v>
      </c>
    </row>
    <row r="111" spans="1:15">
      <c r="A111" s="37" t="n">
        <v>106</v>
      </c>
      <c r="B111" s="97" t="s">
        <v>240</v>
      </c>
      <c r="C111" s="121" t="s">
        <v>131</v>
      </c>
      <c r="D111" s="121" t="s">
        <v>20</v>
      </c>
      <c r="E111" s="121" t="s">
        <v>21</v>
      </c>
      <c r="F111" s="121" t="s">
        <v>241</v>
      </c>
      <c r="G111" s="121" t="s">
        <v>242</v>
      </c>
      <c r="H111" s="99" t="n">
        <v>60894</v>
      </c>
      <c r="I111" s="99" t="n">
        <v>60894</v>
      </c>
      <c r="J111" s="99" t="n">
        <v>3045</v>
      </c>
      <c r="K111" s="99" t="n">
        <v>0</v>
      </c>
      <c r="L111" s="99" t="n">
        <v>0</v>
      </c>
      <c r="M111" s="99" t="n">
        <v>0</v>
      </c>
      <c r="N111" s="99" t="n">
        <v>0</v>
      </c>
      <c r="O111" s="42" t="n">
        <v>57849</v>
      </c>
    </row>
    <row r="112" spans="1:15">
      <c r="A112" s="37" t="n">
        <v>107</v>
      </c>
      <c r="B112" s="97" t="s">
        <v>331</v>
      </c>
      <c r="C112" s="121" t="s">
        <v>58</v>
      </c>
      <c r="D112" s="121" t="s">
        <v>20</v>
      </c>
      <c r="E112" s="121" t="s">
        <v>21</v>
      </c>
      <c r="F112" s="121" t="s">
        <v>332</v>
      </c>
      <c r="G112" s="121" t="s">
        <v>334</v>
      </c>
      <c r="H112" s="99" t="n">
        <v>56096</v>
      </c>
      <c r="I112" s="99" t="n">
        <v>56096</v>
      </c>
      <c r="J112" s="99" t="n">
        <v>2805</v>
      </c>
      <c r="K112" s="99" t="n">
        <v>0</v>
      </c>
      <c r="L112" s="99" t="n">
        <v>0</v>
      </c>
      <c r="M112" s="99" t="n">
        <v>0</v>
      </c>
      <c r="N112" s="99" t="n">
        <v>0</v>
      </c>
      <c r="O112" s="42" t="n">
        <v>53291</v>
      </c>
    </row>
    <row r="113" spans="1:15">
      <c r="A113" s="37" t="n">
        <v>108</v>
      </c>
      <c r="B113" s="97" t="s">
        <v>2299</v>
      </c>
      <c r="C113" s="121" t="s">
        <v>111</v>
      </c>
      <c r="D113" s="121" t="s">
        <v>20</v>
      </c>
      <c r="E113" s="121" t="s">
        <v>21</v>
      </c>
      <c r="F113" s="121" t="s">
        <v>2300</v>
      </c>
      <c r="G113" s="121" t="s">
        <v>2301</v>
      </c>
      <c r="H113" s="99" t="n">
        <v>43733</v>
      </c>
      <c r="I113" s="99" t="n">
        <v>43733</v>
      </c>
      <c r="J113" s="99" t="n">
        <v>0</v>
      </c>
      <c r="K113" s="99" t="n">
        <v>0</v>
      </c>
      <c r="L113" s="99" t="n">
        <v>0</v>
      </c>
      <c r="M113" s="99" t="n">
        <v>0</v>
      </c>
      <c r="N113" s="99" t="n">
        <v>0</v>
      </c>
      <c r="O113" s="42" t="n">
        <v>43733</v>
      </c>
    </row>
    <row r="114" spans="1:15">
      <c r="A114" s="37" t="n">
        <v>109</v>
      </c>
      <c r="B114" s="97" t="s">
        <v>2302</v>
      </c>
      <c r="C114" s="121" t="s">
        <v>111</v>
      </c>
      <c r="D114" s="121" t="s">
        <v>20</v>
      </c>
      <c r="E114" s="121" t="s">
        <v>21</v>
      </c>
      <c r="F114" s="121" t="s">
        <v>2303</v>
      </c>
      <c r="G114" s="121" t="s">
        <v>2304</v>
      </c>
      <c r="H114" s="99" t="n">
        <v>47792</v>
      </c>
      <c r="I114" s="99" t="n">
        <v>47792</v>
      </c>
      <c r="J114" s="99" t="n">
        <v>0</v>
      </c>
      <c r="K114" s="99" t="n">
        <v>0</v>
      </c>
      <c r="L114" s="99" t="n">
        <v>0</v>
      </c>
      <c r="M114" s="99" t="n">
        <v>0</v>
      </c>
      <c r="N114" s="99" t="n">
        <v>0</v>
      </c>
      <c r="O114" s="42" t="n">
        <v>47792</v>
      </c>
    </row>
    <row r="115" spans="1:15">
      <c r="A115" s="37" t="n">
        <v>110</v>
      </c>
      <c r="B115" s="97" t="s">
        <v>325</v>
      </c>
      <c r="C115" s="121" t="s">
        <v>131</v>
      </c>
      <c r="D115" s="121" t="s">
        <v>20</v>
      </c>
      <c r="E115" s="121" t="s">
        <v>21</v>
      </c>
      <c r="F115" s="121" t="s">
        <v>326</v>
      </c>
      <c r="G115" s="121" t="s">
        <v>327</v>
      </c>
      <c r="H115" s="99" t="n">
        <v>58311</v>
      </c>
      <c r="I115" s="99" t="n">
        <v>58311</v>
      </c>
      <c r="J115" s="99" t="n">
        <v>2916</v>
      </c>
      <c r="K115" s="99" t="n">
        <v>0</v>
      </c>
      <c r="L115" s="99" t="n">
        <v>0</v>
      </c>
      <c r="M115" s="99" t="n">
        <v>0</v>
      </c>
      <c r="N115" s="99" t="n">
        <v>0</v>
      </c>
      <c r="O115" s="42" t="n">
        <v>55395</v>
      </c>
    </row>
    <row r="116" spans="1:15">
      <c r="A116" s="37" t="n">
        <v>111</v>
      </c>
      <c r="B116" s="97" t="s">
        <v>2305</v>
      </c>
      <c r="C116" s="121" t="s">
        <v>131</v>
      </c>
      <c r="D116" s="121" t="s">
        <v>124</v>
      </c>
      <c r="E116" s="121" t="s">
        <v>15</v>
      </c>
      <c r="F116" s="98" t="n">
        <v>0</v>
      </c>
      <c r="G116" s="121" t="s">
        <v>2306</v>
      </c>
      <c r="H116" s="99" t="n">
        <v>74918</v>
      </c>
      <c r="I116" s="99" t="n">
        <v>74918</v>
      </c>
      <c r="J116" s="99" t="n">
        <v>3746</v>
      </c>
      <c r="K116" s="99" t="n">
        <v>0</v>
      </c>
      <c r="L116" s="99" t="n">
        <v>0</v>
      </c>
      <c r="M116" s="99" t="n">
        <v>0</v>
      </c>
      <c r="N116" s="99" t="n">
        <v>0</v>
      </c>
      <c r="O116" s="42" t="n">
        <v>71172</v>
      </c>
    </row>
    <row r="117" spans="1:15">
      <c r="A117" s="37" t="n">
        <v>112</v>
      </c>
      <c r="B117" s="97" t="s">
        <v>345</v>
      </c>
      <c r="C117" s="121" t="s">
        <v>120</v>
      </c>
      <c r="D117" s="121" t="s">
        <v>128</v>
      </c>
      <c r="E117" s="121" t="s">
        <v>15</v>
      </c>
      <c r="F117" s="98" t="n">
        <v>0</v>
      </c>
      <c r="G117" s="121" t="s">
        <v>346</v>
      </c>
      <c r="H117" s="99" t="n">
        <v>47608</v>
      </c>
      <c r="I117" s="99" t="n">
        <v>47608</v>
      </c>
      <c r="J117" s="99" t="n">
        <v>0</v>
      </c>
      <c r="K117" s="99" t="n">
        <v>0</v>
      </c>
      <c r="L117" s="99" t="n">
        <v>0</v>
      </c>
      <c r="M117" s="99" t="n">
        <v>0</v>
      </c>
      <c r="N117" s="99" t="n">
        <v>0</v>
      </c>
      <c r="O117" s="42" t="n">
        <v>47608</v>
      </c>
    </row>
    <row r="118" spans="1:15">
      <c r="A118" s="37" t="n">
        <v>113</v>
      </c>
      <c r="B118" s="97" t="s">
        <v>328</v>
      </c>
      <c r="C118" s="121" t="s">
        <v>131</v>
      </c>
      <c r="D118" s="121" t="s">
        <v>20</v>
      </c>
      <c r="E118" s="121" t="s">
        <v>21</v>
      </c>
      <c r="F118" s="121" t="s">
        <v>329</v>
      </c>
      <c r="G118" s="121" t="s">
        <v>330</v>
      </c>
      <c r="H118" s="99" t="n">
        <v>56096</v>
      </c>
      <c r="I118" s="99" t="n">
        <v>56096</v>
      </c>
      <c r="J118" s="99" t="n">
        <v>2805</v>
      </c>
      <c r="K118" s="99" t="n">
        <v>0</v>
      </c>
      <c r="L118" s="99" t="n">
        <v>0</v>
      </c>
      <c r="M118" s="99" t="n">
        <v>0</v>
      </c>
      <c r="N118" s="99" t="n">
        <v>0</v>
      </c>
      <c r="O118" s="42" t="n">
        <v>53291</v>
      </c>
    </row>
    <row r="119" spans="1:15">
      <c r="A119" s="37" t="n">
        <v>114</v>
      </c>
      <c r="B119" s="97" t="s">
        <v>2307</v>
      </c>
      <c r="C119" s="121" t="s">
        <v>95</v>
      </c>
      <c r="D119" s="121" t="s">
        <v>124</v>
      </c>
      <c r="E119" s="121" t="s">
        <v>15</v>
      </c>
      <c r="F119" s="98" t="n">
        <v>0</v>
      </c>
      <c r="G119" s="121" t="s">
        <v>2308</v>
      </c>
      <c r="H119" s="99" t="n">
        <v>45947</v>
      </c>
      <c r="I119" s="99" t="n">
        <v>45947</v>
      </c>
      <c r="J119" s="99" t="n">
        <v>0</v>
      </c>
      <c r="K119" s="99" t="n">
        <v>0</v>
      </c>
      <c r="L119" s="99" t="n">
        <v>0</v>
      </c>
      <c r="M119" s="99" t="n">
        <v>0</v>
      </c>
      <c r="N119" s="99" t="n">
        <v>0</v>
      </c>
      <c r="O119" s="42" t="n">
        <v>45947</v>
      </c>
    </row>
    <row r="120" spans="1:15">
      <c r="A120" s="37" t="n">
        <v>115</v>
      </c>
      <c r="B120" s="97" t="s">
        <v>375</v>
      </c>
      <c r="C120" s="121" t="s">
        <v>120</v>
      </c>
      <c r="D120" s="121" t="s">
        <v>128</v>
      </c>
      <c r="E120" s="121" t="s">
        <v>15</v>
      </c>
      <c r="F120" s="98" t="n">
        <v>0</v>
      </c>
      <c r="G120" s="121" t="s">
        <v>376</v>
      </c>
      <c r="H120" s="99" t="n">
        <v>45947</v>
      </c>
      <c r="I120" s="99" t="n">
        <v>45947</v>
      </c>
      <c r="J120" s="99" t="n">
        <v>0</v>
      </c>
      <c r="K120" s="99" t="n">
        <v>0</v>
      </c>
      <c r="L120" s="99" t="n">
        <v>0</v>
      </c>
      <c r="M120" s="99" t="n">
        <v>0</v>
      </c>
      <c r="N120" s="99" t="n">
        <v>0</v>
      </c>
      <c r="O120" s="42" t="n">
        <v>45947</v>
      </c>
    </row>
    <row r="121" spans="1:15">
      <c r="A121" s="37" t="n">
        <v>116</v>
      </c>
      <c r="B121" s="97" t="s">
        <v>377</v>
      </c>
      <c r="C121" s="121" t="s">
        <v>95</v>
      </c>
      <c r="D121" s="121" t="s">
        <v>128</v>
      </c>
      <c r="E121" s="121" t="s">
        <v>15</v>
      </c>
      <c r="F121" s="98" t="n">
        <v>0</v>
      </c>
      <c r="G121" s="121" t="s">
        <v>378</v>
      </c>
      <c r="H121" s="99" t="n">
        <v>45947</v>
      </c>
      <c r="I121" s="99" t="n">
        <v>45947</v>
      </c>
      <c r="J121" s="99" t="n">
        <v>0</v>
      </c>
      <c r="K121" s="99" t="n">
        <v>0</v>
      </c>
      <c r="L121" s="99" t="n">
        <v>0</v>
      </c>
      <c r="M121" s="99" t="n">
        <v>0</v>
      </c>
      <c r="N121" s="99" t="n">
        <v>0</v>
      </c>
      <c r="O121" s="42" t="n">
        <v>45947</v>
      </c>
    </row>
    <row r="122" spans="1:15">
      <c r="A122" s="37" t="n">
        <v>117</v>
      </c>
      <c r="B122" s="97" t="s">
        <v>136</v>
      </c>
      <c r="C122" s="121" t="s">
        <v>95</v>
      </c>
      <c r="D122" s="121" t="s">
        <v>137</v>
      </c>
      <c r="E122" s="121" t="s">
        <v>14</v>
      </c>
      <c r="F122" s="98" t="n">
        <v>0</v>
      </c>
      <c r="G122" s="121" t="s">
        <v>139</v>
      </c>
      <c r="H122" s="99" t="n">
        <v>56096</v>
      </c>
      <c r="I122" s="99" t="n">
        <v>56096</v>
      </c>
      <c r="J122" s="99" t="n">
        <v>0</v>
      </c>
      <c r="K122" s="99" t="n">
        <v>0</v>
      </c>
      <c r="L122" s="99" t="n">
        <v>0</v>
      </c>
      <c r="M122" s="99" t="n">
        <v>0</v>
      </c>
      <c r="N122" s="99" t="n">
        <v>0</v>
      </c>
      <c r="O122" s="42" t="n">
        <v>56096</v>
      </c>
    </row>
    <row r="123" spans="1:15">
      <c r="A123" s="37" t="n">
        <v>118</v>
      </c>
      <c r="B123" s="97" t="s">
        <v>134</v>
      </c>
      <c r="C123" s="121" t="s">
        <v>95</v>
      </c>
      <c r="D123" s="121" t="s">
        <v>124</v>
      </c>
      <c r="E123" s="121" t="s">
        <v>15</v>
      </c>
      <c r="F123" s="98" t="n">
        <v>0</v>
      </c>
      <c r="G123" s="121" t="s">
        <v>135</v>
      </c>
      <c r="H123" s="99" t="n">
        <v>56096</v>
      </c>
      <c r="I123" s="99" t="n">
        <v>56096</v>
      </c>
      <c r="J123" s="99" t="n">
        <v>0</v>
      </c>
      <c r="K123" s="99" t="n">
        <v>0</v>
      </c>
      <c r="L123" s="99" t="n">
        <v>0</v>
      </c>
      <c r="M123" s="99" t="n">
        <v>0</v>
      </c>
      <c r="N123" s="99" t="n">
        <v>0</v>
      </c>
      <c r="O123" s="42" t="n">
        <v>56096</v>
      </c>
    </row>
    <row r="124" spans="1:15">
      <c r="A124" s="37" t="n">
        <v>119</v>
      </c>
      <c r="B124" s="97" t="s">
        <v>338</v>
      </c>
      <c r="C124" s="121" t="s">
        <v>95</v>
      </c>
      <c r="D124" s="121" t="s">
        <v>124</v>
      </c>
      <c r="E124" s="121" t="s">
        <v>15</v>
      </c>
      <c r="F124" s="98" t="n">
        <v>0</v>
      </c>
      <c r="G124" s="121" t="s">
        <v>340</v>
      </c>
      <c r="H124" s="99" t="n">
        <v>56096</v>
      </c>
      <c r="I124" s="99" t="n">
        <v>56096</v>
      </c>
      <c r="J124" s="99" t="n">
        <v>0</v>
      </c>
      <c r="K124" s="99" t="n">
        <v>0</v>
      </c>
      <c r="L124" s="99" t="n">
        <v>0</v>
      </c>
      <c r="M124" s="99" t="n">
        <v>0</v>
      </c>
      <c r="N124" s="99" t="n">
        <v>0</v>
      </c>
      <c r="O124" s="42" t="n">
        <v>56096</v>
      </c>
    </row>
    <row r="125" spans="1:15">
      <c r="A125" s="37" t="n">
        <v>120</v>
      </c>
      <c r="B125" s="97" t="s">
        <v>2309</v>
      </c>
      <c r="C125" s="121" t="s">
        <v>95</v>
      </c>
      <c r="D125" s="121" t="s">
        <v>124</v>
      </c>
      <c r="E125" s="121" t="s">
        <v>15</v>
      </c>
      <c r="F125" s="98" t="n">
        <v>0</v>
      </c>
      <c r="G125" s="121" t="s">
        <v>2310</v>
      </c>
      <c r="H125" s="99" t="n">
        <v>45947</v>
      </c>
      <c r="I125" s="99" t="n">
        <v>45947</v>
      </c>
      <c r="J125" s="99" t="n">
        <v>0</v>
      </c>
      <c r="K125" s="99" t="n">
        <v>0</v>
      </c>
      <c r="L125" s="99" t="n">
        <v>0</v>
      </c>
      <c r="M125" s="99" t="n">
        <v>0</v>
      </c>
      <c r="N125" s="99" t="n">
        <v>0</v>
      </c>
      <c r="O125" s="42" t="n">
        <v>45947</v>
      </c>
    </row>
    <row r="126" spans="1:15">
      <c r="A126" s="37" t="n">
        <v>121</v>
      </c>
      <c r="B126" s="97" t="s">
        <v>384</v>
      </c>
      <c r="C126" s="121" t="s">
        <v>95</v>
      </c>
      <c r="D126" s="121" t="s">
        <v>124</v>
      </c>
      <c r="E126" s="121" t="s">
        <v>15</v>
      </c>
      <c r="F126" s="98" t="n">
        <v>0</v>
      </c>
      <c r="G126" s="121" t="s">
        <v>385</v>
      </c>
      <c r="H126" s="99" t="n">
        <v>45947</v>
      </c>
      <c r="I126" s="99" t="n">
        <v>45947</v>
      </c>
      <c r="J126" s="99" t="n">
        <v>0</v>
      </c>
      <c r="K126" s="99" t="n">
        <v>0</v>
      </c>
      <c r="L126" s="99" t="n">
        <v>0</v>
      </c>
      <c r="M126" s="99" t="n">
        <v>0</v>
      </c>
      <c r="N126" s="99" t="n">
        <v>0</v>
      </c>
      <c r="O126" s="42" t="n">
        <v>45947</v>
      </c>
    </row>
    <row r="127" spans="1:15">
      <c r="A127" s="37" t="n">
        <v>122</v>
      </c>
      <c r="B127" s="97" t="s">
        <v>382</v>
      </c>
      <c r="C127" s="121" t="s">
        <v>95</v>
      </c>
      <c r="D127" s="121" t="s">
        <v>137</v>
      </c>
      <c r="E127" s="121" t="s">
        <v>14</v>
      </c>
      <c r="F127" s="98" t="n">
        <v>0</v>
      </c>
      <c r="G127" s="121" t="s">
        <v>383</v>
      </c>
      <c r="H127" s="99" t="n">
        <v>47608</v>
      </c>
      <c r="I127" s="99" t="n">
        <v>47608</v>
      </c>
      <c r="J127" s="99" t="n">
        <v>0</v>
      </c>
      <c r="K127" s="99" t="n">
        <v>0</v>
      </c>
      <c r="L127" s="99" t="n">
        <v>0</v>
      </c>
      <c r="M127" s="99" t="n">
        <v>0</v>
      </c>
      <c r="N127" s="99" t="n">
        <v>0</v>
      </c>
      <c r="O127" s="42" t="n">
        <v>47608</v>
      </c>
    </row>
    <row r="128" spans="1:15">
      <c r="A128" s="37" t="n">
        <v>123</v>
      </c>
      <c r="B128" s="97" t="s">
        <v>176</v>
      </c>
      <c r="C128" s="121" t="s">
        <v>58</v>
      </c>
      <c r="D128" s="121" t="s">
        <v>20</v>
      </c>
      <c r="E128" s="121" t="s">
        <v>21</v>
      </c>
      <c r="F128" s="121" t="s">
        <v>177</v>
      </c>
      <c r="G128" s="121" t="s">
        <v>179</v>
      </c>
      <c r="H128" s="99" t="n">
        <v>61263</v>
      </c>
      <c r="I128" s="99" t="n">
        <v>61263</v>
      </c>
      <c r="J128" s="99" t="n">
        <v>3063</v>
      </c>
      <c r="K128" s="99" t="n">
        <v>0</v>
      </c>
      <c r="L128" s="99" t="n">
        <v>0</v>
      </c>
      <c r="M128" s="99" t="n">
        <v>0</v>
      </c>
      <c r="N128" s="99" t="n">
        <v>0</v>
      </c>
      <c r="O128" s="42" t="n">
        <v>58200</v>
      </c>
    </row>
    <row r="129" spans="1:15">
      <c r="A129" s="37" t="n">
        <v>124</v>
      </c>
      <c r="B129" s="97" t="s">
        <v>356</v>
      </c>
      <c r="C129" s="121" t="s">
        <v>58</v>
      </c>
      <c r="D129" s="121" t="s">
        <v>20</v>
      </c>
      <c r="E129" s="121" t="s">
        <v>21</v>
      </c>
      <c r="F129" s="121" t="s">
        <v>357</v>
      </c>
      <c r="G129" s="121" t="s">
        <v>359</v>
      </c>
      <c r="H129" s="99" t="n">
        <v>52775</v>
      </c>
      <c r="I129" s="99" t="n">
        <v>52775</v>
      </c>
      <c r="J129" s="99" t="n">
        <v>2639</v>
      </c>
      <c r="K129" s="99" t="n">
        <v>0</v>
      </c>
      <c r="L129" s="99" t="n">
        <v>0</v>
      </c>
      <c r="M129" s="99" t="n">
        <v>0</v>
      </c>
      <c r="N129" s="99" t="n">
        <v>0</v>
      </c>
      <c r="O129" s="42" t="n">
        <v>50136</v>
      </c>
    </row>
    <row r="130" spans="1:15">
      <c r="A130" s="37" t="n">
        <v>125</v>
      </c>
      <c r="B130" s="97" t="s">
        <v>2311</v>
      </c>
      <c r="C130" s="121" t="s">
        <v>111</v>
      </c>
      <c r="D130" s="121" t="s">
        <v>20</v>
      </c>
      <c r="E130" s="121" t="s">
        <v>21</v>
      </c>
      <c r="F130" s="121" t="s">
        <v>2312</v>
      </c>
      <c r="G130" s="121" t="s">
        <v>2313</v>
      </c>
      <c r="H130" s="99" t="n">
        <v>48346</v>
      </c>
      <c r="I130" s="99" t="n">
        <v>48346</v>
      </c>
      <c r="J130" s="99" t="n">
        <v>0</v>
      </c>
      <c r="K130" s="99" t="n">
        <v>0</v>
      </c>
      <c r="L130" s="99" t="n">
        <v>0</v>
      </c>
      <c r="M130" s="99" t="n">
        <v>0</v>
      </c>
      <c r="N130" s="99" t="n">
        <v>0</v>
      </c>
      <c r="O130" s="42" t="n">
        <v>48346</v>
      </c>
    </row>
    <row r="131" spans="1:15">
      <c r="A131" s="37" t="n">
        <v>126</v>
      </c>
      <c r="B131" s="97" t="s">
        <v>2314</v>
      </c>
      <c r="C131" s="121" t="s">
        <v>58</v>
      </c>
      <c r="D131" s="121" t="s">
        <v>20</v>
      </c>
      <c r="E131" s="121" t="s">
        <v>21</v>
      </c>
      <c r="F131" s="121" t="s">
        <v>2315</v>
      </c>
      <c r="G131" s="121" t="s">
        <v>2316</v>
      </c>
      <c r="H131" s="99" t="n">
        <v>50560</v>
      </c>
      <c r="I131" s="99" t="n">
        <v>50560</v>
      </c>
      <c r="J131" s="99" t="n">
        <v>2528</v>
      </c>
      <c r="K131" s="99" t="n">
        <v>0</v>
      </c>
      <c r="L131" s="99" t="n">
        <v>0</v>
      </c>
      <c r="M131" s="99" t="n">
        <v>0</v>
      </c>
      <c r="N131" s="99" t="n">
        <v>0</v>
      </c>
      <c r="O131" s="42" t="n">
        <v>48032</v>
      </c>
    </row>
    <row r="132" spans="1:15">
      <c r="A132" s="37" t="n">
        <v>127</v>
      </c>
      <c r="B132" s="97" t="s">
        <v>2317</v>
      </c>
      <c r="C132" s="121" t="s">
        <v>120</v>
      </c>
      <c r="D132" s="98" t="n">
        <v>0</v>
      </c>
      <c r="E132" s="121" t="s">
        <v>21</v>
      </c>
      <c r="F132" s="98" t="n">
        <v>0</v>
      </c>
      <c r="G132" s="121" t="s">
        <v>2318</v>
      </c>
      <c r="H132" s="99" t="n">
        <v>48346</v>
      </c>
      <c r="I132" s="99" t="n">
        <v>48346</v>
      </c>
      <c r="J132" s="99" t="n">
        <v>0</v>
      </c>
      <c r="K132" s="99" t="n">
        <v>0</v>
      </c>
      <c r="L132" s="99" t="n">
        <v>0</v>
      </c>
      <c r="M132" s="99" t="n">
        <v>0</v>
      </c>
      <c r="N132" s="99" t="n">
        <v>0</v>
      </c>
      <c r="O132" s="42" t="n">
        <v>48346</v>
      </c>
    </row>
    <row r="133" spans="1:15">
      <c r="A133" s="37" t="n">
        <v>128</v>
      </c>
      <c r="B133" s="97" t="s">
        <v>369</v>
      </c>
      <c r="C133" s="121" t="s">
        <v>120</v>
      </c>
      <c r="D133" s="121" t="s">
        <v>124</v>
      </c>
      <c r="E133" s="121" t="s">
        <v>15</v>
      </c>
      <c r="F133" s="98" t="n">
        <v>0</v>
      </c>
      <c r="G133" s="121" t="s">
        <v>371</v>
      </c>
      <c r="H133" s="99" t="n">
        <v>48900</v>
      </c>
      <c r="I133" s="99" t="n">
        <v>48900</v>
      </c>
      <c r="J133" s="99" t="n">
        <v>0</v>
      </c>
      <c r="K133" s="99" t="n">
        <v>0</v>
      </c>
      <c r="L133" s="99" t="n">
        <v>0</v>
      </c>
      <c r="M133" s="99" t="n">
        <v>0</v>
      </c>
      <c r="N133" s="99" t="n">
        <v>0</v>
      </c>
      <c r="O133" s="42" t="n">
        <v>48900</v>
      </c>
    </row>
    <row r="134" spans="1:15">
      <c r="A134" s="37" t="n">
        <v>129</v>
      </c>
      <c r="B134" s="97" t="s">
        <v>360</v>
      </c>
      <c r="C134" s="121" t="s">
        <v>120</v>
      </c>
      <c r="D134" s="121" t="s">
        <v>128</v>
      </c>
      <c r="E134" s="121" t="s">
        <v>15</v>
      </c>
      <c r="F134" s="98" t="n">
        <v>0</v>
      </c>
      <c r="G134" s="121" t="s">
        <v>361</v>
      </c>
      <c r="H134" s="99" t="n">
        <v>51114</v>
      </c>
      <c r="I134" s="99" t="n">
        <v>51114</v>
      </c>
      <c r="J134" s="99" t="n">
        <v>0</v>
      </c>
      <c r="K134" s="99" t="n">
        <v>0</v>
      </c>
      <c r="L134" s="99" t="n">
        <v>0</v>
      </c>
      <c r="M134" s="99" t="n">
        <v>0</v>
      </c>
      <c r="N134" s="99" t="n">
        <v>0</v>
      </c>
      <c r="O134" s="42" t="n">
        <v>51114</v>
      </c>
    </row>
    <row r="135" spans="1:15">
      <c r="A135" s="37" t="n">
        <v>130</v>
      </c>
      <c r="B135" s="97" t="s">
        <v>362</v>
      </c>
      <c r="C135" s="121" t="s">
        <v>120</v>
      </c>
      <c r="D135" s="121" t="s">
        <v>278</v>
      </c>
      <c r="E135" s="121" t="s">
        <v>16</v>
      </c>
      <c r="F135" s="98" t="n">
        <v>0</v>
      </c>
      <c r="G135" s="121" t="s">
        <v>363</v>
      </c>
      <c r="H135" s="99" t="n">
        <v>48900</v>
      </c>
      <c r="I135" s="99" t="n">
        <v>48900</v>
      </c>
      <c r="J135" s="99" t="n">
        <v>0</v>
      </c>
      <c r="K135" s="99" t="n">
        <v>0</v>
      </c>
      <c r="L135" s="99" t="n">
        <v>0</v>
      </c>
      <c r="M135" s="99" t="n">
        <v>0</v>
      </c>
      <c r="N135" s="99" t="n">
        <v>0</v>
      </c>
      <c r="O135" s="42" t="n">
        <v>48900</v>
      </c>
    </row>
    <row r="136" spans="1:15">
      <c r="A136" s="37" t="n">
        <v>131</v>
      </c>
      <c r="B136" s="97" t="s">
        <v>379</v>
      </c>
      <c r="C136" s="121" t="s">
        <v>120</v>
      </c>
      <c r="D136" s="121" t="s">
        <v>278</v>
      </c>
      <c r="E136" s="121" t="s">
        <v>16</v>
      </c>
      <c r="F136" s="98" t="n">
        <v>0</v>
      </c>
      <c r="G136" s="121" t="s">
        <v>381</v>
      </c>
      <c r="H136" s="99" t="n">
        <v>48900</v>
      </c>
      <c r="I136" s="99" t="n">
        <v>48900</v>
      </c>
      <c r="J136" s="99" t="n">
        <v>0</v>
      </c>
      <c r="K136" s="99" t="n">
        <v>0</v>
      </c>
      <c r="L136" s="99" t="n">
        <v>0</v>
      </c>
      <c r="M136" s="99" t="n">
        <v>0</v>
      </c>
      <c r="N136" s="99" t="n">
        <v>0</v>
      </c>
      <c r="O136" s="42" t="n">
        <v>48900</v>
      </c>
    </row>
    <row r="137" spans="1:15">
      <c r="A137" s="37" t="n">
        <v>132</v>
      </c>
      <c r="B137" s="97" t="s">
        <v>364</v>
      </c>
      <c r="C137" s="121" t="s">
        <v>95</v>
      </c>
      <c r="D137" s="121" t="s">
        <v>124</v>
      </c>
      <c r="E137" s="121" t="s">
        <v>15</v>
      </c>
      <c r="F137" s="98" t="n">
        <v>0</v>
      </c>
      <c r="G137" s="121" t="s">
        <v>365</v>
      </c>
      <c r="H137" s="99" t="n">
        <v>50560</v>
      </c>
      <c r="I137" s="99" t="n">
        <v>50560</v>
      </c>
      <c r="J137" s="99" t="n">
        <v>0</v>
      </c>
      <c r="K137" s="99" t="n">
        <v>0</v>
      </c>
      <c r="L137" s="99" t="n">
        <v>0</v>
      </c>
      <c r="M137" s="99" t="n">
        <v>0</v>
      </c>
      <c r="N137" s="99" t="n">
        <v>0</v>
      </c>
      <c r="O137" s="42" t="n">
        <v>50560</v>
      </c>
    </row>
    <row r="138" spans="1:15">
      <c r="A138" s="37" t="n">
        <v>133</v>
      </c>
      <c r="B138" s="97" t="s">
        <v>286</v>
      </c>
      <c r="C138" s="121" t="s">
        <v>95</v>
      </c>
      <c r="D138" s="121" t="s">
        <v>124</v>
      </c>
      <c r="E138" s="121" t="s">
        <v>15</v>
      </c>
      <c r="F138" s="98" t="n">
        <v>0</v>
      </c>
      <c r="G138" s="121" t="s">
        <v>288</v>
      </c>
      <c r="H138" s="99" t="n">
        <v>48900</v>
      </c>
      <c r="I138" s="99" t="n">
        <v>48900</v>
      </c>
      <c r="J138" s="99" t="n">
        <v>0</v>
      </c>
      <c r="K138" s="99" t="n">
        <v>0</v>
      </c>
      <c r="L138" s="99" t="n">
        <v>0</v>
      </c>
      <c r="M138" s="99" t="n">
        <v>0</v>
      </c>
      <c r="N138" s="99" t="n">
        <v>0</v>
      </c>
      <c r="O138" s="42" t="n">
        <v>48900</v>
      </c>
    </row>
    <row r="139" spans="1:15">
      <c r="A139" s="37" t="n">
        <v>134</v>
      </c>
      <c r="B139" s="97" t="s">
        <v>2319</v>
      </c>
      <c r="C139" s="121" t="s">
        <v>95</v>
      </c>
      <c r="D139" s="98" t="n">
        <v>0</v>
      </c>
      <c r="E139" s="121" t="s">
        <v>21</v>
      </c>
      <c r="F139" s="98" t="n">
        <v>0</v>
      </c>
      <c r="G139" s="121" t="s">
        <v>2320</v>
      </c>
      <c r="H139" s="99" t="n">
        <v>48900</v>
      </c>
      <c r="I139" s="99" t="n">
        <v>48900</v>
      </c>
      <c r="J139" s="99" t="n">
        <v>0</v>
      </c>
      <c r="K139" s="99" t="n">
        <v>0</v>
      </c>
      <c r="L139" s="99" t="n">
        <v>0</v>
      </c>
      <c r="M139" s="99" t="n">
        <v>0</v>
      </c>
      <c r="N139" s="99" t="n">
        <v>0</v>
      </c>
      <c r="O139" s="42" t="n">
        <v>48900</v>
      </c>
    </row>
    <row r="140" spans="1:15">
      <c r="A140" s="37" t="n">
        <v>135</v>
      </c>
      <c r="B140" s="97" t="s">
        <v>480</v>
      </c>
      <c r="C140" s="121" t="s">
        <v>95</v>
      </c>
      <c r="D140" s="121" t="s">
        <v>124</v>
      </c>
      <c r="E140" s="121" t="s">
        <v>15</v>
      </c>
      <c r="F140" s="98" t="n">
        <v>0</v>
      </c>
      <c r="G140" s="121" t="s">
        <v>481</v>
      </c>
      <c r="H140" s="99" t="n">
        <v>50560</v>
      </c>
      <c r="I140" s="99" t="n">
        <v>50560</v>
      </c>
      <c r="J140" s="99" t="n">
        <v>0</v>
      </c>
      <c r="K140" s="99" t="n">
        <v>0</v>
      </c>
      <c r="L140" s="99" t="n">
        <v>0</v>
      </c>
      <c r="M140" s="99" t="n">
        <v>0</v>
      </c>
      <c r="N140" s="99" t="n">
        <v>0</v>
      </c>
      <c r="O140" s="42" t="n">
        <v>50560</v>
      </c>
    </row>
    <row r="141" spans="1:15">
      <c r="A141" s="37" t="n">
        <v>136</v>
      </c>
      <c r="B141" s="97" t="s">
        <v>2321</v>
      </c>
      <c r="C141" s="121" t="s">
        <v>120</v>
      </c>
      <c r="D141" s="98" t="n">
        <v>0</v>
      </c>
      <c r="E141" s="121" t="s">
        <v>21</v>
      </c>
      <c r="F141" s="98" t="n">
        <v>0</v>
      </c>
      <c r="G141" s="121" t="s">
        <v>2322</v>
      </c>
      <c r="H141" s="99" t="n">
        <v>48900</v>
      </c>
      <c r="I141" s="99" t="n">
        <v>48900</v>
      </c>
      <c r="J141" s="99" t="n">
        <v>0</v>
      </c>
      <c r="K141" s="99" t="n">
        <v>0</v>
      </c>
      <c r="L141" s="99" t="n">
        <v>0</v>
      </c>
      <c r="M141" s="99" t="n">
        <v>0</v>
      </c>
      <c r="N141" s="99" t="n">
        <v>0</v>
      </c>
      <c r="O141" s="42" t="n">
        <v>48900</v>
      </c>
    </row>
    <row r="142" spans="1:15">
      <c r="A142" s="37" t="n">
        <v>137</v>
      </c>
      <c r="B142" s="97" t="s">
        <v>366</v>
      </c>
      <c r="C142" s="121" t="s">
        <v>95</v>
      </c>
      <c r="D142" s="121" t="s">
        <v>124</v>
      </c>
      <c r="E142" s="121" t="s">
        <v>15</v>
      </c>
      <c r="F142" s="98" t="n">
        <v>0</v>
      </c>
      <c r="G142" s="121" t="s">
        <v>368</v>
      </c>
      <c r="H142" s="99" t="n">
        <v>50560</v>
      </c>
      <c r="I142" s="99" t="n">
        <v>50560</v>
      </c>
      <c r="J142" s="99" t="n">
        <v>0</v>
      </c>
      <c r="K142" s="99" t="n">
        <v>0</v>
      </c>
      <c r="L142" s="99" t="n">
        <v>0</v>
      </c>
      <c r="M142" s="99" t="n">
        <v>0</v>
      </c>
      <c r="N142" s="99" t="n">
        <v>0</v>
      </c>
      <c r="O142" s="42" t="n">
        <v>50560</v>
      </c>
    </row>
    <row r="143" spans="1:15">
      <c r="A143" s="37" t="n">
        <v>138</v>
      </c>
      <c r="B143" s="97" t="s">
        <v>372</v>
      </c>
      <c r="C143" s="121" t="s">
        <v>95</v>
      </c>
      <c r="D143" s="121" t="s">
        <v>128</v>
      </c>
      <c r="E143" s="121" t="s">
        <v>15</v>
      </c>
      <c r="F143" s="98" t="n">
        <v>0</v>
      </c>
      <c r="G143" s="121" t="s">
        <v>374</v>
      </c>
      <c r="H143" s="99" t="n">
        <v>50560</v>
      </c>
      <c r="I143" s="99" t="n">
        <v>50560</v>
      </c>
      <c r="J143" s="99" t="n">
        <v>0</v>
      </c>
      <c r="K143" s="99" t="n">
        <v>0</v>
      </c>
      <c r="L143" s="99" t="n">
        <v>0</v>
      </c>
      <c r="M143" s="99" t="n">
        <v>0</v>
      </c>
      <c r="N143" s="99" t="n">
        <v>0</v>
      </c>
      <c r="O143" s="42" t="n">
        <v>50560</v>
      </c>
    </row>
    <row r="144" spans="1:15">
      <c r="A144" s="37" t="n">
        <v>139</v>
      </c>
      <c r="B144" s="97" t="s">
        <v>471</v>
      </c>
      <c r="C144" s="121" t="s">
        <v>58</v>
      </c>
      <c r="D144" s="121" t="s">
        <v>20</v>
      </c>
      <c r="E144" s="121" t="s">
        <v>21</v>
      </c>
      <c r="F144" s="121" t="s">
        <v>472</v>
      </c>
      <c r="G144" s="121" t="s">
        <v>473</v>
      </c>
      <c r="H144" s="99" t="n">
        <v>32600</v>
      </c>
      <c r="I144" s="99" t="n">
        <v>32600</v>
      </c>
      <c r="J144" s="99" t="n">
        <v>1630</v>
      </c>
      <c r="K144" s="99" t="n">
        <v>0</v>
      </c>
      <c r="L144" s="99" t="n">
        <v>0</v>
      </c>
      <c r="M144" s="99" t="n">
        <v>0</v>
      </c>
      <c r="N144" s="99" t="n">
        <v>0</v>
      </c>
      <c r="O144" s="42" t="n">
        <v>30970</v>
      </c>
    </row>
    <row r="145" spans="1:15">
      <c r="A145" s="37" t="n">
        <v>140</v>
      </c>
      <c r="B145" s="97" t="s">
        <v>548</v>
      </c>
      <c r="C145" s="121" t="s">
        <v>58</v>
      </c>
      <c r="D145" s="121" t="s">
        <v>20</v>
      </c>
      <c r="E145" s="121" t="s">
        <v>21</v>
      </c>
      <c r="F145" s="121" t="s">
        <v>549</v>
      </c>
      <c r="G145" s="121" t="s">
        <v>550</v>
      </c>
      <c r="H145" s="99" t="n">
        <v>32600</v>
      </c>
      <c r="I145" s="99" t="n">
        <v>32600</v>
      </c>
      <c r="J145" s="99" t="n">
        <v>1630</v>
      </c>
      <c r="K145" s="99" t="n">
        <v>0</v>
      </c>
      <c r="L145" s="99" t="n">
        <v>0</v>
      </c>
      <c r="M145" s="99" t="n">
        <v>0</v>
      </c>
      <c r="N145" s="99" t="n">
        <v>0</v>
      </c>
      <c r="O145" s="42" t="n">
        <v>30970</v>
      </c>
    </row>
    <row r="146" spans="1:15">
      <c r="A146" s="37" t="n">
        <v>141</v>
      </c>
      <c r="B146" s="97" t="s">
        <v>492</v>
      </c>
      <c r="C146" s="121" t="s">
        <v>58</v>
      </c>
      <c r="D146" s="121" t="s">
        <v>20</v>
      </c>
      <c r="E146" s="121" t="s">
        <v>21</v>
      </c>
      <c r="F146" s="121" t="s">
        <v>493</v>
      </c>
      <c r="G146" s="121" t="s">
        <v>494</v>
      </c>
      <c r="H146" s="99" t="n">
        <v>32600</v>
      </c>
      <c r="I146" s="99" t="n">
        <v>32600</v>
      </c>
      <c r="J146" s="99" t="n">
        <v>1630</v>
      </c>
      <c r="K146" s="99" t="n">
        <v>0</v>
      </c>
      <c r="L146" s="99" t="n">
        <v>0</v>
      </c>
      <c r="M146" s="99" t="n">
        <v>0</v>
      </c>
      <c r="N146" s="99" t="n">
        <v>0</v>
      </c>
      <c r="O146" s="42" t="n">
        <v>30970</v>
      </c>
    </row>
    <row r="147" spans="1:15">
      <c r="A147" s="37" t="n">
        <v>142</v>
      </c>
      <c r="B147" s="97" t="s">
        <v>2323</v>
      </c>
      <c r="C147" s="121" t="s">
        <v>58</v>
      </c>
      <c r="D147" s="121" t="s">
        <v>20</v>
      </c>
      <c r="E147" s="121" t="s">
        <v>21</v>
      </c>
      <c r="F147" s="121" t="s">
        <v>2324</v>
      </c>
      <c r="G147" s="121" t="s">
        <v>2325</v>
      </c>
      <c r="H147" s="99" t="n">
        <v>32600</v>
      </c>
      <c r="I147" s="99" t="n">
        <v>32600</v>
      </c>
      <c r="J147" s="99" t="n">
        <v>1630</v>
      </c>
      <c r="K147" s="99" t="n">
        <v>0</v>
      </c>
      <c r="L147" s="99" t="n">
        <v>0</v>
      </c>
      <c r="M147" s="99" t="n">
        <v>0</v>
      </c>
      <c r="N147" s="99" t="n">
        <v>0</v>
      </c>
      <c r="O147" s="42" t="n">
        <v>30970</v>
      </c>
    </row>
    <row r="148" spans="1:15">
      <c r="A148" s="37" t="n">
        <v>143</v>
      </c>
      <c r="B148" s="97" t="s">
        <v>555</v>
      </c>
      <c r="C148" s="121" t="s">
        <v>58</v>
      </c>
      <c r="D148" s="121" t="s">
        <v>20</v>
      </c>
      <c r="E148" s="121" t="s">
        <v>21</v>
      </c>
      <c r="F148" s="121" t="s">
        <v>556</v>
      </c>
      <c r="G148" s="121" t="s">
        <v>557</v>
      </c>
      <c r="H148" s="99" t="n">
        <v>32600</v>
      </c>
      <c r="I148" s="99" t="n">
        <v>32600</v>
      </c>
      <c r="J148" s="99" t="n">
        <v>1630</v>
      </c>
      <c r="K148" s="99" t="n">
        <v>0</v>
      </c>
      <c r="L148" s="99" t="n">
        <v>0</v>
      </c>
      <c r="M148" s="99" t="n">
        <v>0</v>
      </c>
      <c r="N148" s="99" t="n">
        <v>0</v>
      </c>
      <c r="O148" s="42" t="n">
        <v>30970</v>
      </c>
    </row>
    <row r="149" spans="1:15">
      <c r="A149" s="37" t="n">
        <v>144</v>
      </c>
      <c r="B149" s="97" t="s">
        <v>317</v>
      </c>
      <c r="C149" s="121" t="s">
        <v>58</v>
      </c>
      <c r="D149" s="121" t="s">
        <v>20</v>
      </c>
      <c r="E149" s="121" t="s">
        <v>21</v>
      </c>
      <c r="F149" s="121" t="s">
        <v>318</v>
      </c>
      <c r="G149" s="121" t="s">
        <v>320</v>
      </c>
      <c r="H149" s="99" t="n">
        <v>32600</v>
      </c>
      <c r="I149" s="99" t="n">
        <v>32600</v>
      </c>
      <c r="J149" s="99" t="n">
        <v>1630</v>
      </c>
      <c r="K149" s="99" t="n">
        <v>0</v>
      </c>
      <c r="L149" s="99" t="n">
        <v>0</v>
      </c>
      <c r="M149" s="99" t="n">
        <v>0</v>
      </c>
      <c r="N149" s="99" t="n">
        <v>0</v>
      </c>
      <c r="O149" s="42" t="n">
        <v>30970</v>
      </c>
    </row>
    <row r="150" spans="1:15">
      <c r="A150" s="37" t="n">
        <v>145</v>
      </c>
      <c r="B150" s="97" t="s">
        <v>2326</v>
      </c>
      <c r="C150" s="121" t="s">
        <v>58</v>
      </c>
      <c r="D150" s="121" t="s">
        <v>20</v>
      </c>
      <c r="E150" s="121" t="s">
        <v>21</v>
      </c>
      <c r="F150" s="121" t="s">
        <v>2327</v>
      </c>
      <c r="G150" s="121" t="s">
        <v>2328</v>
      </c>
      <c r="H150" s="99" t="n">
        <v>32600</v>
      </c>
      <c r="I150" s="99" t="n">
        <v>32600</v>
      </c>
      <c r="J150" s="99" t="n">
        <v>1630</v>
      </c>
      <c r="K150" s="99" t="n">
        <v>0</v>
      </c>
      <c r="L150" s="99" t="n">
        <v>0</v>
      </c>
      <c r="M150" s="99" t="n">
        <v>0</v>
      </c>
      <c r="N150" s="99" t="n">
        <v>0</v>
      </c>
      <c r="O150" s="42" t="n">
        <v>30970</v>
      </c>
    </row>
    <row r="151" spans="1:15">
      <c r="A151" s="37" t="n">
        <v>146</v>
      </c>
      <c r="B151" s="97" t="s">
        <v>504</v>
      </c>
      <c r="C151" s="121" t="s">
        <v>58</v>
      </c>
      <c r="D151" s="121" t="s">
        <v>20</v>
      </c>
      <c r="E151" s="121" t="s">
        <v>21</v>
      </c>
      <c r="F151" s="121" t="s">
        <v>505</v>
      </c>
      <c r="G151" s="121" t="s">
        <v>506</v>
      </c>
      <c r="H151" s="99" t="n">
        <v>32600</v>
      </c>
      <c r="I151" s="99" t="n">
        <v>32600</v>
      </c>
      <c r="J151" s="99" t="n">
        <v>1630</v>
      </c>
      <c r="K151" s="99" t="n">
        <v>0</v>
      </c>
      <c r="L151" s="99" t="n">
        <v>0</v>
      </c>
      <c r="M151" s="99" t="n">
        <v>0</v>
      </c>
      <c r="N151" s="99" t="n">
        <v>0</v>
      </c>
      <c r="O151" s="42" t="n">
        <v>30970</v>
      </c>
    </row>
    <row r="152" spans="1:15">
      <c r="A152" s="37" t="n">
        <v>147</v>
      </c>
      <c r="B152" s="97" t="s">
        <v>539</v>
      </c>
      <c r="C152" s="121" t="s">
        <v>58</v>
      </c>
      <c r="D152" s="121" t="s">
        <v>20</v>
      </c>
      <c r="E152" s="121" t="s">
        <v>21</v>
      </c>
      <c r="F152" s="121" t="s">
        <v>540</v>
      </c>
      <c r="G152" s="121" t="s">
        <v>542</v>
      </c>
      <c r="H152" s="99" t="n">
        <v>32600</v>
      </c>
      <c r="I152" s="99" t="n">
        <v>32600</v>
      </c>
      <c r="J152" s="99" t="n">
        <v>1630</v>
      </c>
      <c r="K152" s="99" t="n">
        <v>0</v>
      </c>
      <c r="L152" s="99" t="n">
        <v>0</v>
      </c>
      <c r="M152" s="99" t="n">
        <v>0</v>
      </c>
      <c r="N152" s="99" t="n">
        <v>0</v>
      </c>
      <c r="O152" s="42" t="n">
        <v>30970</v>
      </c>
    </row>
    <row r="153" spans="1:15">
      <c r="A153" s="37" t="n">
        <v>148</v>
      </c>
      <c r="B153" s="97" t="s">
        <v>2329</v>
      </c>
      <c r="C153" s="121" t="s">
        <v>58</v>
      </c>
      <c r="D153" s="121" t="s">
        <v>20</v>
      </c>
      <c r="E153" s="121" t="s">
        <v>21</v>
      </c>
      <c r="F153" s="121" t="s">
        <v>2330</v>
      </c>
      <c r="G153" s="121" t="s">
        <v>2331</v>
      </c>
      <c r="H153" s="99" t="n">
        <v>32600</v>
      </c>
      <c r="I153" s="99" t="n">
        <v>32600</v>
      </c>
      <c r="J153" s="99" t="n">
        <v>1630</v>
      </c>
      <c r="K153" s="99" t="n">
        <v>0</v>
      </c>
      <c r="L153" s="99" t="n">
        <v>0</v>
      </c>
      <c r="M153" s="99" t="n">
        <v>0</v>
      </c>
      <c r="N153" s="99" t="n">
        <v>0</v>
      </c>
      <c r="O153" s="42" t="n">
        <v>30970</v>
      </c>
    </row>
    <row r="154" spans="1:15">
      <c r="A154" s="37" t="n">
        <v>149</v>
      </c>
      <c r="B154" s="97" t="s">
        <v>2332</v>
      </c>
      <c r="C154" s="121" t="s">
        <v>111</v>
      </c>
      <c r="D154" s="121" t="s">
        <v>20</v>
      </c>
      <c r="E154" s="121" t="s">
        <v>21</v>
      </c>
      <c r="F154" s="121" t="s">
        <v>2333</v>
      </c>
      <c r="G154" s="121" t="s">
        <v>2334</v>
      </c>
      <c r="H154" s="99" t="n">
        <v>32600</v>
      </c>
      <c r="I154" s="99" t="n">
        <v>32600</v>
      </c>
      <c r="J154" s="99" t="n">
        <v>0</v>
      </c>
      <c r="K154" s="99" t="n">
        <v>0</v>
      </c>
      <c r="L154" s="99" t="n">
        <v>0</v>
      </c>
      <c r="M154" s="99" t="n">
        <v>0</v>
      </c>
      <c r="N154" s="99" t="n">
        <v>0</v>
      </c>
      <c r="O154" s="42" t="n">
        <v>32600</v>
      </c>
    </row>
    <row r="155" spans="1:15">
      <c r="A155" s="37" t="n">
        <v>150</v>
      </c>
      <c r="B155" s="97" t="s">
        <v>2335</v>
      </c>
      <c r="C155" s="121" t="s">
        <v>111</v>
      </c>
      <c r="D155" s="121" t="s">
        <v>20</v>
      </c>
      <c r="E155" s="121" t="s">
        <v>21</v>
      </c>
      <c r="F155" s="98" t="n">
        <v>0</v>
      </c>
      <c r="G155" s="121" t="s">
        <v>2336</v>
      </c>
      <c r="H155" s="99" t="n">
        <v>32600</v>
      </c>
      <c r="I155" s="99" t="n">
        <v>32600</v>
      </c>
      <c r="J155" s="99" t="n">
        <v>0</v>
      </c>
      <c r="K155" s="99" t="n">
        <v>0</v>
      </c>
      <c r="L155" s="99" t="n">
        <v>0</v>
      </c>
      <c r="M155" s="99" t="n">
        <v>0</v>
      </c>
      <c r="N155" s="99" t="n">
        <v>0</v>
      </c>
      <c r="O155" s="42" t="n">
        <v>32600</v>
      </c>
    </row>
    <row r="156" spans="1:15">
      <c r="A156" s="37" t="n">
        <v>151</v>
      </c>
      <c r="B156" s="97" t="s">
        <v>551</v>
      </c>
      <c r="C156" s="121" t="s">
        <v>111</v>
      </c>
      <c r="D156" s="121" t="s">
        <v>20</v>
      </c>
      <c r="E156" s="121" t="s">
        <v>21</v>
      </c>
      <c r="F156" s="121" t="s">
        <v>552</v>
      </c>
      <c r="G156" s="121" t="s">
        <v>554</v>
      </c>
      <c r="H156" s="99" t="n">
        <v>32600</v>
      </c>
      <c r="I156" s="99" t="n">
        <v>32600</v>
      </c>
      <c r="J156" s="99" t="n">
        <v>0</v>
      </c>
      <c r="K156" s="99" t="n">
        <v>0</v>
      </c>
      <c r="L156" s="99" t="n">
        <v>0</v>
      </c>
      <c r="M156" s="99" t="n">
        <v>0</v>
      </c>
      <c r="N156" s="99" t="n">
        <v>0</v>
      </c>
      <c r="O156" s="42" t="n">
        <v>32600</v>
      </c>
    </row>
    <row r="157" spans="1:15">
      <c r="A157" s="37" t="n">
        <v>152</v>
      </c>
      <c r="B157" s="97" t="s">
        <v>486</v>
      </c>
      <c r="C157" s="121" t="s">
        <v>111</v>
      </c>
      <c r="D157" s="121" t="s">
        <v>20</v>
      </c>
      <c r="E157" s="121" t="s">
        <v>21</v>
      </c>
      <c r="F157" s="121" t="s">
        <v>487</v>
      </c>
      <c r="G157" s="121" t="s">
        <v>488</v>
      </c>
      <c r="H157" s="99" t="n">
        <v>32600</v>
      </c>
      <c r="I157" s="99" t="n">
        <v>32600</v>
      </c>
      <c r="J157" s="99" t="n">
        <v>0</v>
      </c>
      <c r="K157" s="99" t="n">
        <v>0</v>
      </c>
      <c r="L157" s="99" t="n">
        <v>0</v>
      </c>
      <c r="M157" s="99" t="n">
        <v>0</v>
      </c>
      <c r="N157" s="99" t="n">
        <v>0</v>
      </c>
      <c r="O157" s="42" t="n">
        <v>32600</v>
      </c>
    </row>
    <row r="158" spans="1:15">
      <c r="A158" s="37" t="n">
        <v>153</v>
      </c>
      <c r="B158" s="97" t="s">
        <v>507</v>
      </c>
      <c r="C158" s="121" t="s">
        <v>111</v>
      </c>
      <c r="D158" s="121" t="s">
        <v>20</v>
      </c>
      <c r="E158" s="121" t="s">
        <v>21</v>
      </c>
      <c r="F158" s="121" t="s">
        <v>508</v>
      </c>
      <c r="G158" s="121" t="s">
        <v>509</v>
      </c>
      <c r="H158" s="99" t="n">
        <v>32600</v>
      </c>
      <c r="I158" s="99" t="n">
        <v>32600</v>
      </c>
      <c r="J158" s="99" t="n">
        <v>0</v>
      </c>
      <c r="K158" s="99" t="n">
        <v>0</v>
      </c>
      <c r="L158" s="99" t="n">
        <v>0</v>
      </c>
      <c r="M158" s="99" t="n">
        <v>0</v>
      </c>
      <c r="N158" s="99" t="n">
        <v>0</v>
      </c>
      <c r="O158" s="42" t="n">
        <v>32600</v>
      </c>
    </row>
    <row r="159" spans="1:15">
      <c r="A159" s="37" t="n">
        <v>154</v>
      </c>
      <c r="B159" s="97" t="s">
        <v>341</v>
      </c>
      <c r="C159" s="121" t="s">
        <v>111</v>
      </c>
      <c r="D159" s="121" t="s">
        <v>20</v>
      </c>
      <c r="E159" s="121" t="s">
        <v>21</v>
      </c>
      <c r="F159" s="121" t="s">
        <v>342</v>
      </c>
      <c r="G159" s="121" t="s">
        <v>344</v>
      </c>
      <c r="H159" s="99" t="n">
        <v>32600</v>
      </c>
      <c r="I159" s="99" t="n">
        <v>32600</v>
      </c>
      <c r="J159" s="99" t="n">
        <v>0</v>
      </c>
      <c r="K159" s="99" t="n">
        <v>0</v>
      </c>
      <c r="L159" s="99" t="n">
        <v>0</v>
      </c>
      <c r="M159" s="99" t="n">
        <v>0</v>
      </c>
      <c r="N159" s="99" t="n">
        <v>0</v>
      </c>
      <c r="O159" s="42" t="n">
        <v>32600</v>
      </c>
    </row>
    <row r="160" spans="1:15">
      <c r="A160" s="37" t="n">
        <v>155</v>
      </c>
      <c r="B160" s="97" t="s">
        <v>574</v>
      </c>
      <c r="C160" s="121" t="s">
        <v>111</v>
      </c>
      <c r="D160" s="121" t="s">
        <v>20</v>
      </c>
      <c r="E160" s="121" t="s">
        <v>21</v>
      </c>
      <c r="F160" s="121" t="s">
        <v>575</v>
      </c>
      <c r="G160" s="121" t="s">
        <v>576</v>
      </c>
      <c r="H160" s="99" t="n">
        <v>32600</v>
      </c>
      <c r="I160" s="99" t="n">
        <v>32600</v>
      </c>
      <c r="J160" s="99" t="n">
        <v>0</v>
      </c>
      <c r="K160" s="99" t="n">
        <v>0</v>
      </c>
      <c r="L160" s="99" t="n">
        <v>0</v>
      </c>
      <c r="M160" s="99" t="n">
        <v>0</v>
      </c>
      <c r="N160" s="99" t="n">
        <v>0</v>
      </c>
      <c r="O160" s="42" t="n">
        <v>32600</v>
      </c>
    </row>
    <row r="161" spans="1:15">
      <c r="A161" s="37" t="n">
        <v>156</v>
      </c>
      <c r="B161" s="97" t="s">
        <v>2337</v>
      </c>
      <c r="C161" s="121" t="s">
        <v>111</v>
      </c>
      <c r="D161" s="121" t="s">
        <v>20</v>
      </c>
      <c r="E161" s="121" t="s">
        <v>21</v>
      </c>
      <c r="F161" s="121" t="s">
        <v>2338</v>
      </c>
      <c r="G161" s="121" t="s">
        <v>2339</v>
      </c>
      <c r="H161" s="99" t="n">
        <v>32600</v>
      </c>
      <c r="I161" s="99" t="n">
        <v>32600</v>
      </c>
      <c r="J161" s="99" t="n">
        <v>0</v>
      </c>
      <c r="K161" s="99" t="n">
        <v>0</v>
      </c>
      <c r="L161" s="99" t="n">
        <v>0</v>
      </c>
      <c r="M161" s="99" t="n">
        <v>0</v>
      </c>
      <c r="N161" s="99" t="n">
        <v>0</v>
      </c>
      <c r="O161" s="42" t="n">
        <v>32600</v>
      </c>
    </row>
    <row r="162" spans="1:15">
      <c r="A162" s="37" t="n">
        <v>157</v>
      </c>
      <c r="B162" s="97" t="s">
        <v>497</v>
      </c>
      <c r="C162" s="121" t="s">
        <v>111</v>
      </c>
      <c r="D162" s="121" t="s">
        <v>20</v>
      </c>
      <c r="E162" s="121" t="s">
        <v>21</v>
      </c>
      <c r="F162" s="121" t="s">
        <v>498</v>
      </c>
      <c r="G162" s="121" t="s">
        <v>500</v>
      </c>
      <c r="H162" s="99" t="n">
        <v>32600</v>
      </c>
      <c r="I162" s="99" t="n">
        <v>32600</v>
      </c>
      <c r="J162" s="99" t="n">
        <v>0</v>
      </c>
      <c r="K162" s="99" t="n">
        <v>0</v>
      </c>
      <c r="L162" s="99" t="n">
        <v>0</v>
      </c>
      <c r="M162" s="99" t="n">
        <v>0</v>
      </c>
      <c r="N162" s="99" t="n">
        <v>0</v>
      </c>
      <c r="O162" s="42" t="n">
        <v>32600</v>
      </c>
    </row>
    <row r="163" spans="1:15">
      <c r="A163" s="37" t="n">
        <v>158</v>
      </c>
      <c r="B163" s="97" t="s">
        <v>2340</v>
      </c>
      <c r="C163" s="121" t="s">
        <v>111</v>
      </c>
      <c r="D163" s="121" t="s">
        <v>20</v>
      </c>
      <c r="E163" s="121" t="s">
        <v>21</v>
      </c>
      <c r="F163" s="98" t="n">
        <v>0</v>
      </c>
      <c r="G163" s="121" t="s">
        <v>2341</v>
      </c>
      <c r="H163" s="99" t="n">
        <v>32600</v>
      </c>
      <c r="I163" s="99" t="n">
        <v>32600</v>
      </c>
      <c r="J163" s="99" t="n">
        <v>0</v>
      </c>
      <c r="K163" s="99" t="n">
        <v>0</v>
      </c>
      <c r="L163" s="99" t="n">
        <v>0</v>
      </c>
      <c r="M163" s="99" t="n">
        <v>0</v>
      </c>
      <c r="N163" s="99" t="n">
        <v>0</v>
      </c>
      <c r="O163" s="42" t="n">
        <v>32600</v>
      </c>
    </row>
    <row r="164" spans="1:15">
      <c r="A164" s="37" t="n">
        <v>159</v>
      </c>
      <c r="B164" s="97" t="s">
        <v>565</v>
      </c>
      <c r="C164" s="121" t="s">
        <v>111</v>
      </c>
      <c r="D164" s="121" t="s">
        <v>20</v>
      </c>
      <c r="E164" s="121" t="s">
        <v>21</v>
      </c>
      <c r="F164" s="121" t="s">
        <v>566</v>
      </c>
      <c r="G164" s="121" t="s">
        <v>567</v>
      </c>
      <c r="H164" s="99" t="n">
        <v>32600</v>
      </c>
      <c r="I164" s="99" t="n">
        <v>32600</v>
      </c>
      <c r="J164" s="99" t="n">
        <v>0</v>
      </c>
      <c r="K164" s="99" t="n">
        <v>0</v>
      </c>
      <c r="L164" s="99" t="n">
        <v>0</v>
      </c>
      <c r="M164" s="99" t="n">
        <v>0</v>
      </c>
      <c r="N164" s="99" t="n">
        <v>0</v>
      </c>
      <c r="O164" s="42" t="n">
        <v>32600</v>
      </c>
    </row>
    <row r="165" spans="1:15">
      <c r="A165" s="37" t="n">
        <v>160</v>
      </c>
      <c r="B165" s="97" t="s">
        <v>501</v>
      </c>
      <c r="C165" s="121" t="s">
        <v>111</v>
      </c>
      <c r="D165" s="121" t="s">
        <v>20</v>
      </c>
      <c r="E165" s="121" t="s">
        <v>21</v>
      </c>
      <c r="F165" s="121" t="s">
        <v>502</v>
      </c>
      <c r="G165" s="121" t="s">
        <v>503</v>
      </c>
      <c r="H165" s="99" t="n">
        <v>32600</v>
      </c>
      <c r="I165" s="99" t="n">
        <v>32600</v>
      </c>
      <c r="J165" s="99" t="n">
        <v>0</v>
      </c>
      <c r="K165" s="99" t="n">
        <v>0</v>
      </c>
      <c r="L165" s="99" t="n">
        <v>0</v>
      </c>
      <c r="M165" s="99" t="n">
        <v>0</v>
      </c>
      <c r="N165" s="99" t="n">
        <v>0</v>
      </c>
      <c r="O165" s="42" t="n">
        <v>32600</v>
      </c>
    </row>
    <row r="166" spans="1:15">
      <c r="A166" s="37" t="n">
        <v>161</v>
      </c>
      <c r="B166" s="97" t="s">
        <v>2342</v>
      </c>
      <c r="C166" s="121" t="s">
        <v>111</v>
      </c>
      <c r="D166" s="121" t="s">
        <v>20</v>
      </c>
      <c r="E166" s="121" t="s">
        <v>21</v>
      </c>
      <c r="F166" s="98" t="n">
        <v>0</v>
      </c>
      <c r="G166" s="121" t="s">
        <v>2343</v>
      </c>
      <c r="H166" s="99" t="n">
        <v>32600</v>
      </c>
      <c r="I166" s="99" t="n">
        <v>32600</v>
      </c>
      <c r="J166" s="99" t="n">
        <v>0</v>
      </c>
      <c r="K166" s="99" t="n">
        <v>0</v>
      </c>
      <c r="L166" s="99" t="n">
        <v>0</v>
      </c>
      <c r="M166" s="99" t="n">
        <v>0</v>
      </c>
      <c r="N166" s="99" t="n">
        <v>0</v>
      </c>
      <c r="O166" s="42" t="n">
        <v>32600</v>
      </c>
    </row>
    <row r="167" spans="1:15">
      <c r="A167" s="37" t="n">
        <v>162</v>
      </c>
      <c r="B167" s="97" t="s">
        <v>611</v>
      </c>
      <c r="C167" s="121" t="s">
        <v>111</v>
      </c>
      <c r="D167" s="121" t="s">
        <v>20</v>
      </c>
      <c r="E167" s="121" t="s">
        <v>21</v>
      </c>
      <c r="F167" s="121" t="s">
        <v>612</v>
      </c>
      <c r="G167" s="121" t="s">
        <v>613</v>
      </c>
      <c r="H167" s="99" t="n">
        <v>32600</v>
      </c>
      <c r="I167" s="99" t="n">
        <v>32600</v>
      </c>
      <c r="J167" s="99" t="n">
        <v>0</v>
      </c>
      <c r="K167" s="99" t="n">
        <v>0</v>
      </c>
      <c r="L167" s="99" t="n">
        <v>0</v>
      </c>
      <c r="M167" s="99" t="n">
        <v>0</v>
      </c>
      <c r="N167" s="99" t="n">
        <v>0</v>
      </c>
      <c r="O167" s="42" t="n">
        <v>32600</v>
      </c>
    </row>
    <row r="168" spans="1:15">
      <c r="A168" s="37" t="n">
        <v>163</v>
      </c>
      <c r="B168" s="97" t="s">
        <v>572</v>
      </c>
      <c r="C168" s="121" t="s">
        <v>120</v>
      </c>
      <c r="D168" s="121" t="s">
        <v>128</v>
      </c>
      <c r="E168" s="121" t="s">
        <v>15</v>
      </c>
      <c r="F168" s="98" t="n">
        <v>0</v>
      </c>
      <c r="G168" s="121" t="s">
        <v>573</v>
      </c>
      <c r="H168" s="99" t="n">
        <v>32600</v>
      </c>
      <c r="I168" s="99" t="n">
        <v>32600</v>
      </c>
      <c r="J168" s="99" t="n">
        <v>0</v>
      </c>
      <c r="K168" s="99" t="n">
        <v>0</v>
      </c>
      <c r="L168" s="99" t="n">
        <v>0</v>
      </c>
      <c r="M168" s="99" t="n">
        <v>0</v>
      </c>
      <c r="N168" s="99" t="n">
        <v>0</v>
      </c>
      <c r="O168" s="42" t="n">
        <v>32600</v>
      </c>
    </row>
    <row r="169" spans="1:15">
      <c r="A169" s="37" t="n">
        <v>164</v>
      </c>
      <c r="B169" s="97" t="s">
        <v>482</v>
      </c>
      <c r="C169" s="121" t="s">
        <v>120</v>
      </c>
      <c r="D169" s="121" t="s">
        <v>278</v>
      </c>
      <c r="E169" s="121" t="s">
        <v>16</v>
      </c>
      <c r="F169" s="98" t="n">
        <v>0</v>
      </c>
      <c r="G169" s="121" t="s">
        <v>483</v>
      </c>
      <c r="H169" s="99" t="n">
        <v>32600</v>
      </c>
      <c r="I169" s="99" t="n">
        <v>32600</v>
      </c>
      <c r="J169" s="99" t="n">
        <v>0</v>
      </c>
      <c r="K169" s="99" t="n">
        <v>0</v>
      </c>
      <c r="L169" s="99" t="n">
        <v>0</v>
      </c>
      <c r="M169" s="99" t="n">
        <v>0</v>
      </c>
      <c r="N169" s="99" t="n">
        <v>0</v>
      </c>
      <c r="O169" s="42" t="n">
        <v>32600</v>
      </c>
    </row>
    <row r="170" spans="1:15">
      <c r="A170" s="37" t="n">
        <v>165</v>
      </c>
      <c r="B170" s="97" t="s">
        <v>529</v>
      </c>
      <c r="C170" s="121" t="s">
        <v>120</v>
      </c>
      <c r="D170" s="121" t="s">
        <v>128</v>
      </c>
      <c r="E170" s="121" t="s">
        <v>15</v>
      </c>
      <c r="F170" s="98" t="n">
        <v>0</v>
      </c>
      <c r="G170" s="121" t="s">
        <v>530</v>
      </c>
      <c r="H170" s="99" t="n">
        <v>32600</v>
      </c>
      <c r="I170" s="99" t="n">
        <v>32600</v>
      </c>
      <c r="J170" s="99" t="n">
        <v>0</v>
      </c>
      <c r="K170" s="99" t="n">
        <v>0</v>
      </c>
      <c r="L170" s="99" t="n">
        <v>0</v>
      </c>
      <c r="M170" s="99" t="n">
        <v>0</v>
      </c>
      <c r="N170" s="99" t="n">
        <v>0</v>
      </c>
      <c r="O170" s="42" t="n">
        <v>32600</v>
      </c>
    </row>
    <row r="171" spans="1:15">
      <c r="A171" s="37" t="n">
        <v>166</v>
      </c>
      <c r="B171" s="97" t="s">
        <v>563</v>
      </c>
      <c r="C171" s="121" t="s">
        <v>120</v>
      </c>
      <c r="D171" s="121" t="s">
        <v>124</v>
      </c>
      <c r="E171" s="121" t="s">
        <v>15</v>
      </c>
      <c r="F171" s="98" t="n">
        <v>0</v>
      </c>
      <c r="G171" s="121" t="s">
        <v>564</v>
      </c>
      <c r="H171" s="99" t="n">
        <v>32600</v>
      </c>
      <c r="I171" s="99" t="n">
        <v>32600</v>
      </c>
      <c r="J171" s="99" t="n">
        <v>0</v>
      </c>
      <c r="K171" s="99" t="n">
        <v>0</v>
      </c>
      <c r="L171" s="99" t="n">
        <v>0</v>
      </c>
      <c r="M171" s="99" t="n">
        <v>0</v>
      </c>
      <c r="N171" s="99" t="n">
        <v>0</v>
      </c>
      <c r="O171" s="42" t="n">
        <v>32600</v>
      </c>
    </row>
    <row r="172" spans="1:15">
      <c r="A172" s="37" t="n">
        <v>167</v>
      </c>
      <c r="B172" s="97" t="s">
        <v>323</v>
      </c>
      <c r="C172" s="121" t="s">
        <v>120</v>
      </c>
      <c r="D172" s="121" t="s">
        <v>124</v>
      </c>
      <c r="E172" s="121" t="s">
        <v>15</v>
      </c>
      <c r="F172" s="98" t="n">
        <v>0</v>
      </c>
      <c r="G172" s="121" t="s">
        <v>324</v>
      </c>
      <c r="H172" s="99" t="n">
        <v>32600</v>
      </c>
      <c r="I172" s="99" t="n">
        <v>32600</v>
      </c>
      <c r="J172" s="99" t="n">
        <v>0</v>
      </c>
      <c r="K172" s="99" t="n">
        <v>0</v>
      </c>
      <c r="L172" s="99" t="n">
        <v>0</v>
      </c>
      <c r="M172" s="99" t="n">
        <v>0</v>
      </c>
      <c r="N172" s="99" t="n">
        <v>0</v>
      </c>
      <c r="O172" s="42" t="n">
        <v>32600</v>
      </c>
    </row>
    <row r="173" spans="1:15">
      <c r="A173" s="37" t="n">
        <v>168</v>
      </c>
      <c r="B173" s="97" t="s">
        <v>119</v>
      </c>
      <c r="C173" s="121" t="s">
        <v>120</v>
      </c>
      <c r="D173" s="121" t="s">
        <v>137</v>
      </c>
      <c r="E173" s="121" t="s">
        <v>14</v>
      </c>
      <c r="F173" s="121" t="s">
        <v>2344</v>
      </c>
      <c r="G173" s="121" t="s">
        <v>122</v>
      </c>
      <c r="H173" s="99" t="n">
        <v>32600</v>
      </c>
      <c r="I173" s="99" t="n">
        <v>32600</v>
      </c>
      <c r="J173" s="99" t="n">
        <v>0</v>
      </c>
      <c r="K173" s="99" t="n">
        <v>0</v>
      </c>
      <c r="L173" s="99" t="n">
        <v>0</v>
      </c>
      <c r="M173" s="99" t="n">
        <v>0</v>
      </c>
      <c r="N173" s="99" t="n">
        <v>0</v>
      </c>
      <c r="O173" s="42" t="n">
        <v>32600</v>
      </c>
    </row>
    <row r="174" spans="1:15">
      <c r="A174" s="37" t="n">
        <v>169</v>
      </c>
      <c r="B174" s="97" t="s">
        <v>478</v>
      </c>
      <c r="C174" s="121" t="s">
        <v>120</v>
      </c>
      <c r="D174" s="121" t="s">
        <v>278</v>
      </c>
      <c r="E174" s="121" t="s">
        <v>16</v>
      </c>
      <c r="F174" s="98" t="n">
        <v>0</v>
      </c>
      <c r="G174" s="121" t="s">
        <v>479</v>
      </c>
      <c r="H174" s="99" t="n">
        <v>32600</v>
      </c>
      <c r="I174" s="99" t="n">
        <v>32600</v>
      </c>
      <c r="J174" s="99" t="n">
        <v>0</v>
      </c>
      <c r="K174" s="99" t="n">
        <v>0</v>
      </c>
      <c r="L174" s="99" t="n">
        <v>0</v>
      </c>
      <c r="M174" s="99" t="n">
        <v>0</v>
      </c>
      <c r="N174" s="99" t="n">
        <v>0</v>
      </c>
      <c r="O174" s="42" t="n">
        <v>32600</v>
      </c>
    </row>
    <row r="175" spans="1:15">
      <c r="A175" s="37" t="n">
        <v>170</v>
      </c>
      <c r="B175" s="97" t="s">
        <v>495</v>
      </c>
      <c r="C175" s="121" t="s">
        <v>120</v>
      </c>
      <c r="D175" s="121" t="s">
        <v>121</v>
      </c>
      <c r="E175" s="121" t="s">
        <v>14</v>
      </c>
      <c r="F175" s="98" t="n">
        <v>0</v>
      </c>
      <c r="G175" s="121" t="s">
        <v>496</v>
      </c>
      <c r="H175" s="99" t="n">
        <v>32600</v>
      </c>
      <c r="I175" s="99" t="n">
        <v>32600</v>
      </c>
      <c r="J175" s="99" t="n">
        <v>0</v>
      </c>
      <c r="K175" s="99" t="n">
        <v>0</v>
      </c>
      <c r="L175" s="99" t="n">
        <v>0</v>
      </c>
      <c r="M175" s="99" t="n">
        <v>0</v>
      </c>
      <c r="N175" s="99" t="n">
        <v>0</v>
      </c>
      <c r="O175" s="42" t="n">
        <v>32600</v>
      </c>
    </row>
    <row r="176" spans="1:15">
      <c r="A176" s="37" t="n">
        <v>171</v>
      </c>
      <c r="B176" s="97" t="s">
        <v>484</v>
      </c>
      <c r="C176" s="121" t="s">
        <v>120</v>
      </c>
      <c r="D176" s="121" t="s">
        <v>128</v>
      </c>
      <c r="E176" s="121" t="s">
        <v>15</v>
      </c>
      <c r="F176" s="98" t="n">
        <v>0</v>
      </c>
      <c r="G176" s="121" t="s">
        <v>485</v>
      </c>
      <c r="H176" s="99" t="n">
        <v>32600</v>
      </c>
      <c r="I176" s="99" t="n">
        <v>32600</v>
      </c>
      <c r="J176" s="99" t="n">
        <v>0</v>
      </c>
      <c r="K176" s="99" t="n">
        <v>0</v>
      </c>
      <c r="L176" s="99" t="n">
        <v>0</v>
      </c>
      <c r="M176" s="99" t="n">
        <v>0</v>
      </c>
      <c r="N176" s="99" t="n">
        <v>0</v>
      </c>
      <c r="O176" s="42" t="n">
        <v>32600</v>
      </c>
    </row>
    <row r="177" spans="1:15">
      <c r="A177" s="37" t="n">
        <v>172</v>
      </c>
      <c r="B177" s="97" t="s">
        <v>558</v>
      </c>
      <c r="C177" s="121" t="s">
        <v>120</v>
      </c>
      <c r="D177" s="121" t="s">
        <v>128</v>
      </c>
      <c r="E177" s="121" t="s">
        <v>15</v>
      </c>
      <c r="F177" s="98" t="n">
        <v>0</v>
      </c>
      <c r="G177" s="121" t="s">
        <v>560</v>
      </c>
      <c r="H177" s="99" t="n">
        <v>32600</v>
      </c>
      <c r="I177" s="99" t="n">
        <v>32600</v>
      </c>
      <c r="J177" s="99" t="n">
        <v>0</v>
      </c>
      <c r="K177" s="99" t="n">
        <v>0</v>
      </c>
      <c r="L177" s="99" t="n">
        <v>0</v>
      </c>
      <c r="M177" s="99" t="n">
        <v>0</v>
      </c>
      <c r="N177" s="99" t="n">
        <v>0</v>
      </c>
      <c r="O177" s="42" t="n">
        <v>32600</v>
      </c>
    </row>
    <row r="178" spans="1:15">
      <c r="A178" s="37" t="n">
        <v>173</v>
      </c>
      <c r="B178" s="97" t="s">
        <v>561</v>
      </c>
      <c r="C178" s="121" t="s">
        <v>120</v>
      </c>
      <c r="D178" s="121" t="s">
        <v>137</v>
      </c>
      <c r="E178" s="121" t="s">
        <v>14</v>
      </c>
      <c r="F178" s="98" t="n">
        <v>0</v>
      </c>
      <c r="G178" s="121" t="s">
        <v>562</v>
      </c>
      <c r="H178" s="99" t="n">
        <v>32600</v>
      </c>
      <c r="I178" s="99" t="n">
        <v>32600</v>
      </c>
      <c r="J178" s="99" t="n">
        <v>0</v>
      </c>
      <c r="K178" s="99" t="n">
        <v>0</v>
      </c>
      <c r="L178" s="99" t="n">
        <v>0</v>
      </c>
      <c r="M178" s="99" t="n">
        <v>0</v>
      </c>
      <c r="N178" s="99" t="n">
        <v>0</v>
      </c>
      <c r="O178" s="42" t="n">
        <v>32600</v>
      </c>
    </row>
    <row r="179" spans="1:15">
      <c r="A179" s="37" t="n">
        <v>174</v>
      </c>
      <c r="B179" s="97" t="s">
        <v>2345</v>
      </c>
      <c r="C179" s="121" t="s">
        <v>120</v>
      </c>
      <c r="D179" s="121" t="s">
        <v>128</v>
      </c>
      <c r="E179" s="121" t="s">
        <v>15</v>
      </c>
      <c r="F179" s="121" t="s">
        <v>2346</v>
      </c>
      <c r="G179" s="121" t="s">
        <v>2347</v>
      </c>
      <c r="H179" s="99" t="n">
        <v>32600</v>
      </c>
      <c r="I179" s="99" t="n">
        <v>32600</v>
      </c>
      <c r="J179" s="99" t="n">
        <v>0</v>
      </c>
      <c r="K179" s="99" t="n">
        <v>0</v>
      </c>
      <c r="L179" s="99" t="n">
        <v>0</v>
      </c>
      <c r="M179" s="99" t="n">
        <v>0</v>
      </c>
      <c r="N179" s="99" t="n">
        <v>0</v>
      </c>
      <c r="O179" s="42" t="n">
        <v>32600</v>
      </c>
    </row>
    <row r="180" spans="1:15">
      <c r="A180" s="37" t="n">
        <v>175</v>
      </c>
      <c r="B180" s="97" t="s">
        <v>570</v>
      </c>
      <c r="C180" s="121" t="s">
        <v>120</v>
      </c>
      <c r="D180" s="121" t="s">
        <v>124</v>
      </c>
      <c r="E180" s="121" t="s">
        <v>15</v>
      </c>
      <c r="F180" s="98" t="n">
        <v>0</v>
      </c>
      <c r="G180" s="121" t="s">
        <v>571</v>
      </c>
      <c r="H180" s="99" t="n">
        <v>32600</v>
      </c>
      <c r="I180" s="99" t="n">
        <v>32600</v>
      </c>
      <c r="J180" s="99" t="n">
        <v>0</v>
      </c>
      <c r="K180" s="99" t="n">
        <v>0</v>
      </c>
      <c r="L180" s="99" t="n">
        <v>0</v>
      </c>
      <c r="M180" s="99" t="n">
        <v>0</v>
      </c>
      <c r="N180" s="99" t="n">
        <v>0</v>
      </c>
      <c r="O180" s="42" t="n">
        <v>32600</v>
      </c>
    </row>
    <row r="181" spans="1:15">
      <c r="A181" s="37" t="n">
        <v>176</v>
      </c>
      <c r="B181" s="97" t="s">
        <v>811</v>
      </c>
      <c r="C181" s="121" t="s">
        <v>120</v>
      </c>
      <c r="D181" s="121" t="s">
        <v>128</v>
      </c>
      <c r="E181" s="121" t="s">
        <v>15</v>
      </c>
      <c r="F181" s="121" t="s">
        <v>2348</v>
      </c>
      <c r="G181" s="121" t="s">
        <v>812</v>
      </c>
      <c r="H181" s="99" t="n">
        <v>32600</v>
      </c>
      <c r="I181" s="99" t="n">
        <v>32600</v>
      </c>
      <c r="J181" s="99" t="n">
        <v>0</v>
      </c>
      <c r="K181" s="99" t="n">
        <v>0</v>
      </c>
      <c r="L181" s="99" t="n">
        <v>0</v>
      </c>
      <c r="M181" s="99" t="n">
        <v>0</v>
      </c>
      <c r="N181" s="99" t="n">
        <v>0</v>
      </c>
      <c r="O181" s="42" t="n">
        <v>32600</v>
      </c>
    </row>
    <row r="182" spans="1:15">
      <c r="A182" s="37" t="n">
        <v>177</v>
      </c>
      <c r="B182" s="97" t="s">
        <v>577</v>
      </c>
      <c r="C182" s="121" t="s">
        <v>95</v>
      </c>
      <c r="D182" s="121" t="s">
        <v>128</v>
      </c>
      <c r="E182" s="121" t="s">
        <v>15</v>
      </c>
      <c r="F182" s="98" t="n">
        <v>0</v>
      </c>
      <c r="G182" s="121" t="s">
        <v>578</v>
      </c>
      <c r="H182" s="99" t="n">
        <v>32600</v>
      </c>
      <c r="I182" s="99" t="n">
        <v>32600</v>
      </c>
      <c r="J182" s="99" t="n">
        <v>0</v>
      </c>
      <c r="K182" s="99" t="n">
        <v>0</v>
      </c>
      <c r="L182" s="99" t="n">
        <v>0</v>
      </c>
      <c r="M182" s="99" t="n">
        <v>0</v>
      </c>
      <c r="N182" s="99" t="n">
        <v>0</v>
      </c>
      <c r="O182" s="42" t="n">
        <v>32600</v>
      </c>
    </row>
    <row r="183" spans="1:15">
      <c r="A183" s="37" t="n">
        <v>178</v>
      </c>
      <c r="B183" s="97" t="s">
        <v>568</v>
      </c>
      <c r="C183" s="121" t="s">
        <v>95</v>
      </c>
      <c r="D183" s="121" t="s">
        <v>137</v>
      </c>
      <c r="E183" s="121" t="s">
        <v>14</v>
      </c>
      <c r="F183" s="98" t="n">
        <v>0</v>
      </c>
      <c r="G183" s="121" t="s">
        <v>569</v>
      </c>
      <c r="H183" s="99" t="n">
        <v>32600</v>
      </c>
      <c r="I183" s="99" t="n">
        <v>32600</v>
      </c>
      <c r="J183" s="99" t="n">
        <v>0</v>
      </c>
      <c r="K183" s="99" t="n">
        <v>0</v>
      </c>
      <c r="L183" s="99" t="n">
        <v>0</v>
      </c>
      <c r="M183" s="99" t="n">
        <v>0</v>
      </c>
      <c r="N183" s="99" t="n">
        <v>0</v>
      </c>
      <c r="O183" s="42" t="n">
        <v>32600</v>
      </c>
    </row>
    <row r="184" spans="1:15">
      <c r="A184" s="37" t="n">
        <v>179</v>
      </c>
      <c r="B184" s="97" t="s">
        <v>2349</v>
      </c>
      <c r="C184" s="121" t="s">
        <v>95</v>
      </c>
      <c r="D184" s="121" t="s">
        <v>128</v>
      </c>
      <c r="E184" s="121" t="s">
        <v>15</v>
      </c>
      <c r="F184" s="121" t="s">
        <v>2350</v>
      </c>
      <c r="G184" s="121" t="s">
        <v>2351</v>
      </c>
      <c r="H184" s="99" t="n">
        <v>32600</v>
      </c>
      <c r="I184" s="99" t="n">
        <v>32600</v>
      </c>
      <c r="J184" s="99" t="n">
        <v>0</v>
      </c>
      <c r="K184" s="99" t="n">
        <v>0</v>
      </c>
      <c r="L184" s="99" t="n">
        <v>0</v>
      </c>
      <c r="M184" s="99" t="n">
        <v>0</v>
      </c>
      <c r="N184" s="99" t="n">
        <v>0</v>
      </c>
      <c r="O184" s="42" t="n">
        <v>32600</v>
      </c>
    </row>
    <row r="185" spans="1:15">
      <c r="A185" s="37" t="n">
        <v>180</v>
      </c>
      <c r="B185" s="97" t="s">
        <v>2095</v>
      </c>
      <c r="C185" s="121" t="s">
        <v>95</v>
      </c>
      <c r="D185" s="121" t="s">
        <v>128</v>
      </c>
      <c r="E185" s="121" t="s">
        <v>15</v>
      </c>
      <c r="F185" s="121" t="s">
        <v>2352</v>
      </c>
      <c r="G185" s="121" t="s">
        <v>2096</v>
      </c>
      <c r="H185" s="99" t="n">
        <v>32600</v>
      </c>
      <c r="I185" s="99" t="n">
        <v>32600</v>
      </c>
      <c r="J185" s="99" t="n">
        <v>0</v>
      </c>
      <c r="K185" s="99" t="n">
        <v>0</v>
      </c>
      <c r="L185" s="99" t="n">
        <v>0</v>
      </c>
      <c r="M185" s="99" t="n">
        <v>0</v>
      </c>
      <c r="N185" s="99" t="n">
        <v>0</v>
      </c>
      <c r="O185" s="42" t="n">
        <v>32600</v>
      </c>
    </row>
    <row r="186" spans="1:15">
      <c r="A186" s="37" t="n">
        <v>181</v>
      </c>
      <c r="B186" s="97" t="s">
        <v>2353</v>
      </c>
      <c r="C186" s="121" t="s">
        <v>95</v>
      </c>
      <c r="D186" s="121" t="s">
        <v>128</v>
      </c>
      <c r="E186" s="121" t="s">
        <v>15</v>
      </c>
      <c r="F186" s="121" t="s">
        <v>2074</v>
      </c>
      <c r="G186" s="121" t="s">
        <v>2354</v>
      </c>
      <c r="H186" s="99" t="n">
        <v>32600</v>
      </c>
      <c r="I186" s="99" t="n">
        <v>32600</v>
      </c>
      <c r="J186" s="99" t="n">
        <v>0</v>
      </c>
      <c r="K186" s="99" t="n">
        <v>0</v>
      </c>
      <c r="L186" s="99" t="n">
        <v>0</v>
      </c>
      <c r="M186" s="99" t="n">
        <v>0</v>
      </c>
      <c r="N186" s="99" t="n">
        <v>0</v>
      </c>
      <c r="O186" s="42" t="n">
        <v>32600</v>
      </c>
    </row>
    <row r="187" spans="1:15">
      <c r="A187" s="37" t="n">
        <v>182</v>
      </c>
      <c r="B187" s="97" t="s">
        <v>474</v>
      </c>
      <c r="C187" s="121" t="s">
        <v>95</v>
      </c>
      <c r="D187" s="121" t="s">
        <v>124</v>
      </c>
      <c r="E187" s="121" t="s">
        <v>15</v>
      </c>
      <c r="F187" s="98" t="n">
        <v>0</v>
      </c>
      <c r="G187" s="121" t="s">
        <v>475</v>
      </c>
      <c r="H187" s="99" t="n">
        <v>32600</v>
      </c>
      <c r="I187" s="99" t="n">
        <v>32600</v>
      </c>
      <c r="J187" s="99" t="n">
        <v>0</v>
      </c>
      <c r="K187" s="99" t="n">
        <v>0</v>
      </c>
      <c r="L187" s="99" t="n">
        <v>0</v>
      </c>
      <c r="M187" s="99" t="n">
        <v>0</v>
      </c>
      <c r="N187" s="99" t="n">
        <v>0</v>
      </c>
      <c r="O187" s="42" t="n">
        <v>32600</v>
      </c>
    </row>
    <row r="188" spans="1:15">
      <c r="A188" s="37" t="n">
        <v>183</v>
      </c>
      <c r="B188" s="97" t="s">
        <v>476</v>
      </c>
      <c r="C188" s="121" t="s">
        <v>95</v>
      </c>
      <c r="D188" s="121" t="s">
        <v>124</v>
      </c>
      <c r="E188" s="121" t="s">
        <v>15</v>
      </c>
      <c r="F188" s="98" t="n">
        <v>0</v>
      </c>
      <c r="G188" s="121" t="s">
        <v>477</v>
      </c>
      <c r="H188" s="99" t="n">
        <v>32600</v>
      </c>
      <c r="I188" s="99" t="n">
        <v>32600</v>
      </c>
      <c r="J188" s="99" t="n">
        <v>0</v>
      </c>
      <c r="K188" s="99" t="n">
        <v>0</v>
      </c>
      <c r="L188" s="99" t="n">
        <v>0</v>
      </c>
      <c r="M188" s="99" t="n">
        <v>0</v>
      </c>
      <c r="N188" s="99" t="n">
        <v>0</v>
      </c>
      <c r="O188" s="42" t="n">
        <v>32600</v>
      </c>
    </row>
    <row r="189" spans="1:15">
      <c r="A189" s="37" t="n">
        <v>184</v>
      </c>
      <c r="B189" s="97" t="s">
        <v>2355</v>
      </c>
      <c r="C189" s="121" t="s">
        <v>95</v>
      </c>
      <c r="D189" s="121" t="s">
        <v>124</v>
      </c>
      <c r="E189" s="121" t="s">
        <v>15</v>
      </c>
      <c r="F189" s="98" t="n">
        <v>0</v>
      </c>
      <c r="G189" s="121" t="s">
        <v>2356</v>
      </c>
      <c r="H189" s="99" t="n">
        <v>32600</v>
      </c>
      <c r="I189" s="99" t="n">
        <v>32600</v>
      </c>
      <c r="J189" s="99" t="n">
        <v>0</v>
      </c>
      <c r="K189" s="99" t="n">
        <v>0</v>
      </c>
      <c r="L189" s="99" t="n">
        <v>0</v>
      </c>
      <c r="M189" s="99" t="n">
        <v>0</v>
      </c>
      <c r="N189" s="99" t="n">
        <v>0</v>
      </c>
      <c r="O189" s="42" t="n">
        <v>32600</v>
      </c>
    </row>
    <row r="190" spans="1:15">
      <c r="A190" s="37" t="n">
        <v>185</v>
      </c>
      <c r="B190" s="97" t="s">
        <v>489</v>
      </c>
      <c r="C190" s="121" t="s">
        <v>58</v>
      </c>
      <c r="D190" s="121" t="s">
        <v>20</v>
      </c>
      <c r="E190" s="121" t="s">
        <v>21</v>
      </c>
      <c r="F190" s="121" t="s">
        <v>490</v>
      </c>
      <c r="G190" s="121" t="s">
        <v>491</v>
      </c>
      <c r="H190" s="99" t="n">
        <v>32600</v>
      </c>
      <c r="I190" s="99" t="n">
        <v>32600</v>
      </c>
      <c r="J190" s="99" t="n">
        <v>1630</v>
      </c>
      <c r="K190" s="99" t="n">
        <v>0</v>
      </c>
      <c r="L190" s="99" t="n">
        <v>0</v>
      </c>
      <c r="M190" s="99" t="n">
        <v>0</v>
      </c>
      <c r="N190" s="99" t="n">
        <v>0</v>
      </c>
      <c r="O190" s="42" t="n">
        <v>30970</v>
      </c>
    </row>
    <row r="191" spans="1:15">
      <c r="A191" s="37" t="n">
        <v>186</v>
      </c>
      <c r="B191" s="97" t="s">
        <v>543</v>
      </c>
      <c r="C191" s="121" t="s">
        <v>58</v>
      </c>
      <c r="D191" s="121" t="s">
        <v>20</v>
      </c>
      <c r="E191" s="121" t="s">
        <v>21</v>
      </c>
      <c r="F191" s="121" t="s">
        <v>544</v>
      </c>
      <c r="G191" s="121" t="s">
        <v>545</v>
      </c>
      <c r="H191" s="99" t="n">
        <v>32600</v>
      </c>
      <c r="I191" s="99" t="n">
        <v>32600</v>
      </c>
      <c r="J191" s="99" t="n">
        <v>1630</v>
      </c>
      <c r="K191" s="99" t="n">
        <v>0</v>
      </c>
      <c r="L191" s="99" t="n">
        <v>0</v>
      </c>
      <c r="M191" s="99" t="n">
        <v>0</v>
      </c>
      <c r="N191" s="99" t="n">
        <v>0</v>
      </c>
      <c r="O191" s="42" t="n">
        <v>30970</v>
      </c>
    </row>
    <row r="192" spans="1:15">
      <c r="A192" s="37" t="n">
        <v>187</v>
      </c>
      <c r="B192" s="97" t="s">
        <v>2357</v>
      </c>
      <c r="C192" s="121" t="s">
        <v>58</v>
      </c>
      <c r="D192" s="121" t="s">
        <v>20</v>
      </c>
      <c r="E192" s="121" t="s">
        <v>21</v>
      </c>
      <c r="F192" s="121" t="s">
        <v>2358</v>
      </c>
      <c r="G192" s="121" t="s">
        <v>2359</v>
      </c>
      <c r="H192" s="99" t="n">
        <v>32600</v>
      </c>
      <c r="I192" s="99" t="n">
        <v>32600</v>
      </c>
      <c r="J192" s="99" t="n">
        <v>1630</v>
      </c>
      <c r="K192" s="99" t="n">
        <v>0</v>
      </c>
      <c r="L192" s="99" t="n">
        <v>0</v>
      </c>
      <c r="M192" s="99" t="n">
        <v>0</v>
      </c>
      <c r="N192" s="99" t="n">
        <v>0</v>
      </c>
      <c r="O192" s="42" t="n">
        <v>30970</v>
      </c>
    </row>
    <row r="193" spans="1:15">
      <c r="A193" s="37" t="n">
        <v>188</v>
      </c>
      <c r="B193" s="97" t="s">
        <v>515</v>
      </c>
      <c r="C193" s="121" t="s">
        <v>111</v>
      </c>
      <c r="D193" s="121" t="s">
        <v>20</v>
      </c>
      <c r="E193" s="121" t="s">
        <v>21</v>
      </c>
      <c r="F193" s="121" t="s">
        <v>516</v>
      </c>
      <c r="G193" s="121" t="s">
        <v>517</v>
      </c>
      <c r="H193" s="99" t="n">
        <v>32600</v>
      </c>
      <c r="I193" s="99" t="n">
        <v>32600</v>
      </c>
      <c r="J193" s="99" t="n">
        <v>0</v>
      </c>
      <c r="K193" s="99" t="n">
        <v>0</v>
      </c>
      <c r="L193" s="99" t="n">
        <v>0</v>
      </c>
      <c r="M193" s="99" t="n">
        <v>0</v>
      </c>
      <c r="N193" s="99" t="n">
        <v>0</v>
      </c>
      <c r="O193" s="42" t="n">
        <v>32600</v>
      </c>
    </row>
    <row r="194" spans="1:15">
      <c r="A194" s="37" t="n">
        <v>189</v>
      </c>
      <c r="B194" s="97" t="s">
        <v>512</v>
      </c>
      <c r="C194" s="121" t="s">
        <v>111</v>
      </c>
      <c r="D194" s="121" t="s">
        <v>20</v>
      </c>
      <c r="E194" s="121" t="s">
        <v>21</v>
      </c>
      <c r="F194" s="121" t="s">
        <v>513</v>
      </c>
      <c r="G194" s="121" t="s">
        <v>514</v>
      </c>
      <c r="H194" s="99" t="n">
        <v>32600</v>
      </c>
      <c r="I194" s="99" t="n">
        <v>32600</v>
      </c>
      <c r="J194" s="99" t="n">
        <v>0</v>
      </c>
      <c r="K194" s="99" t="n">
        <v>0</v>
      </c>
      <c r="L194" s="99" t="n">
        <v>0</v>
      </c>
      <c r="M194" s="99" t="n">
        <v>0</v>
      </c>
      <c r="N194" s="99" t="n">
        <v>0</v>
      </c>
      <c r="O194" s="42" t="n">
        <v>32600</v>
      </c>
    </row>
    <row r="195" spans="1:15">
      <c r="A195" s="37" t="n">
        <v>190</v>
      </c>
      <c r="B195" s="97" t="s">
        <v>2360</v>
      </c>
      <c r="C195" s="121" t="s">
        <v>111</v>
      </c>
      <c r="D195" s="121" t="s">
        <v>20</v>
      </c>
      <c r="E195" s="121" t="s">
        <v>21</v>
      </c>
      <c r="F195" s="121" t="s">
        <v>2361</v>
      </c>
      <c r="G195" s="121" t="s">
        <v>2362</v>
      </c>
      <c r="H195" s="99" t="n">
        <v>32600</v>
      </c>
      <c r="I195" s="99" t="n">
        <v>32600</v>
      </c>
      <c r="J195" s="99" t="n">
        <v>0</v>
      </c>
      <c r="K195" s="99" t="n">
        <v>0</v>
      </c>
      <c r="L195" s="99" t="n">
        <v>0</v>
      </c>
      <c r="M195" s="99" t="n">
        <v>0</v>
      </c>
      <c r="N195" s="99" t="n">
        <v>0</v>
      </c>
      <c r="O195" s="42" t="n">
        <v>32600</v>
      </c>
    </row>
    <row r="196" spans="1:15">
      <c r="A196" s="37" t="n">
        <v>191</v>
      </c>
      <c r="B196" s="97" t="s">
        <v>599</v>
      </c>
      <c r="C196" s="121" t="s">
        <v>111</v>
      </c>
      <c r="D196" s="121" t="s">
        <v>20</v>
      </c>
      <c r="E196" s="121" t="s">
        <v>21</v>
      </c>
      <c r="F196" s="121" t="s">
        <v>600</v>
      </c>
      <c r="G196" s="121" t="s">
        <v>602</v>
      </c>
      <c r="H196" s="99" t="n">
        <v>32600</v>
      </c>
      <c r="I196" s="99" t="n">
        <v>32600</v>
      </c>
      <c r="J196" s="99" t="n">
        <v>0</v>
      </c>
      <c r="K196" s="99" t="n">
        <v>0</v>
      </c>
      <c r="L196" s="99" t="n">
        <v>0</v>
      </c>
      <c r="M196" s="99" t="n">
        <v>0</v>
      </c>
      <c r="N196" s="99" t="n">
        <v>0</v>
      </c>
      <c r="O196" s="42" t="n">
        <v>32600</v>
      </c>
    </row>
    <row r="197" spans="1:15">
      <c r="A197" s="37" t="n">
        <v>192</v>
      </c>
      <c r="B197" s="97" t="s">
        <v>1623</v>
      </c>
      <c r="C197" s="121" t="s">
        <v>111</v>
      </c>
      <c r="D197" s="121" t="s">
        <v>20</v>
      </c>
      <c r="E197" s="121" t="s">
        <v>21</v>
      </c>
      <c r="F197" s="121" t="s">
        <v>1624</v>
      </c>
      <c r="G197" s="121" t="s">
        <v>1626</v>
      </c>
      <c r="H197" s="99" t="n">
        <v>32600</v>
      </c>
      <c r="I197" s="99" t="n">
        <v>32600</v>
      </c>
      <c r="J197" s="99" t="n">
        <v>0</v>
      </c>
      <c r="K197" s="99" t="n">
        <v>0</v>
      </c>
      <c r="L197" s="99" t="n">
        <v>0</v>
      </c>
      <c r="M197" s="99" t="n">
        <v>0</v>
      </c>
      <c r="N197" s="99" t="n">
        <v>0</v>
      </c>
      <c r="O197" s="42" t="n">
        <v>32600</v>
      </c>
    </row>
    <row r="198" spans="1:15">
      <c r="A198" s="37" t="n">
        <v>193</v>
      </c>
      <c r="B198" s="97" t="s">
        <v>1915</v>
      </c>
      <c r="C198" s="121" t="s">
        <v>111</v>
      </c>
      <c r="D198" s="121" t="s">
        <v>20</v>
      </c>
      <c r="E198" s="121" t="s">
        <v>21</v>
      </c>
      <c r="F198" s="121" t="s">
        <v>1916</v>
      </c>
      <c r="G198" s="121" t="s">
        <v>1917</v>
      </c>
      <c r="H198" s="99" t="n">
        <v>32600</v>
      </c>
      <c r="I198" s="99" t="n">
        <v>32600</v>
      </c>
      <c r="J198" s="99" t="n">
        <v>0</v>
      </c>
      <c r="K198" s="99" t="n">
        <v>0</v>
      </c>
      <c r="L198" s="99" t="n">
        <v>0</v>
      </c>
      <c r="M198" s="99" t="n">
        <v>0</v>
      </c>
      <c r="N198" s="99" t="n">
        <v>0</v>
      </c>
      <c r="O198" s="42" t="n">
        <v>32600</v>
      </c>
    </row>
    <row r="199" spans="1:15">
      <c r="A199" s="37" t="n">
        <v>194</v>
      </c>
      <c r="B199" s="97" t="s">
        <v>351</v>
      </c>
      <c r="C199" s="121" t="s">
        <v>111</v>
      </c>
      <c r="D199" s="121" t="s">
        <v>20</v>
      </c>
      <c r="E199" s="121" t="s">
        <v>21</v>
      </c>
      <c r="F199" s="121" t="s">
        <v>352</v>
      </c>
      <c r="G199" s="121" t="s">
        <v>353</v>
      </c>
      <c r="H199" s="99" t="n">
        <v>32600</v>
      </c>
      <c r="I199" s="99" t="n">
        <v>32600</v>
      </c>
      <c r="J199" s="99" t="n">
        <v>0</v>
      </c>
      <c r="K199" s="99" t="n">
        <v>0</v>
      </c>
      <c r="L199" s="99" t="n">
        <v>0</v>
      </c>
      <c r="M199" s="99" t="n">
        <v>0</v>
      </c>
      <c r="N199" s="99" t="n">
        <v>0</v>
      </c>
      <c r="O199" s="42" t="n">
        <v>32600</v>
      </c>
    </row>
    <row r="200" spans="1:15">
      <c r="A200" s="37" t="n">
        <v>195</v>
      </c>
      <c r="B200" s="97" t="s">
        <v>1591</v>
      </c>
      <c r="C200" s="121" t="s">
        <v>111</v>
      </c>
      <c r="D200" s="121" t="s">
        <v>20</v>
      </c>
      <c r="E200" s="121" t="s">
        <v>21</v>
      </c>
      <c r="F200" s="121" t="s">
        <v>1592</v>
      </c>
      <c r="G200" s="121" t="s">
        <v>1593</v>
      </c>
      <c r="H200" s="99" t="n">
        <v>32600</v>
      </c>
      <c r="I200" s="99" t="n">
        <v>32600</v>
      </c>
      <c r="J200" s="99" t="n">
        <v>0</v>
      </c>
      <c r="K200" s="99" t="n">
        <v>0</v>
      </c>
      <c r="L200" s="99" t="n">
        <v>0</v>
      </c>
      <c r="M200" s="99" t="n">
        <v>0</v>
      </c>
      <c r="N200" s="99" t="n">
        <v>0</v>
      </c>
      <c r="O200" s="42" t="n">
        <v>32600</v>
      </c>
    </row>
    <row r="201" spans="1:15">
      <c r="A201" s="37" t="n">
        <v>196</v>
      </c>
      <c r="B201" s="97" t="s">
        <v>1618</v>
      </c>
      <c r="C201" s="121" t="s">
        <v>111</v>
      </c>
      <c r="D201" s="121" t="s">
        <v>20</v>
      </c>
      <c r="E201" s="121" t="s">
        <v>21</v>
      </c>
      <c r="F201" s="121" t="s">
        <v>1619</v>
      </c>
      <c r="G201" s="121" t="s">
        <v>1620</v>
      </c>
      <c r="H201" s="99" t="n">
        <v>32600</v>
      </c>
      <c r="I201" s="99" t="n">
        <v>32600</v>
      </c>
      <c r="J201" s="99" t="n">
        <v>0</v>
      </c>
      <c r="K201" s="99" t="n">
        <v>0</v>
      </c>
      <c r="L201" s="99" t="n">
        <v>0</v>
      </c>
      <c r="M201" s="99" t="n">
        <v>0</v>
      </c>
      <c r="N201" s="99" t="n">
        <v>0</v>
      </c>
      <c r="O201" s="42" t="n">
        <v>32600</v>
      </c>
    </row>
    <row r="202" spans="1:15">
      <c r="A202" s="37" t="n">
        <v>197</v>
      </c>
      <c r="B202" s="97" t="s">
        <v>579</v>
      </c>
      <c r="C202" s="121" t="s">
        <v>120</v>
      </c>
      <c r="D202" s="121" t="s">
        <v>128</v>
      </c>
      <c r="E202" s="121" t="s">
        <v>15</v>
      </c>
      <c r="F202" s="98" t="n">
        <v>0</v>
      </c>
      <c r="G202" s="121" t="s">
        <v>581</v>
      </c>
      <c r="H202" s="99" t="n">
        <v>32600</v>
      </c>
      <c r="I202" s="99" t="n">
        <v>32600</v>
      </c>
      <c r="J202" s="99" t="n">
        <v>0</v>
      </c>
      <c r="K202" s="99" t="n">
        <v>0</v>
      </c>
      <c r="L202" s="99" t="n">
        <v>0</v>
      </c>
      <c r="M202" s="99" t="n">
        <v>0</v>
      </c>
      <c r="N202" s="99" t="n">
        <v>0</v>
      </c>
      <c r="O202" s="42" t="n">
        <v>32600</v>
      </c>
    </row>
    <row r="203" spans="1:15">
      <c r="A203" s="37" t="n">
        <v>198</v>
      </c>
      <c r="B203" s="97" t="s">
        <v>1608</v>
      </c>
      <c r="C203" s="121" t="s">
        <v>120</v>
      </c>
      <c r="D203" s="121" t="s">
        <v>128</v>
      </c>
      <c r="E203" s="121" t="s">
        <v>15</v>
      </c>
      <c r="F203" s="121" t="s">
        <v>2363</v>
      </c>
      <c r="G203" s="121" t="s">
        <v>1609</v>
      </c>
      <c r="H203" s="99" t="n">
        <v>32600</v>
      </c>
      <c r="I203" s="99" t="n">
        <v>32600</v>
      </c>
      <c r="J203" s="99" t="n">
        <v>0</v>
      </c>
      <c r="K203" s="99" t="n">
        <v>0</v>
      </c>
      <c r="L203" s="99" t="n">
        <v>0</v>
      </c>
      <c r="M203" s="99" t="n">
        <v>0</v>
      </c>
      <c r="N203" s="99" t="n">
        <v>0</v>
      </c>
      <c r="O203" s="42" t="n">
        <v>32600</v>
      </c>
    </row>
    <row r="204" spans="1:15">
      <c r="A204" s="37" t="n">
        <v>199</v>
      </c>
      <c r="B204" s="97" t="s">
        <v>524</v>
      </c>
      <c r="C204" s="121" t="s">
        <v>120</v>
      </c>
      <c r="D204" s="121" t="s">
        <v>124</v>
      </c>
      <c r="E204" s="121" t="s">
        <v>15</v>
      </c>
      <c r="F204" s="98" t="n">
        <v>0</v>
      </c>
      <c r="G204" s="121" t="s">
        <v>525</v>
      </c>
      <c r="H204" s="99" t="n">
        <v>32600</v>
      </c>
      <c r="I204" s="99" t="n">
        <v>32600</v>
      </c>
      <c r="J204" s="99" t="n">
        <v>0</v>
      </c>
      <c r="K204" s="99" t="n">
        <v>0</v>
      </c>
      <c r="L204" s="99" t="n">
        <v>0</v>
      </c>
      <c r="M204" s="99" t="n">
        <v>0</v>
      </c>
      <c r="N204" s="99" t="n">
        <v>0</v>
      </c>
      <c r="O204" s="42" t="n">
        <v>32600</v>
      </c>
    </row>
    <row r="205" spans="1:15">
      <c r="A205" s="37" t="n">
        <v>200</v>
      </c>
      <c r="B205" s="97" t="s">
        <v>603</v>
      </c>
      <c r="C205" s="121" t="s">
        <v>120</v>
      </c>
      <c r="D205" s="121" t="s">
        <v>124</v>
      </c>
      <c r="E205" s="121" t="s">
        <v>15</v>
      </c>
      <c r="F205" s="98" t="n">
        <v>0</v>
      </c>
      <c r="G205" s="121" t="s">
        <v>604</v>
      </c>
      <c r="H205" s="99" t="n">
        <v>32600</v>
      </c>
      <c r="I205" s="99" t="n">
        <v>32600</v>
      </c>
      <c r="J205" s="99" t="n">
        <v>0</v>
      </c>
      <c r="K205" s="99" t="n">
        <v>0</v>
      </c>
      <c r="L205" s="99" t="n">
        <v>0</v>
      </c>
      <c r="M205" s="99" t="n">
        <v>0</v>
      </c>
      <c r="N205" s="99" t="n">
        <v>0</v>
      </c>
      <c r="O205" s="42" t="n">
        <v>32600</v>
      </c>
    </row>
    <row r="206" spans="1:15">
      <c r="A206" s="37" t="n">
        <v>201</v>
      </c>
      <c r="B206" s="97" t="s">
        <v>521</v>
      </c>
      <c r="C206" s="121" t="s">
        <v>120</v>
      </c>
      <c r="D206" s="121" t="s">
        <v>278</v>
      </c>
      <c r="E206" s="121" t="s">
        <v>16</v>
      </c>
      <c r="F206" s="98" t="n">
        <v>0</v>
      </c>
      <c r="G206" s="121" t="s">
        <v>523</v>
      </c>
      <c r="H206" s="99" t="n">
        <v>32600</v>
      </c>
      <c r="I206" s="99" t="n">
        <v>32600</v>
      </c>
      <c r="J206" s="99" t="n">
        <v>0</v>
      </c>
      <c r="K206" s="99" t="n">
        <v>0</v>
      </c>
      <c r="L206" s="99" t="n">
        <v>0</v>
      </c>
      <c r="M206" s="99" t="n">
        <v>0</v>
      </c>
      <c r="N206" s="99" t="n">
        <v>0</v>
      </c>
      <c r="O206" s="42" t="n">
        <v>32600</v>
      </c>
    </row>
    <row r="207" spans="1:15">
      <c r="A207" s="37" t="n">
        <v>202</v>
      </c>
      <c r="B207" s="97" t="s">
        <v>354</v>
      </c>
      <c r="C207" s="121" t="s">
        <v>120</v>
      </c>
      <c r="D207" s="121" t="s">
        <v>128</v>
      </c>
      <c r="E207" s="121" t="s">
        <v>15</v>
      </c>
      <c r="F207" s="121" t="s">
        <v>2364</v>
      </c>
      <c r="G207" s="121" t="s">
        <v>355</v>
      </c>
      <c r="H207" s="99" t="n">
        <v>32600</v>
      </c>
      <c r="I207" s="99" t="n">
        <v>32600</v>
      </c>
      <c r="J207" s="99" t="n">
        <v>0</v>
      </c>
      <c r="K207" s="99" t="n">
        <v>0</v>
      </c>
      <c r="L207" s="99" t="n">
        <v>0</v>
      </c>
      <c r="M207" s="99" t="n">
        <v>0</v>
      </c>
      <c r="N207" s="99" t="n">
        <v>0</v>
      </c>
      <c r="O207" s="42" t="n">
        <v>32600</v>
      </c>
    </row>
    <row r="208" spans="1:15">
      <c r="A208" s="37" t="n">
        <v>203</v>
      </c>
      <c r="B208" s="97" t="s">
        <v>589</v>
      </c>
      <c r="C208" s="121" t="s">
        <v>120</v>
      </c>
      <c r="D208" s="121" t="s">
        <v>128</v>
      </c>
      <c r="E208" s="121" t="s">
        <v>15</v>
      </c>
      <c r="F208" s="98" t="n">
        <v>0</v>
      </c>
      <c r="G208" s="121" t="s">
        <v>591</v>
      </c>
      <c r="H208" s="99" t="n">
        <v>32600</v>
      </c>
      <c r="I208" s="99" t="n">
        <v>32600</v>
      </c>
      <c r="J208" s="99" t="n">
        <v>0</v>
      </c>
      <c r="K208" s="99" t="n">
        <v>0</v>
      </c>
      <c r="L208" s="99" t="n">
        <v>0</v>
      </c>
      <c r="M208" s="99" t="n">
        <v>0</v>
      </c>
      <c r="N208" s="99" t="n">
        <v>0</v>
      </c>
      <c r="O208" s="42" t="n">
        <v>32600</v>
      </c>
    </row>
    <row r="209" spans="1:15">
      <c r="A209" s="37" t="n">
        <v>204</v>
      </c>
      <c r="B209" s="97" t="s">
        <v>1817</v>
      </c>
      <c r="C209" s="121" t="s">
        <v>120</v>
      </c>
      <c r="D209" s="121" t="s">
        <v>128</v>
      </c>
      <c r="E209" s="121" t="s">
        <v>15</v>
      </c>
      <c r="F209" s="121" t="s">
        <v>2365</v>
      </c>
      <c r="G209" s="121" t="s">
        <v>1819</v>
      </c>
      <c r="H209" s="99" t="n">
        <v>32600</v>
      </c>
      <c r="I209" s="99" t="n">
        <v>32600</v>
      </c>
      <c r="J209" s="99" t="n">
        <v>0</v>
      </c>
      <c r="K209" s="99" t="n">
        <v>0</v>
      </c>
      <c r="L209" s="99" t="n">
        <v>0</v>
      </c>
      <c r="M209" s="99" t="n">
        <v>0</v>
      </c>
      <c r="N209" s="99" t="n">
        <v>0</v>
      </c>
      <c r="O209" s="42" t="n">
        <v>32600</v>
      </c>
    </row>
    <row r="210" spans="1:15">
      <c r="A210" s="37" t="n">
        <v>205</v>
      </c>
      <c r="B210" s="97" t="s">
        <v>592</v>
      </c>
      <c r="C210" s="121" t="s">
        <v>120</v>
      </c>
      <c r="D210" s="121" t="s">
        <v>128</v>
      </c>
      <c r="E210" s="121" t="s">
        <v>15</v>
      </c>
      <c r="F210" s="98" t="n">
        <v>0</v>
      </c>
      <c r="G210" s="121" t="s">
        <v>594</v>
      </c>
      <c r="H210" s="99" t="n">
        <v>32600</v>
      </c>
      <c r="I210" s="99" t="n">
        <v>32600</v>
      </c>
      <c r="J210" s="99" t="n">
        <v>0</v>
      </c>
      <c r="K210" s="99" t="n">
        <v>0</v>
      </c>
      <c r="L210" s="99" t="n">
        <v>0</v>
      </c>
      <c r="M210" s="99" t="n">
        <v>0</v>
      </c>
      <c r="N210" s="99" t="n">
        <v>0</v>
      </c>
      <c r="O210" s="42" t="n">
        <v>32600</v>
      </c>
    </row>
    <row r="211" spans="1:15">
      <c r="A211" s="37" t="n">
        <v>206</v>
      </c>
      <c r="B211" s="97" t="s">
        <v>595</v>
      </c>
      <c r="C211" s="121" t="s">
        <v>95</v>
      </c>
      <c r="D211" s="121" t="s">
        <v>137</v>
      </c>
      <c r="E211" s="121" t="s">
        <v>14</v>
      </c>
      <c r="F211" s="98" t="n">
        <v>0</v>
      </c>
      <c r="G211" s="121" t="s">
        <v>596</v>
      </c>
      <c r="H211" s="99" t="n">
        <v>32600</v>
      </c>
      <c r="I211" s="99" t="n">
        <v>32600</v>
      </c>
      <c r="J211" s="99" t="n">
        <v>0</v>
      </c>
      <c r="K211" s="99" t="n">
        <v>0</v>
      </c>
      <c r="L211" s="99" t="n">
        <v>0</v>
      </c>
      <c r="M211" s="99" t="n">
        <v>0</v>
      </c>
      <c r="N211" s="99" t="n">
        <v>0</v>
      </c>
      <c r="O211" s="42" t="n">
        <v>32600</v>
      </c>
    </row>
    <row r="212" spans="1:15">
      <c r="A212" s="37" t="n">
        <v>207</v>
      </c>
      <c r="B212" s="97" t="s">
        <v>1918</v>
      </c>
      <c r="C212" s="121" t="s">
        <v>95</v>
      </c>
      <c r="D212" s="121" t="s">
        <v>128</v>
      </c>
      <c r="E212" s="121" t="s">
        <v>15</v>
      </c>
      <c r="F212" s="121" t="s">
        <v>2366</v>
      </c>
      <c r="G212" s="121" t="s">
        <v>1919</v>
      </c>
      <c r="H212" s="99" t="n">
        <v>32600</v>
      </c>
      <c r="I212" s="99" t="n">
        <v>32600</v>
      </c>
      <c r="J212" s="99" t="n">
        <v>0</v>
      </c>
      <c r="K212" s="99" t="n">
        <v>0</v>
      </c>
      <c r="L212" s="99" t="n">
        <v>0</v>
      </c>
      <c r="M212" s="99" t="n">
        <v>0</v>
      </c>
      <c r="N212" s="99" t="n">
        <v>0</v>
      </c>
      <c r="O212" s="42" t="n">
        <v>32600</v>
      </c>
    </row>
    <row r="213" spans="1:15">
      <c r="A213" s="37" t="n">
        <v>208</v>
      </c>
      <c r="B213" s="97" t="s">
        <v>2367</v>
      </c>
      <c r="C213" s="121" t="s">
        <v>95</v>
      </c>
      <c r="D213" s="121" t="s">
        <v>128</v>
      </c>
      <c r="E213" s="121" t="s">
        <v>15</v>
      </c>
      <c r="F213" s="121" t="s">
        <v>2368</v>
      </c>
      <c r="G213" s="121" t="s">
        <v>2369</v>
      </c>
      <c r="H213" s="99" t="n">
        <v>32600</v>
      </c>
      <c r="I213" s="99" t="n">
        <v>32600</v>
      </c>
      <c r="J213" s="99" t="n">
        <v>0</v>
      </c>
      <c r="K213" s="99" t="n">
        <v>0</v>
      </c>
      <c r="L213" s="99" t="n">
        <v>0</v>
      </c>
      <c r="M213" s="99" t="n">
        <v>0</v>
      </c>
      <c r="N213" s="99" t="n">
        <v>0</v>
      </c>
      <c r="O213" s="42" t="n">
        <v>32600</v>
      </c>
    </row>
    <row r="214" spans="1:15">
      <c r="A214" s="37" t="n">
        <v>209</v>
      </c>
      <c r="B214" s="97" t="s">
        <v>526</v>
      </c>
      <c r="C214" s="121" t="s">
        <v>95</v>
      </c>
      <c r="D214" s="121" t="s">
        <v>124</v>
      </c>
      <c r="E214" s="121" t="s">
        <v>15</v>
      </c>
      <c r="F214" s="98" t="n">
        <v>0</v>
      </c>
      <c r="G214" s="121" t="s">
        <v>528</v>
      </c>
      <c r="H214" s="99" t="n">
        <v>32600</v>
      </c>
      <c r="I214" s="99" t="n">
        <v>32600</v>
      </c>
      <c r="J214" s="99" t="n">
        <v>0</v>
      </c>
      <c r="K214" s="99" t="n">
        <v>0</v>
      </c>
      <c r="L214" s="99" t="n">
        <v>0</v>
      </c>
      <c r="M214" s="99" t="n">
        <v>0</v>
      </c>
      <c r="N214" s="99" t="n">
        <v>0</v>
      </c>
      <c r="O214" s="42" t="n">
        <v>32600</v>
      </c>
    </row>
    <row r="215" spans="1:15">
      <c r="A215" s="37" t="n">
        <v>210</v>
      </c>
      <c r="B215" s="97" t="s">
        <v>1913</v>
      </c>
      <c r="C215" s="121" t="s">
        <v>95</v>
      </c>
      <c r="D215" s="121" t="s">
        <v>128</v>
      </c>
      <c r="E215" s="121" t="s">
        <v>15</v>
      </c>
      <c r="F215" s="121" t="s">
        <v>2370</v>
      </c>
      <c r="G215" s="121" t="s">
        <v>1914</v>
      </c>
      <c r="H215" s="99" t="n">
        <v>32600</v>
      </c>
      <c r="I215" s="99" t="n">
        <v>32600</v>
      </c>
      <c r="J215" s="99" t="n">
        <v>0</v>
      </c>
      <c r="K215" s="99" t="n">
        <v>0</v>
      </c>
      <c r="L215" s="99" t="n">
        <v>0</v>
      </c>
      <c r="M215" s="99" t="n">
        <v>0</v>
      </c>
      <c r="N215" s="99" t="n">
        <v>0</v>
      </c>
      <c r="O215" s="42" t="n">
        <v>32600</v>
      </c>
    </row>
    <row r="216" spans="1:15">
      <c r="A216" s="37" t="n">
        <v>211</v>
      </c>
      <c r="B216" s="97" t="s">
        <v>1621</v>
      </c>
      <c r="C216" s="121" t="s">
        <v>95</v>
      </c>
      <c r="D216" s="121" t="s">
        <v>128</v>
      </c>
      <c r="E216" s="121" t="s">
        <v>15</v>
      </c>
      <c r="F216" s="121" t="s">
        <v>2371</v>
      </c>
      <c r="G216" s="121" t="s">
        <v>1622</v>
      </c>
      <c r="H216" s="99" t="n">
        <v>32600</v>
      </c>
      <c r="I216" s="99" t="n">
        <v>32600</v>
      </c>
      <c r="J216" s="99" t="n">
        <v>0</v>
      </c>
      <c r="K216" s="99" t="n">
        <v>0</v>
      </c>
      <c r="L216" s="99" t="n">
        <v>0</v>
      </c>
      <c r="M216" s="99" t="n">
        <v>0</v>
      </c>
      <c r="N216" s="99" t="n">
        <v>0</v>
      </c>
      <c r="O216" s="42" t="n">
        <v>32600</v>
      </c>
    </row>
    <row r="217" spans="1:15">
      <c r="A217" s="37" t="n">
        <v>212</v>
      </c>
      <c r="B217" s="97" t="s">
        <v>597</v>
      </c>
      <c r="C217" s="121" t="s">
        <v>95</v>
      </c>
      <c r="D217" s="121" t="s">
        <v>128</v>
      </c>
      <c r="E217" s="121" t="s">
        <v>15</v>
      </c>
      <c r="F217" s="98" t="n">
        <v>0</v>
      </c>
      <c r="G217" s="121" t="s">
        <v>598</v>
      </c>
      <c r="H217" s="99" t="n">
        <v>32600</v>
      </c>
      <c r="I217" s="99" t="n">
        <v>32600</v>
      </c>
      <c r="J217" s="99" t="n">
        <v>0</v>
      </c>
      <c r="K217" s="99" t="n">
        <v>0</v>
      </c>
      <c r="L217" s="99" t="n">
        <v>0</v>
      </c>
      <c r="M217" s="99" t="n">
        <v>0</v>
      </c>
      <c r="N217" s="99" t="n">
        <v>0</v>
      </c>
      <c r="O217" s="42" t="n">
        <v>32600</v>
      </c>
    </row>
    <row r="218" spans="1:15">
      <c r="A218" s="37" t="n">
        <v>213</v>
      </c>
      <c r="B218" s="97" t="s">
        <v>582</v>
      </c>
      <c r="C218" s="121" t="s">
        <v>95</v>
      </c>
      <c r="D218" s="121" t="s">
        <v>128</v>
      </c>
      <c r="E218" s="121" t="s">
        <v>15</v>
      </c>
      <c r="F218" s="98" t="n">
        <v>0</v>
      </c>
      <c r="G218" s="121" t="s">
        <v>584</v>
      </c>
      <c r="H218" s="99" t="n">
        <v>32600</v>
      </c>
      <c r="I218" s="99" t="n">
        <v>32600</v>
      </c>
      <c r="J218" s="99" t="n">
        <v>0</v>
      </c>
      <c r="K218" s="99" t="n">
        <v>0</v>
      </c>
      <c r="L218" s="99" t="n">
        <v>0</v>
      </c>
      <c r="M218" s="99" t="n">
        <v>0</v>
      </c>
      <c r="N218" s="99" t="n">
        <v>0</v>
      </c>
      <c r="O218" s="42" t="n">
        <v>32600</v>
      </c>
    </row>
    <row r="219" spans="1:15">
      <c r="A219" s="37" t="n">
        <v>214</v>
      </c>
      <c r="B219" s="97" t="s">
        <v>605</v>
      </c>
      <c r="C219" s="121" t="s">
        <v>95</v>
      </c>
      <c r="D219" s="121" t="s">
        <v>124</v>
      </c>
      <c r="E219" s="121" t="s">
        <v>15</v>
      </c>
      <c r="F219" s="98" t="n">
        <v>0</v>
      </c>
      <c r="G219" s="121" t="s">
        <v>606</v>
      </c>
      <c r="H219" s="99" t="n">
        <v>32600</v>
      </c>
      <c r="I219" s="99" t="n">
        <v>32600</v>
      </c>
      <c r="J219" s="99" t="n">
        <v>0</v>
      </c>
      <c r="K219" s="99" t="n">
        <v>0</v>
      </c>
      <c r="L219" s="99" t="n">
        <v>0</v>
      </c>
      <c r="M219" s="99" t="n">
        <v>0</v>
      </c>
      <c r="N219" s="99" t="n">
        <v>0</v>
      </c>
      <c r="O219" s="42" t="n">
        <v>32600</v>
      </c>
    </row>
    <row r="220" spans="1:15">
      <c r="A220" s="37" t="n">
        <v>215</v>
      </c>
      <c r="B220" s="97" t="s">
        <v>270</v>
      </c>
      <c r="C220" s="121" t="s">
        <v>95</v>
      </c>
      <c r="D220" s="121" t="s">
        <v>137</v>
      </c>
      <c r="E220" s="121" t="s">
        <v>14</v>
      </c>
      <c r="F220" s="98" t="n">
        <v>0</v>
      </c>
      <c r="G220" s="121" t="s">
        <v>272</v>
      </c>
      <c r="H220" s="99" t="n">
        <v>32600</v>
      </c>
      <c r="I220" s="99" t="n">
        <v>32600</v>
      </c>
      <c r="J220" s="99" t="n">
        <v>0</v>
      </c>
      <c r="K220" s="99" t="n">
        <v>0</v>
      </c>
      <c r="L220" s="99" t="n">
        <v>0</v>
      </c>
      <c r="M220" s="99" t="n">
        <v>0</v>
      </c>
      <c r="N220" s="99" t="n">
        <v>0</v>
      </c>
      <c r="O220" s="42" t="n">
        <v>32600</v>
      </c>
    </row>
    <row r="221" spans="1:15">
      <c r="A221" s="37" t="n">
        <v>216</v>
      </c>
      <c r="B221" s="97" t="s">
        <v>349</v>
      </c>
      <c r="C221" s="121" t="s">
        <v>95</v>
      </c>
      <c r="D221" s="121" t="s">
        <v>128</v>
      </c>
      <c r="E221" s="121" t="s">
        <v>15</v>
      </c>
      <c r="F221" s="121" t="s">
        <v>2372</v>
      </c>
      <c r="G221" s="121" t="s">
        <v>350</v>
      </c>
      <c r="H221" s="99" t="n">
        <v>32600</v>
      </c>
      <c r="I221" s="99" t="n">
        <v>32600</v>
      </c>
      <c r="J221" s="99" t="n">
        <v>0</v>
      </c>
      <c r="K221" s="99" t="n">
        <v>0</v>
      </c>
      <c r="L221" s="99" t="n">
        <v>0</v>
      </c>
      <c r="M221" s="99" t="n">
        <v>0</v>
      </c>
      <c r="N221" s="99" t="n">
        <v>0</v>
      </c>
      <c r="O221" s="42" t="n">
        <v>32600</v>
      </c>
    </row>
    <row r="222" spans="1:15">
      <c r="A222" s="37" t="n">
        <v>217</v>
      </c>
      <c r="B222" s="97" t="s">
        <v>510</v>
      </c>
      <c r="C222" s="121" t="s">
        <v>95</v>
      </c>
      <c r="D222" s="121" t="s">
        <v>137</v>
      </c>
      <c r="E222" s="121" t="s">
        <v>14</v>
      </c>
      <c r="F222" s="98" t="n">
        <v>0</v>
      </c>
      <c r="G222" s="121" t="s">
        <v>511</v>
      </c>
      <c r="H222" s="99" t="n">
        <v>32600</v>
      </c>
      <c r="I222" s="99" t="n">
        <v>32600</v>
      </c>
      <c r="J222" s="99" t="n">
        <v>0</v>
      </c>
      <c r="K222" s="99" t="n">
        <v>0</v>
      </c>
      <c r="L222" s="99" t="n">
        <v>0</v>
      </c>
      <c r="M222" s="99" t="n">
        <v>0</v>
      </c>
      <c r="N222" s="99" t="n">
        <v>0</v>
      </c>
      <c r="O222" s="42" t="n">
        <v>32600</v>
      </c>
    </row>
    <row r="223" spans="1:15">
      <c r="A223" s="37" t="n">
        <v>218</v>
      </c>
      <c r="B223" s="97" t="s">
        <v>607</v>
      </c>
      <c r="C223" s="121" t="s">
        <v>95</v>
      </c>
      <c r="D223" s="121" t="s">
        <v>137</v>
      </c>
      <c r="E223" s="121" t="s">
        <v>14</v>
      </c>
      <c r="F223" s="98" t="n">
        <v>0</v>
      </c>
      <c r="G223" s="121" t="s">
        <v>608</v>
      </c>
      <c r="H223" s="99" t="n">
        <v>32600</v>
      </c>
      <c r="I223" s="99" t="n">
        <v>32600</v>
      </c>
      <c r="J223" s="99" t="n">
        <v>0</v>
      </c>
      <c r="K223" s="99" t="n">
        <v>0</v>
      </c>
      <c r="L223" s="99" t="n">
        <v>0</v>
      </c>
      <c r="M223" s="99" t="n">
        <v>0</v>
      </c>
      <c r="N223" s="99" t="n">
        <v>0</v>
      </c>
      <c r="O223" s="42" t="n">
        <v>32600</v>
      </c>
    </row>
    <row r="224" spans="1:15">
      <c r="A224" s="37" t="n">
        <v>219</v>
      </c>
      <c r="B224" s="97" t="s">
        <v>518</v>
      </c>
      <c r="C224" s="121" t="s">
        <v>95</v>
      </c>
      <c r="D224" s="121" t="s">
        <v>128</v>
      </c>
      <c r="E224" s="121" t="s">
        <v>15</v>
      </c>
      <c r="F224" s="98" t="n">
        <v>0</v>
      </c>
      <c r="G224" s="121" t="s">
        <v>520</v>
      </c>
      <c r="H224" s="99" t="n">
        <v>32600</v>
      </c>
      <c r="I224" s="99" t="n">
        <v>32600</v>
      </c>
      <c r="J224" s="99" t="n">
        <v>0</v>
      </c>
      <c r="K224" s="99" t="n">
        <v>0</v>
      </c>
      <c r="L224" s="99" t="n">
        <v>0</v>
      </c>
      <c r="M224" s="99" t="n">
        <v>0</v>
      </c>
      <c r="N224" s="99" t="n">
        <v>0</v>
      </c>
      <c r="O224" s="42" t="n">
        <v>32600</v>
      </c>
    </row>
    <row r="225" spans="1:15">
      <c r="A225" s="37" t="n">
        <v>220</v>
      </c>
      <c r="B225" s="97" t="s">
        <v>531</v>
      </c>
      <c r="C225" s="121" t="s">
        <v>95</v>
      </c>
      <c r="D225" s="121" t="s">
        <v>128</v>
      </c>
      <c r="E225" s="121" t="s">
        <v>15</v>
      </c>
      <c r="F225" s="98" t="n">
        <v>0</v>
      </c>
      <c r="G225" s="121" t="s">
        <v>532</v>
      </c>
      <c r="H225" s="99" t="n">
        <v>32600</v>
      </c>
      <c r="I225" s="99" t="n">
        <v>32600</v>
      </c>
      <c r="J225" s="99" t="n">
        <v>0</v>
      </c>
      <c r="K225" s="99" t="n">
        <v>0</v>
      </c>
      <c r="L225" s="99" t="n">
        <v>0</v>
      </c>
      <c r="M225" s="99" t="n">
        <v>0</v>
      </c>
      <c r="N225" s="99" t="n">
        <v>0</v>
      </c>
      <c r="O225" s="42" t="n">
        <v>32600</v>
      </c>
    </row>
    <row r="226" spans="1:15">
      <c r="A226" s="37" t="n">
        <v>221</v>
      </c>
      <c r="B226" s="97" t="s">
        <v>533</v>
      </c>
      <c r="C226" s="121" t="s">
        <v>95</v>
      </c>
      <c r="D226" s="121" t="s">
        <v>124</v>
      </c>
      <c r="E226" s="121" t="s">
        <v>15</v>
      </c>
      <c r="F226" s="98" t="n">
        <v>0</v>
      </c>
      <c r="G226" s="121" t="s">
        <v>535</v>
      </c>
      <c r="H226" s="99" t="n">
        <v>32600</v>
      </c>
      <c r="I226" s="99" t="n">
        <v>32600</v>
      </c>
      <c r="J226" s="99" t="n">
        <v>0</v>
      </c>
      <c r="K226" s="99" t="n">
        <v>0</v>
      </c>
      <c r="L226" s="99" t="n">
        <v>0</v>
      </c>
      <c r="M226" s="99" t="n">
        <v>0</v>
      </c>
      <c r="N226" s="99" t="n">
        <v>0</v>
      </c>
      <c r="O226" s="42" t="n">
        <v>32600</v>
      </c>
    </row>
    <row r="227" spans="1:15">
      <c r="A227" s="37" t="n">
        <v>222</v>
      </c>
      <c r="B227" s="97" t="s">
        <v>536</v>
      </c>
      <c r="C227" s="121" t="s">
        <v>95</v>
      </c>
      <c r="D227" s="121" t="s">
        <v>121</v>
      </c>
      <c r="E227" s="121" t="s">
        <v>14</v>
      </c>
      <c r="F227" s="98" t="n">
        <v>0</v>
      </c>
      <c r="G227" s="121" t="s">
        <v>538</v>
      </c>
      <c r="H227" s="99" t="n">
        <v>32600</v>
      </c>
      <c r="I227" s="99" t="n">
        <v>32600</v>
      </c>
      <c r="J227" s="99" t="n">
        <v>0</v>
      </c>
      <c r="K227" s="99" t="n">
        <v>0</v>
      </c>
      <c r="L227" s="99" t="n">
        <v>0</v>
      </c>
      <c r="M227" s="99" t="n">
        <v>0</v>
      </c>
      <c r="N227" s="99" t="n">
        <v>0</v>
      </c>
      <c r="O227" s="42" t="n">
        <v>32600</v>
      </c>
    </row>
    <row r="228" spans="1:15">
      <c r="A228" s="37" t="n">
        <v>223</v>
      </c>
      <c r="B228" s="97" t="s">
        <v>1920</v>
      </c>
      <c r="C228" s="121" t="s">
        <v>95</v>
      </c>
      <c r="D228" s="121" t="s">
        <v>128</v>
      </c>
      <c r="E228" s="121" t="s">
        <v>15</v>
      </c>
      <c r="F228" s="121" t="s">
        <v>2074</v>
      </c>
      <c r="G228" s="121" t="s">
        <v>1921</v>
      </c>
      <c r="H228" s="99" t="n">
        <v>32600</v>
      </c>
      <c r="I228" s="99" t="n">
        <v>32600</v>
      </c>
      <c r="J228" s="99" t="n">
        <v>0</v>
      </c>
      <c r="K228" s="99" t="n">
        <v>0</v>
      </c>
      <c r="L228" s="99" t="n">
        <v>0</v>
      </c>
      <c r="M228" s="99" t="n">
        <v>0</v>
      </c>
      <c r="N228" s="99" t="n">
        <v>0</v>
      </c>
      <c r="O228" s="42" t="n">
        <v>32600</v>
      </c>
    </row>
    <row r="229" spans="1:15">
      <c r="A229" s="37" t="n">
        <v>224</v>
      </c>
      <c r="B229" s="97" t="s">
        <v>617</v>
      </c>
      <c r="C229" s="121" t="s">
        <v>58</v>
      </c>
      <c r="D229" s="121" t="s">
        <v>20</v>
      </c>
      <c r="E229" s="121" t="s">
        <v>21</v>
      </c>
      <c r="F229" s="121" t="s">
        <v>618</v>
      </c>
      <c r="G229" s="121" t="s">
        <v>619</v>
      </c>
      <c r="H229" s="99" t="n">
        <v>30886</v>
      </c>
      <c r="I229" s="99" t="n">
        <v>30886</v>
      </c>
      <c r="J229" s="99" t="n">
        <v>1544</v>
      </c>
      <c r="K229" s="99" t="n">
        <v>0</v>
      </c>
      <c r="L229" s="99" t="n">
        <v>0</v>
      </c>
      <c r="M229" s="99" t="n">
        <v>0</v>
      </c>
      <c r="N229" s="99" t="n">
        <v>0</v>
      </c>
      <c r="O229" s="42" t="n">
        <v>29342</v>
      </c>
    </row>
    <row r="230" spans="1:15">
      <c r="A230" s="37" t="n">
        <v>225</v>
      </c>
      <c r="B230" s="97" t="s">
        <v>627</v>
      </c>
      <c r="C230" s="121" t="s">
        <v>58</v>
      </c>
      <c r="D230" s="121" t="s">
        <v>20</v>
      </c>
      <c r="E230" s="121" t="s">
        <v>21</v>
      </c>
      <c r="F230" s="121" t="s">
        <v>628</v>
      </c>
      <c r="G230" s="121" t="s">
        <v>630</v>
      </c>
      <c r="H230" s="99" t="n">
        <v>28561</v>
      </c>
      <c r="I230" s="99" t="n">
        <v>28561</v>
      </c>
      <c r="J230" s="99" t="n">
        <v>1428</v>
      </c>
      <c r="K230" s="99" t="n">
        <v>0</v>
      </c>
      <c r="L230" s="99" t="n">
        <v>0</v>
      </c>
      <c r="M230" s="99" t="n">
        <v>0</v>
      </c>
      <c r="N230" s="99" t="n">
        <v>0</v>
      </c>
      <c r="O230" s="42" t="n">
        <v>27133</v>
      </c>
    </row>
    <row r="231" spans="1:15">
      <c r="A231" s="37" t="n">
        <v>226</v>
      </c>
      <c r="B231" s="97" t="s">
        <v>635</v>
      </c>
      <c r="C231" s="121" t="s">
        <v>58</v>
      </c>
      <c r="D231" s="121" t="s">
        <v>20</v>
      </c>
      <c r="E231" s="121" t="s">
        <v>21</v>
      </c>
      <c r="F231" s="121" t="s">
        <v>636</v>
      </c>
      <c r="G231" s="121" t="s">
        <v>638</v>
      </c>
      <c r="H231" s="99" t="n">
        <v>28561</v>
      </c>
      <c r="I231" s="99" t="n">
        <v>28561</v>
      </c>
      <c r="J231" s="99" t="n">
        <v>1428</v>
      </c>
      <c r="K231" s="99" t="n">
        <v>0</v>
      </c>
      <c r="L231" s="99" t="n">
        <v>0</v>
      </c>
      <c r="M231" s="99" t="n">
        <v>0</v>
      </c>
      <c r="N231" s="99" t="n">
        <v>0</v>
      </c>
      <c r="O231" s="42" t="n">
        <v>27133</v>
      </c>
    </row>
    <row r="232" spans="1:15">
      <c r="A232" s="37" t="n">
        <v>227</v>
      </c>
      <c r="B232" s="97" t="s">
        <v>639</v>
      </c>
      <c r="C232" s="121" t="s">
        <v>58</v>
      </c>
      <c r="D232" s="121" t="s">
        <v>20</v>
      </c>
      <c r="E232" s="121" t="s">
        <v>21</v>
      </c>
      <c r="F232" s="121" t="s">
        <v>640</v>
      </c>
      <c r="G232" s="121" t="s">
        <v>642</v>
      </c>
      <c r="H232" s="99" t="n">
        <v>28561</v>
      </c>
      <c r="I232" s="99" t="n">
        <v>28561</v>
      </c>
      <c r="J232" s="99" t="n">
        <v>1428</v>
      </c>
      <c r="K232" s="99" t="n">
        <v>0</v>
      </c>
      <c r="L232" s="99" t="n">
        <v>0</v>
      </c>
      <c r="M232" s="99" t="n">
        <v>0</v>
      </c>
      <c r="N232" s="99" t="n">
        <v>0</v>
      </c>
      <c r="O232" s="42" t="n">
        <v>27133</v>
      </c>
    </row>
    <row r="233" spans="1:15">
      <c r="A233" s="37" t="n">
        <v>228</v>
      </c>
      <c r="B233" s="97" t="s">
        <v>1293</v>
      </c>
      <c r="C233" s="121" t="s">
        <v>58</v>
      </c>
      <c r="D233" s="121" t="s">
        <v>20</v>
      </c>
      <c r="E233" s="121" t="s">
        <v>21</v>
      </c>
      <c r="F233" s="121" t="s">
        <v>1294</v>
      </c>
      <c r="G233" s="121" t="s">
        <v>1295</v>
      </c>
      <c r="H233" s="99" t="n">
        <v>29491</v>
      </c>
      <c r="I233" s="99" t="n">
        <v>29491</v>
      </c>
      <c r="J233" s="99" t="n">
        <v>1475</v>
      </c>
      <c r="K233" s="99" t="n">
        <v>0</v>
      </c>
      <c r="L233" s="99" t="n">
        <v>0</v>
      </c>
      <c r="M233" s="99" t="n">
        <v>0</v>
      </c>
      <c r="N233" s="99" t="n">
        <v>0</v>
      </c>
      <c r="O233" s="42" t="n">
        <v>28016</v>
      </c>
    </row>
    <row r="234" spans="1:15">
      <c r="A234" s="37" t="n">
        <v>229</v>
      </c>
      <c r="B234" s="97" t="s">
        <v>106</v>
      </c>
      <c r="C234" s="121" t="s">
        <v>58</v>
      </c>
      <c r="D234" s="121" t="s">
        <v>20</v>
      </c>
      <c r="E234" s="121" t="s">
        <v>21</v>
      </c>
      <c r="F234" s="121" t="s">
        <v>107</v>
      </c>
      <c r="G234" s="121" t="s">
        <v>109</v>
      </c>
      <c r="H234" s="99" t="n">
        <v>28561</v>
      </c>
      <c r="I234" s="99" t="n">
        <v>28561</v>
      </c>
      <c r="J234" s="99" t="n">
        <v>1428</v>
      </c>
      <c r="K234" s="99" t="n">
        <v>0</v>
      </c>
      <c r="L234" s="99" t="n">
        <v>0</v>
      </c>
      <c r="M234" s="99" t="n">
        <v>0</v>
      </c>
      <c r="N234" s="99" t="n">
        <v>0</v>
      </c>
      <c r="O234" s="42" t="n">
        <v>27133</v>
      </c>
    </row>
    <row r="235" spans="1:15">
      <c r="A235" s="37" t="n">
        <v>230</v>
      </c>
      <c r="B235" s="97" t="s">
        <v>2373</v>
      </c>
      <c r="C235" s="121" t="s">
        <v>58</v>
      </c>
      <c r="D235" s="121" t="s">
        <v>20</v>
      </c>
      <c r="E235" s="121" t="s">
        <v>21</v>
      </c>
      <c r="F235" s="121" t="s">
        <v>2374</v>
      </c>
      <c r="G235" s="121" t="s">
        <v>2375</v>
      </c>
      <c r="H235" s="99" t="n">
        <v>28561</v>
      </c>
      <c r="I235" s="99" t="n">
        <v>28561</v>
      </c>
      <c r="J235" s="99" t="n">
        <v>1428</v>
      </c>
      <c r="K235" s="99" t="n">
        <v>0</v>
      </c>
      <c r="L235" s="99" t="n">
        <v>0</v>
      </c>
      <c r="M235" s="99" t="n">
        <v>0</v>
      </c>
      <c r="N235" s="99" t="n">
        <v>0</v>
      </c>
      <c r="O235" s="42" t="n">
        <v>27133</v>
      </c>
    </row>
    <row r="236" spans="1:15">
      <c r="A236" s="37" t="n">
        <v>231</v>
      </c>
      <c r="B236" s="97" t="s">
        <v>1296</v>
      </c>
      <c r="C236" s="121" t="s">
        <v>58</v>
      </c>
      <c r="D236" s="121" t="s">
        <v>20</v>
      </c>
      <c r="E236" s="121" t="s">
        <v>21</v>
      </c>
      <c r="F236" s="121" t="s">
        <v>1297</v>
      </c>
      <c r="G236" s="121" t="s">
        <v>1298</v>
      </c>
      <c r="H236" s="99" t="n">
        <v>29491</v>
      </c>
      <c r="I236" s="99" t="n">
        <v>29491</v>
      </c>
      <c r="J236" s="99" t="n">
        <v>1475</v>
      </c>
      <c r="K236" s="99" t="n">
        <v>0</v>
      </c>
      <c r="L236" s="99" t="n">
        <v>0</v>
      </c>
      <c r="M236" s="99" t="n">
        <v>0</v>
      </c>
      <c r="N236" s="99" t="n">
        <v>0</v>
      </c>
      <c r="O236" s="42" t="n">
        <v>28016</v>
      </c>
    </row>
    <row r="237" spans="1:15">
      <c r="A237" s="37" t="n">
        <v>232</v>
      </c>
      <c r="B237" s="97" t="s">
        <v>2376</v>
      </c>
      <c r="C237" s="121" t="s">
        <v>120</v>
      </c>
      <c r="D237" s="121" t="s">
        <v>128</v>
      </c>
      <c r="E237" s="121" t="s">
        <v>15</v>
      </c>
      <c r="F237" s="98" t="n">
        <v>0</v>
      </c>
      <c r="G237" s="121" t="s">
        <v>2377</v>
      </c>
      <c r="H237" s="99" t="n">
        <v>29491</v>
      </c>
      <c r="I237" s="99" t="n">
        <v>29491</v>
      </c>
      <c r="J237" s="99" t="n">
        <v>0</v>
      </c>
      <c r="K237" s="99" t="n">
        <v>0</v>
      </c>
      <c r="L237" s="99" t="n">
        <v>0</v>
      </c>
      <c r="M237" s="99" t="n">
        <v>0</v>
      </c>
      <c r="N237" s="99" t="n">
        <v>0</v>
      </c>
      <c r="O237" s="42" t="n">
        <v>29491</v>
      </c>
    </row>
    <row r="238" spans="1:15">
      <c r="A238" s="37" t="n">
        <v>233</v>
      </c>
      <c r="B238" s="97" t="s">
        <v>1119</v>
      </c>
      <c r="C238" s="121" t="s">
        <v>283</v>
      </c>
      <c r="D238" s="121" t="s">
        <v>20</v>
      </c>
      <c r="E238" s="121" t="s">
        <v>21</v>
      </c>
      <c r="F238" s="121" t="s">
        <v>2378</v>
      </c>
      <c r="G238" s="121" t="s">
        <v>1121</v>
      </c>
      <c r="H238" s="99" t="n">
        <v>28561</v>
      </c>
      <c r="I238" s="99" t="n">
        <v>28561</v>
      </c>
      <c r="J238" s="99" t="n">
        <v>0</v>
      </c>
      <c r="K238" s="99" t="n">
        <v>0</v>
      </c>
      <c r="L238" s="99" t="n">
        <v>0</v>
      </c>
      <c r="M238" s="99" t="n">
        <v>0</v>
      </c>
      <c r="N238" s="99" t="n">
        <v>0</v>
      </c>
      <c r="O238" s="42" t="n">
        <v>28561</v>
      </c>
    </row>
    <row r="239" spans="1:15">
      <c r="A239" s="37" t="n">
        <v>234</v>
      </c>
      <c r="B239" s="97" t="s">
        <v>2379</v>
      </c>
      <c r="C239" s="121" t="s">
        <v>120</v>
      </c>
      <c r="D239" s="121" t="s">
        <v>137</v>
      </c>
      <c r="E239" s="121" t="s">
        <v>14</v>
      </c>
      <c r="F239" s="98" t="n">
        <v>0</v>
      </c>
      <c r="G239" s="121" t="s">
        <v>2380</v>
      </c>
      <c r="H239" s="99" t="n">
        <v>28561</v>
      </c>
      <c r="I239" s="99" t="n">
        <v>28561</v>
      </c>
      <c r="J239" s="99" t="n">
        <v>0</v>
      </c>
      <c r="K239" s="99" t="n">
        <v>0</v>
      </c>
      <c r="L239" s="99" t="n">
        <v>0</v>
      </c>
      <c r="M239" s="99" t="n">
        <v>0</v>
      </c>
      <c r="N239" s="99" t="n">
        <v>0</v>
      </c>
      <c r="O239" s="42" t="n">
        <v>28561</v>
      </c>
    </row>
    <row r="240" spans="1:15">
      <c r="A240" s="37" t="n">
        <v>235</v>
      </c>
      <c r="B240" s="97" t="s">
        <v>673</v>
      </c>
      <c r="C240" s="121" t="s">
        <v>283</v>
      </c>
      <c r="D240" s="121" t="s">
        <v>20</v>
      </c>
      <c r="E240" s="121" t="s">
        <v>21</v>
      </c>
      <c r="F240" s="121" t="s">
        <v>2381</v>
      </c>
      <c r="G240" s="121" t="s">
        <v>674</v>
      </c>
      <c r="H240" s="99" t="n">
        <v>28561</v>
      </c>
      <c r="I240" s="99" t="n">
        <v>28561</v>
      </c>
      <c r="J240" s="99" t="n">
        <v>0</v>
      </c>
      <c r="K240" s="99" t="n">
        <v>0</v>
      </c>
      <c r="L240" s="99" t="n">
        <v>0</v>
      </c>
      <c r="M240" s="99" t="n">
        <v>0</v>
      </c>
      <c r="N240" s="99" t="n">
        <v>0</v>
      </c>
      <c r="O240" s="42" t="n">
        <v>28561</v>
      </c>
    </row>
    <row r="241" spans="1:15">
      <c r="A241" s="37" t="n">
        <v>236</v>
      </c>
      <c r="B241" s="97" t="s">
        <v>1339</v>
      </c>
      <c r="C241" s="121" t="s">
        <v>283</v>
      </c>
      <c r="D241" s="121" t="s">
        <v>20</v>
      </c>
      <c r="E241" s="121" t="s">
        <v>21</v>
      </c>
      <c r="F241" s="121" t="s">
        <v>2382</v>
      </c>
      <c r="G241" s="121" t="s">
        <v>1340</v>
      </c>
      <c r="H241" s="99" t="n">
        <v>28561</v>
      </c>
      <c r="I241" s="99" t="n">
        <v>28561</v>
      </c>
      <c r="J241" s="99" t="n">
        <v>0</v>
      </c>
      <c r="K241" s="99" t="n">
        <v>0</v>
      </c>
      <c r="L241" s="99" t="n">
        <v>0</v>
      </c>
      <c r="M241" s="99" t="n">
        <v>0</v>
      </c>
      <c r="N241" s="99" t="n">
        <v>0</v>
      </c>
      <c r="O241" s="42" t="n">
        <v>28561</v>
      </c>
    </row>
    <row r="242" spans="1:15">
      <c r="A242" s="37" t="n">
        <v>237</v>
      </c>
      <c r="B242" s="97" t="s">
        <v>670</v>
      </c>
      <c r="C242" s="121" t="s">
        <v>131</v>
      </c>
      <c r="D242" s="121" t="s">
        <v>20</v>
      </c>
      <c r="E242" s="121" t="s">
        <v>21</v>
      </c>
      <c r="F242" s="121" t="s">
        <v>671</v>
      </c>
      <c r="G242" s="121" t="s">
        <v>672</v>
      </c>
      <c r="H242" s="99" t="n">
        <v>29491</v>
      </c>
      <c r="I242" s="99" t="n">
        <v>29491</v>
      </c>
      <c r="J242" s="99" t="n">
        <v>1475</v>
      </c>
      <c r="K242" s="99" t="n">
        <v>0</v>
      </c>
      <c r="L242" s="99" t="n">
        <v>0</v>
      </c>
      <c r="M242" s="99" t="n">
        <v>0</v>
      </c>
      <c r="N242" s="99" t="n">
        <v>0</v>
      </c>
      <c r="O242" s="42" t="n">
        <v>28016</v>
      </c>
    </row>
    <row r="243" spans="1:15">
      <c r="A243" s="37" t="n">
        <v>238</v>
      </c>
      <c r="B243" s="97" t="s">
        <v>1346</v>
      </c>
      <c r="C243" s="121" t="s">
        <v>283</v>
      </c>
      <c r="D243" s="121" t="s">
        <v>20</v>
      </c>
      <c r="E243" s="121" t="s">
        <v>21</v>
      </c>
      <c r="F243" s="121" t="s">
        <v>2383</v>
      </c>
      <c r="G243" s="121" t="s">
        <v>1348</v>
      </c>
      <c r="H243" s="99" t="n">
        <v>28561</v>
      </c>
      <c r="I243" s="99" t="n">
        <v>28561</v>
      </c>
      <c r="J243" s="99" t="n">
        <v>0</v>
      </c>
      <c r="K243" s="99" t="n">
        <v>0</v>
      </c>
      <c r="L243" s="99" t="n">
        <v>0</v>
      </c>
      <c r="M243" s="99" t="n">
        <v>0</v>
      </c>
      <c r="N243" s="99" t="n">
        <v>0</v>
      </c>
      <c r="O243" s="42" t="n">
        <v>28561</v>
      </c>
    </row>
    <row r="244" spans="1:15">
      <c r="A244" s="37" t="n">
        <v>239</v>
      </c>
      <c r="B244" s="97" t="s">
        <v>650</v>
      </c>
      <c r="C244" s="121" t="s">
        <v>283</v>
      </c>
      <c r="D244" s="121" t="s">
        <v>20</v>
      </c>
      <c r="E244" s="121" t="s">
        <v>21</v>
      </c>
      <c r="F244" s="121" t="s">
        <v>2384</v>
      </c>
      <c r="G244" s="121" t="s">
        <v>651</v>
      </c>
      <c r="H244" s="99" t="n">
        <v>28561</v>
      </c>
      <c r="I244" s="99" t="n">
        <v>28561</v>
      </c>
      <c r="J244" s="99" t="n">
        <v>0</v>
      </c>
      <c r="K244" s="99" t="n">
        <v>0</v>
      </c>
      <c r="L244" s="99" t="n">
        <v>0</v>
      </c>
      <c r="M244" s="99" t="n">
        <v>0</v>
      </c>
      <c r="N244" s="99" t="n">
        <v>0</v>
      </c>
      <c r="O244" s="42" t="n">
        <v>28561</v>
      </c>
    </row>
    <row r="245" spans="1:15">
      <c r="A245" s="37" t="n">
        <v>240</v>
      </c>
      <c r="B245" s="97" t="s">
        <v>1332</v>
      </c>
      <c r="C245" s="121" t="s">
        <v>283</v>
      </c>
      <c r="D245" s="121" t="s">
        <v>20</v>
      </c>
      <c r="E245" s="121" t="s">
        <v>21</v>
      </c>
      <c r="F245" s="121" t="s">
        <v>2385</v>
      </c>
      <c r="G245" s="121" t="s">
        <v>1333</v>
      </c>
      <c r="H245" s="99" t="n">
        <v>28561</v>
      </c>
      <c r="I245" s="99" t="n">
        <v>28561</v>
      </c>
      <c r="J245" s="99" t="n">
        <v>0</v>
      </c>
      <c r="K245" s="99" t="n">
        <v>0</v>
      </c>
      <c r="L245" s="99" t="n">
        <v>0</v>
      </c>
      <c r="M245" s="99" t="n">
        <v>0</v>
      </c>
      <c r="N245" s="99" t="n">
        <v>0</v>
      </c>
      <c r="O245" s="42" t="n">
        <v>28561</v>
      </c>
    </row>
    <row r="246" spans="1:15">
      <c r="A246" s="37" t="n">
        <v>241</v>
      </c>
      <c r="B246" s="97" t="s">
        <v>661</v>
      </c>
      <c r="C246" s="121" t="s">
        <v>283</v>
      </c>
      <c r="D246" s="121" t="s">
        <v>20</v>
      </c>
      <c r="E246" s="121" t="s">
        <v>21</v>
      </c>
      <c r="F246" s="121" t="s">
        <v>2386</v>
      </c>
      <c r="G246" s="121" t="s">
        <v>663</v>
      </c>
      <c r="H246" s="99" t="n">
        <v>28561</v>
      </c>
      <c r="I246" s="99" t="n">
        <v>28561</v>
      </c>
      <c r="J246" s="99" t="n">
        <v>0</v>
      </c>
      <c r="K246" s="99" t="n">
        <v>0</v>
      </c>
      <c r="L246" s="99" t="n">
        <v>0</v>
      </c>
      <c r="M246" s="99" t="n">
        <v>0</v>
      </c>
      <c r="N246" s="99" t="n">
        <v>0</v>
      </c>
      <c r="O246" s="42" t="n">
        <v>28561</v>
      </c>
    </row>
    <row r="247" spans="1:15">
      <c r="A247" s="37" t="n">
        <v>242</v>
      </c>
      <c r="B247" s="97" t="s">
        <v>864</v>
      </c>
      <c r="C247" s="121" t="s">
        <v>120</v>
      </c>
      <c r="D247" s="121" t="s">
        <v>278</v>
      </c>
      <c r="E247" s="121" t="s">
        <v>16</v>
      </c>
      <c r="F247" s="98" t="n">
        <v>0</v>
      </c>
      <c r="G247" s="121" t="s">
        <v>865</v>
      </c>
      <c r="H247" s="99" t="n">
        <v>28561</v>
      </c>
      <c r="I247" s="99" t="n">
        <v>28561</v>
      </c>
      <c r="J247" s="99" t="n">
        <v>0</v>
      </c>
      <c r="K247" s="99" t="n">
        <v>0</v>
      </c>
      <c r="L247" s="99" t="n">
        <v>0</v>
      </c>
      <c r="M247" s="99" t="n">
        <v>0</v>
      </c>
      <c r="N247" s="99" t="n">
        <v>0</v>
      </c>
      <c r="O247" s="42" t="n">
        <v>28561</v>
      </c>
    </row>
    <row r="248" spans="1:15">
      <c r="A248" s="37" t="n">
        <v>243</v>
      </c>
      <c r="B248" s="97" t="s">
        <v>675</v>
      </c>
      <c r="C248" s="121" t="s">
        <v>283</v>
      </c>
      <c r="D248" s="121" t="s">
        <v>20</v>
      </c>
      <c r="E248" s="121" t="s">
        <v>21</v>
      </c>
      <c r="F248" s="121" t="s">
        <v>2387</v>
      </c>
      <c r="G248" s="121" t="s">
        <v>676</v>
      </c>
      <c r="H248" s="99" t="n">
        <v>28561</v>
      </c>
      <c r="I248" s="99" t="n">
        <v>28561</v>
      </c>
      <c r="J248" s="99" t="n">
        <v>0</v>
      </c>
      <c r="K248" s="99" t="n">
        <v>0</v>
      </c>
      <c r="L248" s="99" t="n">
        <v>0</v>
      </c>
      <c r="M248" s="99" t="n">
        <v>0</v>
      </c>
      <c r="N248" s="99" t="n">
        <v>0</v>
      </c>
      <c r="O248" s="42" t="n">
        <v>28561</v>
      </c>
    </row>
    <row r="249" spans="1:15">
      <c r="A249" s="37" t="n">
        <v>244</v>
      </c>
      <c r="B249" s="97" t="s">
        <v>666</v>
      </c>
      <c r="C249" s="121" t="s">
        <v>283</v>
      </c>
      <c r="D249" s="121" t="s">
        <v>20</v>
      </c>
      <c r="E249" s="121" t="s">
        <v>21</v>
      </c>
      <c r="F249" s="121" t="s">
        <v>2074</v>
      </c>
      <c r="G249" s="121" t="s">
        <v>667</v>
      </c>
      <c r="H249" s="99" t="n">
        <v>28561</v>
      </c>
      <c r="I249" s="99" t="n">
        <v>28561</v>
      </c>
      <c r="J249" s="99" t="n">
        <v>0</v>
      </c>
      <c r="K249" s="99" t="n">
        <v>0</v>
      </c>
      <c r="L249" s="99" t="n">
        <v>0</v>
      </c>
      <c r="M249" s="99" t="n">
        <v>0</v>
      </c>
      <c r="N249" s="99" t="n">
        <v>0</v>
      </c>
      <c r="O249" s="42" t="n">
        <v>28561</v>
      </c>
    </row>
    <row r="250" spans="1:15">
      <c r="A250" s="37" t="n">
        <v>245</v>
      </c>
      <c r="B250" s="97" t="s">
        <v>1125</v>
      </c>
      <c r="C250" s="121" t="s">
        <v>120</v>
      </c>
      <c r="D250" s="121" t="s">
        <v>128</v>
      </c>
      <c r="E250" s="121" t="s">
        <v>15</v>
      </c>
      <c r="F250" s="98" t="n">
        <v>0</v>
      </c>
      <c r="G250" s="121" t="s">
        <v>1127</v>
      </c>
      <c r="H250" s="99" t="n">
        <v>28561</v>
      </c>
      <c r="I250" s="99" t="n">
        <v>28561</v>
      </c>
      <c r="J250" s="99" t="n">
        <v>0</v>
      </c>
      <c r="K250" s="99" t="n">
        <v>0</v>
      </c>
      <c r="L250" s="99" t="n">
        <v>0</v>
      </c>
      <c r="M250" s="99" t="n">
        <v>0</v>
      </c>
      <c r="N250" s="99" t="n">
        <v>0</v>
      </c>
      <c r="O250" s="42" t="n">
        <v>28561</v>
      </c>
    </row>
    <row r="251" spans="1:15">
      <c r="A251" s="37" t="n">
        <v>246</v>
      </c>
      <c r="B251" s="97" t="s">
        <v>668</v>
      </c>
      <c r="C251" s="121" t="s">
        <v>283</v>
      </c>
      <c r="D251" s="121" t="s">
        <v>20</v>
      </c>
      <c r="E251" s="121" t="s">
        <v>21</v>
      </c>
      <c r="F251" s="121" t="s">
        <v>2074</v>
      </c>
      <c r="G251" s="121" t="s">
        <v>669</v>
      </c>
      <c r="H251" s="99" t="n">
        <v>28561</v>
      </c>
      <c r="I251" s="99" t="n">
        <v>28561</v>
      </c>
      <c r="J251" s="99" t="n">
        <v>0</v>
      </c>
      <c r="K251" s="99" t="n">
        <v>0</v>
      </c>
      <c r="L251" s="99" t="n">
        <v>0</v>
      </c>
      <c r="M251" s="99" t="n">
        <v>0</v>
      </c>
      <c r="N251" s="99" t="n">
        <v>0</v>
      </c>
      <c r="O251" s="42" t="n">
        <v>28561</v>
      </c>
    </row>
    <row r="252" spans="1:15">
      <c r="A252" s="37" t="n">
        <v>247</v>
      </c>
      <c r="B252" s="97" t="s">
        <v>1246</v>
      </c>
      <c r="C252" s="121" t="s">
        <v>58</v>
      </c>
      <c r="D252" s="121" t="s">
        <v>20</v>
      </c>
      <c r="E252" s="121" t="s">
        <v>21</v>
      </c>
      <c r="F252" s="121" t="s">
        <v>1247</v>
      </c>
      <c r="G252" s="121" t="s">
        <v>1249</v>
      </c>
      <c r="H252" s="99" t="n">
        <v>34606</v>
      </c>
      <c r="I252" s="99" t="n">
        <v>34606</v>
      </c>
      <c r="J252" s="99" t="n">
        <v>1730</v>
      </c>
      <c r="K252" s="99" t="n">
        <v>0</v>
      </c>
      <c r="L252" s="99" t="n">
        <v>0</v>
      </c>
      <c r="M252" s="99" t="n">
        <v>0</v>
      </c>
      <c r="N252" s="99" t="n">
        <v>0</v>
      </c>
      <c r="O252" s="42" t="n">
        <v>32876</v>
      </c>
    </row>
    <row r="253" spans="1:15">
      <c r="A253" s="37" t="n">
        <v>248</v>
      </c>
      <c r="B253" s="97" t="s">
        <v>847</v>
      </c>
      <c r="C253" s="121" t="s">
        <v>58</v>
      </c>
      <c r="D253" s="121" t="s">
        <v>20</v>
      </c>
      <c r="E253" s="121" t="s">
        <v>21</v>
      </c>
      <c r="F253" s="121" t="s">
        <v>848</v>
      </c>
      <c r="G253" s="121" t="s">
        <v>850</v>
      </c>
      <c r="H253" s="99" t="n">
        <v>31351</v>
      </c>
      <c r="I253" s="99" t="n">
        <v>31351</v>
      </c>
      <c r="J253" s="99" t="n">
        <v>1568</v>
      </c>
      <c r="K253" s="99" t="n">
        <v>0</v>
      </c>
      <c r="L253" s="99" t="n">
        <v>0</v>
      </c>
      <c r="M253" s="99" t="n">
        <v>0</v>
      </c>
      <c r="N253" s="99" t="n">
        <v>0</v>
      </c>
      <c r="O253" s="42" t="n">
        <v>29783</v>
      </c>
    </row>
    <row r="254" spans="1:15">
      <c r="A254" s="37" t="n">
        <v>249</v>
      </c>
      <c r="B254" s="97" t="s">
        <v>690</v>
      </c>
      <c r="C254" s="121" t="s">
        <v>58</v>
      </c>
      <c r="D254" s="121" t="s">
        <v>20</v>
      </c>
      <c r="E254" s="121" t="s">
        <v>21</v>
      </c>
      <c r="F254" s="121" t="s">
        <v>691</v>
      </c>
      <c r="G254" s="121" t="s">
        <v>692</v>
      </c>
      <c r="H254" s="99" t="n">
        <v>33211</v>
      </c>
      <c r="I254" s="99" t="n">
        <v>33211</v>
      </c>
      <c r="J254" s="99" t="n">
        <v>1661</v>
      </c>
      <c r="K254" s="99" t="n">
        <v>0</v>
      </c>
      <c r="L254" s="99" t="n">
        <v>0</v>
      </c>
      <c r="M254" s="99" t="n">
        <v>0</v>
      </c>
      <c r="N254" s="99" t="n">
        <v>0</v>
      </c>
      <c r="O254" s="42" t="n">
        <v>31550</v>
      </c>
    </row>
    <row r="255" spans="1:15">
      <c r="A255" s="37" t="n">
        <v>250</v>
      </c>
      <c r="B255" s="97" t="s">
        <v>693</v>
      </c>
      <c r="C255" s="121" t="s">
        <v>58</v>
      </c>
      <c r="D255" s="121" t="s">
        <v>20</v>
      </c>
      <c r="E255" s="121" t="s">
        <v>21</v>
      </c>
      <c r="F255" s="121" t="s">
        <v>694</v>
      </c>
      <c r="G255" s="121" t="s">
        <v>695</v>
      </c>
      <c r="H255" s="99" t="n">
        <v>31351</v>
      </c>
      <c r="I255" s="99" t="n">
        <v>31351</v>
      </c>
      <c r="J255" s="99" t="n">
        <v>1568</v>
      </c>
      <c r="K255" s="99" t="n">
        <v>0</v>
      </c>
      <c r="L255" s="99" t="n">
        <v>0</v>
      </c>
      <c r="M255" s="99" t="n">
        <v>0</v>
      </c>
      <c r="N255" s="99" t="n">
        <v>0</v>
      </c>
      <c r="O255" s="42" t="n">
        <v>29783</v>
      </c>
    </row>
    <row r="256" spans="1:15">
      <c r="A256" s="37" t="n">
        <v>251</v>
      </c>
      <c r="B256" s="97" t="s">
        <v>1272</v>
      </c>
      <c r="C256" s="121" t="s">
        <v>283</v>
      </c>
      <c r="D256" s="121" t="s">
        <v>20</v>
      </c>
      <c r="E256" s="121" t="s">
        <v>21</v>
      </c>
      <c r="F256" s="121" t="s">
        <v>2074</v>
      </c>
      <c r="G256" s="121" t="s">
        <v>1273</v>
      </c>
      <c r="H256" s="99" t="n">
        <v>31351</v>
      </c>
      <c r="I256" s="99" t="n">
        <v>31351</v>
      </c>
      <c r="J256" s="99" t="n">
        <v>0</v>
      </c>
      <c r="K256" s="99" t="n">
        <v>0</v>
      </c>
      <c r="L256" s="99" t="n">
        <v>0</v>
      </c>
      <c r="M256" s="99" t="n">
        <v>0</v>
      </c>
      <c r="N256" s="99" t="n">
        <v>0</v>
      </c>
      <c r="O256" s="42" t="n">
        <v>31351</v>
      </c>
    </row>
    <row r="257" spans="1:15">
      <c r="A257" s="37" t="n">
        <v>252</v>
      </c>
      <c r="B257" s="97" t="s">
        <v>696</v>
      </c>
      <c r="C257" s="121" t="s">
        <v>283</v>
      </c>
      <c r="D257" s="121" t="s">
        <v>20</v>
      </c>
      <c r="E257" s="121" t="s">
        <v>21</v>
      </c>
      <c r="F257" s="121" t="s">
        <v>2388</v>
      </c>
      <c r="G257" s="121" t="s">
        <v>697</v>
      </c>
      <c r="H257" s="99" t="n">
        <v>31351</v>
      </c>
      <c r="I257" s="99" t="n">
        <v>31351</v>
      </c>
      <c r="J257" s="99" t="n">
        <v>0</v>
      </c>
      <c r="K257" s="99" t="n">
        <v>0</v>
      </c>
      <c r="L257" s="99" t="n">
        <v>0</v>
      </c>
      <c r="M257" s="99" t="n">
        <v>0</v>
      </c>
      <c r="N257" s="99" t="n">
        <v>0</v>
      </c>
      <c r="O257" s="42" t="n">
        <v>31351</v>
      </c>
    </row>
    <row r="258" spans="1:15">
      <c r="A258" s="37" t="n">
        <v>253</v>
      </c>
      <c r="B258" s="97" t="s">
        <v>901</v>
      </c>
      <c r="C258" s="121" t="s">
        <v>111</v>
      </c>
      <c r="D258" s="121" t="s">
        <v>20</v>
      </c>
      <c r="E258" s="121" t="s">
        <v>21</v>
      </c>
      <c r="F258" s="121" t="s">
        <v>902</v>
      </c>
      <c r="G258" s="121" t="s">
        <v>903</v>
      </c>
      <c r="H258" s="99" t="n">
        <v>31351</v>
      </c>
      <c r="I258" s="99" t="n">
        <v>31351</v>
      </c>
      <c r="J258" s="99" t="n">
        <v>0</v>
      </c>
      <c r="K258" s="99" t="n">
        <v>0</v>
      </c>
      <c r="L258" s="99" t="n">
        <v>0</v>
      </c>
      <c r="M258" s="99" t="n">
        <v>0</v>
      </c>
      <c r="N258" s="99" t="n">
        <v>0</v>
      </c>
      <c r="O258" s="42" t="n">
        <v>31351</v>
      </c>
    </row>
    <row r="259" spans="1:15">
      <c r="A259" s="37" t="n">
        <v>254</v>
      </c>
      <c r="B259" s="97" t="s">
        <v>2389</v>
      </c>
      <c r="C259" s="121" t="s">
        <v>95</v>
      </c>
      <c r="D259" s="121" t="s">
        <v>20</v>
      </c>
      <c r="E259" s="121" t="s">
        <v>21</v>
      </c>
      <c r="F259" s="98" t="n">
        <v>0</v>
      </c>
      <c r="G259" s="121" t="s">
        <v>2390</v>
      </c>
      <c r="H259" s="99" t="n">
        <v>31351</v>
      </c>
      <c r="I259" s="99" t="n">
        <v>31351</v>
      </c>
      <c r="J259" s="99" t="n">
        <v>0</v>
      </c>
      <c r="K259" s="99" t="n">
        <v>0</v>
      </c>
      <c r="L259" s="99" t="n">
        <v>0</v>
      </c>
      <c r="M259" s="99" t="n">
        <v>0</v>
      </c>
      <c r="N259" s="99" t="n">
        <v>0</v>
      </c>
      <c r="O259" s="42" t="n">
        <v>31351</v>
      </c>
    </row>
    <row r="260" spans="1:15">
      <c r="A260" s="37" t="n">
        <v>255</v>
      </c>
      <c r="B260" s="97" t="s">
        <v>2391</v>
      </c>
      <c r="C260" s="121" t="s">
        <v>95</v>
      </c>
      <c r="D260" s="121" t="s">
        <v>124</v>
      </c>
      <c r="E260" s="121" t="s">
        <v>15</v>
      </c>
      <c r="F260" s="98" t="n">
        <v>0</v>
      </c>
      <c r="G260" s="121" t="s">
        <v>2392</v>
      </c>
      <c r="H260" s="99" t="n">
        <v>31351</v>
      </c>
      <c r="I260" s="99" t="n">
        <v>31351</v>
      </c>
      <c r="J260" s="99" t="n">
        <v>0</v>
      </c>
      <c r="K260" s="99" t="n">
        <v>0</v>
      </c>
      <c r="L260" s="99" t="n">
        <v>0</v>
      </c>
      <c r="M260" s="99" t="n">
        <v>0</v>
      </c>
      <c r="N260" s="99" t="n">
        <v>0</v>
      </c>
      <c r="O260" s="42" t="n">
        <v>31351</v>
      </c>
    </row>
    <row r="261" spans="1:15">
      <c r="A261" s="37" t="n">
        <v>256</v>
      </c>
      <c r="B261" s="97" t="s">
        <v>687</v>
      </c>
      <c r="C261" s="121" t="s">
        <v>19</v>
      </c>
      <c r="D261" s="121" t="s">
        <v>20</v>
      </c>
      <c r="E261" s="121" t="s">
        <v>21</v>
      </c>
      <c r="F261" s="121" t="s">
        <v>688</v>
      </c>
      <c r="G261" s="121" t="s">
        <v>689</v>
      </c>
      <c r="H261" s="99" t="n">
        <v>32514</v>
      </c>
      <c r="I261" s="99" t="n">
        <v>32514</v>
      </c>
      <c r="J261" s="99" t="n">
        <v>0</v>
      </c>
      <c r="K261" s="99" t="n">
        <v>4877</v>
      </c>
      <c r="L261" s="99" t="n">
        <v>0</v>
      </c>
      <c r="M261" s="99" t="n">
        <v>0</v>
      </c>
      <c r="N261" s="99" t="n">
        <v>0</v>
      </c>
      <c r="O261" s="42" t="n">
        <v>27637</v>
      </c>
    </row>
    <row r="262" spans="1:15">
      <c r="A262" s="37" t="n">
        <v>257</v>
      </c>
      <c r="B262" s="97" t="s">
        <v>958</v>
      </c>
      <c r="C262" s="121" t="s">
        <v>58</v>
      </c>
      <c r="D262" s="121" t="s">
        <v>20</v>
      </c>
      <c r="E262" s="121" t="s">
        <v>21</v>
      </c>
      <c r="F262" s="121" t="s">
        <v>959</v>
      </c>
      <c r="G262" s="121" t="s">
        <v>960</v>
      </c>
      <c r="H262" s="99" t="n">
        <v>31119</v>
      </c>
      <c r="I262" s="99" t="n">
        <v>31119</v>
      </c>
      <c r="J262" s="99" t="n">
        <v>1556</v>
      </c>
      <c r="K262" s="99" t="n">
        <v>0</v>
      </c>
      <c r="L262" s="99" t="n">
        <v>0</v>
      </c>
      <c r="M262" s="99" t="n">
        <v>0</v>
      </c>
      <c r="N262" s="99" t="n">
        <v>0</v>
      </c>
      <c r="O262" s="42" t="n">
        <v>29563</v>
      </c>
    </row>
    <row r="263" spans="1:15">
      <c r="A263" s="37" t="n">
        <v>258</v>
      </c>
      <c r="B263" s="97" t="s">
        <v>1430</v>
      </c>
      <c r="C263" s="121" t="s">
        <v>58</v>
      </c>
      <c r="D263" s="121" t="s">
        <v>20</v>
      </c>
      <c r="E263" s="121" t="s">
        <v>21</v>
      </c>
      <c r="F263" s="121" t="s">
        <v>1431</v>
      </c>
      <c r="G263" s="121" t="s">
        <v>1433</v>
      </c>
      <c r="H263" s="99" t="n">
        <v>29259</v>
      </c>
      <c r="I263" s="99" t="n">
        <v>29259</v>
      </c>
      <c r="J263" s="99" t="n">
        <v>1463</v>
      </c>
      <c r="K263" s="99" t="n">
        <v>0</v>
      </c>
      <c r="L263" s="99" t="n">
        <v>0</v>
      </c>
      <c r="M263" s="99" t="n">
        <v>0</v>
      </c>
      <c r="N263" s="99" t="n">
        <v>0</v>
      </c>
      <c r="O263" s="42" t="n">
        <v>27796</v>
      </c>
    </row>
    <row r="264" spans="1:15">
      <c r="A264" s="37" t="n">
        <v>259</v>
      </c>
      <c r="B264" s="97" t="s">
        <v>818</v>
      </c>
      <c r="C264" s="121" t="s">
        <v>58</v>
      </c>
      <c r="D264" s="121" t="s">
        <v>20</v>
      </c>
      <c r="E264" s="121" t="s">
        <v>21</v>
      </c>
      <c r="F264" s="121" t="s">
        <v>819</v>
      </c>
      <c r="G264" s="121" t="s">
        <v>820</v>
      </c>
      <c r="H264" s="99" t="n">
        <v>31119</v>
      </c>
      <c r="I264" s="99" t="n">
        <v>31119</v>
      </c>
      <c r="J264" s="99" t="n">
        <v>1556</v>
      </c>
      <c r="K264" s="99" t="n">
        <v>0</v>
      </c>
      <c r="L264" s="99" t="n">
        <v>0</v>
      </c>
      <c r="M264" s="99" t="n">
        <v>0</v>
      </c>
      <c r="N264" s="99" t="n">
        <v>0</v>
      </c>
      <c r="O264" s="42" t="n">
        <v>29563</v>
      </c>
    </row>
    <row r="265" spans="1:15">
      <c r="A265" s="37" t="n">
        <v>260</v>
      </c>
      <c r="B265" s="97" t="s">
        <v>897</v>
      </c>
      <c r="C265" s="121" t="s">
        <v>58</v>
      </c>
      <c r="D265" s="121" t="s">
        <v>20</v>
      </c>
      <c r="E265" s="121" t="s">
        <v>21</v>
      </c>
      <c r="F265" s="121" t="s">
        <v>898</v>
      </c>
      <c r="G265" s="121" t="s">
        <v>900</v>
      </c>
      <c r="H265" s="99" t="n">
        <v>29259</v>
      </c>
      <c r="I265" s="99" t="n">
        <v>29259</v>
      </c>
      <c r="J265" s="99" t="n">
        <v>1463</v>
      </c>
      <c r="K265" s="99" t="n">
        <v>0</v>
      </c>
      <c r="L265" s="99" t="n">
        <v>0</v>
      </c>
      <c r="M265" s="99" t="n">
        <v>0</v>
      </c>
      <c r="N265" s="99" t="n">
        <v>0</v>
      </c>
      <c r="O265" s="42" t="n">
        <v>27796</v>
      </c>
    </row>
    <row r="266" spans="1:15">
      <c r="A266" s="37" t="n">
        <v>261</v>
      </c>
      <c r="B266" s="97" t="s">
        <v>310</v>
      </c>
      <c r="C266" s="121" t="s">
        <v>58</v>
      </c>
      <c r="D266" s="121" t="s">
        <v>20</v>
      </c>
      <c r="E266" s="121" t="s">
        <v>21</v>
      </c>
      <c r="F266" s="121" t="s">
        <v>311</v>
      </c>
      <c r="G266" s="121" t="s">
        <v>313</v>
      </c>
      <c r="H266" s="99" t="n">
        <v>30654</v>
      </c>
      <c r="I266" s="99" t="n">
        <v>30654</v>
      </c>
      <c r="J266" s="99" t="n">
        <v>1533</v>
      </c>
      <c r="K266" s="99" t="n">
        <v>0</v>
      </c>
      <c r="L266" s="99" t="n">
        <v>0</v>
      </c>
      <c r="M266" s="99" t="n">
        <v>0</v>
      </c>
      <c r="N266" s="99" t="n">
        <v>0</v>
      </c>
      <c r="O266" s="42" t="n">
        <v>29121</v>
      </c>
    </row>
    <row r="267" spans="1:15">
      <c r="A267" s="37" t="n">
        <v>262</v>
      </c>
      <c r="B267" s="97" t="s">
        <v>786</v>
      </c>
      <c r="C267" s="121" t="s">
        <v>58</v>
      </c>
      <c r="D267" s="121" t="s">
        <v>20</v>
      </c>
      <c r="E267" s="121" t="s">
        <v>21</v>
      </c>
      <c r="F267" s="121" t="s">
        <v>787</v>
      </c>
      <c r="G267" s="121" t="s">
        <v>788</v>
      </c>
      <c r="H267" s="99" t="n">
        <v>31119</v>
      </c>
      <c r="I267" s="99" t="n">
        <v>31119</v>
      </c>
      <c r="J267" s="99" t="n">
        <v>1556</v>
      </c>
      <c r="K267" s="99" t="n">
        <v>0</v>
      </c>
      <c r="L267" s="99" t="n">
        <v>0</v>
      </c>
      <c r="M267" s="99" t="n">
        <v>0</v>
      </c>
      <c r="N267" s="99" t="n">
        <v>0</v>
      </c>
      <c r="O267" s="42" t="n">
        <v>29563</v>
      </c>
    </row>
    <row r="268" spans="1:15">
      <c r="A268" s="37" t="n">
        <v>263</v>
      </c>
      <c r="B268" s="97" t="s">
        <v>1228</v>
      </c>
      <c r="C268" s="121" t="s">
        <v>58</v>
      </c>
      <c r="D268" s="121" t="s">
        <v>20</v>
      </c>
      <c r="E268" s="121" t="s">
        <v>21</v>
      </c>
      <c r="F268" s="121" t="s">
        <v>1229</v>
      </c>
      <c r="G268" s="121" t="s">
        <v>1231</v>
      </c>
      <c r="H268" s="99" t="n">
        <v>31119</v>
      </c>
      <c r="I268" s="99" t="n">
        <v>31119</v>
      </c>
      <c r="J268" s="99" t="n">
        <v>1556</v>
      </c>
      <c r="K268" s="99" t="n">
        <v>0</v>
      </c>
      <c r="L268" s="99" t="n">
        <v>0</v>
      </c>
      <c r="M268" s="99" t="n">
        <v>0</v>
      </c>
      <c r="N268" s="99" t="n">
        <v>0</v>
      </c>
      <c r="O268" s="42" t="n">
        <v>29563</v>
      </c>
    </row>
    <row r="269" spans="1:15">
      <c r="A269" s="37" t="n">
        <v>264</v>
      </c>
      <c r="B269" s="97" t="s">
        <v>2393</v>
      </c>
      <c r="C269" s="121" t="s">
        <v>120</v>
      </c>
      <c r="D269" s="121" t="s">
        <v>128</v>
      </c>
      <c r="E269" s="121" t="s">
        <v>15</v>
      </c>
      <c r="F269" s="98" t="n">
        <v>0</v>
      </c>
      <c r="G269" s="121" t="s">
        <v>2394</v>
      </c>
      <c r="H269" s="99" t="n">
        <v>29259</v>
      </c>
      <c r="I269" s="99" t="n">
        <v>29259</v>
      </c>
      <c r="J269" s="99" t="n">
        <v>0</v>
      </c>
      <c r="K269" s="99" t="n">
        <v>0</v>
      </c>
      <c r="L269" s="99" t="n">
        <v>0</v>
      </c>
      <c r="M269" s="99" t="n">
        <v>0</v>
      </c>
      <c r="N269" s="99" t="n">
        <v>0</v>
      </c>
      <c r="O269" s="42" t="n">
        <v>29259</v>
      </c>
    </row>
    <row r="270" spans="1:15">
      <c r="A270" s="37" t="n">
        <v>265</v>
      </c>
      <c r="B270" s="97" t="s">
        <v>1110</v>
      </c>
      <c r="C270" s="121" t="s">
        <v>283</v>
      </c>
      <c r="D270" s="121" t="s">
        <v>20</v>
      </c>
      <c r="E270" s="121" t="s">
        <v>21</v>
      </c>
      <c r="F270" s="121" t="s">
        <v>2395</v>
      </c>
      <c r="G270" s="121" t="s">
        <v>1111</v>
      </c>
      <c r="H270" s="99" t="n">
        <v>29259</v>
      </c>
      <c r="I270" s="99" t="n">
        <v>29259</v>
      </c>
      <c r="J270" s="99" t="n">
        <v>0</v>
      </c>
      <c r="K270" s="99" t="n">
        <v>0</v>
      </c>
      <c r="L270" s="99" t="n">
        <v>0</v>
      </c>
      <c r="M270" s="99" t="n">
        <v>0</v>
      </c>
      <c r="N270" s="99" t="n">
        <v>0</v>
      </c>
      <c r="O270" s="42" t="n">
        <v>29259</v>
      </c>
    </row>
    <row r="271" spans="1:15">
      <c r="A271" s="37" t="n">
        <v>266</v>
      </c>
      <c r="B271" s="97" t="s">
        <v>1366</v>
      </c>
      <c r="C271" s="121" t="s">
        <v>19</v>
      </c>
      <c r="D271" s="121" t="s">
        <v>20</v>
      </c>
      <c r="E271" s="121" t="s">
        <v>21</v>
      </c>
      <c r="F271" s="121" t="s">
        <v>1367</v>
      </c>
      <c r="G271" s="121" t="s">
        <v>1368</v>
      </c>
      <c r="H271" s="99" t="n">
        <v>32514</v>
      </c>
      <c r="I271" s="99" t="n">
        <v>32514</v>
      </c>
      <c r="J271" s="99" t="n">
        <v>0</v>
      </c>
      <c r="K271" s="99" t="n">
        <v>4877</v>
      </c>
      <c r="L271" s="99" t="n">
        <v>0</v>
      </c>
      <c r="M271" s="99" t="n">
        <v>0</v>
      </c>
      <c r="N271" s="99" t="n">
        <v>0</v>
      </c>
      <c r="O271" s="42" t="n">
        <v>27637</v>
      </c>
    </row>
    <row r="272" spans="1:15">
      <c r="A272" s="37" t="n">
        <v>267</v>
      </c>
      <c r="B272" s="97" t="s">
        <v>1136</v>
      </c>
      <c r="C272" s="121" t="s">
        <v>58</v>
      </c>
      <c r="D272" s="121" t="s">
        <v>20</v>
      </c>
      <c r="E272" s="121" t="s">
        <v>21</v>
      </c>
      <c r="F272" s="121" t="s">
        <v>1137</v>
      </c>
      <c r="G272" s="121" t="s">
        <v>1138</v>
      </c>
      <c r="H272" s="99" t="n">
        <v>31119</v>
      </c>
      <c r="I272" s="99" t="n">
        <v>31119</v>
      </c>
      <c r="J272" s="99" t="n">
        <v>1556</v>
      </c>
      <c r="K272" s="99" t="n">
        <v>0</v>
      </c>
      <c r="L272" s="99" t="n">
        <v>0</v>
      </c>
      <c r="M272" s="99" t="n">
        <v>0</v>
      </c>
      <c r="N272" s="99" t="n">
        <v>0</v>
      </c>
      <c r="O272" s="42" t="n">
        <v>29563</v>
      </c>
    </row>
    <row r="273" spans="1:15">
      <c r="A273" s="37" t="n">
        <v>268</v>
      </c>
      <c r="B273" s="97" t="s">
        <v>1507</v>
      </c>
      <c r="C273" s="121" t="s">
        <v>58</v>
      </c>
      <c r="D273" s="121" t="s">
        <v>20</v>
      </c>
      <c r="E273" s="121" t="s">
        <v>21</v>
      </c>
      <c r="F273" s="121" t="s">
        <v>1508</v>
      </c>
      <c r="G273" s="121" t="s">
        <v>1510</v>
      </c>
      <c r="H273" s="99" t="n">
        <v>29259</v>
      </c>
      <c r="I273" s="99" t="n">
        <v>29259</v>
      </c>
      <c r="J273" s="99" t="n">
        <v>1463</v>
      </c>
      <c r="K273" s="99" t="n">
        <v>0</v>
      </c>
      <c r="L273" s="99" t="n">
        <v>0</v>
      </c>
      <c r="M273" s="99" t="n">
        <v>0</v>
      </c>
      <c r="N273" s="99" t="n">
        <v>0</v>
      </c>
      <c r="O273" s="42" t="n">
        <v>27796</v>
      </c>
    </row>
    <row r="274" spans="1:15">
      <c r="A274" s="37" t="n">
        <v>269</v>
      </c>
      <c r="B274" s="97" t="s">
        <v>1092</v>
      </c>
      <c r="C274" s="121" t="s">
        <v>58</v>
      </c>
      <c r="D274" s="121" t="s">
        <v>20</v>
      </c>
      <c r="E274" s="121" t="s">
        <v>21</v>
      </c>
      <c r="F274" s="121" t="s">
        <v>1093</v>
      </c>
      <c r="G274" s="121" t="s">
        <v>1095</v>
      </c>
      <c r="H274" s="99" t="n">
        <v>31119</v>
      </c>
      <c r="I274" s="99" t="n">
        <v>31119</v>
      </c>
      <c r="J274" s="99" t="n">
        <v>1556</v>
      </c>
      <c r="K274" s="99" t="n">
        <v>0</v>
      </c>
      <c r="L274" s="99" t="n">
        <v>0</v>
      </c>
      <c r="M274" s="99" t="n">
        <v>0</v>
      </c>
      <c r="N274" s="99" t="n">
        <v>0</v>
      </c>
      <c r="O274" s="42" t="n">
        <v>29563</v>
      </c>
    </row>
    <row r="275" spans="1:15">
      <c r="A275" s="37" t="n">
        <v>270</v>
      </c>
      <c r="B275" s="97" t="s">
        <v>1096</v>
      </c>
      <c r="C275" s="121" t="s">
        <v>58</v>
      </c>
      <c r="D275" s="121" t="s">
        <v>20</v>
      </c>
      <c r="E275" s="121" t="s">
        <v>21</v>
      </c>
      <c r="F275" s="121" t="s">
        <v>1097</v>
      </c>
      <c r="G275" s="121" t="s">
        <v>1099</v>
      </c>
      <c r="H275" s="99" t="n">
        <v>31119</v>
      </c>
      <c r="I275" s="99" t="n">
        <v>31119</v>
      </c>
      <c r="J275" s="99" t="n">
        <v>1556</v>
      </c>
      <c r="K275" s="99" t="n">
        <v>0</v>
      </c>
      <c r="L275" s="99" t="n">
        <v>0</v>
      </c>
      <c r="M275" s="99" t="n">
        <v>0</v>
      </c>
      <c r="N275" s="99" t="n">
        <v>0</v>
      </c>
      <c r="O275" s="42" t="n">
        <v>29563</v>
      </c>
    </row>
    <row r="276" spans="1:15">
      <c r="A276" s="37" t="n">
        <v>271</v>
      </c>
      <c r="B276" s="97" t="s">
        <v>1041</v>
      </c>
      <c r="C276" s="121" t="s">
        <v>58</v>
      </c>
      <c r="D276" s="121" t="s">
        <v>20</v>
      </c>
      <c r="E276" s="121" t="s">
        <v>21</v>
      </c>
      <c r="F276" s="121" t="s">
        <v>1042</v>
      </c>
      <c r="G276" s="121" t="s">
        <v>1044</v>
      </c>
      <c r="H276" s="99" t="n">
        <v>31119</v>
      </c>
      <c r="I276" s="99" t="n">
        <v>31119</v>
      </c>
      <c r="J276" s="99" t="n">
        <v>1556</v>
      </c>
      <c r="K276" s="99" t="n">
        <v>0</v>
      </c>
      <c r="L276" s="99" t="n">
        <v>0</v>
      </c>
      <c r="M276" s="99" t="n">
        <v>0</v>
      </c>
      <c r="N276" s="99" t="n">
        <v>0</v>
      </c>
      <c r="O276" s="42" t="n">
        <v>29563</v>
      </c>
    </row>
    <row r="277" spans="1:15">
      <c r="A277" s="37" t="n">
        <v>272</v>
      </c>
      <c r="B277" s="97" t="s">
        <v>1055</v>
      </c>
      <c r="C277" s="121" t="s">
        <v>111</v>
      </c>
      <c r="D277" s="121" t="s">
        <v>20</v>
      </c>
      <c r="E277" s="121" t="s">
        <v>21</v>
      </c>
      <c r="F277" s="121" t="s">
        <v>1056</v>
      </c>
      <c r="G277" s="121" t="s">
        <v>1058</v>
      </c>
      <c r="H277" s="99" t="n">
        <v>29259</v>
      </c>
      <c r="I277" s="99" t="n">
        <v>29259</v>
      </c>
      <c r="J277" s="99" t="n">
        <v>0</v>
      </c>
      <c r="K277" s="99" t="n">
        <v>0</v>
      </c>
      <c r="L277" s="99" t="n">
        <v>0</v>
      </c>
      <c r="M277" s="99" t="n">
        <v>0</v>
      </c>
      <c r="N277" s="99" t="n">
        <v>0</v>
      </c>
      <c r="O277" s="42" t="n">
        <v>29259</v>
      </c>
    </row>
    <row r="278" spans="1:15">
      <c r="A278" s="37" t="n">
        <v>273</v>
      </c>
      <c r="B278" s="97" t="s">
        <v>1104</v>
      </c>
      <c r="C278" s="121" t="s">
        <v>283</v>
      </c>
      <c r="D278" s="121" t="s">
        <v>20</v>
      </c>
      <c r="E278" s="121" t="s">
        <v>21</v>
      </c>
      <c r="F278" s="121" t="s">
        <v>2396</v>
      </c>
      <c r="G278" s="121" t="s">
        <v>1105</v>
      </c>
      <c r="H278" s="99" t="n">
        <v>29259</v>
      </c>
      <c r="I278" s="99" t="n">
        <v>29259</v>
      </c>
      <c r="J278" s="99" t="n">
        <v>0</v>
      </c>
      <c r="K278" s="99" t="n">
        <v>0</v>
      </c>
      <c r="L278" s="99" t="n">
        <v>0</v>
      </c>
      <c r="M278" s="99" t="n">
        <v>0</v>
      </c>
      <c r="N278" s="99" t="n">
        <v>0</v>
      </c>
      <c r="O278" s="42" t="n">
        <v>29259</v>
      </c>
    </row>
    <row r="279" spans="1:15">
      <c r="A279" s="37" t="n">
        <v>274</v>
      </c>
      <c r="B279" s="97" t="s">
        <v>963</v>
      </c>
      <c r="C279" s="121" t="s">
        <v>283</v>
      </c>
      <c r="D279" s="121" t="s">
        <v>20</v>
      </c>
      <c r="E279" s="121" t="s">
        <v>21</v>
      </c>
      <c r="F279" s="121" t="s">
        <v>2397</v>
      </c>
      <c r="G279" s="121" t="s">
        <v>964</v>
      </c>
      <c r="H279" s="99" t="n">
        <v>29259</v>
      </c>
      <c r="I279" s="99" t="n">
        <v>29259</v>
      </c>
      <c r="J279" s="99" t="n">
        <v>0</v>
      </c>
      <c r="K279" s="99" t="n">
        <v>0</v>
      </c>
      <c r="L279" s="99" t="n">
        <v>0</v>
      </c>
      <c r="M279" s="99" t="n">
        <v>0</v>
      </c>
      <c r="N279" s="99" t="n">
        <v>0</v>
      </c>
      <c r="O279" s="42" t="n">
        <v>29259</v>
      </c>
    </row>
    <row r="280" spans="1:15">
      <c r="A280" s="37" t="n">
        <v>275</v>
      </c>
      <c r="B280" s="97" t="s">
        <v>769</v>
      </c>
      <c r="C280" s="121" t="s">
        <v>283</v>
      </c>
      <c r="D280" s="121" t="s">
        <v>20</v>
      </c>
      <c r="E280" s="121" t="s">
        <v>21</v>
      </c>
      <c r="F280" s="121" t="s">
        <v>2074</v>
      </c>
      <c r="G280" s="121" t="s">
        <v>770</v>
      </c>
      <c r="H280" s="99" t="n">
        <v>29259</v>
      </c>
      <c r="I280" s="99" t="n">
        <v>29259</v>
      </c>
      <c r="J280" s="99" t="n">
        <v>0</v>
      </c>
      <c r="K280" s="99" t="n">
        <v>0</v>
      </c>
      <c r="L280" s="99" t="n">
        <v>0</v>
      </c>
      <c r="M280" s="99" t="n">
        <v>0</v>
      </c>
      <c r="N280" s="99" t="n">
        <v>0</v>
      </c>
      <c r="O280" s="42" t="n">
        <v>29259</v>
      </c>
    </row>
    <row r="281" spans="1:15">
      <c r="A281" s="37" t="n">
        <v>276</v>
      </c>
      <c r="B281" s="97" t="s">
        <v>961</v>
      </c>
      <c r="C281" s="121" t="s">
        <v>283</v>
      </c>
      <c r="D281" s="121" t="s">
        <v>20</v>
      </c>
      <c r="E281" s="121" t="s">
        <v>21</v>
      </c>
      <c r="F281" s="121" t="s">
        <v>2398</v>
      </c>
      <c r="G281" s="121" t="s">
        <v>962</v>
      </c>
      <c r="H281" s="99" t="n">
        <v>29259</v>
      </c>
      <c r="I281" s="99" t="n">
        <v>29259</v>
      </c>
      <c r="J281" s="99" t="n">
        <v>0</v>
      </c>
      <c r="K281" s="99" t="n">
        <v>0</v>
      </c>
      <c r="L281" s="99" t="n">
        <v>0</v>
      </c>
      <c r="M281" s="99" t="n">
        <v>0</v>
      </c>
      <c r="N281" s="99" t="n">
        <v>0</v>
      </c>
      <c r="O281" s="42" t="n">
        <v>29259</v>
      </c>
    </row>
    <row r="282" spans="1:15">
      <c r="A282" s="37" t="n">
        <v>277</v>
      </c>
      <c r="B282" s="97" t="s">
        <v>1418</v>
      </c>
      <c r="C282" s="121" t="s">
        <v>283</v>
      </c>
      <c r="D282" s="121" t="s">
        <v>20</v>
      </c>
      <c r="E282" s="121" t="s">
        <v>21</v>
      </c>
      <c r="F282" s="121" t="s">
        <v>2399</v>
      </c>
      <c r="G282" s="121" t="s">
        <v>1420</v>
      </c>
      <c r="H282" s="99" t="n">
        <v>29259</v>
      </c>
      <c r="I282" s="99" t="n">
        <v>29259</v>
      </c>
      <c r="J282" s="99" t="n">
        <v>0</v>
      </c>
      <c r="K282" s="99" t="n">
        <v>0</v>
      </c>
      <c r="L282" s="99" t="n">
        <v>0</v>
      </c>
      <c r="M282" s="99" t="n">
        <v>0</v>
      </c>
      <c r="N282" s="99" t="n">
        <v>0</v>
      </c>
      <c r="O282" s="42" t="n">
        <v>29259</v>
      </c>
    </row>
    <row r="283" spans="1:15">
      <c r="A283" s="37" t="n">
        <v>278</v>
      </c>
      <c r="B283" s="97" t="s">
        <v>904</v>
      </c>
      <c r="C283" s="121" t="s">
        <v>283</v>
      </c>
      <c r="D283" s="121" t="s">
        <v>20</v>
      </c>
      <c r="E283" s="121" t="s">
        <v>21</v>
      </c>
      <c r="F283" s="121" t="s">
        <v>2400</v>
      </c>
      <c r="G283" s="121" t="s">
        <v>905</v>
      </c>
      <c r="H283" s="99" t="n">
        <v>29259</v>
      </c>
      <c r="I283" s="99" t="n">
        <v>29259</v>
      </c>
      <c r="J283" s="99" t="n">
        <v>0</v>
      </c>
      <c r="K283" s="99" t="n">
        <v>0</v>
      </c>
      <c r="L283" s="99" t="n">
        <v>0</v>
      </c>
      <c r="M283" s="99" t="n">
        <v>0</v>
      </c>
      <c r="N283" s="99" t="n">
        <v>0</v>
      </c>
      <c r="O283" s="42" t="n">
        <v>29259</v>
      </c>
    </row>
    <row r="284" spans="1:15">
      <c r="A284" s="37" t="n">
        <v>279</v>
      </c>
      <c r="B284" s="97" t="s">
        <v>2401</v>
      </c>
      <c r="C284" s="121" t="s">
        <v>120</v>
      </c>
      <c r="D284" s="121" t="s">
        <v>124</v>
      </c>
      <c r="E284" s="121" t="s">
        <v>15</v>
      </c>
      <c r="F284" s="98" t="n">
        <v>0</v>
      </c>
      <c r="G284" s="121" t="s">
        <v>2402</v>
      </c>
      <c r="H284" s="99" t="n">
        <v>29259</v>
      </c>
      <c r="I284" s="99" t="n">
        <v>29259</v>
      </c>
      <c r="J284" s="99" t="n">
        <v>0</v>
      </c>
      <c r="K284" s="99" t="n">
        <v>0</v>
      </c>
      <c r="L284" s="99" t="n">
        <v>0</v>
      </c>
      <c r="M284" s="99" t="n">
        <v>0</v>
      </c>
      <c r="N284" s="99" t="n">
        <v>0</v>
      </c>
      <c r="O284" s="42" t="n">
        <v>29259</v>
      </c>
    </row>
    <row r="285" spans="1:15">
      <c r="A285" s="37" t="n">
        <v>280</v>
      </c>
      <c r="B285" s="97" t="s">
        <v>2403</v>
      </c>
      <c r="C285" s="121" t="s">
        <v>120</v>
      </c>
      <c r="D285" s="121" t="s">
        <v>2404</v>
      </c>
      <c r="E285" s="121" t="s">
        <v>21</v>
      </c>
      <c r="F285" s="98" t="n">
        <v>0</v>
      </c>
      <c r="G285" s="121" t="s">
        <v>2405</v>
      </c>
      <c r="H285" s="99" t="n">
        <v>29259</v>
      </c>
      <c r="I285" s="99" t="n">
        <v>29259</v>
      </c>
      <c r="J285" s="99" t="n">
        <v>0</v>
      </c>
      <c r="K285" s="99" t="n">
        <v>0</v>
      </c>
      <c r="L285" s="99" t="n">
        <v>0</v>
      </c>
      <c r="M285" s="99" t="n">
        <v>0</v>
      </c>
      <c r="N285" s="99" t="n">
        <v>0</v>
      </c>
      <c r="O285" s="42" t="n">
        <v>29259</v>
      </c>
    </row>
    <row r="286" spans="1:15">
      <c r="A286" s="37" t="n">
        <v>281</v>
      </c>
      <c r="B286" s="97" t="s">
        <v>2406</v>
      </c>
      <c r="C286" s="121" t="s">
        <v>120</v>
      </c>
      <c r="D286" s="121" t="s">
        <v>124</v>
      </c>
      <c r="E286" s="121" t="s">
        <v>15</v>
      </c>
      <c r="F286" s="98" t="n">
        <v>0</v>
      </c>
      <c r="G286" s="121" t="s">
        <v>2407</v>
      </c>
      <c r="H286" s="99" t="n">
        <v>29259</v>
      </c>
      <c r="I286" s="99" t="n">
        <v>29259</v>
      </c>
      <c r="J286" s="99" t="n">
        <v>0</v>
      </c>
      <c r="K286" s="99" t="n">
        <v>0</v>
      </c>
      <c r="L286" s="99" t="n">
        <v>0</v>
      </c>
      <c r="M286" s="99" t="n">
        <v>0</v>
      </c>
      <c r="N286" s="99" t="n">
        <v>0</v>
      </c>
      <c r="O286" s="42" t="n">
        <v>29259</v>
      </c>
    </row>
    <row r="287" spans="1:15">
      <c r="A287" s="37" t="n">
        <v>282</v>
      </c>
      <c r="B287" s="97" t="s">
        <v>1225</v>
      </c>
      <c r="C287" s="121" t="s">
        <v>283</v>
      </c>
      <c r="D287" s="121" t="s">
        <v>20</v>
      </c>
      <c r="E287" s="121" t="s">
        <v>21</v>
      </c>
      <c r="F287" s="121" t="s">
        <v>2074</v>
      </c>
      <c r="G287" s="121" t="s">
        <v>1227</v>
      </c>
      <c r="H287" s="99" t="n">
        <v>29259</v>
      </c>
      <c r="I287" s="99" t="n">
        <v>29259</v>
      </c>
      <c r="J287" s="99" t="n">
        <v>0</v>
      </c>
      <c r="K287" s="99" t="n">
        <v>0</v>
      </c>
      <c r="L287" s="99" t="n">
        <v>0</v>
      </c>
      <c r="M287" s="99" t="n">
        <v>0</v>
      </c>
      <c r="N287" s="99" t="n">
        <v>0</v>
      </c>
      <c r="O287" s="42" t="n">
        <v>29259</v>
      </c>
    </row>
    <row r="288" spans="1:15">
      <c r="A288" s="37" t="n">
        <v>283</v>
      </c>
      <c r="B288" s="97" t="s">
        <v>1052</v>
      </c>
      <c r="C288" s="121" t="s">
        <v>283</v>
      </c>
      <c r="D288" s="121" t="s">
        <v>20</v>
      </c>
      <c r="E288" s="121" t="s">
        <v>21</v>
      </c>
      <c r="F288" s="121" t="s">
        <v>2408</v>
      </c>
      <c r="G288" s="121" t="s">
        <v>1054</v>
      </c>
      <c r="H288" s="99" t="n">
        <v>29259</v>
      </c>
      <c r="I288" s="99" t="n">
        <v>29259</v>
      </c>
      <c r="J288" s="99" t="n">
        <v>0</v>
      </c>
      <c r="K288" s="99" t="n">
        <v>0</v>
      </c>
      <c r="L288" s="99" t="n">
        <v>0</v>
      </c>
      <c r="M288" s="99" t="n">
        <v>0</v>
      </c>
      <c r="N288" s="99" t="n">
        <v>0</v>
      </c>
      <c r="O288" s="42" t="n">
        <v>29259</v>
      </c>
    </row>
    <row r="289" spans="1:15">
      <c r="A289" s="37" t="n">
        <v>284</v>
      </c>
      <c r="B289" s="97" t="s">
        <v>1009</v>
      </c>
      <c r="C289" s="121" t="s">
        <v>111</v>
      </c>
      <c r="D289" s="121" t="s">
        <v>20</v>
      </c>
      <c r="E289" s="121" t="s">
        <v>21</v>
      </c>
      <c r="F289" s="121" t="s">
        <v>1010</v>
      </c>
      <c r="G289" s="121" t="s">
        <v>1012</v>
      </c>
      <c r="H289" s="99" t="n">
        <v>29259</v>
      </c>
      <c r="I289" s="99" t="n">
        <v>29259</v>
      </c>
      <c r="J289" s="99" t="n">
        <v>0</v>
      </c>
      <c r="K289" s="99" t="n">
        <v>0</v>
      </c>
      <c r="L289" s="99" t="n">
        <v>0</v>
      </c>
      <c r="M289" s="99" t="n">
        <v>0</v>
      </c>
      <c r="N289" s="99" t="n">
        <v>0</v>
      </c>
      <c r="O289" s="42" t="n">
        <v>29259</v>
      </c>
    </row>
    <row r="290" spans="1:15">
      <c r="A290" s="37" t="n">
        <v>285</v>
      </c>
      <c r="B290" s="97" t="s">
        <v>2409</v>
      </c>
      <c r="C290" s="121" t="s">
        <v>95</v>
      </c>
      <c r="D290" s="121" t="s">
        <v>278</v>
      </c>
      <c r="E290" s="121" t="s">
        <v>16</v>
      </c>
      <c r="F290" s="98" t="n">
        <v>0</v>
      </c>
      <c r="G290" s="121" t="s">
        <v>2410</v>
      </c>
      <c r="H290" s="99" t="n">
        <v>29259</v>
      </c>
      <c r="I290" s="99" t="n">
        <v>29259</v>
      </c>
      <c r="J290" s="99" t="n">
        <v>0</v>
      </c>
      <c r="K290" s="99" t="n">
        <v>0</v>
      </c>
      <c r="L290" s="99" t="n">
        <v>0</v>
      </c>
      <c r="M290" s="99" t="n">
        <v>0</v>
      </c>
      <c r="N290" s="99" t="n">
        <v>0</v>
      </c>
      <c r="O290" s="42" t="n">
        <v>29259</v>
      </c>
    </row>
    <row r="291" spans="1:15">
      <c r="A291" s="37" t="n">
        <v>286</v>
      </c>
      <c r="B291" s="97" t="s">
        <v>1492</v>
      </c>
      <c r="C291" s="121" t="s">
        <v>283</v>
      </c>
      <c r="D291" s="121" t="s">
        <v>20</v>
      </c>
      <c r="E291" s="121" t="s">
        <v>21</v>
      </c>
      <c r="F291" s="121" t="s">
        <v>2411</v>
      </c>
      <c r="G291" s="121" t="s">
        <v>1493</v>
      </c>
      <c r="H291" s="99" t="n">
        <v>29259</v>
      </c>
      <c r="I291" s="99" t="n">
        <v>29259</v>
      </c>
      <c r="J291" s="99" t="n">
        <v>0</v>
      </c>
      <c r="K291" s="99" t="n">
        <v>0</v>
      </c>
      <c r="L291" s="99" t="n">
        <v>0</v>
      </c>
      <c r="M291" s="99" t="n">
        <v>0</v>
      </c>
      <c r="N291" s="99" t="n">
        <v>0</v>
      </c>
      <c r="O291" s="42" t="n">
        <v>29259</v>
      </c>
    </row>
    <row r="292" spans="1:15">
      <c r="A292" s="37" t="n">
        <v>287</v>
      </c>
      <c r="B292" s="97" t="s">
        <v>2412</v>
      </c>
      <c r="C292" s="121" t="s">
        <v>58</v>
      </c>
      <c r="D292" s="121" t="s">
        <v>20</v>
      </c>
      <c r="E292" s="121" t="s">
        <v>21</v>
      </c>
      <c r="F292" s="121" t="s">
        <v>2413</v>
      </c>
      <c r="G292" s="121" t="s">
        <v>2414</v>
      </c>
      <c r="H292" s="99" t="n">
        <v>31584</v>
      </c>
      <c r="I292" s="99" t="n">
        <v>31584</v>
      </c>
      <c r="J292" s="99" t="n">
        <v>1579</v>
      </c>
      <c r="K292" s="99" t="n">
        <v>0</v>
      </c>
      <c r="L292" s="99" t="n">
        <v>0</v>
      </c>
      <c r="M292" s="99" t="n">
        <v>0</v>
      </c>
      <c r="N292" s="99" t="n">
        <v>0</v>
      </c>
      <c r="O292" s="42" t="n">
        <v>30005</v>
      </c>
    </row>
    <row r="293" spans="1:15">
      <c r="A293" s="37" t="n">
        <v>288</v>
      </c>
      <c r="B293" s="97" t="s">
        <v>2415</v>
      </c>
      <c r="C293" s="121" t="s">
        <v>58</v>
      </c>
      <c r="D293" s="121" t="s">
        <v>20</v>
      </c>
      <c r="E293" s="121" t="s">
        <v>21</v>
      </c>
      <c r="F293" s="121" t="s">
        <v>2416</v>
      </c>
      <c r="G293" s="121" t="s">
        <v>2417</v>
      </c>
      <c r="H293" s="99" t="n">
        <v>29259</v>
      </c>
      <c r="I293" s="99" t="n">
        <v>29259</v>
      </c>
      <c r="J293" s="99" t="n">
        <v>1463</v>
      </c>
      <c r="K293" s="99" t="n">
        <v>0</v>
      </c>
      <c r="L293" s="99" t="n">
        <v>0</v>
      </c>
      <c r="M293" s="99" t="n">
        <v>0</v>
      </c>
      <c r="N293" s="99" t="n">
        <v>0</v>
      </c>
      <c r="O293" s="42" t="n">
        <v>27796</v>
      </c>
    </row>
    <row r="294" spans="1:15">
      <c r="A294" s="37" t="n">
        <v>289</v>
      </c>
      <c r="B294" s="97" t="s">
        <v>1488</v>
      </c>
      <c r="C294" s="121" t="s">
        <v>58</v>
      </c>
      <c r="D294" s="121" t="s">
        <v>20</v>
      </c>
      <c r="E294" s="121" t="s">
        <v>21</v>
      </c>
      <c r="F294" s="121" t="s">
        <v>1489</v>
      </c>
      <c r="G294" s="121" t="s">
        <v>1491</v>
      </c>
      <c r="H294" s="99" t="n">
        <v>31119</v>
      </c>
      <c r="I294" s="99" t="n">
        <v>31119</v>
      </c>
      <c r="J294" s="99" t="n">
        <v>1556</v>
      </c>
      <c r="K294" s="99" t="n">
        <v>0</v>
      </c>
      <c r="L294" s="99" t="n">
        <v>0</v>
      </c>
      <c r="M294" s="99" t="n">
        <v>0</v>
      </c>
      <c r="N294" s="99" t="n">
        <v>0</v>
      </c>
      <c r="O294" s="42" t="n">
        <v>29563</v>
      </c>
    </row>
    <row r="295" spans="1:15">
      <c r="A295" s="37" t="n">
        <v>290</v>
      </c>
      <c r="B295" s="97" t="s">
        <v>1062</v>
      </c>
      <c r="C295" s="121" t="s">
        <v>58</v>
      </c>
      <c r="D295" s="121" t="s">
        <v>20</v>
      </c>
      <c r="E295" s="121" t="s">
        <v>21</v>
      </c>
      <c r="F295" s="121" t="s">
        <v>1063</v>
      </c>
      <c r="G295" s="121" t="s">
        <v>1065</v>
      </c>
      <c r="H295" s="99" t="n">
        <v>31119</v>
      </c>
      <c r="I295" s="99" t="n">
        <v>31119</v>
      </c>
      <c r="J295" s="99" t="n">
        <v>1556</v>
      </c>
      <c r="K295" s="99" t="n">
        <v>0</v>
      </c>
      <c r="L295" s="99" t="n">
        <v>0</v>
      </c>
      <c r="M295" s="99" t="n">
        <v>0</v>
      </c>
      <c r="N295" s="99" t="n">
        <v>0</v>
      </c>
      <c r="O295" s="42" t="n">
        <v>29563</v>
      </c>
    </row>
    <row r="296" spans="1:15">
      <c r="A296" s="37" t="n">
        <v>291</v>
      </c>
      <c r="B296" s="97" t="s">
        <v>789</v>
      </c>
      <c r="C296" s="121" t="s">
        <v>58</v>
      </c>
      <c r="D296" s="121" t="s">
        <v>20</v>
      </c>
      <c r="E296" s="121" t="s">
        <v>21</v>
      </c>
      <c r="F296" s="121" t="s">
        <v>790</v>
      </c>
      <c r="G296" s="121" t="s">
        <v>792</v>
      </c>
      <c r="H296" s="99" t="n">
        <v>31119</v>
      </c>
      <c r="I296" s="99" t="n">
        <v>31119</v>
      </c>
      <c r="J296" s="99" t="n">
        <v>1556</v>
      </c>
      <c r="K296" s="99" t="n">
        <v>0</v>
      </c>
      <c r="L296" s="99" t="n">
        <v>0</v>
      </c>
      <c r="M296" s="99" t="n">
        <v>0</v>
      </c>
      <c r="N296" s="99" t="n">
        <v>0</v>
      </c>
      <c r="O296" s="42" t="n">
        <v>29563</v>
      </c>
    </row>
    <row r="297" spans="1:15">
      <c r="A297" s="37" t="n">
        <v>292</v>
      </c>
      <c r="B297" s="97" t="s">
        <v>955</v>
      </c>
      <c r="C297" s="121" t="s">
        <v>58</v>
      </c>
      <c r="D297" s="121" t="s">
        <v>20</v>
      </c>
      <c r="E297" s="121" t="s">
        <v>21</v>
      </c>
      <c r="F297" s="121" t="s">
        <v>956</v>
      </c>
      <c r="G297" s="121" t="s">
        <v>957</v>
      </c>
      <c r="H297" s="99" t="n">
        <v>756865</v>
      </c>
      <c r="I297" s="99" t="n">
        <v>756865</v>
      </c>
      <c r="J297" s="99" t="n">
        <v>37843</v>
      </c>
      <c r="K297" s="99" t="n">
        <v>0</v>
      </c>
      <c r="L297" s="99" t="n">
        <v>0</v>
      </c>
      <c r="M297" s="99" t="n">
        <v>0</v>
      </c>
      <c r="N297" s="99" t="n">
        <v>0</v>
      </c>
      <c r="O297" s="42" t="n">
        <v>719022</v>
      </c>
    </row>
    <row r="298" spans="1:15">
      <c r="A298" s="37" t="n">
        <v>293</v>
      </c>
      <c r="B298" s="97" t="s">
        <v>1169</v>
      </c>
      <c r="C298" s="121" t="s">
        <v>58</v>
      </c>
      <c r="D298" s="121" t="s">
        <v>20</v>
      </c>
      <c r="E298" s="121" t="s">
        <v>21</v>
      </c>
      <c r="F298" s="121" t="s">
        <v>1170</v>
      </c>
      <c r="G298" s="121" t="s">
        <v>1171</v>
      </c>
      <c r="H298" s="99" t="n">
        <v>31119</v>
      </c>
      <c r="I298" s="99" t="n">
        <v>31119</v>
      </c>
      <c r="J298" s="99" t="n">
        <v>1556</v>
      </c>
      <c r="K298" s="99" t="n">
        <v>0</v>
      </c>
      <c r="L298" s="99" t="n">
        <v>0</v>
      </c>
      <c r="M298" s="99" t="n">
        <v>0</v>
      </c>
      <c r="N298" s="99" t="n">
        <v>0</v>
      </c>
      <c r="O298" s="42" t="n">
        <v>29563</v>
      </c>
    </row>
    <row r="299" spans="1:15">
      <c r="A299" s="37" t="n">
        <v>294</v>
      </c>
      <c r="B299" s="97" t="s">
        <v>1100</v>
      </c>
      <c r="C299" s="121" t="s">
        <v>58</v>
      </c>
      <c r="D299" s="121" t="s">
        <v>20</v>
      </c>
      <c r="E299" s="121" t="s">
        <v>21</v>
      </c>
      <c r="F299" s="121" t="s">
        <v>1101</v>
      </c>
      <c r="G299" s="121" t="s">
        <v>1103</v>
      </c>
      <c r="H299" s="99" t="n">
        <v>31119</v>
      </c>
      <c r="I299" s="99" t="n">
        <v>31119</v>
      </c>
      <c r="J299" s="99" t="n">
        <v>1556</v>
      </c>
      <c r="K299" s="99" t="n">
        <v>0</v>
      </c>
      <c r="L299" s="99" t="n">
        <v>0</v>
      </c>
      <c r="M299" s="99" t="n">
        <v>0</v>
      </c>
      <c r="N299" s="99" t="n">
        <v>0</v>
      </c>
      <c r="O299" s="42" t="n">
        <v>29563</v>
      </c>
    </row>
    <row r="300" spans="1:15">
      <c r="A300" s="37" t="n">
        <v>295</v>
      </c>
      <c r="B300" s="97" t="s">
        <v>766</v>
      </c>
      <c r="C300" s="121" t="s">
        <v>58</v>
      </c>
      <c r="D300" s="121" t="s">
        <v>20</v>
      </c>
      <c r="E300" s="121" t="s">
        <v>21</v>
      </c>
      <c r="F300" s="121" t="s">
        <v>767</v>
      </c>
      <c r="G300" s="121" t="s">
        <v>768</v>
      </c>
      <c r="H300" s="99" t="n">
        <v>31119</v>
      </c>
      <c r="I300" s="99" t="n">
        <v>31119</v>
      </c>
      <c r="J300" s="99" t="n">
        <v>1556</v>
      </c>
      <c r="K300" s="99" t="n">
        <v>0</v>
      </c>
      <c r="L300" s="99" t="n">
        <v>0</v>
      </c>
      <c r="M300" s="99" t="n">
        <v>0</v>
      </c>
      <c r="N300" s="99" t="n">
        <v>0</v>
      </c>
      <c r="O300" s="42" t="n">
        <v>29563</v>
      </c>
    </row>
    <row r="301" spans="1:15">
      <c r="A301" s="37" t="n">
        <v>296</v>
      </c>
      <c r="B301" s="97" t="s">
        <v>1003</v>
      </c>
      <c r="C301" s="121" t="s">
        <v>283</v>
      </c>
      <c r="D301" s="121" t="s">
        <v>20</v>
      </c>
      <c r="E301" s="121" t="s">
        <v>21</v>
      </c>
      <c r="F301" s="121" t="s">
        <v>2418</v>
      </c>
      <c r="G301" s="121" t="s">
        <v>1005</v>
      </c>
      <c r="H301" s="99" t="n">
        <v>29259</v>
      </c>
      <c r="I301" s="99" t="n">
        <v>29259</v>
      </c>
      <c r="J301" s="99" t="n">
        <v>0</v>
      </c>
      <c r="K301" s="99" t="n">
        <v>0</v>
      </c>
      <c r="L301" s="99" t="n">
        <v>0</v>
      </c>
      <c r="M301" s="99" t="n">
        <v>0</v>
      </c>
      <c r="N301" s="99" t="n">
        <v>0</v>
      </c>
      <c r="O301" s="42" t="n">
        <v>29259</v>
      </c>
    </row>
    <row r="302" spans="1:15">
      <c r="A302" s="37" t="n">
        <v>297</v>
      </c>
      <c r="B302" s="97" t="s">
        <v>803</v>
      </c>
      <c r="C302" s="121" t="s">
        <v>283</v>
      </c>
      <c r="D302" s="121" t="s">
        <v>20</v>
      </c>
      <c r="E302" s="121" t="s">
        <v>21</v>
      </c>
      <c r="F302" s="121" t="s">
        <v>2419</v>
      </c>
      <c r="G302" s="121" t="s">
        <v>804</v>
      </c>
      <c r="H302" s="99" t="n">
        <v>755005</v>
      </c>
      <c r="I302" s="99" t="n">
        <v>755005</v>
      </c>
      <c r="J302" s="99" t="n">
        <v>0</v>
      </c>
      <c r="K302" s="99" t="n">
        <v>0</v>
      </c>
      <c r="L302" s="99" t="n">
        <v>0</v>
      </c>
      <c r="M302" s="99" t="n">
        <v>0</v>
      </c>
      <c r="N302" s="99" t="n">
        <v>0</v>
      </c>
      <c r="O302" s="42" t="n">
        <v>755005</v>
      </c>
    </row>
    <row r="303" spans="1:15">
      <c r="A303" s="37" t="n">
        <v>298</v>
      </c>
      <c r="B303" s="97" t="s">
        <v>1504</v>
      </c>
      <c r="C303" s="121" t="s">
        <v>120</v>
      </c>
      <c r="D303" s="121" t="s">
        <v>128</v>
      </c>
      <c r="E303" s="121" t="s">
        <v>15</v>
      </c>
      <c r="F303" s="98" t="n">
        <v>0</v>
      </c>
      <c r="G303" s="121" t="s">
        <v>1506</v>
      </c>
      <c r="H303" s="99" t="n">
        <v>29259</v>
      </c>
      <c r="I303" s="99" t="n">
        <v>29259</v>
      </c>
      <c r="J303" s="99" t="n">
        <v>0</v>
      </c>
      <c r="K303" s="99" t="n">
        <v>0</v>
      </c>
      <c r="L303" s="99" t="n">
        <v>0</v>
      </c>
      <c r="M303" s="99" t="n">
        <v>0</v>
      </c>
      <c r="N303" s="99" t="n">
        <v>0</v>
      </c>
      <c r="O303" s="42" t="n">
        <v>29259</v>
      </c>
    </row>
    <row r="304" spans="1:15">
      <c r="A304" s="37" t="n">
        <v>299</v>
      </c>
      <c r="B304" s="97" t="s">
        <v>1462</v>
      </c>
      <c r="C304" s="121" t="s">
        <v>131</v>
      </c>
      <c r="D304" s="121" t="s">
        <v>20</v>
      </c>
      <c r="E304" s="121" t="s">
        <v>21</v>
      </c>
      <c r="F304" s="121" t="s">
        <v>1463</v>
      </c>
      <c r="G304" s="121" t="s">
        <v>1465</v>
      </c>
      <c r="H304" s="99" t="n">
        <v>31119</v>
      </c>
      <c r="I304" s="99" t="n">
        <v>31119</v>
      </c>
      <c r="J304" s="99" t="n">
        <v>1556</v>
      </c>
      <c r="K304" s="99" t="n">
        <v>0</v>
      </c>
      <c r="L304" s="99" t="n">
        <v>0</v>
      </c>
      <c r="M304" s="99" t="n">
        <v>0</v>
      </c>
      <c r="N304" s="99" t="n">
        <v>0</v>
      </c>
      <c r="O304" s="42" t="n">
        <v>29563</v>
      </c>
    </row>
    <row r="305" spans="1:15">
      <c r="A305" s="37" t="n">
        <v>300</v>
      </c>
      <c r="B305" s="97" t="s">
        <v>801</v>
      </c>
      <c r="C305" s="121" t="s">
        <v>120</v>
      </c>
      <c r="D305" s="121" t="s">
        <v>137</v>
      </c>
      <c r="E305" s="121" t="s">
        <v>14</v>
      </c>
      <c r="F305" s="98" t="n">
        <v>0</v>
      </c>
      <c r="G305" s="121" t="s">
        <v>802</v>
      </c>
      <c r="H305" s="99" t="n">
        <v>31119</v>
      </c>
      <c r="I305" s="99" t="n">
        <v>31119</v>
      </c>
      <c r="J305" s="99" t="n">
        <v>0</v>
      </c>
      <c r="K305" s="99" t="n">
        <v>0</v>
      </c>
      <c r="L305" s="99" t="n">
        <v>0</v>
      </c>
      <c r="M305" s="99" t="n">
        <v>0</v>
      </c>
      <c r="N305" s="99" t="n">
        <v>0</v>
      </c>
      <c r="O305" s="42" t="n">
        <v>31119</v>
      </c>
    </row>
    <row r="306" spans="1:15">
      <c r="A306" s="37" t="n">
        <v>301</v>
      </c>
      <c r="B306" s="97" t="s">
        <v>805</v>
      </c>
      <c r="C306" s="121" t="s">
        <v>120</v>
      </c>
      <c r="D306" s="121" t="s">
        <v>278</v>
      </c>
      <c r="E306" s="121" t="s">
        <v>16</v>
      </c>
      <c r="F306" s="98" t="n">
        <v>0</v>
      </c>
      <c r="G306" s="121" t="s">
        <v>807</v>
      </c>
      <c r="H306" s="99" t="n">
        <v>29259</v>
      </c>
      <c r="I306" s="99" t="n">
        <v>29259</v>
      </c>
      <c r="J306" s="99" t="n">
        <v>0</v>
      </c>
      <c r="K306" s="99" t="n">
        <v>0</v>
      </c>
      <c r="L306" s="99" t="n">
        <v>0</v>
      </c>
      <c r="M306" s="99" t="n">
        <v>0</v>
      </c>
      <c r="N306" s="99" t="n">
        <v>0</v>
      </c>
      <c r="O306" s="42" t="n">
        <v>29259</v>
      </c>
    </row>
    <row r="307" spans="1:15">
      <c r="A307" s="37" t="n">
        <v>302</v>
      </c>
      <c r="B307" s="97" t="s">
        <v>1270</v>
      </c>
      <c r="C307" s="121" t="s">
        <v>283</v>
      </c>
      <c r="D307" s="121" t="s">
        <v>20</v>
      </c>
      <c r="E307" s="121" t="s">
        <v>21</v>
      </c>
      <c r="F307" s="121" t="s">
        <v>2420</v>
      </c>
      <c r="G307" s="121" t="s">
        <v>1271</v>
      </c>
      <c r="H307" s="99" t="n">
        <v>29259</v>
      </c>
      <c r="I307" s="99" t="n">
        <v>29259</v>
      </c>
      <c r="J307" s="99" t="n">
        <v>0</v>
      </c>
      <c r="K307" s="99" t="n">
        <v>0</v>
      </c>
      <c r="L307" s="99" t="n">
        <v>0</v>
      </c>
      <c r="M307" s="99" t="n">
        <v>0</v>
      </c>
      <c r="N307" s="99" t="n">
        <v>0</v>
      </c>
      <c r="O307" s="42" t="n">
        <v>29259</v>
      </c>
    </row>
    <row r="308" spans="1:15">
      <c r="A308" s="37" t="n">
        <v>303</v>
      </c>
      <c r="B308" s="97" t="s">
        <v>2421</v>
      </c>
      <c r="C308" s="121" t="s">
        <v>120</v>
      </c>
      <c r="D308" s="121" t="s">
        <v>124</v>
      </c>
      <c r="E308" s="121" t="s">
        <v>15</v>
      </c>
      <c r="F308" s="98" t="n">
        <v>0</v>
      </c>
      <c r="G308" s="121" t="s">
        <v>2422</v>
      </c>
      <c r="H308" s="99" t="n">
        <v>29259</v>
      </c>
      <c r="I308" s="99" t="n">
        <v>29259</v>
      </c>
      <c r="J308" s="99" t="n">
        <v>0</v>
      </c>
      <c r="K308" s="99" t="n">
        <v>0</v>
      </c>
      <c r="L308" s="99" t="n">
        <v>0</v>
      </c>
      <c r="M308" s="99" t="n">
        <v>0</v>
      </c>
      <c r="N308" s="99" t="n">
        <v>0</v>
      </c>
      <c r="O308" s="42" t="n">
        <v>29259</v>
      </c>
    </row>
    <row r="309" spans="1:15">
      <c r="A309" s="37" t="n">
        <v>304</v>
      </c>
      <c r="B309" s="97" t="s">
        <v>860</v>
      </c>
      <c r="C309" s="121" t="s">
        <v>283</v>
      </c>
      <c r="D309" s="121" t="s">
        <v>20</v>
      </c>
      <c r="E309" s="121" t="s">
        <v>21</v>
      </c>
      <c r="F309" s="121" t="s">
        <v>2074</v>
      </c>
      <c r="G309" s="121" t="s">
        <v>861</v>
      </c>
      <c r="H309" s="99" t="n">
        <v>29259</v>
      </c>
      <c r="I309" s="99" t="n">
        <v>29259</v>
      </c>
      <c r="J309" s="99" t="n">
        <v>0</v>
      </c>
      <c r="K309" s="99" t="n">
        <v>0</v>
      </c>
      <c r="L309" s="99" t="n">
        <v>0</v>
      </c>
      <c r="M309" s="99" t="n">
        <v>0</v>
      </c>
      <c r="N309" s="99" t="n">
        <v>0</v>
      </c>
      <c r="O309" s="42" t="n">
        <v>29259</v>
      </c>
    </row>
    <row r="310" spans="1:15">
      <c r="A310" s="37" t="n">
        <v>305</v>
      </c>
      <c r="B310" s="97" t="s">
        <v>808</v>
      </c>
      <c r="C310" s="121" t="s">
        <v>283</v>
      </c>
      <c r="D310" s="121" t="s">
        <v>20</v>
      </c>
      <c r="E310" s="121" t="s">
        <v>21</v>
      </c>
      <c r="F310" s="121" t="s">
        <v>2423</v>
      </c>
      <c r="G310" s="121" t="s">
        <v>810</v>
      </c>
      <c r="H310" s="99" t="n">
        <v>29259</v>
      </c>
      <c r="I310" s="99" t="n">
        <v>29259</v>
      </c>
      <c r="J310" s="99" t="n">
        <v>0</v>
      </c>
      <c r="K310" s="99" t="n">
        <v>0</v>
      </c>
      <c r="L310" s="99" t="n">
        <v>0</v>
      </c>
      <c r="M310" s="99" t="n">
        <v>0</v>
      </c>
      <c r="N310" s="99" t="n">
        <v>0</v>
      </c>
      <c r="O310" s="42" t="n">
        <v>29259</v>
      </c>
    </row>
    <row r="311" spans="1:15">
      <c r="A311" s="37" t="n">
        <v>306</v>
      </c>
      <c r="B311" s="97" t="s">
        <v>2424</v>
      </c>
      <c r="C311" s="121" t="s">
        <v>95</v>
      </c>
      <c r="D311" s="121" t="s">
        <v>128</v>
      </c>
      <c r="E311" s="121" t="s">
        <v>15</v>
      </c>
      <c r="F311" s="98" t="n">
        <v>0</v>
      </c>
      <c r="G311" s="121" t="s">
        <v>2425</v>
      </c>
      <c r="H311" s="99" t="n">
        <v>29259</v>
      </c>
      <c r="I311" s="99" t="n">
        <v>29259</v>
      </c>
      <c r="J311" s="99" t="n">
        <v>0</v>
      </c>
      <c r="K311" s="99" t="n">
        <v>0</v>
      </c>
      <c r="L311" s="99" t="n">
        <v>0</v>
      </c>
      <c r="M311" s="99" t="n">
        <v>0</v>
      </c>
      <c r="N311" s="99" t="n">
        <v>0</v>
      </c>
      <c r="O311" s="42" t="n">
        <v>29259</v>
      </c>
    </row>
    <row r="312" spans="1:15">
      <c r="A312" s="37" t="n">
        <v>307</v>
      </c>
      <c r="B312" s="97" t="s">
        <v>840</v>
      </c>
      <c r="C312" s="121" t="s">
        <v>58</v>
      </c>
      <c r="D312" s="121" t="s">
        <v>20</v>
      </c>
      <c r="E312" s="121" t="s">
        <v>21</v>
      </c>
      <c r="F312" s="121" t="s">
        <v>841</v>
      </c>
      <c r="G312" s="121" t="s">
        <v>842</v>
      </c>
      <c r="H312" s="99" t="n">
        <v>31816</v>
      </c>
      <c r="I312" s="99" t="n">
        <v>31816</v>
      </c>
      <c r="J312" s="99" t="n">
        <v>1591</v>
      </c>
      <c r="K312" s="99" t="n">
        <v>0</v>
      </c>
      <c r="L312" s="99" t="n">
        <v>0</v>
      </c>
      <c r="M312" s="99" t="n">
        <v>0</v>
      </c>
      <c r="N312" s="99" t="n">
        <v>0</v>
      </c>
      <c r="O312" s="42" t="n">
        <v>30225</v>
      </c>
    </row>
    <row r="313" spans="1:15">
      <c r="A313" s="37" t="n">
        <v>308</v>
      </c>
      <c r="B313" s="97" t="s">
        <v>749</v>
      </c>
      <c r="C313" s="121" t="s">
        <v>58</v>
      </c>
      <c r="D313" s="121" t="s">
        <v>20</v>
      </c>
      <c r="E313" s="121" t="s">
        <v>21</v>
      </c>
      <c r="F313" s="121" t="s">
        <v>750</v>
      </c>
      <c r="G313" s="121" t="s">
        <v>752</v>
      </c>
      <c r="H313" s="99" t="n">
        <v>30421</v>
      </c>
      <c r="I313" s="99" t="n">
        <v>30421</v>
      </c>
      <c r="J313" s="99" t="n">
        <v>1521</v>
      </c>
      <c r="K313" s="99" t="n">
        <v>0</v>
      </c>
      <c r="L313" s="99" t="n">
        <v>0</v>
      </c>
      <c r="M313" s="99" t="n">
        <v>0</v>
      </c>
      <c r="N313" s="99" t="n">
        <v>0</v>
      </c>
      <c r="O313" s="42" t="n">
        <v>28900</v>
      </c>
    </row>
    <row r="314" spans="1:15">
      <c r="A314" s="37" t="n">
        <v>309</v>
      </c>
      <c r="B314" s="97" t="s">
        <v>753</v>
      </c>
      <c r="C314" s="121" t="s">
        <v>58</v>
      </c>
      <c r="D314" s="121" t="s">
        <v>20</v>
      </c>
      <c r="E314" s="121" t="s">
        <v>21</v>
      </c>
      <c r="F314" s="121" t="s">
        <v>754</v>
      </c>
      <c r="G314" s="121" t="s">
        <v>756</v>
      </c>
      <c r="H314" s="99" t="n">
        <v>28561</v>
      </c>
      <c r="I314" s="99" t="n">
        <v>28561</v>
      </c>
      <c r="J314" s="99" t="n">
        <v>1428</v>
      </c>
      <c r="K314" s="99" t="n">
        <v>0</v>
      </c>
      <c r="L314" s="99" t="n">
        <v>0</v>
      </c>
      <c r="M314" s="99" t="n">
        <v>0</v>
      </c>
      <c r="N314" s="99" t="n">
        <v>0</v>
      </c>
      <c r="O314" s="42" t="n">
        <v>27133</v>
      </c>
    </row>
    <row r="315" spans="1:15">
      <c r="A315" s="37" t="n">
        <v>310</v>
      </c>
      <c r="B315" s="97" t="s">
        <v>999</v>
      </c>
      <c r="C315" s="121" t="s">
        <v>58</v>
      </c>
      <c r="D315" s="121" t="s">
        <v>20</v>
      </c>
      <c r="E315" s="121" t="s">
        <v>21</v>
      </c>
      <c r="F315" s="121" t="s">
        <v>1000</v>
      </c>
      <c r="G315" s="121" t="s">
        <v>1002</v>
      </c>
      <c r="H315" s="99" t="n">
        <v>30421</v>
      </c>
      <c r="I315" s="99" t="n">
        <v>30421</v>
      </c>
      <c r="J315" s="99" t="n">
        <v>1521</v>
      </c>
      <c r="K315" s="99" t="n">
        <v>0</v>
      </c>
      <c r="L315" s="99" t="n">
        <v>0</v>
      </c>
      <c r="M315" s="99" t="n">
        <v>0</v>
      </c>
      <c r="N315" s="99" t="n">
        <v>0</v>
      </c>
      <c r="O315" s="42" t="n">
        <v>28900</v>
      </c>
    </row>
    <row r="316" spans="1:15">
      <c r="A316" s="37" t="n">
        <v>311</v>
      </c>
      <c r="B316" s="97" t="s">
        <v>746</v>
      </c>
      <c r="C316" s="121" t="s">
        <v>58</v>
      </c>
      <c r="D316" s="121" t="s">
        <v>20</v>
      </c>
      <c r="E316" s="121" t="s">
        <v>21</v>
      </c>
      <c r="F316" s="121" t="s">
        <v>747</v>
      </c>
      <c r="G316" s="121" t="s">
        <v>748</v>
      </c>
      <c r="H316" s="99" t="n">
        <v>30421</v>
      </c>
      <c r="I316" s="99" t="n">
        <v>30421</v>
      </c>
      <c r="J316" s="99" t="n">
        <v>1521</v>
      </c>
      <c r="K316" s="99" t="n">
        <v>0</v>
      </c>
      <c r="L316" s="99" t="n">
        <v>0</v>
      </c>
      <c r="M316" s="99" t="n">
        <v>0</v>
      </c>
      <c r="N316" s="99" t="n">
        <v>0</v>
      </c>
      <c r="O316" s="42" t="n">
        <v>28900</v>
      </c>
    </row>
    <row r="317" spans="1:15">
      <c r="A317" s="37" t="n">
        <v>312</v>
      </c>
      <c r="B317" s="97" t="s">
        <v>760</v>
      </c>
      <c r="C317" s="121" t="s">
        <v>283</v>
      </c>
      <c r="D317" s="121" t="s">
        <v>20</v>
      </c>
      <c r="E317" s="121" t="s">
        <v>21</v>
      </c>
      <c r="F317" s="121" t="s">
        <v>2426</v>
      </c>
      <c r="G317" s="121" t="s">
        <v>762</v>
      </c>
      <c r="H317" s="99" t="n">
        <v>28561</v>
      </c>
      <c r="I317" s="99" t="n">
        <v>28561</v>
      </c>
      <c r="J317" s="99" t="n">
        <v>0</v>
      </c>
      <c r="K317" s="99" t="n">
        <v>0</v>
      </c>
      <c r="L317" s="99" t="n">
        <v>0</v>
      </c>
      <c r="M317" s="99" t="n">
        <v>0</v>
      </c>
      <c r="N317" s="99" t="n">
        <v>0</v>
      </c>
      <c r="O317" s="42" t="n">
        <v>28561</v>
      </c>
    </row>
    <row r="318" spans="1:15">
      <c r="A318" s="37" t="n">
        <v>313</v>
      </c>
      <c r="B318" s="97" t="s">
        <v>757</v>
      </c>
      <c r="C318" s="121" t="s">
        <v>131</v>
      </c>
      <c r="D318" s="121" t="s">
        <v>20</v>
      </c>
      <c r="E318" s="121" t="s">
        <v>21</v>
      </c>
      <c r="F318" s="121" t="s">
        <v>758</v>
      </c>
      <c r="G318" s="121" t="s">
        <v>759</v>
      </c>
      <c r="H318" s="99" t="n">
        <v>30421</v>
      </c>
      <c r="I318" s="99" t="n">
        <v>30421</v>
      </c>
      <c r="J318" s="99" t="n">
        <v>1521</v>
      </c>
      <c r="K318" s="99" t="n">
        <v>0</v>
      </c>
      <c r="L318" s="99" t="n">
        <v>0</v>
      </c>
      <c r="M318" s="99" t="n">
        <v>0</v>
      </c>
      <c r="N318" s="99" t="n">
        <v>0</v>
      </c>
      <c r="O318" s="42" t="n">
        <v>28900</v>
      </c>
    </row>
    <row r="319" spans="1:15">
      <c r="A319" s="37" t="n">
        <v>314</v>
      </c>
      <c r="B319" s="97" t="s">
        <v>763</v>
      </c>
      <c r="C319" s="121" t="s">
        <v>283</v>
      </c>
      <c r="D319" s="121" t="s">
        <v>20</v>
      </c>
      <c r="E319" s="121" t="s">
        <v>21</v>
      </c>
      <c r="F319" s="121" t="s">
        <v>2427</v>
      </c>
      <c r="G319" s="121" t="s">
        <v>765</v>
      </c>
      <c r="H319" s="99" t="n">
        <v>28561</v>
      </c>
      <c r="I319" s="99" t="n">
        <v>28561</v>
      </c>
      <c r="J319" s="99" t="n">
        <v>0</v>
      </c>
      <c r="K319" s="99" t="n">
        <v>0</v>
      </c>
      <c r="L319" s="99" t="n">
        <v>0</v>
      </c>
      <c r="M319" s="99" t="n">
        <v>0</v>
      </c>
      <c r="N319" s="99" t="n">
        <v>0</v>
      </c>
      <c r="O319" s="42" t="n">
        <v>28561</v>
      </c>
    </row>
    <row r="320" spans="1:15">
      <c r="A320" s="37" t="n">
        <v>315</v>
      </c>
      <c r="B320" s="97" t="s">
        <v>2428</v>
      </c>
      <c r="C320" s="121" t="s">
        <v>120</v>
      </c>
      <c r="D320" s="121" t="s">
        <v>20</v>
      </c>
      <c r="E320" s="121" t="s">
        <v>21</v>
      </c>
      <c r="F320" s="98" t="n">
        <v>0</v>
      </c>
      <c r="G320" s="121" t="s">
        <v>2429</v>
      </c>
      <c r="H320" s="99" t="n">
        <v>28561</v>
      </c>
      <c r="I320" s="99" t="n">
        <v>28561</v>
      </c>
      <c r="J320" s="99" t="n">
        <v>0</v>
      </c>
      <c r="K320" s="99" t="n">
        <v>0</v>
      </c>
      <c r="L320" s="99" t="n">
        <v>0</v>
      </c>
      <c r="M320" s="99" t="n">
        <v>0</v>
      </c>
      <c r="N320" s="99" t="n">
        <v>0</v>
      </c>
      <c r="O320" s="42" t="n">
        <v>28561</v>
      </c>
    </row>
    <row r="321" spans="1:15">
      <c r="A321" s="37" t="n">
        <v>316</v>
      </c>
      <c r="B321" s="97" t="s">
        <v>777</v>
      </c>
      <c r="C321" s="121" t="s">
        <v>283</v>
      </c>
      <c r="D321" s="121" t="s">
        <v>20</v>
      </c>
      <c r="E321" s="121" t="s">
        <v>21</v>
      </c>
      <c r="F321" s="121" t="s">
        <v>2430</v>
      </c>
      <c r="G321" s="121" t="s">
        <v>778</v>
      </c>
      <c r="H321" s="99" t="n">
        <v>28561</v>
      </c>
      <c r="I321" s="99" t="n">
        <v>28561</v>
      </c>
      <c r="J321" s="99" t="n">
        <v>0</v>
      </c>
      <c r="K321" s="99" t="n">
        <v>0</v>
      </c>
      <c r="L321" s="99" t="n">
        <v>0</v>
      </c>
      <c r="M321" s="99" t="n">
        <v>0</v>
      </c>
      <c r="N321" s="99" t="n">
        <v>0</v>
      </c>
      <c r="O321" s="42" t="n">
        <v>28561</v>
      </c>
    </row>
    <row r="322" spans="1:15">
      <c r="A322" s="37" t="n">
        <v>317</v>
      </c>
      <c r="B322" s="97" t="s">
        <v>2431</v>
      </c>
      <c r="C322" s="121" t="s">
        <v>95</v>
      </c>
      <c r="D322" s="121" t="s">
        <v>20</v>
      </c>
      <c r="E322" s="121" t="s">
        <v>21</v>
      </c>
      <c r="F322" s="98" t="n">
        <v>0</v>
      </c>
      <c r="G322" s="121" t="s">
        <v>2432</v>
      </c>
      <c r="H322" s="99" t="n">
        <v>28561</v>
      </c>
      <c r="I322" s="99" t="n">
        <v>28561</v>
      </c>
      <c r="J322" s="99" t="n">
        <v>0</v>
      </c>
      <c r="K322" s="99" t="n">
        <v>0</v>
      </c>
      <c r="L322" s="99" t="n">
        <v>0</v>
      </c>
      <c r="M322" s="99" t="n">
        <v>0</v>
      </c>
      <c r="N322" s="99" t="n">
        <v>0</v>
      </c>
      <c r="O322" s="42" t="n">
        <v>28561</v>
      </c>
    </row>
    <row r="323" spans="1:15">
      <c r="A323" s="37" t="n">
        <v>318</v>
      </c>
      <c r="B323" s="97" t="s">
        <v>1182</v>
      </c>
      <c r="C323" s="121" t="s">
        <v>283</v>
      </c>
      <c r="D323" s="121" t="s">
        <v>20</v>
      </c>
      <c r="E323" s="121" t="s">
        <v>21</v>
      </c>
      <c r="F323" s="121" t="s">
        <v>2433</v>
      </c>
      <c r="G323" s="121" t="s">
        <v>1183</v>
      </c>
      <c r="H323" s="99" t="n">
        <v>28561</v>
      </c>
      <c r="I323" s="99" t="n">
        <v>28561</v>
      </c>
      <c r="J323" s="99" t="n">
        <v>0</v>
      </c>
      <c r="K323" s="99" t="n">
        <v>0</v>
      </c>
      <c r="L323" s="99" t="n">
        <v>0</v>
      </c>
      <c r="M323" s="99" t="n">
        <v>0</v>
      </c>
      <c r="N323" s="99" t="n">
        <v>0</v>
      </c>
      <c r="O323" s="42" t="n">
        <v>28561</v>
      </c>
    </row>
    <row r="324" spans="1:15">
      <c r="A324" s="37" t="n">
        <v>319</v>
      </c>
      <c r="B324" s="97" t="s">
        <v>1466</v>
      </c>
      <c r="C324" s="121" t="s">
        <v>95</v>
      </c>
      <c r="D324" s="121" t="s">
        <v>278</v>
      </c>
      <c r="E324" s="121" t="s">
        <v>16</v>
      </c>
      <c r="F324" s="98" t="n">
        <v>0</v>
      </c>
      <c r="G324" s="121" t="s">
        <v>1468</v>
      </c>
      <c r="H324" s="99" t="n">
        <v>28561</v>
      </c>
      <c r="I324" s="99" t="n">
        <v>28561</v>
      </c>
      <c r="J324" s="99" t="n">
        <v>0</v>
      </c>
      <c r="K324" s="99" t="n">
        <v>0</v>
      </c>
      <c r="L324" s="99" t="n">
        <v>0</v>
      </c>
      <c r="M324" s="99" t="n">
        <v>0</v>
      </c>
      <c r="N324" s="99" t="n">
        <v>0</v>
      </c>
      <c r="O324" s="42" t="n">
        <v>28561</v>
      </c>
    </row>
    <row r="325" spans="1:15">
      <c r="A325" s="37" t="n">
        <v>320</v>
      </c>
      <c r="B325" s="97" t="s">
        <v>1511</v>
      </c>
      <c r="C325" s="121" t="s">
        <v>58</v>
      </c>
      <c r="D325" s="121" t="s">
        <v>20</v>
      </c>
      <c r="E325" s="121" t="s">
        <v>21</v>
      </c>
      <c r="F325" s="121" t="s">
        <v>1512</v>
      </c>
      <c r="G325" s="121" t="s">
        <v>1513</v>
      </c>
      <c r="H325" s="99" t="n">
        <v>31816</v>
      </c>
      <c r="I325" s="99" t="n">
        <v>31816</v>
      </c>
      <c r="J325" s="99" t="n">
        <v>1591</v>
      </c>
      <c r="K325" s="99" t="n">
        <v>0</v>
      </c>
      <c r="L325" s="99" t="n">
        <v>0</v>
      </c>
      <c r="M325" s="99" t="n">
        <v>0</v>
      </c>
      <c r="N325" s="99" t="n">
        <v>0</v>
      </c>
      <c r="O325" s="42" t="n">
        <v>30225</v>
      </c>
    </row>
    <row r="326" spans="1:15">
      <c r="A326" s="37" t="n">
        <v>321</v>
      </c>
      <c r="B326" s="97" t="s">
        <v>1577</v>
      </c>
      <c r="C326" s="121" t="s">
        <v>58</v>
      </c>
      <c r="D326" s="121" t="s">
        <v>20</v>
      </c>
      <c r="E326" s="121" t="s">
        <v>21</v>
      </c>
      <c r="F326" s="121" t="s">
        <v>1578</v>
      </c>
      <c r="G326" s="121" t="s">
        <v>1579</v>
      </c>
      <c r="H326" s="99" t="n">
        <v>756865</v>
      </c>
      <c r="I326" s="99" t="n">
        <v>756865</v>
      </c>
      <c r="J326" s="99" t="n">
        <v>37843</v>
      </c>
      <c r="K326" s="99" t="n">
        <v>0</v>
      </c>
      <c r="L326" s="99" t="n">
        <v>0</v>
      </c>
      <c r="M326" s="99" t="n">
        <v>0</v>
      </c>
      <c r="N326" s="99" t="n">
        <v>0</v>
      </c>
      <c r="O326" s="42" t="n">
        <v>719022</v>
      </c>
    </row>
    <row r="327" spans="1:15">
      <c r="A327" s="37" t="n">
        <v>322</v>
      </c>
      <c r="B327" s="97" t="s">
        <v>843</v>
      </c>
      <c r="C327" s="121" t="s">
        <v>58</v>
      </c>
      <c r="D327" s="121" t="s">
        <v>20</v>
      </c>
      <c r="E327" s="121" t="s">
        <v>21</v>
      </c>
      <c r="F327" s="121" t="s">
        <v>844</v>
      </c>
      <c r="G327" s="121" t="s">
        <v>846</v>
      </c>
      <c r="H327" s="99" t="n">
        <v>28561</v>
      </c>
      <c r="I327" s="99" t="n">
        <v>28561</v>
      </c>
      <c r="J327" s="99" t="n">
        <v>1428</v>
      </c>
      <c r="K327" s="99" t="n">
        <v>0</v>
      </c>
      <c r="L327" s="99" t="n">
        <v>0</v>
      </c>
      <c r="M327" s="99" t="n">
        <v>0</v>
      </c>
      <c r="N327" s="99" t="n">
        <v>0</v>
      </c>
      <c r="O327" s="42" t="n">
        <v>27133</v>
      </c>
    </row>
    <row r="328" spans="1:15">
      <c r="A328" s="37" t="n">
        <v>323</v>
      </c>
      <c r="B328" s="97" t="s">
        <v>2434</v>
      </c>
      <c r="C328" s="121" t="s">
        <v>120</v>
      </c>
      <c r="D328" s="121" t="s">
        <v>278</v>
      </c>
      <c r="E328" s="121" t="s">
        <v>16</v>
      </c>
      <c r="F328" s="98" t="n">
        <v>0</v>
      </c>
      <c r="G328" s="121" t="s">
        <v>2435</v>
      </c>
      <c r="H328" s="99" t="n">
        <v>28561</v>
      </c>
      <c r="I328" s="99" t="n">
        <v>28561</v>
      </c>
      <c r="J328" s="99" t="n">
        <v>0</v>
      </c>
      <c r="K328" s="99" t="n">
        <v>0</v>
      </c>
      <c r="L328" s="99" t="n">
        <v>0</v>
      </c>
      <c r="M328" s="99" t="n">
        <v>0</v>
      </c>
      <c r="N328" s="99" t="n">
        <v>0</v>
      </c>
      <c r="O328" s="42" t="n">
        <v>28561</v>
      </c>
    </row>
    <row r="329" spans="1:15">
      <c r="A329" s="37" t="n">
        <v>324</v>
      </c>
      <c r="B329" s="97" t="s">
        <v>1567</v>
      </c>
      <c r="C329" s="121" t="s">
        <v>283</v>
      </c>
      <c r="D329" s="121" t="s">
        <v>20</v>
      </c>
      <c r="E329" s="121" t="s">
        <v>21</v>
      </c>
      <c r="F329" s="121" t="s">
        <v>2436</v>
      </c>
      <c r="G329" s="121" t="s">
        <v>1569</v>
      </c>
      <c r="H329" s="99" t="n">
        <v>28561</v>
      </c>
      <c r="I329" s="99" t="n">
        <v>28561</v>
      </c>
      <c r="J329" s="99" t="n">
        <v>0</v>
      </c>
      <c r="K329" s="99" t="n">
        <v>0</v>
      </c>
      <c r="L329" s="99" t="n">
        <v>0</v>
      </c>
      <c r="M329" s="99" t="n">
        <v>0</v>
      </c>
      <c r="N329" s="99" t="n">
        <v>0</v>
      </c>
      <c r="O329" s="42" t="n">
        <v>28561</v>
      </c>
    </row>
    <row r="330" spans="1:15">
      <c r="A330" s="37" t="n">
        <v>325</v>
      </c>
      <c r="B330" s="97" t="s">
        <v>1274</v>
      </c>
      <c r="C330" s="121" t="s">
        <v>283</v>
      </c>
      <c r="D330" s="121" t="s">
        <v>20</v>
      </c>
      <c r="E330" s="121" t="s">
        <v>21</v>
      </c>
      <c r="F330" s="121" t="s">
        <v>2437</v>
      </c>
      <c r="G330" s="121" t="s">
        <v>1275</v>
      </c>
      <c r="H330" s="99" t="n">
        <v>28561</v>
      </c>
      <c r="I330" s="99" t="n">
        <v>28561</v>
      </c>
      <c r="J330" s="99" t="n">
        <v>0</v>
      </c>
      <c r="K330" s="99" t="n">
        <v>0</v>
      </c>
      <c r="L330" s="99" t="n">
        <v>0</v>
      </c>
      <c r="M330" s="99" t="n">
        <v>0</v>
      </c>
      <c r="N330" s="99" t="n">
        <v>0</v>
      </c>
      <c r="O330" s="42" t="n">
        <v>28561</v>
      </c>
    </row>
    <row r="331" spans="1:15">
      <c r="A331" s="37" t="n">
        <v>326</v>
      </c>
      <c r="B331" s="97" t="s">
        <v>655</v>
      </c>
      <c r="C331" s="121" t="s">
        <v>283</v>
      </c>
      <c r="D331" s="121" t="s">
        <v>20</v>
      </c>
      <c r="E331" s="121" t="s">
        <v>21</v>
      </c>
      <c r="F331" s="121" t="s">
        <v>2074</v>
      </c>
      <c r="G331" s="121" t="s">
        <v>656</v>
      </c>
      <c r="H331" s="99" t="n">
        <v>28561</v>
      </c>
      <c r="I331" s="99" t="n">
        <v>28561</v>
      </c>
      <c r="J331" s="99" t="n">
        <v>0</v>
      </c>
      <c r="K331" s="99" t="n">
        <v>0</v>
      </c>
      <c r="L331" s="99" t="n">
        <v>0</v>
      </c>
      <c r="M331" s="99" t="n">
        <v>0</v>
      </c>
      <c r="N331" s="99" t="n">
        <v>0</v>
      </c>
      <c r="O331" s="42" t="n">
        <v>28561</v>
      </c>
    </row>
    <row r="332" spans="1:15">
      <c r="A332" s="37" t="n">
        <v>327</v>
      </c>
      <c r="B332" s="97" t="s">
        <v>857</v>
      </c>
      <c r="C332" s="121" t="s">
        <v>120</v>
      </c>
      <c r="D332" s="121" t="s">
        <v>137</v>
      </c>
      <c r="E332" s="121" t="s">
        <v>14</v>
      </c>
      <c r="F332" s="98" t="n">
        <v>0</v>
      </c>
      <c r="G332" s="121" t="s">
        <v>859</v>
      </c>
      <c r="H332" s="99" t="n">
        <v>28561</v>
      </c>
      <c r="I332" s="99" t="n">
        <v>28561</v>
      </c>
      <c r="J332" s="99" t="n">
        <v>0</v>
      </c>
      <c r="K332" s="99" t="n">
        <v>0</v>
      </c>
      <c r="L332" s="99" t="n">
        <v>0</v>
      </c>
      <c r="M332" s="99" t="n">
        <v>0</v>
      </c>
      <c r="N332" s="99" t="n">
        <v>0</v>
      </c>
      <c r="O332" s="42" t="n">
        <v>28561</v>
      </c>
    </row>
    <row r="333" spans="1:15">
      <c r="A333" s="37" t="n">
        <v>328</v>
      </c>
      <c r="B333" s="97" t="s">
        <v>657</v>
      </c>
      <c r="C333" s="121" t="s">
        <v>283</v>
      </c>
      <c r="D333" s="121" t="s">
        <v>20</v>
      </c>
      <c r="E333" s="121" t="s">
        <v>21</v>
      </c>
      <c r="F333" s="121" t="s">
        <v>2438</v>
      </c>
      <c r="G333" s="121" t="s">
        <v>658</v>
      </c>
      <c r="H333" s="99" t="n">
        <v>28561</v>
      </c>
      <c r="I333" s="99" t="n">
        <v>28561</v>
      </c>
      <c r="J333" s="99" t="n">
        <v>0</v>
      </c>
      <c r="K333" s="99" t="n">
        <v>0</v>
      </c>
      <c r="L333" s="99" t="n">
        <v>0</v>
      </c>
      <c r="M333" s="99" t="n">
        <v>0</v>
      </c>
      <c r="N333" s="99" t="n">
        <v>0</v>
      </c>
      <c r="O333" s="42" t="n">
        <v>28561</v>
      </c>
    </row>
    <row r="334" spans="1:15">
      <c r="A334" s="37" t="n">
        <v>329</v>
      </c>
      <c r="B334" s="97" t="s">
        <v>703</v>
      </c>
      <c r="C334" s="121" t="s">
        <v>283</v>
      </c>
      <c r="D334" s="121" t="s">
        <v>20</v>
      </c>
      <c r="E334" s="121" t="s">
        <v>21</v>
      </c>
      <c r="F334" s="121" t="s">
        <v>2439</v>
      </c>
      <c r="G334" s="121" t="s">
        <v>704</v>
      </c>
      <c r="H334" s="99" t="n">
        <v>28561</v>
      </c>
      <c r="I334" s="99" t="n">
        <v>28561</v>
      </c>
      <c r="J334" s="99" t="n">
        <v>0</v>
      </c>
      <c r="K334" s="99" t="n">
        <v>0</v>
      </c>
      <c r="L334" s="99" t="n">
        <v>0</v>
      </c>
      <c r="M334" s="99" t="n">
        <v>0</v>
      </c>
      <c r="N334" s="99" t="n">
        <v>0</v>
      </c>
      <c r="O334" s="42" t="n">
        <v>28561</v>
      </c>
    </row>
    <row r="335" spans="1:15">
      <c r="A335" s="37" t="n">
        <v>330</v>
      </c>
      <c r="B335" s="97" t="s">
        <v>851</v>
      </c>
      <c r="C335" s="121" t="s">
        <v>283</v>
      </c>
      <c r="D335" s="121" t="s">
        <v>20</v>
      </c>
      <c r="E335" s="121" t="s">
        <v>21</v>
      </c>
      <c r="F335" s="121" t="s">
        <v>2074</v>
      </c>
      <c r="G335" s="121" t="s">
        <v>853</v>
      </c>
      <c r="H335" s="99" t="n">
        <v>28561</v>
      </c>
      <c r="I335" s="99" t="n">
        <v>28561</v>
      </c>
      <c r="J335" s="99" t="n">
        <v>0</v>
      </c>
      <c r="K335" s="99" t="n">
        <v>0</v>
      </c>
      <c r="L335" s="99" t="n">
        <v>0</v>
      </c>
      <c r="M335" s="99" t="n">
        <v>0</v>
      </c>
      <c r="N335" s="99" t="n">
        <v>0</v>
      </c>
      <c r="O335" s="42" t="n">
        <v>28561</v>
      </c>
    </row>
    <row r="336" spans="1:15">
      <c r="A336" s="37" t="n">
        <v>331</v>
      </c>
      <c r="B336" s="97" t="s">
        <v>854</v>
      </c>
      <c r="C336" s="121" t="s">
        <v>283</v>
      </c>
      <c r="D336" s="121" t="s">
        <v>20</v>
      </c>
      <c r="E336" s="121" t="s">
        <v>21</v>
      </c>
      <c r="F336" s="121" t="s">
        <v>2440</v>
      </c>
      <c r="G336" s="121" t="s">
        <v>856</v>
      </c>
      <c r="H336" s="99" t="n">
        <v>28561</v>
      </c>
      <c r="I336" s="99" t="n">
        <v>28561</v>
      </c>
      <c r="J336" s="99" t="n">
        <v>0</v>
      </c>
      <c r="K336" s="99" t="n">
        <v>0</v>
      </c>
      <c r="L336" s="99" t="n">
        <v>0</v>
      </c>
      <c r="M336" s="99" t="n">
        <v>0</v>
      </c>
      <c r="N336" s="99" t="n">
        <v>0</v>
      </c>
      <c r="O336" s="42" t="n">
        <v>28561</v>
      </c>
    </row>
    <row r="337" spans="1:15">
      <c r="A337" s="37" t="n">
        <v>332</v>
      </c>
      <c r="B337" s="97" t="s">
        <v>2441</v>
      </c>
      <c r="C337" s="121" t="s">
        <v>120</v>
      </c>
      <c r="D337" s="121" t="s">
        <v>20</v>
      </c>
      <c r="E337" s="121" t="s">
        <v>21</v>
      </c>
      <c r="F337" s="98" t="n">
        <v>0</v>
      </c>
      <c r="G337" s="121" t="s">
        <v>2442</v>
      </c>
      <c r="H337" s="99" t="n">
        <v>28561</v>
      </c>
      <c r="I337" s="99" t="n">
        <v>28561</v>
      </c>
      <c r="J337" s="99" t="n">
        <v>0</v>
      </c>
      <c r="K337" s="99" t="n">
        <v>0</v>
      </c>
      <c r="L337" s="99" t="n">
        <v>0</v>
      </c>
      <c r="M337" s="99" t="n">
        <v>0</v>
      </c>
      <c r="N337" s="99" t="n">
        <v>0</v>
      </c>
      <c r="O337" s="42" t="n">
        <v>28561</v>
      </c>
    </row>
    <row r="338" spans="1:15">
      <c r="A338" s="37" t="n">
        <v>333</v>
      </c>
      <c r="B338" s="97" t="s">
        <v>659</v>
      </c>
      <c r="C338" s="121" t="s">
        <v>283</v>
      </c>
      <c r="D338" s="121" t="s">
        <v>20</v>
      </c>
      <c r="E338" s="121" t="s">
        <v>21</v>
      </c>
      <c r="F338" s="121" t="s">
        <v>2074</v>
      </c>
      <c r="G338" s="121" t="s">
        <v>660</v>
      </c>
      <c r="H338" s="99" t="n">
        <v>28561</v>
      </c>
      <c r="I338" s="99" t="n">
        <v>28561</v>
      </c>
      <c r="J338" s="99" t="n">
        <v>0</v>
      </c>
      <c r="K338" s="99" t="n">
        <v>0</v>
      </c>
      <c r="L338" s="99" t="n">
        <v>0</v>
      </c>
      <c r="M338" s="99" t="n">
        <v>0</v>
      </c>
      <c r="N338" s="99" t="n">
        <v>0</v>
      </c>
      <c r="O338" s="42" t="n">
        <v>28561</v>
      </c>
    </row>
    <row r="339" spans="1:15">
      <c r="A339" s="37" t="n">
        <v>334</v>
      </c>
      <c r="B339" s="97" t="s">
        <v>664</v>
      </c>
      <c r="C339" s="121" t="s">
        <v>120</v>
      </c>
      <c r="D339" s="121" t="s">
        <v>124</v>
      </c>
      <c r="E339" s="121" t="s">
        <v>15</v>
      </c>
      <c r="F339" s="98" t="n">
        <v>0</v>
      </c>
      <c r="G339" s="121" t="s">
        <v>665</v>
      </c>
      <c r="H339" s="99" t="n">
        <v>28561</v>
      </c>
      <c r="I339" s="99" t="n">
        <v>28561</v>
      </c>
      <c r="J339" s="99" t="n">
        <v>0</v>
      </c>
      <c r="K339" s="99" t="n">
        <v>0</v>
      </c>
      <c r="L339" s="99" t="n">
        <v>0</v>
      </c>
      <c r="M339" s="99" t="n">
        <v>0</v>
      </c>
      <c r="N339" s="99" t="n">
        <v>0</v>
      </c>
      <c r="O339" s="42" t="n">
        <v>28561</v>
      </c>
    </row>
    <row r="340" spans="1:15">
      <c r="A340" s="37" t="n">
        <v>335</v>
      </c>
      <c r="B340" s="97" t="s">
        <v>1344</v>
      </c>
      <c r="C340" s="121" t="s">
        <v>283</v>
      </c>
      <c r="D340" s="121" t="s">
        <v>20</v>
      </c>
      <c r="E340" s="121" t="s">
        <v>21</v>
      </c>
      <c r="F340" s="121" t="s">
        <v>2443</v>
      </c>
      <c r="G340" s="121" t="s">
        <v>1345</v>
      </c>
      <c r="H340" s="99" t="n">
        <v>28561</v>
      </c>
      <c r="I340" s="99" t="n">
        <v>28561</v>
      </c>
      <c r="J340" s="99" t="n">
        <v>0</v>
      </c>
      <c r="K340" s="99" t="n">
        <v>0</v>
      </c>
      <c r="L340" s="99" t="n">
        <v>0</v>
      </c>
      <c r="M340" s="99" t="n">
        <v>0</v>
      </c>
      <c r="N340" s="99" t="n">
        <v>0</v>
      </c>
      <c r="O340" s="42" t="n">
        <v>28561</v>
      </c>
    </row>
    <row r="341" spans="1:15">
      <c r="A341" s="37" t="n">
        <v>336</v>
      </c>
      <c r="B341" s="97" t="s">
        <v>2444</v>
      </c>
      <c r="C341" s="121" t="s">
        <v>58</v>
      </c>
      <c r="D341" s="121" t="s">
        <v>20</v>
      </c>
      <c r="E341" s="121" t="s">
        <v>21</v>
      </c>
      <c r="F341" s="121" t="s">
        <v>2074</v>
      </c>
      <c r="G341" s="121" t="s">
        <v>2445</v>
      </c>
      <c r="H341" s="99" t="n">
        <v>34606</v>
      </c>
      <c r="I341" s="99" t="n">
        <v>34606</v>
      </c>
      <c r="J341" s="99" t="n">
        <v>1730</v>
      </c>
      <c r="K341" s="99" t="n">
        <v>0</v>
      </c>
      <c r="L341" s="99" t="n">
        <v>0</v>
      </c>
      <c r="M341" s="99" t="n">
        <v>0</v>
      </c>
      <c r="N341" s="99" t="n">
        <v>0</v>
      </c>
      <c r="O341" s="42" t="n">
        <v>32876</v>
      </c>
    </row>
    <row r="342" spans="1:15">
      <c r="A342" s="37" t="n">
        <v>337</v>
      </c>
      <c r="B342" s="97" t="s">
        <v>1139</v>
      </c>
      <c r="C342" s="121" t="s">
        <v>58</v>
      </c>
      <c r="D342" s="121" t="s">
        <v>20</v>
      </c>
      <c r="E342" s="121" t="s">
        <v>21</v>
      </c>
      <c r="F342" s="121" t="s">
        <v>1140</v>
      </c>
      <c r="G342" s="121" t="s">
        <v>1141</v>
      </c>
      <c r="H342" s="99" t="n">
        <v>33211</v>
      </c>
      <c r="I342" s="99" t="n">
        <v>33211</v>
      </c>
      <c r="J342" s="99" t="n">
        <v>1661</v>
      </c>
      <c r="K342" s="99" t="n">
        <v>0</v>
      </c>
      <c r="L342" s="99" t="n">
        <v>0</v>
      </c>
      <c r="M342" s="99" t="n">
        <v>0</v>
      </c>
      <c r="N342" s="99" t="n">
        <v>0</v>
      </c>
      <c r="O342" s="42" t="n">
        <v>31550</v>
      </c>
    </row>
    <row r="343" spans="1:15">
      <c r="A343" s="37" t="n">
        <v>338</v>
      </c>
      <c r="B343" s="97" t="s">
        <v>1201</v>
      </c>
      <c r="C343" s="121" t="s">
        <v>58</v>
      </c>
      <c r="D343" s="121" t="s">
        <v>20</v>
      </c>
      <c r="E343" s="121" t="s">
        <v>21</v>
      </c>
      <c r="F343" s="121" t="s">
        <v>1202</v>
      </c>
      <c r="G343" s="121" t="s">
        <v>1203</v>
      </c>
      <c r="H343" s="99" t="n">
        <v>31351</v>
      </c>
      <c r="I343" s="99" t="n">
        <v>31351</v>
      </c>
      <c r="J343" s="99" t="n">
        <v>1568</v>
      </c>
      <c r="K343" s="99" t="n">
        <v>0</v>
      </c>
      <c r="L343" s="99" t="n">
        <v>0</v>
      </c>
      <c r="M343" s="99" t="n">
        <v>0</v>
      </c>
      <c r="N343" s="99" t="n">
        <v>0</v>
      </c>
      <c r="O343" s="42" t="n">
        <v>29783</v>
      </c>
    </row>
    <row r="344" spans="1:15">
      <c r="A344" s="37" t="n">
        <v>339</v>
      </c>
      <c r="B344" s="97" t="s">
        <v>1204</v>
      </c>
      <c r="C344" s="121" t="s">
        <v>58</v>
      </c>
      <c r="D344" s="121" t="s">
        <v>20</v>
      </c>
      <c r="E344" s="121" t="s">
        <v>21</v>
      </c>
      <c r="F344" s="121" t="s">
        <v>1205</v>
      </c>
      <c r="G344" s="121" t="s">
        <v>1206</v>
      </c>
      <c r="H344" s="99" t="n">
        <v>31351</v>
      </c>
      <c r="I344" s="99" t="n">
        <v>31351</v>
      </c>
      <c r="J344" s="99" t="n">
        <v>1568</v>
      </c>
      <c r="K344" s="99" t="n">
        <v>0</v>
      </c>
      <c r="L344" s="99" t="n">
        <v>0</v>
      </c>
      <c r="M344" s="99" t="n">
        <v>0</v>
      </c>
      <c r="N344" s="99" t="n">
        <v>0</v>
      </c>
      <c r="O344" s="42" t="n">
        <v>29783</v>
      </c>
    </row>
    <row r="345" spans="1:15">
      <c r="A345" s="37" t="n">
        <v>340</v>
      </c>
      <c r="B345" s="97" t="s">
        <v>1142</v>
      </c>
      <c r="C345" s="121" t="s">
        <v>58</v>
      </c>
      <c r="D345" s="121" t="s">
        <v>20</v>
      </c>
      <c r="E345" s="121" t="s">
        <v>21</v>
      </c>
      <c r="F345" s="121" t="s">
        <v>1143</v>
      </c>
      <c r="G345" s="121" t="s">
        <v>1144</v>
      </c>
      <c r="H345" s="99" t="n">
        <v>31351</v>
      </c>
      <c r="I345" s="99" t="n">
        <v>31351</v>
      </c>
      <c r="J345" s="99" t="n">
        <v>1568</v>
      </c>
      <c r="K345" s="99" t="n">
        <v>0</v>
      </c>
      <c r="L345" s="99" t="n">
        <v>0</v>
      </c>
      <c r="M345" s="99" t="n">
        <v>0</v>
      </c>
      <c r="N345" s="99" t="n">
        <v>0</v>
      </c>
      <c r="O345" s="42" t="n">
        <v>29783</v>
      </c>
    </row>
    <row r="346" spans="1:15">
      <c r="A346" s="37" t="n">
        <v>341</v>
      </c>
      <c r="B346" s="97" t="s">
        <v>1160</v>
      </c>
      <c r="C346" s="121" t="s">
        <v>58</v>
      </c>
      <c r="D346" s="121" t="s">
        <v>20</v>
      </c>
      <c r="E346" s="121" t="s">
        <v>21</v>
      </c>
      <c r="F346" s="121" t="s">
        <v>1161</v>
      </c>
      <c r="G346" s="121" t="s">
        <v>1162</v>
      </c>
      <c r="H346" s="99" t="n">
        <v>33211</v>
      </c>
      <c r="I346" s="99" t="n">
        <v>33211</v>
      </c>
      <c r="J346" s="99" t="n">
        <v>1661</v>
      </c>
      <c r="K346" s="99" t="n">
        <v>0</v>
      </c>
      <c r="L346" s="99" t="n">
        <v>0</v>
      </c>
      <c r="M346" s="99" t="n">
        <v>0</v>
      </c>
      <c r="N346" s="99" t="n">
        <v>0</v>
      </c>
      <c r="O346" s="42" t="n">
        <v>31550</v>
      </c>
    </row>
    <row r="347" spans="1:15">
      <c r="A347" s="37" t="n">
        <v>342</v>
      </c>
      <c r="B347" s="97" t="s">
        <v>314</v>
      </c>
      <c r="C347" s="121" t="s">
        <v>58</v>
      </c>
      <c r="D347" s="121" t="s">
        <v>20</v>
      </c>
      <c r="E347" s="121" t="s">
        <v>21</v>
      </c>
      <c r="F347" s="121" t="s">
        <v>315</v>
      </c>
      <c r="G347" s="121" t="s">
        <v>316</v>
      </c>
      <c r="H347" s="99" t="n">
        <v>33211</v>
      </c>
      <c r="I347" s="99" t="n">
        <v>33211</v>
      </c>
      <c r="J347" s="99" t="n">
        <v>1661</v>
      </c>
      <c r="K347" s="99" t="n">
        <v>0</v>
      </c>
      <c r="L347" s="99" t="n">
        <v>0</v>
      </c>
      <c r="M347" s="99" t="n">
        <v>0</v>
      </c>
      <c r="N347" s="99" t="n">
        <v>0</v>
      </c>
      <c r="O347" s="42" t="n">
        <v>31550</v>
      </c>
    </row>
    <row r="348" spans="1:15">
      <c r="A348" s="37" t="n">
        <v>343</v>
      </c>
      <c r="B348" s="97" t="s">
        <v>1150</v>
      </c>
      <c r="C348" s="121" t="s">
        <v>283</v>
      </c>
      <c r="D348" s="121" t="s">
        <v>20</v>
      </c>
      <c r="E348" s="121" t="s">
        <v>21</v>
      </c>
      <c r="F348" s="121" t="s">
        <v>2446</v>
      </c>
      <c r="G348" s="121" t="s">
        <v>1152</v>
      </c>
      <c r="H348" s="99" t="n">
        <v>31351</v>
      </c>
      <c r="I348" s="99" t="n">
        <v>31351</v>
      </c>
      <c r="J348" s="99" t="n">
        <v>0</v>
      </c>
      <c r="K348" s="99" t="n">
        <v>0</v>
      </c>
      <c r="L348" s="99" t="n">
        <v>0</v>
      </c>
      <c r="M348" s="99" t="n">
        <v>0</v>
      </c>
      <c r="N348" s="99" t="n">
        <v>0</v>
      </c>
      <c r="O348" s="42" t="n">
        <v>31351</v>
      </c>
    </row>
    <row r="349" spans="1:15">
      <c r="A349" s="37" t="n">
        <v>344</v>
      </c>
      <c r="B349" s="97" t="s">
        <v>1148</v>
      </c>
      <c r="C349" s="121" t="s">
        <v>283</v>
      </c>
      <c r="D349" s="121" t="s">
        <v>20</v>
      </c>
      <c r="E349" s="121" t="s">
        <v>21</v>
      </c>
      <c r="F349" s="121" t="s">
        <v>2447</v>
      </c>
      <c r="G349" s="121" t="s">
        <v>1149</v>
      </c>
      <c r="H349" s="99" t="n">
        <v>31351</v>
      </c>
      <c r="I349" s="99" t="n">
        <v>31351</v>
      </c>
      <c r="J349" s="99" t="n">
        <v>0</v>
      </c>
      <c r="K349" s="99" t="n">
        <v>0</v>
      </c>
      <c r="L349" s="99" t="n">
        <v>0</v>
      </c>
      <c r="M349" s="99" t="n">
        <v>0</v>
      </c>
      <c r="N349" s="99" t="n">
        <v>0</v>
      </c>
      <c r="O349" s="42" t="n">
        <v>31351</v>
      </c>
    </row>
    <row r="350" spans="1:15">
      <c r="A350" s="37" t="n">
        <v>345</v>
      </c>
      <c r="B350" s="97" t="s">
        <v>1580</v>
      </c>
      <c r="C350" s="121" t="s">
        <v>131</v>
      </c>
      <c r="D350" s="121" t="s">
        <v>20</v>
      </c>
      <c r="E350" s="121" t="s">
        <v>21</v>
      </c>
      <c r="F350" s="121" t="s">
        <v>1581</v>
      </c>
      <c r="G350" s="121" t="s">
        <v>1582</v>
      </c>
      <c r="H350" s="99" t="n">
        <v>33211</v>
      </c>
      <c r="I350" s="99" t="n">
        <v>33211</v>
      </c>
      <c r="J350" s="99" t="n">
        <v>1661</v>
      </c>
      <c r="K350" s="99" t="n">
        <v>0</v>
      </c>
      <c r="L350" s="99" t="n">
        <v>0</v>
      </c>
      <c r="M350" s="99" t="n">
        <v>0</v>
      </c>
      <c r="N350" s="99" t="n">
        <v>0</v>
      </c>
      <c r="O350" s="42" t="n">
        <v>31550</v>
      </c>
    </row>
    <row r="351" spans="1:15">
      <c r="A351" s="37" t="n">
        <v>346</v>
      </c>
      <c r="B351" s="97" t="s">
        <v>1153</v>
      </c>
      <c r="C351" s="121" t="s">
        <v>131</v>
      </c>
      <c r="D351" s="121" t="s">
        <v>20</v>
      </c>
      <c r="E351" s="121" t="s">
        <v>21</v>
      </c>
      <c r="F351" s="121" t="s">
        <v>1154</v>
      </c>
      <c r="G351" s="121" t="s">
        <v>1155</v>
      </c>
      <c r="H351" s="99" t="n">
        <v>33211</v>
      </c>
      <c r="I351" s="99" t="n">
        <v>33211</v>
      </c>
      <c r="J351" s="99" t="n">
        <v>1661</v>
      </c>
      <c r="K351" s="99" t="n">
        <v>0</v>
      </c>
      <c r="L351" s="99" t="n">
        <v>0</v>
      </c>
      <c r="M351" s="99" t="n">
        <v>0</v>
      </c>
      <c r="N351" s="99" t="n">
        <v>0</v>
      </c>
      <c r="O351" s="42" t="n">
        <v>31550</v>
      </c>
    </row>
    <row r="352" spans="1:15">
      <c r="A352" s="37" t="n">
        <v>347</v>
      </c>
      <c r="B352" s="97" t="s">
        <v>1145</v>
      </c>
      <c r="C352" s="121" t="s">
        <v>131</v>
      </c>
      <c r="D352" s="121" t="s">
        <v>20</v>
      </c>
      <c r="E352" s="121" t="s">
        <v>21</v>
      </c>
      <c r="F352" s="121" t="s">
        <v>1146</v>
      </c>
      <c r="G352" s="121" t="s">
        <v>1147</v>
      </c>
      <c r="H352" s="99" t="n">
        <v>33211</v>
      </c>
      <c r="I352" s="99" t="n">
        <v>33211</v>
      </c>
      <c r="J352" s="99" t="n">
        <v>1661</v>
      </c>
      <c r="K352" s="99" t="n">
        <v>0</v>
      </c>
      <c r="L352" s="99" t="n">
        <v>0</v>
      </c>
      <c r="M352" s="99" t="n">
        <v>0</v>
      </c>
      <c r="N352" s="99" t="n">
        <v>0</v>
      </c>
      <c r="O352" s="42" t="n">
        <v>31550</v>
      </c>
    </row>
    <row r="353" spans="1:15">
      <c r="A353" s="37" t="n">
        <v>348</v>
      </c>
      <c r="B353" s="97" t="s">
        <v>922</v>
      </c>
      <c r="C353" s="121" t="s">
        <v>111</v>
      </c>
      <c r="D353" s="121" t="s">
        <v>20</v>
      </c>
      <c r="E353" s="121" t="s">
        <v>21</v>
      </c>
      <c r="F353" s="121" t="s">
        <v>2448</v>
      </c>
      <c r="G353" s="121" t="s">
        <v>924</v>
      </c>
      <c r="H353" s="99" t="n">
        <v>31351</v>
      </c>
      <c r="I353" s="99" t="n">
        <v>31351</v>
      </c>
      <c r="J353" s="99" t="n">
        <v>0</v>
      </c>
      <c r="K353" s="99" t="n">
        <v>0</v>
      </c>
      <c r="L353" s="99" t="n">
        <v>0</v>
      </c>
      <c r="M353" s="99" t="n">
        <v>0</v>
      </c>
      <c r="N353" s="99" t="n">
        <v>0</v>
      </c>
      <c r="O353" s="42" t="n">
        <v>31351</v>
      </c>
    </row>
    <row r="354" spans="1:15">
      <c r="A354" s="37" t="n">
        <v>349</v>
      </c>
      <c r="B354" s="97" t="s">
        <v>2449</v>
      </c>
      <c r="C354" s="121" t="s">
        <v>58</v>
      </c>
      <c r="D354" s="121" t="s">
        <v>20</v>
      </c>
      <c r="E354" s="121" t="s">
        <v>21</v>
      </c>
      <c r="F354" s="121" t="s">
        <v>2450</v>
      </c>
      <c r="G354" s="121" t="s">
        <v>2451</v>
      </c>
      <c r="H354" s="99" t="n">
        <v>29956</v>
      </c>
      <c r="I354" s="99" t="n">
        <v>29956</v>
      </c>
      <c r="J354" s="99" t="n">
        <v>1498</v>
      </c>
      <c r="K354" s="99" t="n">
        <v>0</v>
      </c>
      <c r="L354" s="99" t="n">
        <v>0</v>
      </c>
      <c r="M354" s="99" t="n">
        <v>0</v>
      </c>
      <c r="N354" s="99" t="n">
        <v>0</v>
      </c>
      <c r="O354" s="42" t="n">
        <v>28458</v>
      </c>
    </row>
    <row r="355" spans="1:15">
      <c r="A355" s="37" t="n">
        <v>350</v>
      </c>
      <c r="B355" s="97" t="s">
        <v>2452</v>
      </c>
      <c r="C355" s="121" t="s">
        <v>58</v>
      </c>
      <c r="D355" s="121" t="s">
        <v>20</v>
      </c>
      <c r="E355" s="121" t="s">
        <v>21</v>
      </c>
      <c r="F355" s="121" t="s">
        <v>2074</v>
      </c>
      <c r="G355" s="121" t="s">
        <v>2453</v>
      </c>
      <c r="H355" s="99" t="n">
        <v>28561</v>
      </c>
      <c r="I355" s="99" t="n">
        <v>28561</v>
      </c>
      <c r="J355" s="99" t="n">
        <v>1428</v>
      </c>
      <c r="K355" s="99" t="n">
        <v>0</v>
      </c>
      <c r="L355" s="99" t="n">
        <v>0</v>
      </c>
      <c r="M355" s="99" t="n">
        <v>0</v>
      </c>
      <c r="N355" s="99" t="n">
        <v>0</v>
      </c>
      <c r="O355" s="42" t="n">
        <v>27133</v>
      </c>
    </row>
    <row r="356" spans="1:15">
      <c r="A356" s="37" t="n">
        <v>351</v>
      </c>
      <c r="B356" s="97" t="s">
        <v>890</v>
      </c>
      <c r="C356" s="121" t="s">
        <v>58</v>
      </c>
      <c r="D356" s="121" t="s">
        <v>20</v>
      </c>
      <c r="E356" s="121" t="s">
        <v>21</v>
      </c>
      <c r="F356" s="121" t="s">
        <v>891</v>
      </c>
      <c r="G356" s="121" t="s">
        <v>893</v>
      </c>
      <c r="H356" s="99" t="n">
        <v>30421</v>
      </c>
      <c r="I356" s="99" t="n">
        <v>30421</v>
      </c>
      <c r="J356" s="99" t="n">
        <v>1521</v>
      </c>
      <c r="K356" s="99" t="n">
        <v>0</v>
      </c>
      <c r="L356" s="99" t="n">
        <v>0</v>
      </c>
      <c r="M356" s="99" t="n">
        <v>0</v>
      </c>
      <c r="N356" s="99" t="n">
        <v>0</v>
      </c>
      <c r="O356" s="42" t="n">
        <v>28900</v>
      </c>
    </row>
    <row r="357" spans="1:15">
      <c r="A357" s="37" t="n">
        <v>352</v>
      </c>
      <c r="B357" s="97" t="s">
        <v>968</v>
      </c>
      <c r="C357" s="121" t="s">
        <v>58</v>
      </c>
      <c r="D357" s="121" t="s">
        <v>20</v>
      </c>
      <c r="E357" s="121" t="s">
        <v>21</v>
      </c>
      <c r="F357" s="121" t="s">
        <v>969</v>
      </c>
      <c r="G357" s="121" t="s">
        <v>970</v>
      </c>
      <c r="H357" s="99" t="n">
        <v>30421</v>
      </c>
      <c r="I357" s="99" t="n">
        <v>30421</v>
      </c>
      <c r="J357" s="99" t="n">
        <v>1521</v>
      </c>
      <c r="K357" s="99" t="n">
        <v>0</v>
      </c>
      <c r="L357" s="99" t="n">
        <v>0</v>
      </c>
      <c r="M357" s="99" t="n">
        <v>0</v>
      </c>
      <c r="N357" s="99" t="n">
        <v>0</v>
      </c>
      <c r="O357" s="42" t="n">
        <v>28900</v>
      </c>
    </row>
    <row r="358" spans="1:15">
      <c r="A358" s="37" t="n">
        <v>353</v>
      </c>
      <c r="B358" s="97" t="s">
        <v>1254</v>
      </c>
      <c r="C358" s="121" t="s">
        <v>58</v>
      </c>
      <c r="D358" s="121" t="s">
        <v>20</v>
      </c>
      <c r="E358" s="121" t="s">
        <v>21</v>
      </c>
      <c r="F358" s="121" t="s">
        <v>1255</v>
      </c>
      <c r="G358" s="121" t="s">
        <v>1257</v>
      </c>
      <c r="H358" s="99" t="n">
        <v>28561</v>
      </c>
      <c r="I358" s="99" t="n">
        <v>28561</v>
      </c>
      <c r="J358" s="99" t="n">
        <v>1428</v>
      </c>
      <c r="K358" s="99" t="n">
        <v>0</v>
      </c>
      <c r="L358" s="99" t="n">
        <v>0</v>
      </c>
      <c r="M358" s="99" t="n">
        <v>0</v>
      </c>
      <c r="N358" s="99" t="n">
        <v>0</v>
      </c>
      <c r="O358" s="42" t="n">
        <v>27133</v>
      </c>
    </row>
    <row r="359" spans="1:15">
      <c r="A359" s="37" t="n">
        <v>354</v>
      </c>
      <c r="B359" s="97" t="s">
        <v>906</v>
      </c>
      <c r="C359" s="121" t="s">
        <v>283</v>
      </c>
      <c r="D359" s="121" t="s">
        <v>20</v>
      </c>
      <c r="E359" s="121" t="s">
        <v>21</v>
      </c>
      <c r="F359" s="121" t="s">
        <v>2454</v>
      </c>
      <c r="G359" s="121" t="s">
        <v>907</v>
      </c>
      <c r="H359" s="99" t="n">
        <v>28561</v>
      </c>
      <c r="I359" s="99" t="n">
        <v>28561</v>
      </c>
      <c r="J359" s="99" t="n">
        <v>0</v>
      </c>
      <c r="K359" s="99" t="n">
        <v>0</v>
      </c>
      <c r="L359" s="99" t="n">
        <v>0</v>
      </c>
      <c r="M359" s="99" t="n">
        <v>0</v>
      </c>
      <c r="N359" s="99" t="n">
        <v>0</v>
      </c>
      <c r="O359" s="42" t="n">
        <v>28561</v>
      </c>
    </row>
    <row r="360" spans="1:15">
      <c r="A360" s="37" t="n">
        <v>355</v>
      </c>
      <c r="B360" s="97" t="s">
        <v>908</v>
      </c>
      <c r="C360" s="121" t="s">
        <v>283</v>
      </c>
      <c r="D360" s="121" t="s">
        <v>20</v>
      </c>
      <c r="E360" s="121" t="s">
        <v>21</v>
      </c>
      <c r="F360" s="121" t="s">
        <v>2074</v>
      </c>
      <c r="G360" s="121" t="s">
        <v>910</v>
      </c>
      <c r="H360" s="99" t="n">
        <v>28561</v>
      </c>
      <c r="I360" s="99" t="n">
        <v>28561</v>
      </c>
      <c r="J360" s="99" t="n">
        <v>0</v>
      </c>
      <c r="K360" s="99" t="n">
        <v>0</v>
      </c>
      <c r="L360" s="99" t="n">
        <v>0</v>
      </c>
      <c r="M360" s="99" t="n">
        <v>0</v>
      </c>
      <c r="N360" s="99" t="n">
        <v>0</v>
      </c>
      <c r="O360" s="42" t="n">
        <v>28561</v>
      </c>
    </row>
    <row r="361" spans="1:15">
      <c r="A361" s="37" t="n">
        <v>356</v>
      </c>
      <c r="B361" s="97" t="s">
        <v>1070</v>
      </c>
      <c r="C361" s="121" t="s">
        <v>283</v>
      </c>
      <c r="D361" s="121" t="s">
        <v>20</v>
      </c>
      <c r="E361" s="121" t="s">
        <v>21</v>
      </c>
      <c r="F361" s="121" t="s">
        <v>2455</v>
      </c>
      <c r="G361" s="121" t="s">
        <v>1071</v>
      </c>
      <c r="H361" s="99" t="n">
        <v>28561</v>
      </c>
      <c r="I361" s="99" t="n">
        <v>28561</v>
      </c>
      <c r="J361" s="99" t="n">
        <v>0</v>
      </c>
      <c r="K361" s="99" t="n">
        <v>0</v>
      </c>
      <c r="L361" s="99" t="n">
        <v>0</v>
      </c>
      <c r="M361" s="99" t="n">
        <v>0</v>
      </c>
      <c r="N361" s="99" t="n">
        <v>0</v>
      </c>
      <c r="O361" s="42" t="n">
        <v>28561</v>
      </c>
    </row>
    <row r="362" spans="1:15">
      <c r="A362" s="37" t="n">
        <v>357</v>
      </c>
      <c r="B362" s="97" t="s">
        <v>1469</v>
      </c>
      <c r="C362" s="121" t="s">
        <v>283</v>
      </c>
      <c r="D362" s="121" t="s">
        <v>20</v>
      </c>
      <c r="E362" s="121" t="s">
        <v>21</v>
      </c>
      <c r="F362" s="121" t="s">
        <v>2074</v>
      </c>
      <c r="G362" s="121" t="s">
        <v>1471</v>
      </c>
      <c r="H362" s="99" t="n">
        <v>28561</v>
      </c>
      <c r="I362" s="99" t="n">
        <v>28561</v>
      </c>
      <c r="J362" s="99" t="n">
        <v>0</v>
      </c>
      <c r="K362" s="99" t="n">
        <v>0</v>
      </c>
      <c r="L362" s="99" t="n">
        <v>0</v>
      </c>
      <c r="M362" s="99" t="n">
        <v>0</v>
      </c>
      <c r="N362" s="99" t="n">
        <v>0</v>
      </c>
      <c r="O362" s="42" t="n">
        <v>28561</v>
      </c>
    </row>
    <row r="363" spans="1:15">
      <c r="A363" s="37" t="n">
        <v>358</v>
      </c>
      <c r="B363" s="97" t="s">
        <v>1106</v>
      </c>
      <c r="C363" s="121" t="s">
        <v>283</v>
      </c>
      <c r="D363" s="121" t="s">
        <v>20</v>
      </c>
      <c r="E363" s="121" t="s">
        <v>21</v>
      </c>
      <c r="F363" s="121" t="s">
        <v>2456</v>
      </c>
      <c r="G363" s="121" t="s">
        <v>1107</v>
      </c>
      <c r="H363" s="99" t="n">
        <v>28561</v>
      </c>
      <c r="I363" s="99" t="n">
        <v>28561</v>
      </c>
      <c r="J363" s="99" t="n">
        <v>0</v>
      </c>
      <c r="K363" s="99" t="n">
        <v>0</v>
      </c>
      <c r="L363" s="99" t="n">
        <v>0</v>
      </c>
      <c r="M363" s="99" t="n">
        <v>0</v>
      </c>
      <c r="N363" s="99" t="n">
        <v>0</v>
      </c>
      <c r="O363" s="42" t="n">
        <v>28561</v>
      </c>
    </row>
    <row r="364" spans="1:15">
      <c r="A364" s="37" t="n">
        <v>359</v>
      </c>
      <c r="B364" s="97" t="s">
        <v>1364</v>
      </c>
      <c r="C364" s="121" t="s">
        <v>95</v>
      </c>
      <c r="D364" s="121" t="s">
        <v>121</v>
      </c>
      <c r="E364" s="121" t="s">
        <v>14</v>
      </c>
      <c r="F364" s="98" t="n">
        <v>0</v>
      </c>
      <c r="G364" s="121" t="s">
        <v>1365</v>
      </c>
      <c r="H364" s="99" t="n">
        <v>24841</v>
      </c>
      <c r="I364" s="99" t="n">
        <v>24841</v>
      </c>
      <c r="J364" s="99" t="n">
        <v>0</v>
      </c>
      <c r="K364" s="99" t="n">
        <v>0</v>
      </c>
      <c r="L364" s="99" t="n">
        <v>0</v>
      </c>
      <c r="M364" s="99" t="n">
        <v>0</v>
      </c>
      <c r="N364" s="99" t="n">
        <v>0</v>
      </c>
      <c r="O364" s="42" t="n">
        <v>24841</v>
      </c>
    </row>
    <row r="365" spans="1:15">
      <c r="A365" s="37" t="n">
        <v>360</v>
      </c>
      <c r="B365" s="97" t="s">
        <v>995</v>
      </c>
      <c r="C365" s="121" t="s">
        <v>58</v>
      </c>
      <c r="D365" s="121" t="s">
        <v>20</v>
      </c>
      <c r="E365" s="121" t="s">
        <v>21</v>
      </c>
      <c r="F365" s="121" t="s">
        <v>996</v>
      </c>
      <c r="G365" s="121" t="s">
        <v>998</v>
      </c>
      <c r="H365" s="99" t="n">
        <v>1846890</v>
      </c>
      <c r="I365" s="99" t="n">
        <v>1846890</v>
      </c>
      <c r="J365" s="99" t="n">
        <v>92345</v>
      </c>
      <c r="K365" s="99" t="n">
        <v>0</v>
      </c>
      <c r="L365" s="99" t="n">
        <v>0</v>
      </c>
      <c r="M365" s="99" t="n">
        <v>0</v>
      </c>
      <c r="N365" s="99" t="n">
        <v>0</v>
      </c>
      <c r="O365" s="42" t="n">
        <v>1754545</v>
      </c>
    </row>
    <row r="366" spans="1:15">
      <c r="A366" s="37" t="n">
        <v>361</v>
      </c>
      <c r="B366" s="97" t="s">
        <v>1166</v>
      </c>
      <c r="C366" s="121" t="s">
        <v>58</v>
      </c>
      <c r="D366" s="121" t="s">
        <v>20</v>
      </c>
      <c r="E366" s="121" t="s">
        <v>21</v>
      </c>
      <c r="F366" s="121" t="s">
        <v>1167</v>
      </c>
      <c r="G366" s="121" t="s">
        <v>1168</v>
      </c>
      <c r="H366" s="99" t="n">
        <v>756865</v>
      </c>
      <c r="I366" s="99" t="n">
        <v>756865</v>
      </c>
      <c r="J366" s="99" t="n">
        <v>37843</v>
      </c>
      <c r="K366" s="99" t="n">
        <v>0</v>
      </c>
      <c r="L366" s="99" t="n">
        <v>0</v>
      </c>
      <c r="M366" s="99" t="n">
        <v>0</v>
      </c>
      <c r="N366" s="99" t="n">
        <v>0</v>
      </c>
      <c r="O366" s="42" t="n">
        <v>719022</v>
      </c>
    </row>
    <row r="367" spans="1:15">
      <c r="A367" s="37" t="n">
        <v>362</v>
      </c>
      <c r="B367" s="97" t="s">
        <v>1574</v>
      </c>
      <c r="C367" s="121" t="s">
        <v>58</v>
      </c>
      <c r="D367" s="121" t="s">
        <v>20</v>
      </c>
      <c r="E367" s="121" t="s">
        <v>21</v>
      </c>
      <c r="F367" s="121" t="s">
        <v>1575</v>
      </c>
      <c r="G367" s="121" t="s">
        <v>1576</v>
      </c>
      <c r="H367" s="99" t="n">
        <v>25771</v>
      </c>
      <c r="I367" s="99" t="n">
        <v>25771</v>
      </c>
      <c r="J367" s="99" t="n">
        <v>1289</v>
      </c>
      <c r="K367" s="99" t="n">
        <v>0</v>
      </c>
      <c r="L367" s="99" t="n">
        <v>0</v>
      </c>
      <c r="M367" s="99" t="n">
        <v>0</v>
      </c>
      <c r="N367" s="99" t="n">
        <v>0</v>
      </c>
      <c r="O367" s="42" t="n">
        <v>24482</v>
      </c>
    </row>
    <row r="368" spans="1:15">
      <c r="A368" s="37" t="n">
        <v>363</v>
      </c>
      <c r="B368" s="97" t="s">
        <v>1536</v>
      </c>
      <c r="C368" s="121" t="s">
        <v>58</v>
      </c>
      <c r="D368" s="121" t="s">
        <v>20</v>
      </c>
      <c r="E368" s="121" t="s">
        <v>21</v>
      </c>
      <c r="F368" s="121" t="s">
        <v>1537</v>
      </c>
      <c r="G368" s="121" t="s">
        <v>1539</v>
      </c>
      <c r="H368" s="99" t="n">
        <v>25771</v>
      </c>
      <c r="I368" s="99" t="n">
        <v>25771</v>
      </c>
      <c r="J368" s="99" t="n">
        <v>1289</v>
      </c>
      <c r="K368" s="99" t="n">
        <v>0</v>
      </c>
      <c r="L368" s="99" t="n">
        <v>0</v>
      </c>
      <c r="M368" s="99" t="n">
        <v>0</v>
      </c>
      <c r="N368" s="99" t="n">
        <v>0</v>
      </c>
      <c r="O368" s="42" t="n">
        <v>24482</v>
      </c>
    </row>
    <row r="369" spans="1:15">
      <c r="A369" s="37" t="n">
        <v>364</v>
      </c>
      <c r="B369" s="97" t="s">
        <v>1258</v>
      </c>
      <c r="C369" s="121" t="s">
        <v>111</v>
      </c>
      <c r="D369" s="121" t="s">
        <v>20</v>
      </c>
      <c r="E369" s="121" t="s">
        <v>21</v>
      </c>
      <c r="F369" s="121" t="s">
        <v>1259</v>
      </c>
      <c r="G369" s="121" t="s">
        <v>1261</v>
      </c>
      <c r="H369" s="99" t="n">
        <v>1480752</v>
      </c>
      <c r="I369" s="99" t="n">
        <v>1480752</v>
      </c>
      <c r="J369" s="99" t="n">
        <v>0</v>
      </c>
      <c r="K369" s="99" t="n">
        <v>0</v>
      </c>
      <c r="L369" s="99" t="n">
        <v>0</v>
      </c>
      <c r="M369" s="99" t="n">
        <v>0</v>
      </c>
      <c r="N369" s="99" t="n">
        <v>0</v>
      </c>
      <c r="O369" s="42" t="n">
        <v>1480752</v>
      </c>
    </row>
    <row r="370" spans="1:15">
      <c r="A370" s="37" t="n">
        <v>365</v>
      </c>
      <c r="B370" s="97" t="s">
        <v>1049</v>
      </c>
      <c r="C370" s="121" t="s">
        <v>283</v>
      </c>
      <c r="D370" s="121" t="s">
        <v>20</v>
      </c>
      <c r="E370" s="121" t="s">
        <v>21</v>
      </c>
      <c r="F370" s="121" t="s">
        <v>2457</v>
      </c>
      <c r="G370" s="121" t="s">
        <v>1051</v>
      </c>
      <c r="H370" s="99" t="n">
        <v>755005</v>
      </c>
      <c r="I370" s="99" t="n">
        <v>755005</v>
      </c>
      <c r="J370" s="99" t="n">
        <v>0</v>
      </c>
      <c r="K370" s="99" t="n">
        <v>0</v>
      </c>
      <c r="L370" s="99" t="n">
        <v>0</v>
      </c>
      <c r="M370" s="99" t="n">
        <v>0</v>
      </c>
      <c r="N370" s="99" t="n">
        <v>0</v>
      </c>
      <c r="O370" s="42" t="n">
        <v>755005</v>
      </c>
    </row>
    <row r="371" spans="1:15">
      <c r="A371" s="37" t="n">
        <v>366</v>
      </c>
      <c r="B371" s="97" t="s">
        <v>2458</v>
      </c>
      <c r="C371" s="121" t="s">
        <v>120</v>
      </c>
      <c r="D371" s="121" t="s">
        <v>128</v>
      </c>
      <c r="E371" s="121" t="s">
        <v>15</v>
      </c>
      <c r="F371" s="98" t="n">
        <v>0</v>
      </c>
      <c r="G371" s="121" t="s">
        <v>2459</v>
      </c>
      <c r="H371" s="99" t="n">
        <v>755005</v>
      </c>
      <c r="I371" s="99" t="n">
        <v>755005</v>
      </c>
      <c r="J371" s="99" t="n">
        <v>0</v>
      </c>
      <c r="K371" s="99" t="n">
        <v>0</v>
      </c>
      <c r="L371" s="99" t="n">
        <v>0</v>
      </c>
      <c r="M371" s="99" t="n">
        <v>0</v>
      </c>
      <c r="N371" s="99" t="n">
        <v>0</v>
      </c>
      <c r="O371" s="42" t="n">
        <v>755005</v>
      </c>
    </row>
    <row r="372" spans="1:15">
      <c r="A372" s="37" t="n">
        <v>367</v>
      </c>
      <c r="B372" s="97" t="s">
        <v>1330</v>
      </c>
      <c r="C372" s="121" t="s">
        <v>283</v>
      </c>
      <c r="D372" s="121" t="s">
        <v>20</v>
      </c>
      <c r="E372" s="121" t="s">
        <v>21</v>
      </c>
      <c r="F372" s="121" t="s">
        <v>2460</v>
      </c>
      <c r="G372" s="121" t="s">
        <v>1331</v>
      </c>
      <c r="H372" s="99" t="n">
        <v>755005</v>
      </c>
      <c r="I372" s="99" t="n">
        <v>755005</v>
      </c>
      <c r="J372" s="99" t="n">
        <v>0</v>
      </c>
      <c r="K372" s="99" t="n">
        <v>0</v>
      </c>
      <c r="L372" s="99" t="n">
        <v>0</v>
      </c>
      <c r="M372" s="99" t="n">
        <v>0</v>
      </c>
      <c r="N372" s="99" t="n">
        <v>0</v>
      </c>
      <c r="O372" s="42" t="n">
        <v>755005</v>
      </c>
    </row>
    <row r="373" spans="1:15">
      <c r="A373" s="37" t="n">
        <v>368</v>
      </c>
      <c r="B373" s="97" t="s">
        <v>1216</v>
      </c>
      <c r="C373" s="121" t="s">
        <v>111</v>
      </c>
      <c r="D373" s="121" t="s">
        <v>20</v>
      </c>
      <c r="E373" s="121" t="s">
        <v>21</v>
      </c>
      <c r="F373" s="121" t="s">
        <v>1217</v>
      </c>
      <c r="G373" s="121" t="s">
        <v>1218</v>
      </c>
      <c r="H373" s="99" t="n">
        <v>755005</v>
      </c>
      <c r="I373" s="99" t="n">
        <v>755005</v>
      </c>
      <c r="J373" s="99" t="n">
        <v>0</v>
      </c>
      <c r="K373" s="99" t="n">
        <v>0</v>
      </c>
      <c r="L373" s="99" t="n">
        <v>0</v>
      </c>
      <c r="M373" s="99" t="n">
        <v>0</v>
      </c>
      <c r="N373" s="99" t="n">
        <v>0</v>
      </c>
      <c r="O373" s="42" t="n">
        <v>755005</v>
      </c>
    </row>
    <row r="374" spans="1:15">
      <c r="A374" s="37" t="n">
        <v>369</v>
      </c>
      <c r="B374" s="97" t="s">
        <v>2461</v>
      </c>
      <c r="C374" s="121" t="s">
        <v>95</v>
      </c>
      <c r="D374" s="121" t="s">
        <v>20</v>
      </c>
      <c r="E374" s="121" t="s">
        <v>21</v>
      </c>
      <c r="F374" s="98" t="n">
        <v>0</v>
      </c>
      <c r="G374" s="121" t="s">
        <v>2462</v>
      </c>
      <c r="H374" s="99" t="n">
        <v>755005</v>
      </c>
      <c r="I374" s="99" t="n">
        <v>755005</v>
      </c>
      <c r="J374" s="99" t="n">
        <v>0</v>
      </c>
      <c r="K374" s="99" t="n">
        <v>0</v>
      </c>
      <c r="L374" s="99" t="n">
        <v>0</v>
      </c>
      <c r="M374" s="99" t="n">
        <v>0</v>
      </c>
      <c r="N374" s="99" t="n">
        <v>0</v>
      </c>
      <c r="O374" s="42" t="n">
        <v>755005</v>
      </c>
    </row>
    <row r="375" spans="1:15">
      <c r="A375" s="37" t="n">
        <v>370</v>
      </c>
      <c r="B375" s="97" t="s">
        <v>919</v>
      </c>
      <c r="C375" s="121" t="s">
        <v>131</v>
      </c>
      <c r="D375" s="121" t="s">
        <v>20</v>
      </c>
      <c r="E375" s="121" t="s">
        <v>21</v>
      </c>
      <c r="F375" s="121" t="s">
        <v>920</v>
      </c>
      <c r="G375" s="121" t="s">
        <v>921</v>
      </c>
      <c r="H375" s="99" t="n">
        <v>756865</v>
      </c>
      <c r="I375" s="99" t="n">
        <v>756865</v>
      </c>
      <c r="J375" s="99" t="n">
        <v>37843</v>
      </c>
      <c r="K375" s="99" t="n">
        <v>0</v>
      </c>
      <c r="L375" s="99" t="n">
        <v>0</v>
      </c>
      <c r="M375" s="99" t="n">
        <v>0</v>
      </c>
      <c r="N375" s="99" t="n">
        <v>0</v>
      </c>
      <c r="O375" s="42" t="n">
        <v>719022</v>
      </c>
    </row>
    <row r="376" spans="1:15">
      <c r="A376" s="37" t="n">
        <v>371</v>
      </c>
      <c r="B376" s="97" t="s">
        <v>1198</v>
      </c>
      <c r="C376" s="121" t="s">
        <v>19</v>
      </c>
      <c r="D376" s="121" t="s">
        <v>20</v>
      </c>
      <c r="E376" s="121" t="s">
        <v>21</v>
      </c>
      <c r="F376" s="121" t="s">
        <v>1199</v>
      </c>
      <c r="G376" s="121" t="s">
        <v>1200</v>
      </c>
      <c r="H376" s="99" t="n">
        <v>34606</v>
      </c>
      <c r="I376" s="99" t="n">
        <v>34606</v>
      </c>
      <c r="J376" s="99" t="n">
        <v>0</v>
      </c>
      <c r="K376" s="99" t="n">
        <v>5191</v>
      </c>
      <c r="L376" s="99" t="n">
        <v>0</v>
      </c>
      <c r="M376" s="99" t="n">
        <v>0</v>
      </c>
      <c r="N376" s="99" t="n">
        <v>0</v>
      </c>
      <c r="O376" s="42" t="n">
        <v>29415</v>
      </c>
    </row>
    <row r="377" spans="1:15">
      <c r="A377" s="37" t="n">
        <v>372</v>
      </c>
      <c r="B377" s="97" t="s">
        <v>1283</v>
      </c>
      <c r="C377" s="121" t="s">
        <v>58</v>
      </c>
      <c r="D377" s="121" t="s">
        <v>20</v>
      </c>
      <c r="E377" s="121" t="s">
        <v>21</v>
      </c>
      <c r="F377" s="121" t="s">
        <v>1284</v>
      </c>
      <c r="G377" s="121" t="s">
        <v>1285</v>
      </c>
      <c r="H377" s="99" t="n">
        <v>33211</v>
      </c>
      <c r="I377" s="99" t="n">
        <v>33211</v>
      </c>
      <c r="J377" s="99" t="n">
        <v>1661</v>
      </c>
      <c r="K377" s="99" t="n">
        <v>0</v>
      </c>
      <c r="L377" s="99" t="n">
        <v>0</v>
      </c>
      <c r="M377" s="99" t="n">
        <v>0</v>
      </c>
      <c r="N377" s="99" t="n">
        <v>0</v>
      </c>
      <c r="O377" s="42" t="n">
        <v>31550</v>
      </c>
    </row>
    <row r="378" spans="1:15">
      <c r="A378" s="37" t="n">
        <v>373</v>
      </c>
      <c r="B378" s="97" t="s">
        <v>1286</v>
      </c>
      <c r="C378" s="121" t="s">
        <v>58</v>
      </c>
      <c r="D378" s="121" t="s">
        <v>20</v>
      </c>
      <c r="E378" s="121" t="s">
        <v>21</v>
      </c>
      <c r="F378" s="121" t="s">
        <v>1287</v>
      </c>
      <c r="G378" s="121" t="s">
        <v>1288</v>
      </c>
      <c r="H378" s="99" t="n">
        <v>31351</v>
      </c>
      <c r="I378" s="99" t="n">
        <v>31351</v>
      </c>
      <c r="J378" s="99" t="n">
        <v>1568</v>
      </c>
      <c r="K378" s="99" t="n">
        <v>0</v>
      </c>
      <c r="L378" s="99" t="n">
        <v>0</v>
      </c>
      <c r="M378" s="99" t="n">
        <v>0</v>
      </c>
      <c r="N378" s="99" t="n">
        <v>0</v>
      </c>
      <c r="O378" s="42" t="n">
        <v>29783</v>
      </c>
    </row>
    <row r="379" spans="1:15">
      <c r="A379" s="37" t="n">
        <v>374</v>
      </c>
      <c r="B379" s="97" t="s">
        <v>1250</v>
      </c>
      <c r="C379" s="121" t="s">
        <v>58</v>
      </c>
      <c r="D379" s="121" t="s">
        <v>20</v>
      </c>
      <c r="E379" s="121" t="s">
        <v>21</v>
      </c>
      <c r="F379" s="121" t="s">
        <v>1251</v>
      </c>
      <c r="G379" s="121" t="s">
        <v>1253</v>
      </c>
      <c r="H379" s="99" t="n">
        <v>31351</v>
      </c>
      <c r="I379" s="99" t="n">
        <v>31351</v>
      </c>
      <c r="J379" s="99" t="n">
        <v>1568</v>
      </c>
      <c r="K379" s="99" t="n">
        <v>0</v>
      </c>
      <c r="L379" s="99" t="n">
        <v>0</v>
      </c>
      <c r="M379" s="99" t="n">
        <v>0</v>
      </c>
      <c r="N379" s="99" t="n">
        <v>0</v>
      </c>
      <c r="O379" s="42" t="n">
        <v>29783</v>
      </c>
    </row>
    <row r="380" spans="1:15">
      <c r="A380" s="37" t="n">
        <v>375</v>
      </c>
      <c r="B380" s="97" t="s">
        <v>1276</v>
      </c>
      <c r="C380" s="121" t="s">
        <v>58</v>
      </c>
      <c r="D380" s="121" t="s">
        <v>20</v>
      </c>
      <c r="E380" s="121" t="s">
        <v>21</v>
      </c>
      <c r="F380" s="121" t="s">
        <v>1277</v>
      </c>
      <c r="G380" s="121" t="s">
        <v>1279</v>
      </c>
      <c r="H380" s="99" t="n">
        <v>33211</v>
      </c>
      <c r="I380" s="99" t="n">
        <v>33211</v>
      </c>
      <c r="J380" s="99" t="n">
        <v>1661</v>
      </c>
      <c r="K380" s="99" t="n">
        <v>0</v>
      </c>
      <c r="L380" s="99" t="n">
        <v>0</v>
      </c>
      <c r="M380" s="99" t="n">
        <v>0</v>
      </c>
      <c r="N380" s="99" t="n">
        <v>0</v>
      </c>
      <c r="O380" s="42" t="n">
        <v>31550</v>
      </c>
    </row>
    <row r="381" spans="1:15">
      <c r="A381" s="37" t="n">
        <v>376</v>
      </c>
      <c r="B381" s="97" t="s">
        <v>1520</v>
      </c>
      <c r="C381" s="121" t="s">
        <v>58</v>
      </c>
      <c r="D381" s="121" t="s">
        <v>20</v>
      </c>
      <c r="E381" s="121" t="s">
        <v>21</v>
      </c>
      <c r="F381" s="121" t="s">
        <v>1521</v>
      </c>
      <c r="G381" s="121" t="s">
        <v>1523</v>
      </c>
      <c r="H381" s="99" t="n">
        <v>33211</v>
      </c>
      <c r="I381" s="99" t="n">
        <v>33211</v>
      </c>
      <c r="J381" s="99" t="n">
        <v>1661</v>
      </c>
      <c r="K381" s="99" t="n">
        <v>0</v>
      </c>
      <c r="L381" s="99" t="n">
        <v>0</v>
      </c>
      <c r="M381" s="99" t="n">
        <v>0</v>
      </c>
      <c r="N381" s="99" t="n">
        <v>0</v>
      </c>
      <c r="O381" s="42" t="n">
        <v>31550</v>
      </c>
    </row>
    <row r="382" spans="1:15">
      <c r="A382" s="37" t="n">
        <v>377</v>
      </c>
      <c r="B382" s="97" t="s">
        <v>2463</v>
      </c>
      <c r="C382" s="121" t="s">
        <v>58</v>
      </c>
      <c r="D382" s="121" t="s">
        <v>20</v>
      </c>
      <c r="E382" s="121" t="s">
        <v>21</v>
      </c>
      <c r="F382" s="121" t="s">
        <v>2464</v>
      </c>
      <c r="G382" s="121" t="s">
        <v>2465</v>
      </c>
      <c r="H382" s="99" t="n">
        <v>31351</v>
      </c>
      <c r="I382" s="99" t="n">
        <v>31351</v>
      </c>
      <c r="J382" s="99" t="n">
        <v>1568</v>
      </c>
      <c r="K382" s="99" t="n">
        <v>0</v>
      </c>
      <c r="L382" s="99" t="n">
        <v>0</v>
      </c>
      <c r="M382" s="99" t="n">
        <v>0</v>
      </c>
      <c r="N382" s="99" t="n">
        <v>0</v>
      </c>
      <c r="O382" s="42" t="n">
        <v>29783</v>
      </c>
    </row>
    <row r="383" spans="1:15">
      <c r="A383" s="37" t="n">
        <v>378</v>
      </c>
      <c r="B383" s="97" t="s">
        <v>1289</v>
      </c>
      <c r="C383" s="121" t="s">
        <v>58</v>
      </c>
      <c r="D383" s="121" t="s">
        <v>20</v>
      </c>
      <c r="E383" s="121" t="s">
        <v>21</v>
      </c>
      <c r="F383" s="121" t="s">
        <v>1290</v>
      </c>
      <c r="G383" s="121" t="s">
        <v>1292</v>
      </c>
      <c r="H383" s="99" t="n">
        <v>31351</v>
      </c>
      <c r="I383" s="99" t="n">
        <v>31351</v>
      </c>
      <c r="J383" s="99" t="n">
        <v>1568</v>
      </c>
      <c r="K383" s="99" t="n">
        <v>0</v>
      </c>
      <c r="L383" s="99" t="n">
        <v>0</v>
      </c>
      <c r="M383" s="99" t="n">
        <v>0</v>
      </c>
      <c r="N383" s="99" t="n">
        <v>0</v>
      </c>
      <c r="O383" s="42" t="n">
        <v>29783</v>
      </c>
    </row>
    <row r="384" spans="1:15">
      <c r="A384" s="37" t="n">
        <v>379</v>
      </c>
      <c r="B384" s="97" t="s">
        <v>793</v>
      </c>
      <c r="C384" s="121" t="s">
        <v>58</v>
      </c>
      <c r="D384" s="121" t="s">
        <v>20</v>
      </c>
      <c r="E384" s="121" t="s">
        <v>21</v>
      </c>
      <c r="F384" s="121" t="s">
        <v>794</v>
      </c>
      <c r="G384" s="121" t="s">
        <v>796</v>
      </c>
      <c r="H384" s="99" t="n">
        <v>33211</v>
      </c>
      <c r="I384" s="99" t="n">
        <v>33211</v>
      </c>
      <c r="J384" s="99" t="n">
        <v>1661</v>
      </c>
      <c r="K384" s="99" t="n">
        <v>0</v>
      </c>
      <c r="L384" s="99" t="n">
        <v>0</v>
      </c>
      <c r="M384" s="99" t="n">
        <v>0</v>
      </c>
      <c r="N384" s="99" t="n">
        <v>0</v>
      </c>
      <c r="O384" s="42" t="n">
        <v>31550</v>
      </c>
    </row>
    <row r="385" spans="1:15">
      <c r="A385" s="37" t="n">
        <v>380</v>
      </c>
      <c r="B385" s="97" t="s">
        <v>1280</v>
      </c>
      <c r="C385" s="121" t="s">
        <v>58</v>
      </c>
      <c r="D385" s="121" t="s">
        <v>20</v>
      </c>
      <c r="E385" s="121" t="s">
        <v>21</v>
      </c>
      <c r="F385" s="121" t="s">
        <v>1281</v>
      </c>
      <c r="G385" s="121" t="s">
        <v>1282</v>
      </c>
      <c r="H385" s="99" t="n">
        <v>755005</v>
      </c>
      <c r="I385" s="99" t="n">
        <v>755005</v>
      </c>
      <c r="J385" s="99" t="n">
        <v>37750</v>
      </c>
      <c r="K385" s="99" t="n">
        <v>0</v>
      </c>
      <c r="L385" s="99" t="n">
        <v>0</v>
      </c>
      <c r="M385" s="99" t="n">
        <v>0</v>
      </c>
      <c r="N385" s="99" t="n">
        <v>0</v>
      </c>
      <c r="O385" s="42" t="n">
        <v>717255</v>
      </c>
    </row>
    <row r="386" spans="1:15">
      <c r="A386" s="37" t="n">
        <v>381</v>
      </c>
      <c r="B386" s="97" t="s">
        <v>623</v>
      </c>
      <c r="C386" s="121" t="s">
        <v>58</v>
      </c>
      <c r="D386" s="121" t="s">
        <v>20</v>
      </c>
      <c r="E386" s="121" t="s">
        <v>21</v>
      </c>
      <c r="F386" s="121" t="s">
        <v>624</v>
      </c>
      <c r="G386" s="121" t="s">
        <v>626</v>
      </c>
      <c r="H386" s="99" t="n">
        <v>755935</v>
      </c>
      <c r="I386" s="99" t="n">
        <v>755935</v>
      </c>
      <c r="J386" s="99" t="n">
        <v>37797</v>
      </c>
      <c r="K386" s="99" t="n">
        <v>0</v>
      </c>
      <c r="L386" s="99" t="n">
        <v>0</v>
      </c>
      <c r="M386" s="99" t="n">
        <v>0</v>
      </c>
      <c r="N386" s="99" t="n">
        <v>0</v>
      </c>
      <c r="O386" s="42" t="n">
        <v>718138</v>
      </c>
    </row>
    <row r="387" spans="1:15">
      <c r="A387" s="37" t="n">
        <v>382</v>
      </c>
      <c r="B387" s="97" t="s">
        <v>643</v>
      </c>
      <c r="C387" s="121" t="s">
        <v>58</v>
      </c>
      <c r="D387" s="121" t="s">
        <v>20</v>
      </c>
      <c r="E387" s="121" t="s">
        <v>21</v>
      </c>
      <c r="F387" s="121" t="s">
        <v>644</v>
      </c>
      <c r="G387" s="121" t="s">
        <v>645</v>
      </c>
      <c r="H387" s="99" t="n">
        <v>755005</v>
      </c>
      <c r="I387" s="99" t="n">
        <v>755005</v>
      </c>
      <c r="J387" s="99" t="n">
        <v>37750</v>
      </c>
      <c r="K387" s="99" t="n">
        <v>0</v>
      </c>
      <c r="L387" s="99" t="n">
        <v>0</v>
      </c>
      <c r="M387" s="99" t="n">
        <v>0</v>
      </c>
      <c r="N387" s="99" t="n">
        <v>0</v>
      </c>
      <c r="O387" s="42" t="n">
        <v>717255</v>
      </c>
    </row>
    <row r="388" spans="1:15">
      <c r="A388" s="37" t="n">
        <v>383</v>
      </c>
      <c r="B388" s="97" t="s">
        <v>631</v>
      </c>
      <c r="C388" s="121" t="s">
        <v>58</v>
      </c>
      <c r="D388" s="121" t="s">
        <v>20</v>
      </c>
      <c r="E388" s="121" t="s">
        <v>21</v>
      </c>
      <c r="F388" s="121" t="s">
        <v>632</v>
      </c>
      <c r="G388" s="121" t="s">
        <v>634</v>
      </c>
      <c r="H388" s="99" t="n">
        <v>755005</v>
      </c>
      <c r="I388" s="99" t="n">
        <v>755005</v>
      </c>
      <c r="J388" s="99" t="n">
        <v>37750</v>
      </c>
      <c r="K388" s="99" t="n">
        <v>0</v>
      </c>
      <c r="L388" s="99" t="n">
        <v>0</v>
      </c>
      <c r="M388" s="99" t="n">
        <v>0</v>
      </c>
      <c r="N388" s="99" t="n">
        <v>0</v>
      </c>
      <c r="O388" s="42" t="n">
        <v>717255</v>
      </c>
    </row>
    <row r="389" spans="1:15">
      <c r="A389" s="37" t="n">
        <v>384</v>
      </c>
      <c r="B389" s="97" t="s">
        <v>1559</v>
      </c>
      <c r="C389" s="121" t="s">
        <v>58</v>
      </c>
      <c r="D389" s="121" t="s">
        <v>20</v>
      </c>
      <c r="E389" s="121" t="s">
        <v>21</v>
      </c>
      <c r="F389" s="121" t="s">
        <v>1560</v>
      </c>
      <c r="G389" s="121" t="s">
        <v>1561</v>
      </c>
      <c r="H389" s="99" t="n">
        <v>33211</v>
      </c>
      <c r="I389" s="99" t="n">
        <v>33211</v>
      </c>
      <c r="J389" s="99" t="n">
        <v>1661</v>
      </c>
      <c r="K389" s="99" t="n">
        <v>0</v>
      </c>
      <c r="L389" s="99" t="n">
        <v>0</v>
      </c>
      <c r="M389" s="99" t="n">
        <v>0</v>
      </c>
      <c r="N389" s="99" t="n">
        <v>0</v>
      </c>
      <c r="O389" s="42" t="n">
        <v>31550</v>
      </c>
    </row>
    <row r="390" spans="1:15">
      <c r="A390" s="37" t="n">
        <v>385</v>
      </c>
      <c r="B390" s="97" t="s">
        <v>1728</v>
      </c>
      <c r="C390" s="121" t="s">
        <v>120</v>
      </c>
      <c r="D390" s="121" t="s">
        <v>128</v>
      </c>
      <c r="E390" s="121" t="s">
        <v>15</v>
      </c>
      <c r="F390" s="98" t="n">
        <v>0</v>
      </c>
      <c r="G390" s="121" t="s">
        <v>1729</v>
      </c>
      <c r="H390" s="99" t="n">
        <v>31351</v>
      </c>
      <c r="I390" s="99" t="n">
        <v>31351</v>
      </c>
      <c r="J390" s="99" t="n">
        <v>0</v>
      </c>
      <c r="K390" s="99" t="n">
        <v>0</v>
      </c>
      <c r="L390" s="99" t="n">
        <v>0</v>
      </c>
      <c r="M390" s="99" t="n">
        <v>0</v>
      </c>
      <c r="N390" s="99" t="n">
        <v>0</v>
      </c>
      <c r="O390" s="42" t="n">
        <v>31351</v>
      </c>
    </row>
    <row r="391" spans="1:15">
      <c r="A391" s="37" t="n">
        <v>386</v>
      </c>
      <c r="B391" s="97" t="s">
        <v>1460</v>
      </c>
      <c r="C391" s="121" t="s">
        <v>283</v>
      </c>
      <c r="D391" s="121" t="s">
        <v>20</v>
      </c>
      <c r="E391" s="121" t="s">
        <v>21</v>
      </c>
      <c r="F391" s="121" t="s">
        <v>2466</v>
      </c>
      <c r="G391" s="121" t="s">
        <v>1461</v>
      </c>
      <c r="H391" s="99" t="n">
        <v>31351</v>
      </c>
      <c r="I391" s="99" t="n">
        <v>31351</v>
      </c>
      <c r="J391" s="99" t="n">
        <v>0</v>
      </c>
      <c r="K391" s="99" t="n">
        <v>0</v>
      </c>
      <c r="L391" s="99" t="n">
        <v>0</v>
      </c>
      <c r="M391" s="99" t="n">
        <v>0</v>
      </c>
      <c r="N391" s="99" t="n">
        <v>0</v>
      </c>
      <c r="O391" s="42" t="n">
        <v>31351</v>
      </c>
    </row>
    <row r="392" spans="1:15">
      <c r="A392" s="37" t="n">
        <v>387</v>
      </c>
      <c r="B392" s="97" t="s">
        <v>1551</v>
      </c>
      <c r="C392" s="121" t="s">
        <v>283</v>
      </c>
      <c r="D392" s="121" t="s">
        <v>20</v>
      </c>
      <c r="E392" s="121" t="s">
        <v>21</v>
      </c>
      <c r="F392" s="121" t="s">
        <v>2467</v>
      </c>
      <c r="G392" s="121" t="s">
        <v>1553</v>
      </c>
      <c r="H392" s="99" t="n">
        <v>755005</v>
      </c>
      <c r="I392" s="99" t="n">
        <v>755005</v>
      </c>
      <c r="J392" s="99" t="n">
        <v>0</v>
      </c>
      <c r="K392" s="99" t="n">
        <v>0</v>
      </c>
      <c r="L392" s="99" t="n">
        <v>0</v>
      </c>
      <c r="M392" s="99" t="n">
        <v>0</v>
      </c>
      <c r="N392" s="99" t="n">
        <v>0</v>
      </c>
      <c r="O392" s="42" t="n">
        <v>755005</v>
      </c>
    </row>
    <row r="393" spans="1:15">
      <c r="A393" s="37" t="n">
        <v>391</v>
      </c>
      <c r="B393" s="97" t="s">
        <v>2468</v>
      </c>
      <c r="C393" s="121" t="s">
        <v>120</v>
      </c>
      <c r="D393" s="121" t="s">
        <v>2469</v>
      </c>
      <c r="E393" s="121" t="s">
        <v>21</v>
      </c>
      <c r="F393" s="98" t="n">
        <v>0</v>
      </c>
      <c r="G393" s="121" t="s">
        <v>2470</v>
      </c>
      <c r="H393" s="99" t="n">
        <v>755005</v>
      </c>
      <c r="I393" s="99" t="n">
        <v>755005</v>
      </c>
      <c r="J393" s="99" t="n">
        <v>0</v>
      </c>
      <c r="K393" s="99" t="n">
        <v>0</v>
      </c>
      <c r="L393" s="99" t="n">
        <v>0</v>
      </c>
      <c r="M393" s="99" t="n">
        <v>0</v>
      </c>
      <c r="N393" s="99" t="n">
        <v>0</v>
      </c>
      <c r="O393" s="42" t="n">
        <v>755005</v>
      </c>
    </row>
    <row r="394" spans="1:15">
      <c r="A394" s="37" t="n">
        <v>392</v>
      </c>
      <c r="B394" s="97" t="s">
        <v>1403</v>
      </c>
      <c r="C394" s="121" t="s">
        <v>283</v>
      </c>
      <c r="D394" s="121" t="s">
        <v>20</v>
      </c>
      <c r="E394" s="121" t="s">
        <v>21</v>
      </c>
      <c r="F394" s="121" t="s">
        <v>2471</v>
      </c>
      <c r="G394" s="121" t="s">
        <v>1404</v>
      </c>
      <c r="H394" s="99" t="n">
        <v>31351</v>
      </c>
      <c r="I394" s="99" t="n">
        <v>31351</v>
      </c>
      <c r="J394" s="99" t="n">
        <v>0</v>
      </c>
      <c r="K394" s="99" t="n">
        <v>0</v>
      </c>
      <c r="L394" s="99" t="n">
        <v>0</v>
      </c>
      <c r="M394" s="99" t="n">
        <v>0</v>
      </c>
      <c r="N394" s="99" t="n">
        <v>0</v>
      </c>
      <c r="O394" s="42" t="n">
        <v>31351</v>
      </c>
    </row>
    <row r="395" spans="1:15">
      <c r="A395" s="37" t="n">
        <v>393</v>
      </c>
      <c r="B395" s="97" t="s">
        <v>1303</v>
      </c>
      <c r="C395" s="121" t="s">
        <v>120</v>
      </c>
      <c r="D395" s="121" t="s">
        <v>128</v>
      </c>
      <c r="E395" s="121" t="s">
        <v>15</v>
      </c>
      <c r="F395" s="98" t="n">
        <v>0</v>
      </c>
      <c r="G395" s="121" t="s">
        <v>1304</v>
      </c>
      <c r="H395" s="99" t="n">
        <v>33211</v>
      </c>
      <c r="I395" s="99" t="n">
        <v>33211</v>
      </c>
      <c r="J395" s="99" t="n">
        <v>0</v>
      </c>
      <c r="K395" s="99" t="n">
        <v>0</v>
      </c>
      <c r="L395" s="99" t="n">
        <v>0</v>
      </c>
      <c r="M395" s="99" t="n">
        <v>0</v>
      </c>
      <c r="N395" s="99" t="n">
        <v>0</v>
      </c>
      <c r="O395" s="42" t="n">
        <v>33211</v>
      </c>
    </row>
    <row r="396" spans="1:15">
      <c r="A396" s="37" t="n">
        <v>394</v>
      </c>
      <c r="B396" s="97" t="s">
        <v>1213</v>
      </c>
      <c r="C396" s="121" t="s">
        <v>283</v>
      </c>
      <c r="D396" s="121" t="s">
        <v>20</v>
      </c>
      <c r="E396" s="121" t="s">
        <v>21</v>
      </c>
      <c r="F396" s="121" t="s">
        <v>1214</v>
      </c>
      <c r="G396" s="121" t="s">
        <v>1215</v>
      </c>
      <c r="H396" s="99" t="n">
        <v>755005</v>
      </c>
      <c r="I396" s="99" t="n">
        <v>755005</v>
      </c>
      <c r="J396" s="99" t="n">
        <v>0</v>
      </c>
      <c r="K396" s="99" t="n">
        <v>0</v>
      </c>
      <c r="L396" s="99" t="n">
        <v>0</v>
      </c>
      <c r="M396" s="99" t="n">
        <v>0</v>
      </c>
      <c r="N396" s="99" t="n">
        <v>0</v>
      </c>
      <c r="O396" s="42" t="n">
        <v>755005</v>
      </c>
    </row>
    <row r="397" spans="1:15">
      <c r="A397" s="37" t="n">
        <v>395</v>
      </c>
      <c r="B397" s="97" t="s">
        <v>1557</v>
      </c>
      <c r="C397" s="121" t="s">
        <v>283</v>
      </c>
      <c r="D397" s="121" t="s">
        <v>20</v>
      </c>
      <c r="E397" s="121" t="s">
        <v>21</v>
      </c>
      <c r="F397" s="121" t="s">
        <v>2472</v>
      </c>
      <c r="G397" s="121" t="s">
        <v>1558</v>
      </c>
      <c r="H397" s="99" t="n">
        <v>755005</v>
      </c>
      <c r="I397" s="99" t="n">
        <v>755005</v>
      </c>
      <c r="J397" s="99" t="n">
        <v>0</v>
      </c>
      <c r="K397" s="99" t="n">
        <v>0</v>
      </c>
      <c r="L397" s="99" t="n">
        <v>0</v>
      </c>
      <c r="M397" s="99" t="n">
        <v>0</v>
      </c>
      <c r="N397" s="99" t="n">
        <v>0</v>
      </c>
      <c r="O397" s="42" t="n">
        <v>755005</v>
      </c>
    </row>
    <row r="398" spans="1:15">
      <c r="A398" s="37" t="n">
        <v>396</v>
      </c>
      <c r="B398" s="97" t="s">
        <v>1311</v>
      </c>
      <c r="C398" s="121" t="s">
        <v>283</v>
      </c>
      <c r="D398" s="121" t="s">
        <v>20</v>
      </c>
      <c r="E398" s="121" t="s">
        <v>21</v>
      </c>
      <c r="F398" s="121" t="s">
        <v>2473</v>
      </c>
      <c r="G398" s="121" t="s">
        <v>1313</v>
      </c>
      <c r="H398" s="99" t="n">
        <v>755005</v>
      </c>
      <c r="I398" s="99" t="n">
        <v>755005</v>
      </c>
      <c r="J398" s="99" t="n">
        <v>0</v>
      </c>
      <c r="K398" s="99" t="n">
        <v>0</v>
      </c>
      <c r="L398" s="99" t="n">
        <v>0</v>
      </c>
      <c r="M398" s="99" t="n">
        <v>0</v>
      </c>
      <c r="N398" s="99" t="n">
        <v>0</v>
      </c>
      <c r="O398" s="42" t="n">
        <v>755005</v>
      </c>
    </row>
    <row r="399" spans="1:15">
      <c r="A399" s="37" t="n">
        <v>397</v>
      </c>
      <c r="B399" s="97" t="s">
        <v>646</v>
      </c>
      <c r="C399" s="121" t="s">
        <v>283</v>
      </c>
      <c r="D399" s="121" t="s">
        <v>20</v>
      </c>
      <c r="E399" s="121" t="s">
        <v>21</v>
      </c>
      <c r="F399" s="121" t="s">
        <v>2474</v>
      </c>
      <c r="G399" s="121" t="s">
        <v>647</v>
      </c>
      <c r="H399" s="99" t="n">
        <v>755005</v>
      </c>
      <c r="I399" s="99" t="n">
        <v>755005</v>
      </c>
      <c r="J399" s="99" t="n">
        <v>0</v>
      </c>
      <c r="K399" s="99" t="n">
        <v>0</v>
      </c>
      <c r="L399" s="99" t="n">
        <v>0</v>
      </c>
      <c r="M399" s="99" t="n">
        <v>0</v>
      </c>
      <c r="N399" s="99" t="n">
        <v>0</v>
      </c>
      <c r="O399" s="42" t="n">
        <v>755005</v>
      </c>
    </row>
    <row r="400" spans="1:15">
      <c r="A400" s="37" t="n">
        <v>398</v>
      </c>
      <c r="B400" s="97" t="s">
        <v>2475</v>
      </c>
      <c r="C400" s="121" t="s">
        <v>120</v>
      </c>
      <c r="D400" s="121" t="s">
        <v>20</v>
      </c>
      <c r="E400" s="121" t="s">
        <v>21</v>
      </c>
      <c r="F400" s="98" t="n">
        <v>0</v>
      </c>
      <c r="G400" s="121" t="s">
        <v>2476</v>
      </c>
      <c r="H400" s="99" t="n">
        <v>755005</v>
      </c>
      <c r="I400" s="99" t="n">
        <v>755005</v>
      </c>
      <c r="J400" s="99" t="n">
        <v>0</v>
      </c>
      <c r="K400" s="99" t="n">
        <v>0</v>
      </c>
      <c r="L400" s="99" t="n">
        <v>0</v>
      </c>
      <c r="M400" s="99" t="n">
        <v>0</v>
      </c>
      <c r="N400" s="99" t="n">
        <v>0</v>
      </c>
      <c r="O400" s="42" t="n">
        <v>755005</v>
      </c>
    </row>
    <row r="401" spans="1:15">
      <c r="A401" s="37" t="n">
        <v>399</v>
      </c>
      <c r="B401" s="97" t="s">
        <v>648</v>
      </c>
      <c r="C401" s="121" t="s">
        <v>283</v>
      </c>
      <c r="D401" s="121" t="s">
        <v>20</v>
      </c>
      <c r="E401" s="121" t="s">
        <v>21</v>
      </c>
      <c r="F401" s="121" t="s">
        <v>2477</v>
      </c>
      <c r="G401" s="121" t="s">
        <v>649</v>
      </c>
      <c r="H401" s="99" t="n">
        <v>755005</v>
      </c>
      <c r="I401" s="99" t="n">
        <v>755005</v>
      </c>
      <c r="J401" s="99" t="n">
        <v>0</v>
      </c>
      <c r="K401" s="99" t="n">
        <v>0</v>
      </c>
      <c r="L401" s="99" t="n">
        <v>0</v>
      </c>
      <c r="M401" s="99" t="n">
        <v>0</v>
      </c>
      <c r="N401" s="99" t="n">
        <v>0</v>
      </c>
      <c r="O401" s="42" t="n">
        <v>755005</v>
      </c>
    </row>
    <row r="402" spans="1:15">
      <c r="A402" s="37" t="n">
        <v>400</v>
      </c>
      <c r="B402" s="97" t="s">
        <v>2478</v>
      </c>
      <c r="C402" s="121" t="s">
        <v>120</v>
      </c>
      <c r="D402" s="121" t="s">
        <v>128</v>
      </c>
      <c r="E402" s="121" t="s">
        <v>15</v>
      </c>
      <c r="F402" s="98" t="n">
        <v>0</v>
      </c>
      <c r="G402" s="121" t="s">
        <v>2479</v>
      </c>
      <c r="H402" s="99" t="n">
        <v>31351</v>
      </c>
      <c r="I402" s="99" t="n">
        <v>31351</v>
      </c>
      <c r="J402" s="99" t="n">
        <v>0</v>
      </c>
      <c r="K402" s="99" t="n">
        <v>0</v>
      </c>
      <c r="L402" s="99" t="n">
        <v>0</v>
      </c>
      <c r="M402" s="99" t="n">
        <v>0</v>
      </c>
      <c r="N402" s="99" t="n">
        <v>0</v>
      </c>
      <c r="O402" s="42" t="n">
        <v>31351</v>
      </c>
    </row>
    <row r="403" spans="1:15">
      <c r="A403" s="37" t="n">
        <v>401</v>
      </c>
      <c r="B403" s="97" t="s">
        <v>2480</v>
      </c>
      <c r="C403" s="121" t="s">
        <v>120</v>
      </c>
      <c r="D403" s="121" t="s">
        <v>20</v>
      </c>
      <c r="E403" s="121" t="s">
        <v>21</v>
      </c>
      <c r="F403" s="98" t="n">
        <v>0</v>
      </c>
      <c r="G403" s="98" t="n">
        <v>1612007744</v>
      </c>
      <c r="H403" s="99" t="n">
        <v>755005</v>
      </c>
      <c r="I403" s="99" t="n">
        <v>755005</v>
      </c>
      <c r="J403" s="99" t="n">
        <v>0</v>
      </c>
      <c r="K403" s="99" t="n">
        <v>0</v>
      </c>
      <c r="L403" s="99" t="n">
        <v>0</v>
      </c>
      <c r="M403" s="99" t="n">
        <v>0</v>
      </c>
      <c r="N403" s="99" t="n">
        <v>0</v>
      </c>
      <c r="O403" s="42" t="n">
        <v>755005</v>
      </c>
    </row>
    <row r="404" spans="1:15">
      <c r="A404" s="37" t="n">
        <v>402</v>
      </c>
      <c r="B404" s="97" t="s">
        <v>1336</v>
      </c>
      <c r="C404" s="121" t="s">
        <v>131</v>
      </c>
      <c r="D404" s="121" t="s">
        <v>20</v>
      </c>
      <c r="E404" s="121" t="s">
        <v>21</v>
      </c>
      <c r="F404" s="121" t="s">
        <v>1337</v>
      </c>
      <c r="G404" s="121" t="s">
        <v>1338</v>
      </c>
      <c r="H404" s="99" t="n">
        <v>33211</v>
      </c>
      <c r="I404" s="99" t="n">
        <v>33211</v>
      </c>
      <c r="J404" s="99" t="n">
        <v>1661</v>
      </c>
      <c r="K404" s="99" t="n">
        <v>0</v>
      </c>
      <c r="L404" s="99" t="n">
        <v>0</v>
      </c>
      <c r="M404" s="99" t="n">
        <v>0</v>
      </c>
      <c r="N404" s="99" t="n">
        <v>0</v>
      </c>
      <c r="O404" s="42" t="n">
        <v>31550</v>
      </c>
    </row>
    <row r="405" spans="1:15">
      <c r="A405" s="37" t="n">
        <v>403</v>
      </c>
      <c r="B405" s="97" t="s">
        <v>1006</v>
      </c>
      <c r="C405" s="121" t="s">
        <v>120</v>
      </c>
      <c r="D405" s="121" t="s">
        <v>128</v>
      </c>
      <c r="E405" s="121" t="s">
        <v>15</v>
      </c>
      <c r="F405" s="98" t="n">
        <v>0</v>
      </c>
      <c r="G405" s="121" t="s">
        <v>1008</v>
      </c>
      <c r="H405" s="99" t="n">
        <v>33211</v>
      </c>
      <c r="I405" s="99" t="n">
        <v>33211</v>
      </c>
      <c r="J405" s="99" t="n">
        <v>0</v>
      </c>
      <c r="K405" s="99" t="n">
        <v>0</v>
      </c>
      <c r="L405" s="99" t="n">
        <v>0</v>
      </c>
      <c r="M405" s="99" t="n">
        <v>0</v>
      </c>
      <c r="N405" s="99" t="n">
        <v>0</v>
      </c>
      <c r="O405" s="42" t="n">
        <v>33211</v>
      </c>
    </row>
    <row r="406" spans="1:15">
      <c r="A406" s="37" t="n">
        <v>404</v>
      </c>
      <c r="B406" s="97" t="s">
        <v>1210</v>
      </c>
      <c r="C406" s="121" t="s">
        <v>131</v>
      </c>
      <c r="D406" s="121" t="s">
        <v>20</v>
      </c>
      <c r="E406" s="121" t="s">
        <v>21</v>
      </c>
      <c r="F406" s="121" t="s">
        <v>1211</v>
      </c>
      <c r="G406" s="121" t="s">
        <v>1212</v>
      </c>
      <c r="H406" s="99" t="n">
        <v>33211</v>
      </c>
      <c r="I406" s="99" t="n">
        <v>33211</v>
      </c>
      <c r="J406" s="99" t="n">
        <v>1661</v>
      </c>
      <c r="K406" s="99" t="n">
        <v>0</v>
      </c>
      <c r="L406" s="99" t="n">
        <v>0</v>
      </c>
      <c r="M406" s="99" t="n">
        <v>0</v>
      </c>
      <c r="N406" s="99" t="n">
        <v>0</v>
      </c>
      <c r="O406" s="42" t="n">
        <v>31550</v>
      </c>
    </row>
    <row r="407" spans="1:15">
      <c r="A407" s="37" t="n">
        <v>405</v>
      </c>
      <c r="B407" s="97" t="s">
        <v>1341</v>
      </c>
      <c r="C407" s="121" t="s">
        <v>283</v>
      </c>
      <c r="D407" s="121" t="s">
        <v>20</v>
      </c>
      <c r="E407" s="121" t="s">
        <v>21</v>
      </c>
      <c r="F407" s="121" t="s">
        <v>2481</v>
      </c>
      <c r="G407" s="121" t="s">
        <v>1343</v>
      </c>
      <c r="H407" s="99" t="n">
        <v>31351</v>
      </c>
      <c r="I407" s="99" t="n">
        <v>31351</v>
      </c>
      <c r="J407" s="99" t="n">
        <v>0</v>
      </c>
      <c r="K407" s="99" t="n">
        <v>0</v>
      </c>
      <c r="L407" s="99" t="n">
        <v>0</v>
      </c>
      <c r="M407" s="99" t="n">
        <v>0</v>
      </c>
      <c r="N407" s="99" t="n">
        <v>0</v>
      </c>
      <c r="O407" s="42" t="n">
        <v>31351</v>
      </c>
    </row>
    <row r="408" spans="1:15">
      <c r="A408" s="37" t="n">
        <v>406</v>
      </c>
      <c r="B408" s="97" t="s">
        <v>2482</v>
      </c>
      <c r="C408" s="121" t="s">
        <v>95</v>
      </c>
      <c r="D408" s="121" t="s">
        <v>20</v>
      </c>
      <c r="E408" s="121" t="s">
        <v>21</v>
      </c>
      <c r="F408" s="98" t="n">
        <v>0</v>
      </c>
      <c r="G408" s="121" t="s">
        <v>2483</v>
      </c>
      <c r="H408" s="99" t="n">
        <v>31351</v>
      </c>
      <c r="I408" s="99" t="n">
        <v>31351</v>
      </c>
      <c r="J408" s="99" t="n">
        <v>0</v>
      </c>
      <c r="K408" s="99" t="n">
        <v>0</v>
      </c>
      <c r="L408" s="99" t="n">
        <v>0</v>
      </c>
      <c r="M408" s="99" t="n">
        <v>0</v>
      </c>
      <c r="N408" s="99" t="n">
        <v>0</v>
      </c>
      <c r="O408" s="42" t="n">
        <v>31351</v>
      </c>
    </row>
    <row r="409" spans="1:15">
      <c r="A409" s="37" t="n">
        <v>407</v>
      </c>
      <c r="B409" s="97" t="s">
        <v>620</v>
      </c>
      <c r="C409" s="121" t="s">
        <v>58</v>
      </c>
      <c r="D409" s="121" t="s">
        <v>20</v>
      </c>
      <c r="E409" s="121" t="s">
        <v>21</v>
      </c>
      <c r="F409" s="121" t="s">
        <v>621</v>
      </c>
      <c r="G409" s="121" t="s">
        <v>622</v>
      </c>
      <c r="H409" s="99" t="n">
        <v>31351</v>
      </c>
      <c r="I409" s="99" t="n">
        <v>31351</v>
      </c>
      <c r="J409" s="99" t="n">
        <v>1568</v>
      </c>
      <c r="K409" s="99" t="n">
        <v>0</v>
      </c>
      <c r="L409" s="99" t="n">
        <v>0</v>
      </c>
      <c r="M409" s="99" t="n">
        <v>0</v>
      </c>
      <c r="N409" s="99" t="n">
        <v>0</v>
      </c>
      <c r="O409" s="42" t="n">
        <v>29783</v>
      </c>
    </row>
    <row r="410" spans="1:15">
      <c r="A410" s="37" t="n">
        <v>408</v>
      </c>
      <c r="B410" s="97" t="s">
        <v>2484</v>
      </c>
      <c r="C410" s="121" t="s">
        <v>58</v>
      </c>
      <c r="D410" s="121" t="s">
        <v>20</v>
      </c>
      <c r="E410" s="121" t="s">
        <v>21</v>
      </c>
      <c r="F410" s="121" t="s">
        <v>2485</v>
      </c>
      <c r="G410" s="121" t="s">
        <v>2486</v>
      </c>
      <c r="H410" s="99" t="n">
        <v>31351</v>
      </c>
      <c r="I410" s="99" t="n">
        <v>31351</v>
      </c>
      <c r="J410" s="99" t="n">
        <v>1568</v>
      </c>
      <c r="K410" s="99" t="n">
        <v>0</v>
      </c>
      <c r="L410" s="99" t="n">
        <v>0</v>
      </c>
      <c r="M410" s="99" t="n">
        <v>0</v>
      </c>
      <c r="N410" s="99" t="n">
        <v>0</v>
      </c>
      <c r="O410" s="42" t="n">
        <v>29783</v>
      </c>
    </row>
    <row r="411" spans="1:15">
      <c r="A411" s="37" t="n">
        <v>409</v>
      </c>
      <c r="B411" s="97" t="s">
        <v>1527</v>
      </c>
      <c r="C411" s="121" t="s">
        <v>283</v>
      </c>
      <c r="D411" s="121" t="s">
        <v>20</v>
      </c>
      <c r="E411" s="121" t="s">
        <v>21</v>
      </c>
      <c r="F411" s="121" t="s">
        <v>2487</v>
      </c>
      <c r="G411" s="121" t="s">
        <v>1528</v>
      </c>
      <c r="H411" s="99" t="n">
        <v>31351</v>
      </c>
      <c r="I411" s="99" t="n">
        <v>31351</v>
      </c>
      <c r="J411" s="99" t="n">
        <v>0</v>
      </c>
      <c r="K411" s="99" t="n">
        <v>0</v>
      </c>
      <c r="L411" s="99" t="n">
        <v>0</v>
      </c>
      <c r="M411" s="99" t="n">
        <v>0</v>
      </c>
      <c r="N411" s="99" t="n">
        <v>0</v>
      </c>
      <c r="O411" s="42" t="n">
        <v>31351</v>
      </c>
    </row>
    <row r="412" spans="1:15">
      <c r="A412" s="37" t="n">
        <v>410</v>
      </c>
      <c r="B412" s="97" t="s">
        <v>681</v>
      </c>
      <c r="C412" s="121" t="s">
        <v>283</v>
      </c>
      <c r="D412" s="121" t="s">
        <v>20</v>
      </c>
      <c r="E412" s="121" t="s">
        <v>21</v>
      </c>
      <c r="F412" s="121" t="s">
        <v>2488</v>
      </c>
      <c r="G412" s="121" t="s">
        <v>683</v>
      </c>
      <c r="H412" s="99" t="n">
        <v>31351</v>
      </c>
      <c r="I412" s="99" t="n">
        <v>31351</v>
      </c>
      <c r="J412" s="99" t="n">
        <v>0</v>
      </c>
      <c r="K412" s="99" t="n">
        <v>0</v>
      </c>
      <c r="L412" s="99" t="n">
        <v>0</v>
      </c>
      <c r="M412" s="99" t="n">
        <v>0</v>
      </c>
      <c r="N412" s="99" t="n">
        <v>0</v>
      </c>
      <c r="O412" s="42" t="n">
        <v>31351</v>
      </c>
    </row>
    <row r="413" spans="1:15">
      <c r="A413" s="37" t="n">
        <v>411</v>
      </c>
      <c r="B413" s="97" t="s">
        <v>1334</v>
      </c>
      <c r="C413" s="121" t="s">
        <v>283</v>
      </c>
      <c r="D413" s="121" t="s">
        <v>20</v>
      </c>
      <c r="E413" s="121" t="s">
        <v>21</v>
      </c>
      <c r="F413" s="121" t="s">
        <v>2489</v>
      </c>
      <c r="G413" s="121" t="s">
        <v>1335</v>
      </c>
      <c r="H413" s="99" t="n">
        <v>31351</v>
      </c>
      <c r="I413" s="99" t="n">
        <v>31351</v>
      </c>
      <c r="J413" s="99" t="n">
        <v>0</v>
      </c>
      <c r="K413" s="99" t="n">
        <v>0</v>
      </c>
      <c r="L413" s="99" t="n">
        <v>0</v>
      </c>
      <c r="M413" s="99" t="n">
        <v>0</v>
      </c>
      <c r="N413" s="99" t="n">
        <v>0</v>
      </c>
      <c r="O413" s="42" t="n">
        <v>31351</v>
      </c>
    </row>
    <row r="414" spans="1:15">
      <c r="A414" s="37" t="n">
        <v>412</v>
      </c>
      <c r="B414" s="97" t="s">
        <v>1328</v>
      </c>
      <c r="C414" s="121" t="s">
        <v>283</v>
      </c>
      <c r="D414" s="121" t="s">
        <v>20</v>
      </c>
      <c r="E414" s="121" t="s">
        <v>21</v>
      </c>
      <c r="F414" s="121" t="s">
        <v>2490</v>
      </c>
      <c r="G414" s="121" t="s">
        <v>1329</v>
      </c>
      <c r="H414" s="99" t="n">
        <v>31351</v>
      </c>
      <c r="I414" s="99" t="n">
        <v>31351</v>
      </c>
      <c r="J414" s="99" t="n">
        <v>0</v>
      </c>
      <c r="K414" s="99" t="n">
        <v>0</v>
      </c>
      <c r="L414" s="99" t="n">
        <v>0</v>
      </c>
      <c r="M414" s="99" t="n">
        <v>0</v>
      </c>
      <c r="N414" s="99" t="n">
        <v>0</v>
      </c>
      <c r="O414" s="42" t="n">
        <v>31351</v>
      </c>
    </row>
    <row r="415" spans="1:15">
      <c r="A415" s="37" t="n">
        <v>413</v>
      </c>
      <c r="B415" s="97" t="s">
        <v>2491</v>
      </c>
      <c r="C415" s="121" t="s">
        <v>120</v>
      </c>
      <c r="D415" s="121" t="s">
        <v>278</v>
      </c>
      <c r="E415" s="121" t="s">
        <v>16</v>
      </c>
      <c r="F415" s="98" t="n">
        <v>0</v>
      </c>
      <c r="G415" s="121" t="s">
        <v>2492</v>
      </c>
      <c r="H415" s="99" t="n">
        <v>31351</v>
      </c>
      <c r="I415" s="99" t="n">
        <v>31351</v>
      </c>
      <c r="J415" s="99" t="n">
        <v>0</v>
      </c>
      <c r="K415" s="99" t="n">
        <v>0</v>
      </c>
      <c r="L415" s="99" t="n">
        <v>0</v>
      </c>
      <c r="M415" s="99" t="n">
        <v>0</v>
      </c>
      <c r="N415" s="99" t="n">
        <v>0</v>
      </c>
      <c r="O415" s="42" t="n">
        <v>31351</v>
      </c>
    </row>
    <row r="416" spans="1:15">
      <c r="A416" s="37" t="n">
        <v>414</v>
      </c>
      <c r="B416" s="97" t="s">
        <v>1314</v>
      </c>
      <c r="C416" s="121" t="s">
        <v>283</v>
      </c>
      <c r="D416" s="121" t="s">
        <v>20</v>
      </c>
      <c r="E416" s="121" t="s">
        <v>21</v>
      </c>
      <c r="F416" s="121" t="s">
        <v>2493</v>
      </c>
      <c r="G416" s="121" t="s">
        <v>1316</v>
      </c>
      <c r="H416" s="99" t="n">
        <v>31351</v>
      </c>
      <c r="I416" s="99" t="n">
        <v>31351</v>
      </c>
      <c r="J416" s="99" t="n">
        <v>0</v>
      </c>
      <c r="K416" s="99" t="n">
        <v>0</v>
      </c>
      <c r="L416" s="99" t="n">
        <v>0</v>
      </c>
      <c r="M416" s="99" t="n">
        <v>0</v>
      </c>
      <c r="N416" s="99" t="n">
        <v>0</v>
      </c>
      <c r="O416" s="42" t="n">
        <v>31351</v>
      </c>
    </row>
    <row r="417" spans="1:15">
      <c r="A417" s="37" t="n">
        <v>415</v>
      </c>
      <c r="B417" s="97" t="s">
        <v>652</v>
      </c>
      <c r="C417" s="121" t="s">
        <v>58</v>
      </c>
      <c r="D417" s="121" t="s">
        <v>20</v>
      </c>
      <c r="E417" s="121" t="s">
        <v>21</v>
      </c>
      <c r="F417" s="121" t="s">
        <v>653</v>
      </c>
      <c r="G417" s="121" t="s">
        <v>654</v>
      </c>
      <c r="H417" s="99" t="n">
        <v>32281</v>
      </c>
      <c r="I417" s="99" t="n">
        <v>32281</v>
      </c>
      <c r="J417" s="99" t="n">
        <v>1614</v>
      </c>
      <c r="K417" s="99" t="n">
        <v>0</v>
      </c>
      <c r="L417" s="99" t="n">
        <v>0</v>
      </c>
      <c r="M417" s="99" t="n">
        <v>0</v>
      </c>
      <c r="N417" s="99" t="n">
        <v>0</v>
      </c>
      <c r="O417" s="42" t="n">
        <v>30667</v>
      </c>
    </row>
    <row r="418" spans="1:15">
      <c r="A418" s="37" t="n">
        <v>416</v>
      </c>
      <c r="B418" s="97" t="s">
        <v>1299</v>
      </c>
      <c r="C418" s="121" t="s">
        <v>58</v>
      </c>
      <c r="D418" s="121" t="s">
        <v>20</v>
      </c>
      <c r="E418" s="121" t="s">
        <v>21</v>
      </c>
      <c r="F418" s="121" t="s">
        <v>1300</v>
      </c>
      <c r="G418" s="121" t="s">
        <v>1302</v>
      </c>
      <c r="H418" s="99" t="n">
        <v>32281</v>
      </c>
      <c r="I418" s="99" t="n">
        <v>32281</v>
      </c>
      <c r="J418" s="99" t="n">
        <v>1614</v>
      </c>
      <c r="K418" s="99" t="n">
        <v>0</v>
      </c>
      <c r="L418" s="99" t="n">
        <v>0</v>
      </c>
      <c r="M418" s="99" t="n">
        <v>0</v>
      </c>
      <c r="N418" s="99" t="n">
        <v>0</v>
      </c>
      <c r="O418" s="42" t="n">
        <v>30667</v>
      </c>
    </row>
    <row r="419" spans="1:15">
      <c r="A419" s="37" t="n">
        <v>417</v>
      </c>
      <c r="B419" s="97" t="s">
        <v>2494</v>
      </c>
      <c r="C419" s="121" t="s">
        <v>19</v>
      </c>
      <c r="D419" s="121" t="s">
        <v>20</v>
      </c>
      <c r="E419" s="121" t="s">
        <v>21</v>
      </c>
      <c r="F419" s="121" t="s">
        <v>2074</v>
      </c>
      <c r="G419" s="121" t="s">
        <v>2495</v>
      </c>
      <c r="H419" s="99" t="n">
        <v>42977</v>
      </c>
      <c r="I419" s="99" t="n">
        <v>42977</v>
      </c>
      <c r="J419" s="99" t="n">
        <v>0</v>
      </c>
      <c r="K419" s="99" t="n">
        <v>6447</v>
      </c>
      <c r="L419" s="99" t="n">
        <v>0</v>
      </c>
      <c r="M419" s="99" t="n">
        <v>0</v>
      </c>
      <c r="N419" s="99" t="n">
        <v>0</v>
      </c>
      <c r="O419" s="42" t="n">
        <v>36530</v>
      </c>
    </row>
    <row r="420" spans="1:15">
      <c r="A420" s="37" t="n">
        <v>418</v>
      </c>
      <c r="B420" s="97" t="s">
        <v>2496</v>
      </c>
      <c r="C420" s="121" t="s">
        <v>58</v>
      </c>
      <c r="D420" s="121" t="s">
        <v>20</v>
      </c>
      <c r="E420" s="121" t="s">
        <v>21</v>
      </c>
      <c r="F420" s="121" t="s">
        <v>2074</v>
      </c>
      <c r="G420" s="121" t="s">
        <v>2497</v>
      </c>
      <c r="H420" s="99" t="n">
        <v>39721</v>
      </c>
      <c r="I420" s="99" t="n">
        <v>39721</v>
      </c>
      <c r="J420" s="99" t="n">
        <v>1986</v>
      </c>
      <c r="K420" s="99" t="n">
        <v>0</v>
      </c>
      <c r="L420" s="99" t="n">
        <v>0</v>
      </c>
      <c r="M420" s="99" t="n">
        <v>0</v>
      </c>
      <c r="N420" s="99" t="n">
        <v>0</v>
      </c>
      <c r="O420" s="42" t="n">
        <v>37735</v>
      </c>
    </row>
    <row r="421" spans="1:15">
      <c r="A421" s="37" t="n">
        <v>419</v>
      </c>
      <c r="B421" s="97" t="s">
        <v>2498</v>
      </c>
      <c r="C421" s="121" t="s">
        <v>120</v>
      </c>
      <c r="D421" s="121" t="s">
        <v>20</v>
      </c>
      <c r="E421" s="121" t="s">
        <v>21</v>
      </c>
      <c r="F421" s="98" t="n">
        <v>0</v>
      </c>
      <c r="G421" s="121" t="s">
        <v>2499</v>
      </c>
      <c r="H421" s="99" t="n">
        <v>39721</v>
      </c>
      <c r="I421" s="99" t="n">
        <v>39721</v>
      </c>
      <c r="J421" s="99" t="n">
        <v>0</v>
      </c>
      <c r="K421" s="99" t="n">
        <v>0</v>
      </c>
      <c r="L421" s="99" t="n">
        <v>0</v>
      </c>
      <c r="M421" s="99" t="n">
        <v>0</v>
      </c>
      <c r="N421" s="99" t="n">
        <v>0</v>
      </c>
      <c r="O421" s="42" t="n">
        <v>39721</v>
      </c>
    </row>
    <row r="422" spans="1:15">
      <c r="A422" s="37" t="n">
        <v>420</v>
      </c>
      <c r="B422" s="97" t="s">
        <v>1445</v>
      </c>
      <c r="C422" s="121" t="s">
        <v>58</v>
      </c>
      <c r="D422" s="121" t="s">
        <v>20</v>
      </c>
      <c r="E422" s="121" t="s">
        <v>21</v>
      </c>
      <c r="F422" s="121" t="s">
        <v>1446</v>
      </c>
      <c r="G422" s="121" t="s">
        <v>1448</v>
      </c>
      <c r="H422" s="99" t="n">
        <v>41581</v>
      </c>
      <c r="I422" s="99" t="n">
        <v>41581</v>
      </c>
      <c r="J422" s="99" t="n">
        <v>2079</v>
      </c>
      <c r="K422" s="99" t="n">
        <v>0</v>
      </c>
      <c r="L422" s="99" t="n">
        <v>0</v>
      </c>
      <c r="M422" s="99" t="n">
        <v>0</v>
      </c>
      <c r="N422" s="99" t="n">
        <v>0</v>
      </c>
      <c r="O422" s="42" t="n">
        <v>39502</v>
      </c>
    </row>
    <row r="423" spans="1:15">
      <c r="A423" s="37" t="n">
        <v>421</v>
      </c>
      <c r="B423" s="97" t="s">
        <v>1442</v>
      </c>
      <c r="C423" s="121" t="s">
        <v>58</v>
      </c>
      <c r="D423" s="121" t="s">
        <v>20</v>
      </c>
      <c r="E423" s="121" t="s">
        <v>21</v>
      </c>
      <c r="F423" s="121" t="s">
        <v>1443</v>
      </c>
      <c r="G423" s="121" t="s">
        <v>1444</v>
      </c>
      <c r="H423" s="99" t="n">
        <v>41581</v>
      </c>
      <c r="I423" s="99" t="n">
        <v>41581</v>
      </c>
      <c r="J423" s="99" t="n">
        <v>2079</v>
      </c>
      <c r="K423" s="99" t="n">
        <v>0</v>
      </c>
      <c r="L423" s="99" t="n">
        <v>0</v>
      </c>
      <c r="M423" s="99" t="n">
        <v>0</v>
      </c>
      <c r="N423" s="99" t="n">
        <v>0</v>
      </c>
      <c r="O423" s="42" t="n">
        <v>39502</v>
      </c>
    </row>
    <row r="424" spans="1:15">
      <c r="A424" s="37" t="n">
        <v>422</v>
      </c>
      <c r="B424" s="97" t="s">
        <v>1449</v>
      </c>
      <c r="C424" s="121" t="s">
        <v>58</v>
      </c>
      <c r="D424" s="121" t="s">
        <v>20</v>
      </c>
      <c r="E424" s="121" t="s">
        <v>21</v>
      </c>
      <c r="F424" s="121" t="s">
        <v>1450</v>
      </c>
      <c r="G424" s="121" t="s">
        <v>1452</v>
      </c>
      <c r="H424" s="99" t="n">
        <v>41581</v>
      </c>
      <c r="I424" s="99" t="n">
        <v>41581</v>
      </c>
      <c r="J424" s="99" t="n">
        <v>2079</v>
      </c>
      <c r="K424" s="99" t="n">
        <v>0</v>
      </c>
      <c r="L424" s="99" t="n">
        <v>0</v>
      </c>
      <c r="M424" s="99" t="n">
        <v>0</v>
      </c>
      <c r="N424" s="99" t="n">
        <v>0</v>
      </c>
      <c r="O424" s="42" t="n">
        <v>39502</v>
      </c>
    </row>
    <row r="425" spans="1:15">
      <c r="A425" s="37" t="n">
        <v>423</v>
      </c>
      <c r="B425" s="97" t="s">
        <v>1453</v>
      </c>
      <c r="C425" s="121" t="s">
        <v>58</v>
      </c>
      <c r="D425" s="121" t="s">
        <v>20</v>
      </c>
      <c r="E425" s="121" t="s">
        <v>21</v>
      </c>
      <c r="F425" s="121" t="s">
        <v>1454</v>
      </c>
      <c r="G425" s="121" t="s">
        <v>1456</v>
      </c>
      <c r="H425" s="99" t="n">
        <v>39721</v>
      </c>
      <c r="I425" s="99" t="n">
        <v>39721</v>
      </c>
      <c r="J425" s="99" t="n">
        <v>1986</v>
      </c>
      <c r="K425" s="99" t="n">
        <v>0</v>
      </c>
      <c r="L425" s="99" t="n">
        <v>0</v>
      </c>
      <c r="M425" s="99" t="n">
        <v>0</v>
      </c>
      <c r="N425" s="99" t="n">
        <v>0</v>
      </c>
      <c r="O425" s="42" t="n">
        <v>37735</v>
      </c>
    </row>
    <row r="426" spans="1:15">
      <c r="A426" s="37" t="n">
        <v>424</v>
      </c>
      <c r="B426" s="97" t="s">
        <v>2500</v>
      </c>
      <c r="C426" s="121" t="s">
        <v>120</v>
      </c>
      <c r="D426" s="121" t="s">
        <v>20</v>
      </c>
      <c r="E426" s="121" t="s">
        <v>21</v>
      </c>
      <c r="F426" s="98" t="n">
        <v>0</v>
      </c>
      <c r="G426" s="121" t="s">
        <v>2501</v>
      </c>
      <c r="H426" s="99" t="n">
        <v>39721</v>
      </c>
      <c r="I426" s="99" t="n">
        <v>39721</v>
      </c>
      <c r="J426" s="99" t="n">
        <v>0</v>
      </c>
      <c r="K426" s="99" t="n">
        <v>0</v>
      </c>
      <c r="L426" s="99" t="n">
        <v>0</v>
      </c>
      <c r="M426" s="99" t="n">
        <v>0</v>
      </c>
      <c r="N426" s="99" t="n">
        <v>0</v>
      </c>
      <c r="O426" s="42" t="n">
        <v>39721</v>
      </c>
    </row>
    <row r="427" spans="1:15">
      <c r="A427" s="37" t="n">
        <v>425</v>
      </c>
      <c r="B427" s="97" t="s">
        <v>1474</v>
      </c>
      <c r="C427" s="121" t="s">
        <v>58</v>
      </c>
      <c r="D427" s="121" t="s">
        <v>20</v>
      </c>
      <c r="E427" s="121" t="s">
        <v>21</v>
      </c>
      <c r="F427" s="121" t="s">
        <v>1475</v>
      </c>
      <c r="G427" s="121" t="s">
        <v>1477</v>
      </c>
      <c r="H427" s="99" t="n">
        <v>31351</v>
      </c>
      <c r="I427" s="99" t="n">
        <v>31351</v>
      </c>
      <c r="J427" s="99" t="n">
        <v>1568</v>
      </c>
      <c r="K427" s="99" t="n">
        <v>0</v>
      </c>
      <c r="L427" s="99" t="n">
        <v>0</v>
      </c>
      <c r="M427" s="99" t="n">
        <v>0</v>
      </c>
      <c r="N427" s="99" t="n">
        <v>0</v>
      </c>
      <c r="O427" s="42" t="n">
        <v>29783</v>
      </c>
    </row>
    <row r="428" spans="1:15">
      <c r="A428" s="37" t="n">
        <v>426</v>
      </c>
      <c r="B428" s="97" t="s">
        <v>2502</v>
      </c>
      <c r="C428" s="121" t="s">
        <v>120</v>
      </c>
      <c r="D428" s="121" t="s">
        <v>124</v>
      </c>
      <c r="E428" s="121" t="s">
        <v>15</v>
      </c>
      <c r="F428" s="98" t="n">
        <v>0</v>
      </c>
      <c r="G428" s="121" t="s">
        <v>2503</v>
      </c>
      <c r="H428" s="99" t="n">
        <v>31351</v>
      </c>
      <c r="I428" s="99" t="n">
        <v>31351</v>
      </c>
      <c r="J428" s="99" t="n">
        <v>0</v>
      </c>
      <c r="K428" s="99" t="n">
        <v>0</v>
      </c>
      <c r="L428" s="99" t="n">
        <v>0</v>
      </c>
      <c r="M428" s="99" t="n">
        <v>0</v>
      </c>
      <c r="N428" s="99" t="n">
        <v>0</v>
      </c>
      <c r="O428" s="42" t="n">
        <v>31351</v>
      </c>
    </row>
    <row r="429" spans="1:15">
      <c r="A429" s="37" t="n">
        <v>427</v>
      </c>
      <c r="B429" s="97" t="s">
        <v>1478</v>
      </c>
      <c r="C429" s="121" t="s">
        <v>58</v>
      </c>
      <c r="D429" s="121" t="s">
        <v>20</v>
      </c>
      <c r="E429" s="121" t="s">
        <v>21</v>
      </c>
      <c r="F429" s="121" t="s">
        <v>1479</v>
      </c>
      <c r="G429" s="121" t="s">
        <v>1480</v>
      </c>
      <c r="H429" s="99" t="n">
        <v>33211</v>
      </c>
      <c r="I429" s="99" t="n">
        <v>33211</v>
      </c>
      <c r="J429" s="99" t="n">
        <v>1661</v>
      </c>
      <c r="K429" s="99" t="n">
        <v>0</v>
      </c>
      <c r="L429" s="99" t="n">
        <v>0</v>
      </c>
      <c r="M429" s="99" t="n">
        <v>0</v>
      </c>
      <c r="N429" s="99" t="n">
        <v>0</v>
      </c>
      <c r="O429" s="42" t="n">
        <v>31550</v>
      </c>
    </row>
    <row r="430" spans="1:15">
      <c r="A430" s="37" t="n">
        <v>428</v>
      </c>
      <c r="B430" s="97" t="s">
        <v>965</v>
      </c>
      <c r="C430" s="121" t="s">
        <v>58</v>
      </c>
      <c r="D430" s="121" t="s">
        <v>20</v>
      </c>
      <c r="E430" s="121" t="s">
        <v>21</v>
      </c>
      <c r="F430" s="121" t="s">
        <v>966</v>
      </c>
      <c r="G430" s="121" t="s">
        <v>967</v>
      </c>
      <c r="H430" s="99" t="n">
        <v>33211</v>
      </c>
      <c r="I430" s="99" t="n">
        <v>33211</v>
      </c>
      <c r="J430" s="99" t="n">
        <v>1661</v>
      </c>
      <c r="K430" s="99" t="n">
        <v>0</v>
      </c>
      <c r="L430" s="99" t="n">
        <v>0</v>
      </c>
      <c r="M430" s="99" t="n">
        <v>0</v>
      </c>
      <c r="N430" s="99" t="n">
        <v>0</v>
      </c>
      <c r="O430" s="42" t="n">
        <v>31550</v>
      </c>
    </row>
    <row r="431" spans="1:15">
      <c r="A431" s="37" t="n">
        <v>429</v>
      </c>
      <c r="B431" s="97" t="s">
        <v>1484</v>
      </c>
      <c r="C431" s="121" t="s">
        <v>58</v>
      </c>
      <c r="D431" s="121" t="s">
        <v>20</v>
      </c>
      <c r="E431" s="121" t="s">
        <v>21</v>
      </c>
      <c r="F431" s="121" t="s">
        <v>1485</v>
      </c>
      <c r="G431" s="121" t="s">
        <v>1487</v>
      </c>
      <c r="H431" s="99" t="n">
        <v>31351</v>
      </c>
      <c r="I431" s="99" t="n">
        <v>31351</v>
      </c>
      <c r="J431" s="99" t="n">
        <v>1568</v>
      </c>
      <c r="K431" s="99" t="n">
        <v>0</v>
      </c>
      <c r="L431" s="99" t="n">
        <v>0</v>
      </c>
      <c r="M431" s="99" t="n">
        <v>0</v>
      </c>
      <c r="N431" s="99" t="n">
        <v>0</v>
      </c>
      <c r="O431" s="42" t="n">
        <v>29783</v>
      </c>
    </row>
    <row r="432" spans="1:15">
      <c r="A432" s="37" t="n">
        <v>430</v>
      </c>
      <c r="B432" s="97" t="s">
        <v>1481</v>
      </c>
      <c r="C432" s="121" t="s">
        <v>58</v>
      </c>
      <c r="D432" s="121" t="s">
        <v>20</v>
      </c>
      <c r="E432" s="121" t="s">
        <v>21</v>
      </c>
      <c r="F432" s="121" t="s">
        <v>1482</v>
      </c>
      <c r="G432" s="121" t="s">
        <v>1483</v>
      </c>
      <c r="H432" s="99" t="n">
        <v>33211</v>
      </c>
      <c r="I432" s="99" t="n">
        <v>33211</v>
      </c>
      <c r="J432" s="99" t="n">
        <v>1661</v>
      </c>
      <c r="K432" s="99" t="n">
        <v>0</v>
      </c>
      <c r="L432" s="99" t="n">
        <v>0</v>
      </c>
      <c r="M432" s="99" t="n">
        <v>0</v>
      </c>
      <c r="N432" s="99" t="n">
        <v>0</v>
      </c>
      <c r="O432" s="42" t="n">
        <v>31550</v>
      </c>
    </row>
    <row r="433" spans="1:15">
      <c r="A433" s="37" t="n">
        <v>431</v>
      </c>
      <c r="B433" s="97" t="s">
        <v>1122</v>
      </c>
      <c r="C433" s="121" t="s">
        <v>283</v>
      </c>
      <c r="D433" s="121" t="s">
        <v>20</v>
      </c>
      <c r="E433" s="121" t="s">
        <v>21</v>
      </c>
      <c r="F433" s="121" t="s">
        <v>2504</v>
      </c>
      <c r="G433" s="121" t="s">
        <v>1124</v>
      </c>
      <c r="H433" s="99" t="n">
        <v>31351</v>
      </c>
      <c r="I433" s="99" t="n">
        <v>31351</v>
      </c>
      <c r="J433" s="99" t="n">
        <v>0</v>
      </c>
      <c r="K433" s="99" t="n">
        <v>0</v>
      </c>
      <c r="L433" s="99" t="n">
        <v>0</v>
      </c>
      <c r="M433" s="99" t="n">
        <v>0</v>
      </c>
      <c r="N433" s="99" t="n">
        <v>0</v>
      </c>
      <c r="O433" s="42" t="n">
        <v>31351</v>
      </c>
    </row>
    <row r="434" spans="1:15">
      <c r="A434" s="37" t="n">
        <v>432</v>
      </c>
      <c r="B434" s="97" t="s">
        <v>931</v>
      </c>
      <c r="C434" s="121" t="s">
        <v>120</v>
      </c>
      <c r="D434" s="121" t="s">
        <v>124</v>
      </c>
      <c r="E434" s="121" t="s">
        <v>15</v>
      </c>
      <c r="F434" s="98" t="n">
        <v>0</v>
      </c>
      <c r="G434" s="121" t="s">
        <v>933</v>
      </c>
      <c r="H434" s="99" t="n">
        <v>32281</v>
      </c>
      <c r="I434" s="99" t="n">
        <v>32281</v>
      </c>
      <c r="J434" s="99" t="n">
        <v>0</v>
      </c>
      <c r="K434" s="99" t="n">
        <v>0</v>
      </c>
      <c r="L434" s="99" t="n">
        <v>0</v>
      </c>
      <c r="M434" s="99" t="n">
        <v>0</v>
      </c>
      <c r="N434" s="99" t="n">
        <v>0</v>
      </c>
      <c r="O434" s="42" t="n">
        <v>32281</v>
      </c>
    </row>
    <row r="435" spans="1:15">
      <c r="A435" s="37" t="n">
        <v>433</v>
      </c>
      <c r="B435" s="97" t="s">
        <v>911</v>
      </c>
      <c r="C435" s="121" t="s">
        <v>283</v>
      </c>
      <c r="D435" s="121" t="s">
        <v>20</v>
      </c>
      <c r="E435" s="121" t="s">
        <v>21</v>
      </c>
      <c r="F435" s="121" t="s">
        <v>2505</v>
      </c>
      <c r="G435" s="121" t="s">
        <v>912</v>
      </c>
      <c r="H435" s="99" t="n">
        <v>31351</v>
      </c>
      <c r="I435" s="99" t="n">
        <v>31351</v>
      </c>
      <c r="J435" s="99" t="n">
        <v>0</v>
      </c>
      <c r="K435" s="99" t="n">
        <v>0</v>
      </c>
      <c r="L435" s="99" t="n">
        <v>0</v>
      </c>
      <c r="M435" s="99" t="n">
        <v>0</v>
      </c>
      <c r="N435" s="99" t="n">
        <v>0</v>
      </c>
      <c r="O435" s="42" t="n">
        <v>31351</v>
      </c>
    </row>
    <row r="436" spans="1:15">
      <c r="A436" s="37" t="n">
        <v>434</v>
      </c>
      <c r="B436" s="97" t="s">
        <v>1529</v>
      </c>
      <c r="C436" s="121" t="s">
        <v>58</v>
      </c>
      <c r="D436" s="121" t="s">
        <v>20</v>
      </c>
      <c r="E436" s="121" t="s">
        <v>21</v>
      </c>
      <c r="F436" s="121" t="s">
        <v>1530</v>
      </c>
      <c r="G436" s="121" t="s">
        <v>1532</v>
      </c>
      <c r="H436" s="99" t="n">
        <v>27631</v>
      </c>
      <c r="I436" s="99" t="n">
        <v>27631</v>
      </c>
      <c r="J436" s="99" t="n">
        <v>1382</v>
      </c>
      <c r="K436" s="99" t="n">
        <v>0</v>
      </c>
      <c r="L436" s="99" t="n">
        <v>0</v>
      </c>
      <c r="M436" s="99" t="n">
        <v>0</v>
      </c>
      <c r="N436" s="99" t="n">
        <v>0</v>
      </c>
      <c r="O436" s="42" t="n">
        <v>26249</v>
      </c>
    </row>
    <row r="437" spans="1:15">
      <c r="A437" s="37" t="n">
        <v>435</v>
      </c>
      <c r="B437" s="97" t="s">
        <v>2506</v>
      </c>
      <c r="C437" s="121" t="s">
        <v>58</v>
      </c>
      <c r="D437" s="121" t="s">
        <v>20</v>
      </c>
      <c r="E437" s="121" t="s">
        <v>21</v>
      </c>
      <c r="F437" s="121" t="s">
        <v>2507</v>
      </c>
      <c r="G437" s="121" t="s">
        <v>2508</v>
      </c>
      <c r="H437" s="99" t="n">
        <v>23911</v>
      </c>
      <c r="I437" s="99" t="n">
        <v>23911</v>
      </c>
      <c r="J437" s="99" t="n">
        <v>1196</v>
      </c>
      <c r="K437" s="99" t="n">
        <v>0</v>
      </c>
      <c r="L437" s="99" t="n">
        <v>0</v>
      </c>
      <c r="M437" s="99" t="n">
        <v>0</v>
      </c>
      <c r="N437" s="99" t="n">
        <v>0</v>
      </c>
      <c r="O437" s="42" t="n">
        <v>22715</v>
      </c>
    </row>
    <row r="438" spans="1:15">
      <c r="A438" s="37" t="n">
        <v>436</v>
      </c>
      <c r="B438" s="97" t="s">
        <v>2509</v>
      </c>
      <c r="C438" s="121" t="s">
        <v>58</v>
      </c>
      <c r="D438" s="121" t="s">
        <v>20</v>
      </c>
      <c r="E438" s="121" t="s">
        <v>21</v>
      </c>
      <c r="F438" s="121" t="s">
        <v>2074</v>
      </c>
      <c r="G438" s="121" t="s">
        <v>2510</v>
      </c>
      <c r="H438" s="99" t="n">
        <v>25771</v>
      </c>
      <c r="I438" s="99" t="n">
        <v>25771</v>
      </c>
      <c r="J438" s="99" t="n">
        <v>1289</v>
      </c>
      <c r="K438" s="99" t="n">
        <v>0</v>
      </c>
      <c r="L438" s="99" t="n">
        <v>0</v>
      </c>
      <c r="M438" s="99" t="n">
        <v>0</v>
      </c>
      <c r="N438" s="99" t="n">
        <v>0</v>
      </c>
      <c r="O438" s="42" t="n">
        <v>24482</v>
      </c>
    </row>
    <row r="439" spans="1:15">
      <c r="A439" s="37" t="n">
        <v>437</v>
      </c>
      <c r="B439" s="97" t="s">
        <v>1524</v>
      </c>
      <c r="C439" s="121" t="s">
        <v>19</v>
      </c>
      <c r="D439" s="121" t="s">
        <v>20</v>
      </c>
      <c r="E439" s="121" t="s">
        <v>21</v>
      </c>
      <c r="F439" s="121" t="s">
        <v>1525</v>
      </c>
      <c r="G439" s="121" t="s">
        <v>1526</v>
      </c>
      <c r="H439" s="99" t="n">
        <v>26701</v>
      </c>
      <c r="I439" s="99" t="n">
        <v>26701</v>
      </c>
      <c r="J439" s="99" t="n">
        <v>0</v>
      </c>
      <c r="K439" s="99" t="n">
        <v>4005</v>
      </c>
      <c r="L439" s="99" t="n">
        <v>0</v>
      </c>
      <c r="M439" s="99" t="n">
        <v>0</v>
      </c>
      <c r="N439" s="99" t="n">
        <v>0</v>
      </c>
      <c r="O439" s="42" t="n">
        <v>22696</v>
      </c>
    </row>
    <row r="440" spans="1:15">
      <c r="A440" s="37" t="n">
        <v>438</v>
      </c>
      <c r="B440" s="97" t="s">
        <v>2511</v>
      </c>
      <c r="C440" s="121" t="s">
        <v>58</v>
      </c>
      <c r="D440" s="121" t="s">
        <v>20</v>
      </c>
      <c r="E440" s="121" t="s">
        <v>21</v>
      </c>
      <c r="F440" s="121" t="s">
        <v>2512</v>
      </c>
      <c r="G440" s="121" t="s">
        <v>2513</v>
      </c>
      <c r="H440" s="99" t="n">
        <v>23911</v>
      </c>
      <c r="I440" s="99" t="n">
        <v>23911</v>
      </c>
      <c r="J440" s="99" t="n">
        <v>1196</v>
      </c>
      <c r="K440" s="99" t="n">
        <v>0</v>
      </c>
      <c r="L440" s="99" t="n">
        <v>0</v>
      </c>
      <c r="M440" s="99" t="n">
        <v>0</v>
      </c>
      <c r="N440" s="99" t="n">
        <v>0</v>
      </c>
      <c r="O440" s="42" t="n">
        <v>22715</v>
      </c>
    </row>
    <row r="441" spans="1:15">
      <c r="A441" s="37" t="n">
        <v>439</v>
      </c>
      <c r="B441" s="97" t="s">
        <v>894</v>
      </c>
      <c r="C441" s="121" t="s">
        <v>58</v>
      </c>
      <c r="D441" s="121" t="s">
        <v>20</v>
      </c>
      <c r="E441" s="121" t="s">
        <v>21</v>
      </c>
      <c r="F441" s="121" t="s">
        <v>895</v>
      </c>
      <c r="G441" s="121" t="s">
        <v>896</v>
      </c>
      <c r="H441" s="99" t="n">
        <v>27166</v>
      </c>
      <c r="I441" s="99" t="n">
        <v>27166</v>
      </c>
      <c r="J441" s="99" t="n">
        <v>1358</v>
      </c>
      <c r="K441" s="99" t="n">
        <v>0</v>
      </c>
      <c r="L441" s="99" t="n">
        <v>0</v>
      </c>
      <c r="M441" s="99" t="n">
        <v>0</v>
      </c>
      <c r="N441" s="99" t="n">
        <v>0</v>
      </c>
      <c r="O441" s="42" t="n">
        <v>25808</v>
      </c>
    </row>
    <row r="442" spans="1:15">
      <c r="A442" s="37" t="n">
        <v>440</v>
      </c>
      <c r="B442" s="97" t="s">
        <v>1570</v>
      </c>
      <c r="C442" s="121" t="s">
        <v>58</v>
      </c>
      <c r="D442" s="121" t="s">
        <v>20</v>
      </c>
      <c r="E442" s="121" t="s">
        <v>21</v>
      </c>
      <c r="F442" s="121" t="s">
        <v>1571</v>
      </c>
      <c r="G442" s="121" t="s">
        <v>1573</v>
      </c>
      <c r="H442" s="99" t="n">
        <v>27631</v>
      </c>
      <c r="I442" s="99" t="n">
        <v>27631</v>
      </c>
      <c r="J442" s="99" t="n">
        <v>1382</v>
      </c>
      <c r="K442" s="99" t="n">
        <v>0</v>
      </c>
      <c r="L442" s="99" t="n">
        <v>0</v>
      </c>
      <c r="M442" s="99" t="n">
        <v>0</v>
      </c>
      <c r="N442" s="99" t="n">
        <v>0</v>
      </c>
      <c r="O442" s="42" t="n">
        <v>26249</v>
      </c>
    </row>
    <row r="443" spans="1:15">
      <c r="A443" s="37" t="n">
        <v>441</v>
      </c>
      <c r="B443" s="97" t="s">
        <v>1494</v>
      </c>
      <c r="C443" s="121" t="s">
        <v>58</v>
      </c>
      <c r="D443" s="121" t="s">
        <v>20</v>
      </c>
      <c r="E443" s="121" t="s">
        <v>21</v>
      </c>
      <c r="F443" s="121" t="s">
        <v>1495</v>
      </c>
      <c r="G443" s="121" t="s">
        <v>1496</v>
      </c>
      <c r="H443" s="99" t="n">
        <v>29026</v>
      </c>
      <c r="I443" s="99" t="n">
        <v>29026</v>
      </c>
      <c r="J443" s="99" t="n">
        <v>1451</v>
      </c>
      <c r="K443" s="99" t="n">
        <v>0</v>
      </c>
      <c r="L443" s="99" t="n">
        <v>0</v>
      </c>
      <c r="M443" s="99" t="n">
        <v>0</v>
      </c>
      <c r="N443" s="99" t="n">
        <v>0</v>
      </c>
      <c r="O443" s="42" t="n">
        <v>27575</v>
      </c>
    </row>
    <row r="444" spans="1:15">
      <c r="A444" s="37" t="n">
        <v>442</v>
      </c>
      <c r="B444" s="97" t="s">
        <v>1517</v>
      </c>
      <c r="C444" s="121" t="s">
        <v>58</v>
      </c>
      <c r="D444" s="121" t="s">
        <v>20</v>
      </c>
      <c r="E444" s="121" t="s">
        <v>21</v>
      </c>
      <c r="F444" s="121" t="s">
        <v>1518</v>
      </c>
      <c r="G444" s="121" t="s">
        <v>1519</v>
      </c>
      <c r="H444" s="99" t="n">
        <v>27631</v>
      </c>
      <c r="I444" s="99" t="n">
        <v>27631</v>
      </c>
      <c r="J444" s="99" t="n">
        <v>1382</v>
      </c>
      <c r="K444" s="99" t="n">
        <v>0</v>
      </c>
      <c r="L444" s="99" t="n">
        <v>0</v>
      </c>
      <c r="M444" s="99" t="n">
        <v>0</v>
      </c>
      <c r="N444" s="99" t="n">
        <v>0</v>
      </c>
      <c r="O444" s="42" t="n">
        <v>26249</v>
      </c>
    </row>
    <row r="445" spans="1:15">
      <c r="A445" s="37" t="n">
        <v>443</v>
      </c>
      <c r="B445" s="97" t="s">
        <v>1501</v>
      </c>
      <c r="C445" s="121" t="s">
        <v>58</v>
      </c>
      <c r="D445" s="121" t="s">
        <v>20</v>
      </c>
      <c r="E445" s="121" t="s">
        <v>21</v>
      </c>
      <c r="F445" s="121" t="s">
        <v>1502</v>
      </c>
      <c r="G445" s="121" t="s">
        <v>1503</v>
      </c>
      <c r="H445" s="99" t="n">
        <v>26701</v>
      </c>
      <c r="I445" s="99" t="n">
        <v>26701</v>
      </c>
      <c r="J445" s="99" t="n">
        <v>1335</v>
      </c>
      <c r="K445" s="99" t="n">
        <v>0</v>
      </c>
      <c r="L445" s="99" t="n">
        <v>0</v>
      </c>
      <c r="M445" s="99" t="n">
        <v>0</v>
      </c>
      <c r="N445" s="99" t="n">
        <v>0</v>
      </c>
      <c r="O445" s="42" t="n">
        <v>25366</v>
      </c>
    </row>
    <row r="446" spans="1:15">
      <c r="A446" s="37" t="n">
        <v>444</v>
      </c>
      <c r="B446" s="97" t="s">
        <v>1554</v>
      </c>
      <c r="C446" s="121" t="s">
        <v>58</v>
      </c>
      <c r="D446" s="121" t="s">
        <v>20</v>
      </c>
      <c r="E446" s="121" t="s">
        <v>21</v>
      </c>
      <c r="F446" s="121" t="s">
        <v>1555</v>
      </c>
      <c r="G446" s="121" t="s">
        <v>1556</v>
      </c>
      <c r="H446" s="99" t="n">
        <v>25771</v>
      </c>
      <c r="I446" s="99" t="n">
        <v>25771</v>
      </c>
      <c r="J446" s="99" t="n">
        <v>1289</v>
      </c>
      <c r="K446" s="99" t="n">
        <v>0</v>
      </c>
      <c r="L446" s="99" t="n">
        <v>0</v>
      </c>
      <c r="M446" s="99" t="n">
        <v>0</v>
      </c>
      <c r="N446" s="99" t="n">
        <v>0</v>
      </c>
      <c r="O446" s="42" t="n">
        <v>24482</v>
      </c>
    </row>
    <row r="447" spans="1:15">
      <c r="A447" s="37" t="n">
        <v>445</v>
      </c>
      <c r="B447" s="97" t="s">
        <v>1497</v>
      </c>
      <c r="C447" s="121" t="s">
        <v>58</v>
      </c>
      <c r="D447" s="121" t="s">
        <v>20</v>
      </c>
      <c r="E447" s="121" t="s">
        <v>21</v>
      </c>
      <c r="F447" s="121" t="s">
        <v>1498</v>
      </c>
      <c r="G447" s="121" t="s">
        <v>1500</v>
      </c>
      <c r="H447" s="99" t="n">
        <v>27631</v>
      </c>
      <c r="I447" s="99" t="n">
        <v>27631</v>
      </c>
      <c r="J447" s="99" t="n">
        <v>1382</v>
      </c>
      <c r="K447" s="99" t="n">
        <v>0</v>
      </c>
      <c r="L447" s="99" t="n">
        <v>0</v>
      </c>
      <c r="M447" s="99" t="n">
        <v>0</v>
      </c>
      <c r="N447" s="99" t="n">
        <v>0</v>
      </c>
      <c r="O447" s="42" t="n">
        <v>26249</v>
      </c>
    </row>
    <row r="448" spans="1:15">
      <c r="A448" s="37" t="n">
        <v>446</v>
      </c>
      <c r="B448" s="97" t="s">
        <v>1045</v>
      </c>
      <c r="C448" s="121" t="s">
        <v>58</v>
      </c>
      <c r="D448" s="121" t="s">
        <v>20</v>
      </c>
      <c r="E448" s="121" t="s">
        <v>21</v>
      </c>
      <c r="F448" s="121" t="s">
        <v>1046</v>
      </c>
      <c r="G448" s="121" t="s">
        <v>1048</v>
      </c>
      <c r="H448" s="99" t="n">
        <v>26701</v>
      </c>
      <c r="I448" s="99" t="n">
        <v>26701</v>
      </c>
      <c r="J448" s="99" t="n">
        <v>1335</v>
      </c>
      <c r="K448" s="99" t="n">
        <v>0</v>
      </c>
      <c r="L448" s="99" t="n">
        <v>0</v>
      </c>
      <c r="M448" s="99" t="n">
        <v>0</v>
      </c>
      <c r="N448" s="99" t="n">
        <v>0</v>
      </c>
      <c r="O448" s="42" t="n">
        <v>25366</v>
      </c>
    </row>
    <row r="449" spans="1:15">
      <c r="A449" s="37" t="n">
        <v>447</v>
      </c>
      <c r="B449" s="97" t="s">
        <v>1540</v>
      </c>
      <c r="C449" s="121" t="s">
        <v>58</v>
      </c>
      <c r="D449" s="121" t="s">
        <v>20</v>
      </c>
      <c r="E449" s="121" t="s">
        <v>21</v>
      </c>
      <c r="F449" s="121" t="s">
        <v>1541</v>
      </c>
      <c r="G449" s="121" t="s">
        <v>1543</v>
      </c>
      <c r="H449" s="99" t="n">
        <v>25771</v>
      </c>
      <c r="I449" s="99" t="n">
        <v>25771</v>
      </c>
      <c r="J449" s="99" t="n">
        <v>1289</v>
      </c>
      <c r="K449" s="99" t="n">
        <v>0</v>
      </c>
      <c r="L449" s="99" t="n">
        <v>0</v>
      </c>
      <c r="M449" s="99" t="n">
        <v>0</v>
      </c>
      <c r="N449" s="99" t="n">
        <v>0</v>
      </c>
      <c r="O449" s="42" t="n">
        <v>24482</v>
      </c>
    </row>
    <row r="450" spans="1:15">
      <c r="A450" s="37" t="n">
        <v>448</v>
      </c>
      <c r="B450" s="97" t="s">
        <v>1514</v>
      </c>
      <c r="C450" s="121" t="s">
        <v>58</v>
      </c>
      <c r="D450" s="121" t="s">
        <v>20</v>
      </c>
      <c r="E450" s="121" t="s">
        <v>21</v>
      </c>
      <c r="F450" s="121" t="s">
        <v>1515</v>
      </c>
      <c r="G450" s="121" t="s">
        <v>1516</v>
      </c>
      <c r="H450" s="99" t="n">
        <v>25771</v>
      </c>
      <c r="I450" s="99" t="n">
        <v>25771</v>
      </c>
      <c r="J450" s="99" t="n">
        <v>1289</v>
      </c>
      <c r="K450" s="99" t="n">
        <v>0</v>
      </c>
      <c r="L450" s="99" t="n">
        <v>0</v>
      </c>
      <c r="M450" s="99" t="n">
        <v>0</v>
      </c>
      <c r="N450" s="99" t="n">
        <v>0</v>
      </c>
      <c r="O450" s="42" t="n">
        <v>24482</v>
      </c>
    </row>
    <row r="451" spans="1:15">
      <c r="A451" s="37" t="n">
        <v>449</v>
      </c>
      <c r="B451" s="97" t="s">
        <v>2514</v>
      </c>
      <c r="C451" s="121" t="s">
        <v>58</v>
      </c>
      <c r="D451" s="121" t="s">
        <v>20</v>
      </c>
      <c r="E451" s="121" t="s">
        <v>21</v>
      </c>
      <c r="F451" s="121" t="s">
        <v>2515</v>
      </c>
      <c r="G451" s="121" t="s">
        <v>2516</v>
      </c>
      <c r="H451" s="99" t="n">
        <v>25771</v>
      </c>
      <c r="I451" s="99" t="n">
        <v>25771</v>
      </c>
      <c r="J451" s="99" t="n">
        <v>1289</v>
      </c>
      <c r="K451" s="99" t="n">
        <v>0</v>
      </c>
      <c r="L451" s="99" t="n">
        <v>0</v>
      </c>
      <c r="M451" s="99" t="n">
        <v>0</v>
      </c>
      <c r="N451" s="99" t="n">
        <v>0</v>
      </c>
      <c r="O451" s="42" t="n">
        <v>24482</v>
      </c>
    </row>
    <row r="452" spans="1:15">
      <c r="A452" s="37" t="n">
        <v>450</v>
      </c>
      <c r="B452" s="97" t="s">
        <v>465</v>
      </c>
      <c r="C452" s="121" t="s">
        <v>111</v>
      </c>
      <c r="D452" s="121" t="s">
        <v>20</v>
      </c>
      <c r="E452" s="121" t="s">
        <v>21</v>
      </c>
      <c r="F452" s="121" t="s">
        <v>466</v>
      </c>
      <c r="G452" s="121" t="s">
        <v>467</v>
      </c>
      <c r="H452" s="99" t="n">
        <v>174955</v>
      </c>
      <c r="I452" s="99" t="n">
        <v>174955</v>
      </c>
      <c r="J452" s="99" t="n">
        <v>0</v>
      </c>
      <c r="K452" s="99" t="n">
        <v>0</v>
      </c>
      <c r="L452" s="99" t="n">
        <v>0</v>
      </c>
      <c r="M452" s="99" t="n">
        <v>0</v>
      </c>
      <c r="N452" s="99" t="n">
        <v>0</v>
      </c>
      <c r="O452" s="42" t="n">
        <v>174955</v>
      </c>
    </row>
    <row r="453" spans="1:15">
      <c r="A453" s="37" t="n">
        <v>451</v>
      </c>
      <c r="B453" s="97" t="s">
        <v>1583</v>
      </c>
      <c r="C453" s="121" t="s">
        <v>1584</v>
      </c>
      <c r="D453" s="121" t="s">
        <v>20</v>
      </c>
      <c r="E453" s="121" t="s">
        <v>21</v>
      </c>
      <c r="F453" s="121" t="s">
        <v>1585</v>
      </c>
      <c r="G453" s="121" t="s">
        <v>1586</v>
      </c>
      <c r="H453" s="99" t="n">
        <v>36352</v>
      </c>
      <c r="I453" s="99" t="n">
        <v>36352</v>
      </c>
      <c r="J453" s="99" t="n">
        <v>0</v>
      </c>
      <c r="K453" s="99" t="n">
        <v>0</v>
      </c>
      <c r="L453" s="99" t="n">
        <v>0</v>
      </c>
      <c r="M453" s="99" t="n">
        <v>0</v>
      </c>
      <c r="N453" s="99" t="n">
        <v>0</v>
      </c>
      <c r="O453" s="42" t="n">
        <v>36352</v>
      </c>
    </row>
    <row r="454" spans="1:15">
      <c r="A454" s="37" t="n">
        <v>452</v>
      </c>
      <c r="B454" s="97" t="s">
        <v>1587</v>
      </c>
      <c r="C454" s="121" t="s">
        <v>95</v>
      </c>
      <c r="D454" s="121" t="s">
        <v>278</v>
      </c>
      <c r="E454" s="121" t="s">
        <v>16</v>
      </c>
      <c r="F454" s="98" t="n">
        <v>0</v>
      </c>
      <c r="G454" s="121" t="s">
        <v>1588</v>
      </c>
      <c r="H454" s="99" t="n">
        <v>38212</v>
      </c>
      <c r="I454" s="99" t="n">
        <v>38212</v>
      </c>
      <c r="J454" s="99" t="n">
        <v>0</v>
      </c>
      <c r="K454" s="99" t="n">
        <v>0</v>
      </c>
      <c r="L454" s="99" t="n">
        <v>0</v>
      </c>
      <c r="M454" s="99" t="n">
        <v>0</v>
      </c>
      <c r="N454" s="99" t="n">
        <v>0</v>
      </c>
      <c r="O454" s="42" t="n">
        <v>38212</v>
      </c>
    </row>
    <row r="455" spans="1:15">
      <c r="A455" s="37" t="n">
        <v>453</v>
      </c>
      <c r="B455" s="97" t="s">
        <v>1589</v>
      </c>
      <c r="C455" s="121" t="s">
        <v>95</v>
      </c>
      <c r="D455" s="121" t="s">
        <v>124</v>
      </c>
      <c r="E455" s="121" t="s">
        <v>15</v>
      </c>
      <c r="F455" s="98" t="n">
        <v>0</v>
      </c>
      <c r="G455" s="121" t="s">
        <v>1590</v>
      </c>
      <c r="H455" s="99" t="n">
        <v>38212</v>
      </c>
      <c r="I455" s="99" t="n">
        <v>38212</v>
      </c>
      <c r="J455" s="99" t="n">
        <v>0</v>
      </c>
      <c r="K455" s="99" t="n">
        <v>0</v>
      </c>
      <c r="L455" s="99" t="n">
        <v>0</v>
      </c>
      <c r="M455" s="99" t="n">
        <v>0</v>
      </c>
      <c r="N455" s="99" t="n">
        <v>0</v>
      </c>
      <c r="O455" s="42" t="n">
        <v>38212</v>
      </c>
    </row>
    <row r="456" spans="1:15">
      <c r="A456" s="37" t="n">
        <v>454</v>
      </c>
      <c r="B456" s="97" t="s">
        <v>468</v>
      </c>
      <c r="C456" s="121" t="s">
        <v>58</v>
      </c>
      <c r="D456" s="121" t="s">
        <v>20</v>
      </c>
      <c r="E456" s="121" t="s">
        <v>21</v>
      </c>
      <c r="F456" s="121" t="s">
        <v>469</v>
      </c>
      <c r="G456" s="121" t="s">
        <v>470</v>
      </c>
      <c r="H456" s="99" t="n">
        <v>122181</v>
      </c>
      <c r="I456" s="99" t="n">
        <v>122181</v>
      </c>
      <c r="J456" s="99" t="n">
        <v>6109</v>
      </c>
      <c r="K456" s="99" t="n">
        <v>0</v>
      </c>
      <c r="L456" s="99" t="n">
        <v>0</v>
      </c>
      <c r="M456" s="99" t="n">
        <v>0</v>
      </c>
      <c r="N456" s="99" t="n">
        <v>0</v>
      </c>
      <c r="O456" s="42" t="n">
        <v>116072</v>
      </c>
    </row>
    <row r="457" spans="1:15">
      <c r="A457" s="37" t="n">
        <v>455</v>
      </c>
      <c r="B457" s="97" t="s">
        <v>1594</v>
      </c>
      <c r="C457" s="121" t="s">
        <v>58</v>
      </c>
      <c r="D457" s="121" t="s">
        <v>20</v>
      </c>
      <c r="E457" s="121" t="s">
        <v>21</v>
      </c>
      <c r="F457" s="121" t="s">
        <v>1595</v>
      </c>
      <c r="G457" s="121" t="s">
        <v>1596</v>
      </c>
      <c r="H457" s="99" t="n">
        <v>79969</v>
      </c>
      <c r="I457" s="99" t="n">
        <v>79969</v>
      </c>
      <c r="J457" s="99" t="n">
        <v>3998</v>
      </c>
      <c r="K457" s="99" t="n">
        <v>0</v>
      </c>
      <c r="L457" s="99" t="n">
        <v>0</v>
      </c>
      <c r="M457" s="99" t="n">
        <v>0</v>
      </c>
      <c r="N457" s="99" t="n">
        <v>0</v>
      </c>
      <c r="O457" s="42" t="n">
        <v>75971</v>
      </c>
    </row>
    <row r="458" spans="1:15">
      <c r="A458" s="37" t="n">
        <v>456</v>
      </c>
      <c r="B458" s="97" t="s">
        <v>614</v>
      </c>
      <c r="C458" s="121" t="s">
        <v>58</v>
      </c>
      <c r="D458" s="121" t="s">
        <v>20</v>
      </c>
      <c r="E458" s="121" t="s">
        <v>21</v>
      </c>
      <c r="F458" s="121" t="s">
        <v>615</v>
      </c>
      <c r="G458" s="121" t="s">
        <v>616</v>
      </c>
      <c r="H458" s="99" t="n">
        <v>79039</v>
      </c>
      <c r="I458" s="99" t="n">
        <v>79039</v>
      </c>
      <c r="J458" s="99" t="n">
        <v>3952</v>
      </c>
      <c r="K458" s="99" t="n">
        <v>0</v>
      </c>
      <c r="L458" s="99" t="n">
        <v>0</v>
      </c>
      <c r="M458" s="99" t="n">
        <v>0</v>
      </c>
      <c r="N458" s="99" t="n">
        <v>0</v>
      </c>
      <c r="O458" s="42" t="n">
        <v>75087</v>
      </c>
    </row>
    <row r="459" spans="1:15">
      <c r="A459" s="37" t="n">
        <v>457</v>
      </c>
      <c r="B459" s="97" t="s">
        <v>1597</v>
      </c>
      <c r="C459" s="121" t="s">
        <v>111</v>
      </c>
      <c r="D459" s="121" t="s">
        <v>20</v>
      </c>
      <c r="E459" s="121" t="s">
        <v>21</v>
      </c>
      <c r="F459" s="121" t="s">
        <v>1598</v>
      </c>
      <c r="G459" s="121" t="s">
        <v>1599</v>
      </c>
      <c r="H459" s="99" t="n">
        <v>77179</v>
      </c>
      <c r="I459" s="99" t="n">
        <v>77179</v>
      </c>
      <c r="J459" s="99" t="n">
        <v>0</v>
      </c>
      <c r="K459" s="99" t="n">
        <v>0</v>
      </c>
      <c r="L459" s="99" t="n">
        <v>0</v>
      </c>
      <c r="M459" s="99" t="n">
        <v>0</v>
      </c>
      <c r="N459" s="99" t="n">
        <v>0</v>
      </c>
      <c r="O459" s="42" t="n">
        <v>77179</v>
      </c>
    </row>
    <row r="460" spans="1:15">
      <c r="A460" s="37" t="n">
        <v>458</v>
      </c>
      <c r="B460" s="97" t="s">
        <v>1600</v>
      </c>
      <c r="C460" s="121" t="s">
        <v>111</v>
      </c>
      <c r="D460" s="121" t="s">
        <v>20</v>
      </c>
      <c r="E460" s="121" t="s">
        <v>21</v>
      </c>
      <c r="F460" s="121" t="s">
        <v>1601</v>
      </c>
      <c r="G460" s="121" t="s">
        <v>1602</v>
      </c>
      <c r="H460" s="99" t="n">
        <v>76249</v>
      </c>
      <c r="I460" s="99" t="n">
        <v>76249</v>
      </c>
      <c r="J460" s="99" t="n">
        <v>0</v>
      </c>
      <c r="K460" s="99" t="n">
        <v>0</v>
      </c>
      <c r="L460" s="99" t="n">
        <v>0</v>
      </c>
      <c r="M460" s="99" t="n">
        <v>0</v>
      </c>
      <c r="N460" s="99" t="n">
        <v>0</v>
      </c>
      <c r="O460" s="42" t="n">
        <v>76249</v>
      </c>
    </row>
    <row r="461" spans="1:15">
      <c r="A461" s="37" t="n">
        <v>459</v>
      </c>
      <c r="B461" s="97" t="s">
        <v>1603</v>
      </c>
      <c r="C461" s="121" t="s">
        <v>111</v>
      </c>
      <c r="D461" s="121" t="s">
        <v>20</v>
      </c>
      <c r="E461" s="121" t="s">
        <v>21</v>
      </c>
      <c r="F461" s="121" t="s">
        <v>1604</v>
      </c>
      <c r="G461" s="121" t="s">
        <v>1605</v>
      </c>
      <c r="H461" s="99" t="n">
        <v>66169</v>
      </c>
      <c r="I461" s="99" t="n">
        <v>66169</v>
      </c>
      <c r="J461" s="99" t="n">
        <v>0</v>
      </c>
      <c r="K461" s="99" t="n">
        <v>0</v>
      </c>
      <c r="L461" s="99" t="n">
        <v>0</v>
      </c>
      <c r="M461" s="99" t="n">
        <v>0</v>
      </c>
      <c r="N461" s="99" t="n">
        <v>0</v>
      </c>
      <c r="O461" s="42" t="n">
        <v>66169</v>
      </c>
    </row>
    <row r="462" spans="1:15">
      <c r="A462" s="37" t="n">
        <v>460</v>
      </c>
      <c r="B462" s="97" t="s">
        <v>2517</v>
      </c>
      <c r="C462" s="121" t="s">
        <v>111</v>
      </c>
      <c r="D462" s="121" t="s">
        <v>20</v>
      </c>
      <c r="E462" s="121" t="s">
        <v>21</v>
      </c>
      <c r="F462" s="121" t="s">
        <v>2518</v>
      </c>
      <c r="G462" s="121" t="s">
        <v>2519</v>
      </c>
      <c r="H462" s="99" t="n">
        <v>66169</v>
      </c>
      <c r="I462" s="99" t="n">
        <v>66169</v>
      </c>
      <c r="J462" s="99" t="n">
        <v>0</v>
      </c>
      <c r="K462" s="99" t="n">
        <v>0</v>
      </c>
      <c r="L462" s="99" t="n">
        <v>0</v>
      </c>
      <c r="M462" s="99" t="n">
        <v>0</v>
      </c>
      <c r="N462" s="99" t="n">
        <v>0</v>
      </c>
      <c r="O462" s="42" t="n">
        <v>66169</v>
      </c>
    </row>
    <row r="463" spans="1:15">
      <c r="A463" s="37" t="n">
        <v>461</v>
      </c>
      <c r="B463" s="97" t="s">
        <v>1606</v>
      </c>
      <c r="C463" s="121" t="s">
        <v>120</v>
      </c>
      <c r="D463" s="121" t="s">
        <v>128</v>
      </c>
      <c r="E463" s="121" t="s">
        <v>15</v>
      </c>
      <c r="F463" s="98" t="n">
        <v>0</v>
      </c>
      <c r="G463" s="121" t="s">
        <v>1607</v>
      </c>
      <c r="H463" s="99" t="n">
        <v>63417</v>
      </c>
      <c r="I463" s="99" t="n">
        <v>63417</v>
      </c>
      <c r="J463" s="99" t="n">
        <v>0</v>
      </c>
      <c r="K463" s="99" t="n">
        <v>0</v>
      </c>
      <c r="L463" s="99" t="n">
        <v>0</v>
      </c>
      <c r="M463" s="99" t="n">
        <v>0</v>
      </c>
      <c r="N463" s="99" t="n">
        <v>0</v>
      </c>
      <c r="O463" s="42" t="n">
        <v>63417</v>
      </c>
    </row>
    <row r="464" spans="1:15">
      <c r="A464" s="37" t="n">
        <v>462</v>
      </c>
      <c r="B464" s="97" t="s">
        <v>1610</v>
      </c>
      <c r="C464" s="121" t="s">
        <v>95</v>
      </c>
      <c r="D464" s="121" t="s">
        <v>124</v>
      </c>
      <c r="E464" s="121" t="s">
        <v>15</v>
      </c>
      <c r="F464" s="98" t="n">
        <v>0</v>
      </c>
      <c r="G464" s="121" t="s">
        <v>1611</v>
      </c>
      <c r="H464" s="99" t="n">
        <v>63417</v>
      </c>
      <c r="I464" s="99" t="n">
        <v>63417</v>
      </c>
      <c r="J464" s="99" t="n">
        <v>0</v>
      </c>
      <c r="K464" s="99" t="n">
        <v>0</v>
      </c>
      <c r="L464" s="99" t="n">
        <v>0</v>
      </c>
      <c r="M464" s="99" t="n">
        <v>0</v>
      </c>
      <c r="N464" s="99" t="n">
        <v>0</v>
      </c>
      <c r="O464" s="42" t="n">
        <v>63417</v>
      </c>
    </row>
    <row r="465" spans="1:15">
      <c r="A465" s="37" t="n">
        <v>463</v>
      </c>
      <c r="B465" s="97" t="s">
        <v>1612</v>
      </c>
      <c r="C465" s="121" t="s">
        <v>95</v>
      </c>
      <c r="D465" s="121" t="s">
        <v>278</v>
      </c>
      <c r="E465" s="121" t="s">
        <v>16</v>
      </c>
      <c r="F465" s="98" t="n">
        <v>0</v>
      </c>
      <c r="G465" s="121" t="s">
        <v>1613</v>
      </c>
      <c r="H465" s="99" t="n">
        <v>63417</v>
      </c>
      <c r="I465" s="99" t="n">
        <v>63417</v>
      </c>
      <c r="J465" s="99" t="n">
        <v>0</v>
      </c>
      <c r="K465" s="99" t="n">
        <v>0</v>
      </c>
      <c r="L465" s="99" t="n">
        <v>0</v>
      </c>
      <c r="M465" s="99" t="n">
        <v>0</v>
      </c>
      <c r="N465" s="99" t="n">
        <v>0</v>
      </c>
      <c r="O465" s="42" t="n">
        <v>63417</v>
      </c>
    </row>
    <row r="466" spans="1:15">
      <c r="A466" s="37" t="n">
        <v>464</v>
      </c>
      <c r="B466" s="97" t="s">
        <v>1614</v>
      </c>
      <c r="C466" s="121" t="s">
        <v>95</v>
      </c>
      <c r="D466" s="121" t="s">
        <v>278</v>
      </c>
      <c r="E466" s="121" t="s">
        <v>16</v>
      </c>
      <c r="F466" s="98" t="n">
        <v>0</v>
      </c>
      <c r="G466" s="121" t="s">
        <v>1615</v>
      </c>
      <c r="H466" s="99" t="n">
        <v>63417</v>
      </c>
      <c r="I466" s="99" t="n">
        <v>63417</v>
      </c>
      <c r="J466" s="99" t="n">
        <v>0</v>
      </c>
      <c r="K466" s="99" t="n">
        <v>0</v>
      </c>
      <c r="L466" s="99" t="n">
        <v>0</v>
      </c>
      <c r="M466" s="99" t="n">
        <v>0</v>
      </c>
      <c r="N466" s="99" t="n">
        <v>0</v>
      </c>
      <c r="O466" s="42" t="n">
        <v>63417</v>
      </c>
    </row>
    <row r="467" spans="1:15">
      <c r="A467" s="37" t="n">
        <v>465</v>
      </c>
      <c r="B467" s="97" t="s">
        <v>1616</v>
      </c>
      <c r="C467" s="121" t="s">
        <v>95</v>
      </c>
      <c r="D467" s="121" t="s">
        <v>124</v>
      </c>
      <c r="E467" s="121" t="s">
        <v>15</v>
      </c>
      <c r="F467" s="98" t="n">
        <v>0</v>
      </c>
      <c r="G467" s="121" t="s">
        <v>1617</v>
      </c>
      <c r="H467" s="99" t="n">
        <v>63417</v>
      </c>
      <c r="I467" s="99" t="n">
        <v>63417</v>
      </c>
      <c r="J467" s="99" t="n">
        <v>0</v>
      </c>
      <c r="K467" s="99" t="n">
        <v>0</v>
      </c>
      <c r="L467" s="99" t="n">
        <v>0</v>
      </c>
      <c r="M467" s="99" t="n">
        <v>0</v>
      </c>
      <c r="N467" s="99" t="n">
        <v>0</v>
      </c>
      <c r="O467" s="42" t="n">
        <v>63417</v>
      </c>
    </row>
    <row r="468" spans="1:15">
      <c r="A468" s="37" t="n">
        <v>466</v>
      </c>
      <c r="B468" s="97" t="s">
        <v>1627</v>
      </c>
      <c r="C468" s="121" t="s">
        <v>58</v>
      </c>
      <c r="D468" s="121" t="s">
        <v>20</v>
      </c>
      <c r="E468" s="121" t="s">
        <v>21</v>
      </c>
      <c r="F468" s="121" t="s">
        <v>1628</v>
      </c>
      <c r="G468" s="121" t="s">
        <v>1629</v>
      </c>
      <c r="H468" s="99" t="n">
        <v>133847</v>
      </c>
      <c r="I468" s="99" t="n">
        <v>133847</v>
      </c>
      <c r="J468" s="99" t="n">
        <v>6692</v>
      </c>
      <c r="K468" s="99" t="n">
        <v>0</v>
      </c>
      <c r="L468" s="99" t="n">
        <v>0</v>
      </c>
      <c r="M468" s="99" t="n">
        <v>0</v>
      </c>
      <c r="N468" s="99" t="n">
        <v>0</v>
      </c>
      <c r="O468" s="42" t="n">
        <v>127155</v>
      </c>
    </row>
    <row r="469" spans="1:15">
      <c r="A469" s="37" t="n">
        <v>467</v>
      </c>
      <c r="B469" s="97" t="s">
        <v>1630</v>
      </c>
      <c r="C469" s="121" t="s">
        <v>58</v>
      </c>
      <c r="D469" s="121" t="s">
        <v>20</v>
      </c>
      <c r="E469" s="121" t="s">
        <v>21</v>
      </c>
      <c r="F469" s="121" t="s">
        <v>1631</v>
      </c>
      <c r="G469" s="121" t="s">
        <v>1633</v>
      </c>
      <c r="H469" s="99" t="n">
        <v>114175</v>
      </c>
      <c r="I469" s="99" t="n">
        <v>114175</v>
      </c>
      <c r="J469" s="99" t="n">
        <v>5709</v>
      </c>
      <c r="K469" s="99" t="n">
        <v>0</v>
      </c>
      <c r="L469" s="99" t="n">
        <v>0</v>
      </c>
      <c r="M469" s="99" t="n">
        <v>0</v>
      </c>
      <c r="N469" s="99" t="n">
        <v>0</v>
      </c>
      <c r="O469" s="42" t="n">
        <v>108466</v>
      </c>
    </row>
    <row r="470" spans="1:15">
      <c r="A470" s="37" t="n">
        <v>468</v>
      </c>
      <c r="B470" s="97" t="s">
        <v>1637</v>
      </c>
      <c r="C470" s="121" t="s">
        <v>58</v>
      </c>
      <c r="D470" s="121" t="s">
        <v>20</v>
      </c>
      <c r="E470" s="121" t="s">
        <v>21</v>
      </c>
      <c r="F470" s="121" t="s">
        <v>1638</v>
      </c>
      <c r="G470" s="121" t="s">
        <v>1640</v>
      </c>
      <c r="H470" s="99" t="n">
        <v>133124</v>
      </c>
      <c r="I470" s="99" t="n">
        <v>133124</v>
      </c>
      <c r="J470" s="99" t="n">
        <v>6656</v>
      </c>
      <c r="K470" s="99" t="n">
        <v>0</v>
      </c>
      <c r="L470" s="99" t="n">
        <v>0</v>
      </c>
      <c r="M470" s="99" t="n">
        <v>0</v>
      </c>
      <c r="N470" s="99" t="n">
        <v>0</v>
      </c>
      <c r="O470" s="42" t="n">
        <v>126468</v>
      </c>
    </row>
    <row r="471" spans="1:15">
      <c r="A471" s="37" t="n">
        <v>469</v>
      </c>
      <c r="B471" s="97" t="s">
        <v>1641</v>
      </c>
      <c r="C471" s="121" t="s">
        <v>58</v>
      </c>
      <c r="D471" s="121" t="s">
        <v>20</v>
      </c>
      <c r="E471" s="121" t="s">
        <v>21</v>
      </c>
      <c r="F471" s="121" t="s">
        <v>1642</v>
      </c>
      <c r="G471" s="121" t="s">
        <v>1644</v>
      </c>
      <c r="H471" s="99" t="n">
        <v>137541</v>
      </c>
      <c r="I471" s="99" t="n">
        <v>137541</v>
      </c>
      <c r="J471" s="99" t="n">
        <v>6877</v>
      </c>
      <c r="K471" s="99" t="n">
        <v>0</v>
      </c>
      <c r="L471" s="99" t="n">
        <v>0</v>
      </c>
      <c r="M471" s="99" t="n">
        <v>0</v>
      </c>
      <c r="N471" s="99" t="n">
        <v>0</v>
      </c>
      <c r="O471" s="42" t="n">
        <v>130664</v>
      </c>
    </row>
    <row r="472" spans="1:15">
      <c r="A472" s="37" t="n">
        <v>470</v>
      </c>
      <c r="B472" s="97" t="s">
        <v>1645</v>
      </c>
      <c r="C472" s="121" t="s">
        <v>58</v>
      </c>
      <c r="D472" s="121" t="s">
        <v>20</v>
      </c>
      <c r="E472" s="121" t="s">
        <v>21</v>
      </c>
      <c r="F472" s="121" t="s">
        <v>1646</v>
      </c>
      <c r="G472" s="121" t="s">
        <v>1648</v>
      </c>
      <c r="H472" s="99" t="n">
        <v>137541</v>
      </c>
      <c r="I472" s="99" t="n">
        <v>137541</v>
      </c>
      <c r="J472" s="99" t="n">
        <v>6877</v>
      </c>
      <c r="K472" s="99" t="n">
        <v>0</v>
      </c>
      <c r="L472" s="99" t="n">
        <v>0</v>
      </c>
      <c r="M472" s="99" t="n">
        <v>0</v>
      </c>
      <c r="N472" s="99" t="n">
        <v>0</v>
      </c>
      <c r="O472" s="42" t="n">
        <v>130664</v>
      </c>
    </row>
    <row r="473" spans="1:15">
      <c r="A473" s="37" t="n">
        <v>471</v>
      </c>
      <c r="B473" s="97" t="s">
        <v>1649</v>
      </c>
      <c r="C473" s="121" t="s">
        <v>58</v>
      </c>
      <c r="D473" s="121" t="s">
        <v>20</v>
      </c>
      <c r="E473" s="121" t="s">
        <v>21</v>
      </c>
      <c r="F473" s="121" t="s">
        <v>1650</v>
      </c>
      <c r="G473" s="121" t="s">
        <v>1652</v>
      </c>
      <c r="H473" s="99" t="n">
        <v>113164</v>
      </c>
      <c r="I473" s="99" t="n">
        <v>113164</v>
      </c>
      <c r="J473" s="99" t="n">
        <v>5658</v>
      </c>
      <c r="K473" s="99" t="n">
        <v>0</v>
      </c>
      <c r="L473" s="99" t="n">
        <v>0</v>
      </c>
      <c r="M473" s="99" t="n">
        <v>0</v>
      </c>
      <c r="N473" s="99" t="n">
        <v>0</v>
      </c>
      <c r="O473" s="42" t="n">
        <v>107506</v>
      </c>
    </row>
    <row r="474" spans="1:15">
      <c r="A474" s="37" t="n">
        <v>472</v>
      </c>
      <c r="B474" s="97" t="s">
        <v>2520</v>
      </c>
      <c r="C474" s="121" t="s">
        <v>120</v>
      </c>
      <c r="D474" s="121" t="s">
        <v>124</v>
      </c>
      <c r="E474" s="121" t="s">
        <v>15</v>
      </c>
      <c r="F474" s="98" t="n">
        <v>0</v>
      </c>
      <c r="G474" s="121" t="s">
        <v>2521</v>
      </c>
      <c r="H474" s="99" t="n">
        <v>131022</v>
      </c>
      <c r="I474" s="99" t="n">
        <v>131022</v>
      </c>
      <c r="J474" s="99" t="n">
        <v>0</v>
      </c>
      <c r="K474" s="99" t="n">
        <v>0</v>
      </c>
      <c r="L474" s="99" t="n">
        <v>0</v>
      </c>
      <c r="M474" s="99" t="n">
        <v>0</v>
      </c>
      <c r="N474" s="99" t="n">
        <v>0</v>
      </c>
      <c r="O474" s="42" t="n">
        <v>131022</v>
      </c>
    </row>
    <row r="475" spans="1:15">
      <c r="A475" s="37" t="n">
        <v>473</v>
      </c>
      <c r="B475" s="97" t="s">
        <v>2522</v>
      </c>
      <c r="C475" s="121" t="s">
        <v>120</v>
      </c>
      <c r="D475" s="121" t="s">
        <v>124</v>
      </c>
      <c r="E475" s="121" t="s">
        <v>15</v>
      </c>
      <c r="F475" s="98" t="n">
        <v>0</v>
      </c>
      <c r="G475" s="121" t="s">
        <v>2523</v>
      </c>
      <c r="H475" s="99" t="n">
        <v>105285</v>
      </c>
      <c r="I475" s="99" t="n">
        <v>105285</v>
      </c>
      <c r="J475" s="99" t="n">
        <v>0</v>
      </c>
      <c r="K475" s="99" t="n">
        <v>0</v>
      </c>
      <c r="L475" s="99" t="n">
        <v>0</v>
      </c>
      <c r="M475" s="99" t="n">
        <v>0</v>
      </c>
      <c r="N475" s="99" t="n">
        <v>0</v>
      </c>
      <c r="O475" s="42" t="n">
        <v>105285</v>
      </c>
    </row>
    <row r="476" spans="1:15">
      <c r="A476" s="37" t="n">
        <v>474</v>
      </c>
      <c r="B476" s="97" t="s">
        <v>2524</v>
      </c>
      <c r="C476" s="121" t="s">
        <v>120</v>
      </c>
      <c r="D476" s="121" t="s">
        <v>124</v>
      </c>
      <c r="E476" s="121" t="s">
        <v>15</v>
      </c>
      <c r="F476" s="98" t="n">
        <v>0</v>
      </c>
      <c r="G476" s="121" t="s">
        <v>2525</v>
      </c>
      <c r="H476" s="99" t="n">
        <v>113226</v>
      </c>
      <c r="I476" s="99" t="n">
        <v>113226</v>
      </c>
      <c r="J476" s="99" t="n">
        <v>0</v>
      </c>
      <c r="K476" s="99" t="n">
        <v>0</v>
      </c>
      <c r="L476" s="99" t="n">
        <v>0</v>
      </c>
      <c r="M476" s="99" t="n">
        <v>0</v>
      </c>
      <c r="N476" s="99" t="n">
        <v>0</v>
      </c>
      <c r="O476" s="42" t="n">
        <v>113226</v>
      </c>
    </row>
    <row r="477" spans="1:15">
      <c r="A477" s="37" t="n">
        <v>475</v>
      </c>
      <c r="B477" s="97" t="s">
        <v>2526</v>
      </c>
      <c r="C477" s="121" t="s">
        <v>95</v>
      </c>
      <c r="D477" s="121" t="s">
        <v>124</v>
      </c>
      <c r="E477" s="121" t="s">
        <v>15</v>
      </c>
      <c r="F477" s="98" t="n">
        <v>0</v>
      </c>
      <c r="G477" s="121" t="s">
        <v>2527</v>
      </c>
      <c r="H477" s="99" t="n">
        <v>81791</v>
      </c>
      <c r="I477" s="99" t="n">
        <v>81791</v>
      </c>
      <c r="J477" s="99" t="n">
        <v>0</v>
      </c>
      <c r="K477" s="99" t="n">
        <v>0</v>
      </c>
      <c r="L477" s="99" t="n">
        <v>0</v>
      </c>
      <c r="M477" s="99" t="n">
        <v>0</v>
      </c>
      <c r="N477" s="99" t="n">
        <v>0</v>
      </c>
      <c r="O477" s="42" t="n">
        <v>81791</v>
      </c>
    </row>
    <row r="478" spans="1:15">
      <c r="A478" s="37" t="n">
        <v>482</v>
      </c>
      <c r="B478" s="97" t="s">
        <v>1681</v>
      </c>
      <c r="C478" s="121" t="s">
        <v>58</v>
      </c>
      <c r="D478" s="121" t="s">
        <v>20</v>
      </c>
      <c r="E478" s="121" t="s">
        <v>21</v>
      </c>
      <c r="F478" s="121" t="s">
        <v>1682</v>
      </c>
      <c r="G478" s="121" t="s">
        <v>1684</v>
      </c>
      <c r="H478" s="99" t="n">
        <v>53597</v>
      </c>
      <c r="I478" s="99" t="n">
        <v>53597</v>
      </c>
      <c r="J478" s="99" t="n">
        <v>2680</v>
      </c>
      <c r="K478" s="99" t="n">
        <v>0</v>
      </c>
      <c r="L478" s="99" t="n">
        <v>0</v>
      </c>
      <c r="M478" s="99" t="n">
        <v>0</v>
      </c>
      <c r="N478" s="99" t="n">
        <v>0</v>
      </c>
      <c r="O478" s="42" t="n">
        <v>50917</v>
      </c>
    </row>
    <row r="479" spans="1:15">
      <c r="A479" s="37" t="n">
        <v>483</v>
      </c>
      <c r="B479" s="97" t="s">
        <v>1685</v>
      </c>
      <c r="C479" s="121" t="s">
        <v>283</v>
      </c>
      <c r="D479" s="121" t="s">
        <v>20</v>
      </c>
      <c r="E479" s="121" t="s">
        <v>21</v>
      </c>
      <c r="F479" s="121" t="s">
        <v>2528</v>
      </c>
      <c r="G479" s="121" t="s">
        <v>1687</v>
      </c>
      <c r="H479" s="99" t="n">
        <v>42581</v>
      </c>
      <c r="I479" s="99" t="n">
        <v>42581</v>
      </c>
      <c r="J479" s="99" t="n">
        <v>0</v>
      </c>
      <c r="K479" s="99" t="n">
        <v>0</v>
      </c>
      <c r="L479" s="99" t="n">
        <v>0</v>
      </c>
      <c r="M479" s="99" t="n">
        <v>0</v>
      </c>
      <c r="N479" s="99" t="n">
        <v>0</v>
      </c>
      <c r="O479" s="42" t="n">
        <v>42581</v>
      </c>
    </row>
    <row r="480" spans="1:15">
      <c r="A480" s="37" t="n">
        <v>487</v>
      </c>
      <c r="B480" s="97" t="s">
        <v>1698</v>
      </c>
      <c r="C480" s="121" t="s">
        <v>19</v>
      </c>
      <c r="D480" s="121" t="s">
        <v>20</v>
      </c>
      <c r="E480" s="121" t="s">
        <v>21</v>
      </c>
      <c r="F480" s="121" t="s">
        <v>1699</v>
      </c>
      <c r="G480" s="121" t="s">
        <v>1701</v>
      </c>
      <c r="H480" s="99" t="n">
        <v>106407</v>
      </c>
      <c r="I480" s="99" t="n">
        <v>106407</v>
      </c>
      <c r="J480" s="99" t="n">
        <v>0</v>
      </c>
      <c r="K480" s="99" t="n">
        <v>15961</v>
      </c>
      <c r="L480" s="99" t="n">
        <v>0</v>
      </c>
      <c r="M480" s="99" t="n">
        <v>0</v>
      </c>
      <c r="N480" s="99" t="n">
        <v>0</v>
      </c>
      <c r="O480" s="42" t="n">
        <v>90446</v>
      </c>
    </row>
    <row r="481" spans="1:15">
      <c r="A481" s="37" t="n">
        <v>488</v>
      </c>
      <c r="B481" s="97" t="s">
        <v>1702</v>
      </c>
      <c r="C481" s="121" t="s">
        <v>58</v>
      </c>
      <c r="D481" s="121" t="s">
        <v>20</v>
      </c>
      <c r="E481" s="121" t="s">
        <v>21</v>
      </c>
      <c r="F481" s="121" t="s">
        <v>1703</v>
      </c>
      <c r="G481" s="121" t="s">
        <v>1705</v>
      </c>
      <c r="H481" s="99" t="n">
        <v>90373</v>
      </c>
      <c r="I481" s="99" t="n">
        <v>90373</v>
      </c>
      <c r="J481" s="99" t="n">
        <v>4519</v>
      </c>
      <c r="K481" s="99" t="n">
        <v>0</v>
      </c>
      <c r="L481" s="99" t="n">
        <v>0</v>
      </c>
      <c r="M481" s="99" t="n">
        <v>0</v>
      </c>
      <c r="N481" s="99" t="n">
        <v>0</v>
      </c>
      <c r="O481" s="42" t="n">
        <v>85854</v>
      </c>
    </row>
    <row r="482" spans="1:15">
      <c r="A482" s="37" t="n">
        <v>489</v>
      </c>
      <c r="B482" s="97" t="s">
        <v>1706</v>
      </c>
      <c r="C482" s="121" t="s">
        <v>58</v>
      </c>
      <c r="D482" s="121" t="s">
        <v>20</v>
      </c>
      <c r="E482" s="121" t="s">
        <v>21</v>
      </c>
      <c r="F482" s="121" t="s">
        <v>1707</v>
      </c>
      <c r="G482" s="121" t="s">
        <v>1709</v>
      </c>
      <c r="H482" s="99" t="n">
        <v>90373</v>
      </c>
      <c r="I482" s="99" t="n">
        <v>90373</v>
      </c>
      <c r="J482" s="99" t="n">
        <v>4519</v>
      </c>
      <c r="K482" s="99" t="n">
        <v>0</v>
      </c>
      <c r="L482" s="99" t="n">
        <v>0</v>
      </c>
      <c r="M482" s="99" t="n">
        <v>0</v>
      </c>
      <c r="N482" s="99" t="n">
        <v>0</v>
      </c>
      <c r="O482" s="42" t="n">
        <v>85854</v>
      </c>
    </row>
    <row r="483" spans="1:15">
      <c r="A483" s="37" t="n">
        <v>490</v>
      </c>
      <c r="B483" s="97" t="s">
        <v>1710</v>
      </c>
      <c r="C483" s="121" t="s">
        <v>58</v>
      </c>
      <c r="D483" s="121" t="s">
        <v>20</v>
      </c>
      <c r="E483" s="121" t="s">
        <v>21</v>
      </c>
      <c r="F483" s="121" t="s">
        <v>1711</v>
      </c>
      <c r="G483" s="121" t="s">
        <v>1713</v>
      </c>
      <c r="H483" s="99" t="n">
        <v>90373</v>
      </c>
      <c r="I483" s="99" t="n">
        <v>90373</v>
      </c>
      <c r="J483" s="99" t="n">
        <v>4519</v>
      </c>
      <c r="K483" s="99" t="n">
        <v>0</v>
      </c>
      <c r="L483" s="99" t="n">
        <v>0</v>
      </c>
      <c r="M483" s="99" t="n">
        <v>0</v>
      </c>
      <c r="N483" s="99" t="n">
        <v>0</v>
      </c>
      <c r="O483" s="42" t="n">
        <v>85854</v>
      </c>
    </row>
    <row r="484" spans="1:15">
      <c r="A484" s="37" t="n">
        <v>491</v>
      </c>
      <c r="B484" s="97" t="s">
        <v>1714</v>
      </c>
      <c r="C484" s="121" t="s">
        <v>58</v>
      </c>
      <c r="D484" s="121" t="s">
        <v>20</v>
      </c>
      <c r="E484" s="121" t="s">
        <v>21</v>
      </c>
      <c r="F484" s="121" t="s">
        <v>1715</v>
      </c>
      <c r="G484" s="121" t="s">
        <v>1717</v>
      </c>
      <c r="H484" s="99" t="n">
        <v>90373</v>
      </c>
      <c r="I484" s="99" t="n">
        <v>90373</v>
      </c>
      <c r="J484" s="99" t="n">
        <v>4519</v>
      </c>
      <c r="K484" s="99" t="n">
        <v>0</v>
      </c>
      <c r="L484" s="99" t="n">
        <v>0</v>
      </c>
      <c r="M484" s="99" t="n">
        <v>0</v>
      </c>
      <c r="N484" s="99" t="n">
        <v>0</v>
      </c>
      <c r="O484" s="42" t="n">
        <v>85854</v>
      </c>
    </row>
    <row r="485" spans="1:15">
      <c r="A485" s="37" t="n">
        <v>492</v>
      </c>
      <c r="B485" s="97" t="s">
        <v>1718</v>
      </c>
      <c r="C485" s="121" t="s">
        <v>58</v>
      </c>
      <c r="D485" s="121" t="s">
        <v>20</v>
      </c>
      <c r="E485" s="121" t="s">
        <v>21</v>
      </c>
      <c r="F485" s="121" t="s">
        <v>1719</v>
      </c>
      <c r="G485" s="121" t="s">
        <v>1720</v>
      </c>
      <c r="H485" s="99" t="n">
        <v>90373</v>
      </c>
      <c r="I485" s="99" t="n">
        <v>90373</v>
      </c>
      <c r="J485" s="99" t="n">
        <v>4519</v>
      </c>
      <c r="K485" s="99" t="n">
        <v>0</v>
      </c>
      <c r="L485" s="99" t="n">
        <v>0</v>
      </c>
      <c r="M485" s="99" t="n">
        <v>0</v>
      </c>
      <c r="N485" s="99" t="n">
        <v>0</v>
      </c>
      <c r="O485" s="42" t="n">
        <v>85854</v>
      </c>
    </row>
    <row r="486" spans="1:15">
      <c r="A486" s="37" t="n">
        <v>493</v>
      </c>
      <c r="B486" s="97" t="s">
        <v>1721</v>
      </c>
      <c r="C486" s="121" t="s">
        <v>58</v>
      </c>
      <c r="D486" s="121" t="s">
        <v>20</v>
      </c>
      <c r="E486" s="121" t="s">
        <v>21</v>
      </c>
      <c r="F486" s="121" t="s">
        <v>1722</v>
      </c>
      <c r="G486" s="121" t="s">
        <v>1723</v>
      </c>
      <c r="H486" s="99" t="n">
        <v>90373</v>
      </c>
      <c r="I486" s="99" t="n">
        <v>90373</v>
      </c>
      <c r="J486" s="99" t="n">
        <v>4519</v>
      </c>
      <c r="K486" s="99" t="n">
        <v>0</v>
      </c>
      <c r="L486" s="99" t="n">
        <v>0</v>
      </c>
      <c r="M486" s="99" t="n">
        <v>0</v>
      </c>
      <c r="N486" s="99" t="n">
        <v>0</v>
      </c>
      <c r="O486" s="42" t="n">
        <v>85854</v>
      </c>
    </row>
    <row r="487" spans="1:15">
      <c r="A487" s="37" t="n">
        <v>496</v>
      </c>
      <c r="B487" s="97" t="s">
        <v>1730</v>
      </c>
      <c r="C487" s="121" t="s">
        <v>58</v>
      </c>
      <c r="D487" s="121" t="s">
        <v>20</v>
      </c>
      <c r="E487" s="121" t="s">
        <v>21</v>
      </c>
      <c r="F487" s="121" t="s">
        <v>1731</v>
      </c>
      <c r="G487" s="121" t="s">
        <v>1732</v>
      </c>
      <c r="H487" s="99" t="n">
        <v>78328</v>
      </c>
      <c r="I487" s="99" t="n">
        <v>78328</v>
      </c>
      <c r="J487" s="99" t="n">
        <v>3916</v>
      </c>
      <c r="K487" s="99" t="n">
        <v>0</v>
      </c>
      <c r="L487" s="99" t="n">
        <v>0</v>
      </c>
      <c r="M487" s="99" t="n">
        <v>0</v>
      </c>
      <c r="N487" s="99" t="n">
        <v>0</v>
      </c>
      <c r="O487" s="42" t="n">
        <v>74412</v>
      </c>
    </row>
    <row r="488" spans="1:15">
      <c r="A488" s="37" t="n">
        <v>497</v>
      </c>
      <c r="B488" s="97" t="s">
        <v>1733</v>
      </c>
      <c r="C488" s="121" t="s">
        <v>58</v>
      </c>
      <c r="D488" s="121" t="s">
        <v>20</v>
      </c>
      <c r="E488" s="121" t="s">
        <v>21</v>
      </c>
      <c r="F488" s="121" t="s">
        <v>1734</v>
      </c>
      <c r="G488" s="121" t="s">
        <v>1735</v>
      </c>
      <c r="H488" s="99" t="n">
        <v>102168</v>
      </c>
      <c r="I488" s="99" t="n">
        <v>102168</v>
      </c>
      <c r="J488" s="99" t="n">
        <v>5108</v>
      </c>
      <c r="K488" s="99" t="n">
        <v>0</v>
      </c>
      <c r="L488" s="99" t="n">
        <v>0</v>
      </c>
      <c r="M488" s="99" t="n">
        <v>0</v>
      </c>
      <c r="N488" s="99" t="n">
        <v>0</v>
      </c>
      <c r="O488" s="42" t="n">
        <v>97060</v>
      </c>
    </row>
    <row r="489" spans="1:15">
      <c r="A489" s="37" t="n">
        <v>498</v>
      </c>
      <c r="B489" s="97" t="s">
        <v>1736</v>
      </c>
      <c r="C489" s="121" t="s">
        <v>283</v>
      </c>
      <c r="D489" s="121" t="s">
        <v>20</v>
      </c>
      <c r="E489" s="121" t="s">
        <v>21</v>
      </c>
      <c r="F489" s="121" t="s">
        <v>2529</v>
      </c>
      <c r="G489" s="121" t="s">
        <v>1737</v>
      </c>
      <c r="H489" s="99" t="n">
        <v>102168</v>
      </c>
      <c r="I489" s="99" t="n">
        <v>102168</v>
      </c>
      <c r="J489" s="99" t="n">
        <v>0</v>
      </c>
      <c r="K489" s="99" t="n">
        <v>0</v>
      </c>
      <c r="L489" s="99" t="n">
        <v>0</v>
      </c>
      <c r="M489" s="99" t="n">
        <v>0</v>
      </c>
      <c r="N489" s="99" t="n">
        <v>0</v>
      </c>
      <c r="O489" s="42" t="n">
        <v>102168</v>
      </c>
    </row>
    <row r="490" spans="1:15">
      <c r="A490" s="37" t="n">
        <v>500</v>
      </c>
      <c r="B490" s="97" t="s">
        <v>458</v>
      </c>
      <c r="C490" s="121" t="s">
        <v>58</v>
      </c>
      <c r="D490" s="121" t="s">
        <v>20</v>
      </c>
      <c r="E490" s="121" t="s">
        <v>21</v>
      </c>
      <c r="F490" s="121" t="s">
        <v>459</v>
      </c>
      <c r="G490" s="121" t="s">
        <v>460</v>
      </c>
      <c r="H490" s="99" t="n">
        <v>70383</v>
      </c>
      <c r="I490" s="99" t="n">
        <v>70383</v>
      </c>
      <c r="J490" s="99" t="n">
        <v>3519</v>
      </c>
      <c r="K490" s="99" t="n">
        <v>0</v>
      </c>
      <c r="L490" s="99" t="n">
        <v>0</v>
      </c>
      <c r="M490" s="99" t="n">
        <v>0</v>
      </c>
      <c r="N490" s="99" t="n">
        <v>0</v>
      </c>
      <c r="O490" s="42" t="n">
        <v>66864</v>
      </c>
    </row>
    <row r="491" spans="1:15">
      <c r="A491" s="37" t="n">
        <v>501</v>
      </c>
      <c r="B491" s="97" t="s">
        <v>1740</v>
      </c>
      <c r="C491" s="121" t="s">
        <v>19</v>
      </c>
      <c r="D491" s="121" t="s">
        <v>20</v>
      </c>
      <c r="E491" s="121" t="s">
        <v>21</v>
      </c>
      <c r="F491" s="121" t="s">
        <v>1741</v>
      </c>
      <c r="G491" s="121" t="s">
        <v>1742</v>
      </c>
      <c r="H491" s="99" t="n">
        <v>61021</v>
      </c>
      <c r="I491" s="99" t="n">
        <v>61021</v>
      </c>
      <c r="J491" s="99" t="n">
        <v>0</v>
      </c>
      <c r="K491" s="99" t="n">
        <v>9153</v>
      </c>
      <c r="L491" s="99" t="n">
        <v>0</v>
      </c>
      <c r="M491" s="99" t="n">
        <v>0</v>
      </c>
      <c r="N491" s="99" t="n">
        <v>0</v>
      </c>
      <c r="O491" s="42" t="n">
        <v>51868</v>
      </c>
    </row>
    <row r="492" spans="1:15">
      <c r="A492" s="37" t="n">
        <v>502</v>
      </c>
      <c r="B492" s="97" t="s">
        <v>1743</v>
      </c>
      <c r="C492" s="121" t="s">
        <v>58</v>
      </c>
      <c r="D492" s="121" t="s">
        <v>20</v>
      </c>
      <c r="E492" s="121" t="s">
        <v>21</v>
      </c>
      <c r="F492" s="121" t="s">
        <v>1744</v>
      </c>
      <c r="G492" s="121" t="s">
        <v>1745</v>
      </c>
      <c r="H492" s="99" t="n">
        <v>53518</v>
      </c>
      <c r="I492" s="99" t="n">
        <v>53518</v>
      </c>
      <c r="J492" s="99" t="n">
        <v>2676</v>
      </c>
      <c r="K492" s="99" t="n">
        <v>0</v>
      </c>
      <c r="L492" s="99" t="n">
        <v>0</v>
      </c>
      <c r="M492" s="99" t="n">
        <v>0</v>
      </c>
      <c r="N492" s="99" t="n">
        <v>0</v>
      </c>
      <c r="O492" s="42" t="n">
        <v>50842</v>
      </c>
    </row>
    <row r="493" spans="1:15">
      <c r="A493" s="37" t="n">
        <v>503</v>
      </c>
      <c r="B493" s="97" t="s">
        <v>2530</v>
      </c>
      <c r="C493" s="121" t="s">
        <v>58</v>
      </c>
      <c r="D493" s="121" t="s">
        <v>20</v>
      </c>
      <c r="E493" s="121" t="s">
        <v>21</v>
      </c>
      <c r="F493" s="121" t="s">
        <v>2531</v>
      </c>
      <c r="G493" s="121" t="s">
        <v>2532</v>
      </c>
      <c r="H493" s="99" t="n">
        <v>53518</v>
      </c>
      <c r="I493" s="99" t="n">
        <v>53518</v>
      </c>
      <c r="J493" s="99" t="n">
        <v>2676</v>
      </c>
      <c r="K493" s="99" t="n">
        <v>0</v>
      </c>
      <c r="L493" s="99" t="n">
        <v>0</v>
      </c>
      <c r="M493" s="99" t="n">
        <v>0</v>
      </c>
      <c r="N493" s="99" t="n">
        <v>0</v>
      </c>
      <c r="O493" s="42" t="n">
        <v>50842</v>
      </c>
    </row>
    <row r="494" spans="1:15">
      <c r="A494" s="37" t="n">
        <v>504</v>
      </c>
      <c r="B494" s="97" t="s">
        <v>2533</v>
      </c>
      <c r="C494" s="121" t="s">
        <v>58</v>
      </c>
      <c r="D494" s="121" t="s">
        <v>20</v>
      </c>
      <c r="E494" s="121" t="s">
        <v>21</v>
      </c>
      <c r="F494" s="121" t="s">
        <v>2534</v>
      </c>
      <c r="G494" s="121" t="s">
        <v>2535</v>
      </c>
      <c r="H494" s="99" t="n">
        <v>52588</v>
      </c>
      <c r="I494" s="99" t="n">
        <v>52588</v>
      </c>
      <c r="J494" s="99" t="n">
        <v>2629</v>
      </c>
      <c r="K494" s="99" t="n">
        <v>0</v>
      </c>
      <c r="L494" s="99" t="n">
        <v>0</v>
      </c>
      <c r="M494" s="99" t="n">
        <v>0</v>
      </c>
      <c r="N494" s="99" t="n">
        <v>0</v>
      </c>
      <c r="O494" s="42" t="n">
        <v>49959</v>
      </c>
    </row>
    <row r="495" spans="1:15">
      <c r="A495" s="37" t="n">
        <v>505</v>
      </c>
      <c r="B495" s="97" t="s">
        <v>2536</v>
      </c>
      <c r="C495" s="121" t="s">
        <v>58</v>
      </c>
      <c r="D495" s="121" t="s">
        <v>20</v>
      </c>
      <c r="E495" s="121" t="s">
        <v>21</v>
      </c>
      <c r="F495" s="121" t="s">
        <v>2537</v>
      </c>
      <c r="G495" s="121" t="s">
        <v>2538</v>
      </c>
      <c r="H495" s="99" t="n">
        <v>47874</v>
      </c>
      <c r="I495" s="99" t="n">
        <v>47874</v>
      </c>
      <c r="J495" s="99" t="n">
        <v>2394</v>
      </c>
      <c r="K495" s="99" t="n">
        <v>0</v>
      </c>
      <c r="L495" s="99" t="n">
        <v>0</v>
      </c>
      <c r="M495" s="99" t="n">
        <v>0</v>
      </c>
      <c r="N495" s="99" t="n">
        <v>0</v>
      </c>
      <c r="O495" s="42" t="n">
        <v>45480</v>
      </c>
    </row>
    <row r="496" spans="1:15">
      <c r="A496" s="37" t="n">
        <v>506</v>
      </c>
      <c r="B496" s="97" t="s">
        <v>1746</v>
      </c>
      <c r="C496" s="121" t="s">
        <v>58</v>
      </c>
      <c r="D496" s="121" t="s">
        <v>20</v>
      </c>
      <c r="E496" s="121" t="s">
        <v>21</v>
      </c>
      <c r="F496" s="121" t="s">
        <v>1747</v>
      </c>
      <c r="G496" s="121" t="s">
        <v>1748</v>
      </c>
      <c r="H496" s="99" t="n">
        <v>47874</v>
      </c>
      <c r="I496" s="99" t="n">
        <v>47874</v>
      </c>
      <c r="J496" s="99" t="n">
        <v>2394</v>
      </c>
      <c r="K496" s="99" t="n">
        <v>0</v>
      </c>
      <c r="L496" s="99" t="n">
        <v>0</v>
      </c>
      <c r="M496" s="99" t="n">
        <v>0</v>
      </c>
      <c r="N496" s="99" t="n">
        <v>0</v>
      </c>
      <c r="O496" s="42" t="n">
        <v>45480</v>
      </c>
    </row>
    <row r="497" spans="1:15">
      <c r="A497" s="37" t="n">
        <v>507</v>
      </c>
      <c r="B497" s="97" t="s">
        <v>1749</v>
      </c>
      <c r="C497" s="121" t="s">
        <v>58</v>
      </c>
      <c r="D497" s="121" t="s">
        <v>20</v>
      </c>
      <c r="E497" s="121" t="s">
        <v>21</v>
      </c>
      <c r="F497" s="121" t="s">
        <v>1750</v>
      </c>
      <c r="G497" s="121" t="s">
        <v>1752</v>
      </c>
      <c r="H497" s="99" t="n">
        <v>46944</v>
      </c>
      <c r="I497" s="99" t="n">
        <v>46944</v>
      </c>
      <c r="J497" s="99" t="n">
        <v>2347</v>
      </c>
      <c r="K497" s="99" t="n">
        <v>0</v>
      </c>
      <c r="L497" s="99" t="n">
        <v>0</v>
      </c>
      <c r="M497" s="99" t="n">
        <v>0</v>
      </c>
      <c r="N497" s="99" t="n">
        <v>0</v>
      </c>
      <c r="O497" s="42" t="n">
        <v>44597</v>
      </c>
    </row>
    <row r="498" spans="1:15">
      <c r="A498" s="37" t="n">
        <v>508</v>
      </c>
      <c r="B498" s="97" t="s">
        <v>2539</v>
      </c>
      <c r="C498" s="121" t="s">
        <v>120</v>
      </c>
      <c r="D498" s="121" t="s">
        <v>128</v>
      </c>
      <c r="E498" s="121" t="s">
        <v>15</v>
      </c>
      <c r="F498" s="98" t="n">
        <v>0</v>
      </c>
      <c r="G498" s="121" t="s">
        <v>2540</v>
      </c>
      <c r="H498" s="99" t="n">
        <v>46944</v>
      </c>
      <c r="I498" s="99" t="n">
        <v>46944</v>
      </c>
      <c r="J498" s="99" t="n">
        <v>0</v>
      </c>
      <c r="K498" s="99" t="n">
        <v>0</v>
      </c>
      <c r="L498" s="99" t="n">
        <v>0</v>
      </c>
      <c r="M498" s="99" t="n">
        <v>0</v>
      </c>
      <c r="N498" s="99" t="n">
        <v>0</v>
      </c>
      <c r="O498" s="42" t="n">
        <v>46944</v>
      </c>
    </row>
    <row r="499" spans="1:15">
      <c r="A499" s="37" t="n">
        <v>509</v>
      </c>
      <c r="B499" s="97" t="s">
        <v>2541</v>
      </c>
      <c r="C499" s="121" t="s">
        <v>120</v>
      </c>
      <c r="D499" s="121" t="s">
        <v>128</v>
      </c>
      <c r="E499" s="121" t="s">
        <v>15</v>
      </c>
      <c r="F499" s="98" t="n">
        <v>0</v>
      </c>
      <c r="G499" s="121" t="s">
        <v>2542</v>
      </c>
      <c r="H499" s="99" t="n">
        <v>46944</v>
      </c>
      <c r="I499" s="99" t="n">
        <v>46944</v>
      </c>
      <c r="J499" s="99" t="n">
        <v>0</v>
      </c>
      <c r="K499" s="99" t="n">
        <v>0</v>
      </c>
      <c r="L499" s="99" t="n">
        <v>0</v>
      </c>
      <c r="M499" s="99" t="n">
        <v>0</v>
      </c>
      <c r="N499" s="99" t="n">
        <v>0</v>
      </c>
      <c r="O499" s="42" t="n">
        <v>46944</v>
      </c>
    </row>
    <row r="500" spans="1:15">
      <c r="A500" s="37" t="n">
        <v>510</v>
      </c>
      <c r="B500" s="97" t="s">
        <v>1761</v>
      </c>
      <c r="C500" s="121" t="s">
        <v>95</v>
      </c>
      <c r="D500" s="121" t="s">
        <v>128</v>
      </c>
      <c r="E500" s="121" t="s">
        <v>15</v>
      </c>
      <c r="F500" s="98" t="n">
        <v>0</v>
      </c>
      <c r="G500" s="121" t="s">
        <v>1763</v>
      </c>
      <c r="H500" s="99" t="n">
        <v>47874</v>
      </c>
      <c r="I500" s="99" t="n">
        <v>47874</v>
      </c>
      <c r="J500" s="99" t="n">
        <v>0</v>
      </c>
      <c r="K500" s="99" t="n">
        <v>0</v>
      </c>
      <c r="L500" s="99" t="n">
        <v>0</v>
      </c>
      <c r="M500" s="99" t="n">
        <v>0</v>
      </c>
      <c r="N500" s="99" t="n">
        <v>0</v>
      </c>
      <c r="O500" s="42" t="n">
        <v>47874</v>
      </c>
    </row>
    <row r="501" spans="1:15">
      <c r="A501" s="37" t="n">
        <v>511</v>
      </c>
      <c r="B501" s="97" t="s">
        <v>1774</v>
      </c>
      <c r="C501" s="121" t="s">
        <v>58</v>
      </c>
      <c r="D501" s="121" t="s">
        <v>20</v>
      </c>
      <c r="E501" s="121" t="s">
        <v>21</v>
      </c>
      <c r="F501" s="121" t="s">
        <v>1775</v>
      </c>
      <c r="G501" s="121" t="s">
        <v>1777</v>
      </c>
      <c r="H501" s="99" t="n">
        <v>38845</v>
      </c>
      <c r="I501" s="99" t="n">
        <v>38845</v>
      </c>
      <c r="J501" s="99" t="n">
        <v>1942</v>
      </c>
      <c r="K501" s="99" t="n">
        <v>0</v>
      </c>
      <c r="L501" s="99" t="n">
        <v>0</v>
      </c>
      <c r="M501" s="99" t="n">
        <v>0</v>
      </c>
      <c r="N501" s="99" t="n">
        <v>0</v>
      </c>
      <c r="O501" s="42" t="n">
        <v>36903</v>
      </c>
    </row>
    <row r="502" spans="1:15">
      <c r="A502" s="37" t="n">
        <v>512</v>
      </c>
      <c r="B502" s="97" t="s">
        <v>1778</v>
      </c>
      <c r="C502" s="121" t="s">
        <v>111</v>
      </c>
      <c r="D502" s="121" t="s">
        <v>20</v>
      </c>
      <c r="E502" s="121" t="s">
        <v>21</v>
      </c>
      <c r="F502" s="121" t="s">
        <v>1779</v>
      </c>
      <c r="G502" s="121" t="s">
        <v>1781</v>
      </c>
      <c r="H502" s="99" t="n">
        <v>36055</v>
      </c>
      <c r="I502" s="99" t="n">
        <v>36055</v>
      </c>
      <c r="J502" s="99" t="n">
        <v>0</v>
      </c>
      <c r="K502" s="99" t="n">
        <v>0</v>
      </c>
      <c r="L502" s="99" t="n">
        <v>0</v>
      </c>
      <c r="M502" s="99" t="n">
        <v>0</v>
      </c>
      <c r="N502" s="99" t="n">
        <v>0</v>
      </c>
      <c r="O502" s="42" t="n">
        <v>36055</v>
      </c>
    </row>
    <row r="503" spans="1:15">
      <c r="A503" s="37" t="n">
        <v>513</v>
      </c>
      <c r="B503" s="97" t="s">
        <v>1782</v>
      </c>
      <c r="C503" s="121" t="s">
        <v>111</v>
      </c>
      <c r="D503" s="121" t="s">
        <v>20</v>
      </c>
      <c r="E503" s="121" t="s">
        <v>21</v>
      </c>
      <c r="F503" s="121" t="s">
        <v>1783</v>
      </c>
      <c r="G503" s="121" t="s">
        <v>1784</v>
      </c>
      <c r="H503" s="99" t="n">
        <v>34926</v>
      </c>
      <c r="I503" s="99" t="n">
        <v>34926</v>
      </c>
      <c r="J503" s="99" t="n">
        <v>0</v>
      </c>
      <c r="K503" s="99" t="n">
        <v>0</v>
      </c>
      <c r="L503" s="99" t="n">
        <v>0</v>
      </c>
      <c r="M503" s="99" t="n">
        <v>0</v>
      </c>
      <c r="N503" s="99" t="n">
        <v>0</v>
      </c>
      <c r="O503" s="42" t="n">
        <v>34926</v>
      </c>
    </row>
    <row r="504" spans="1:15">
      <c r="A504" s="37" t="n">
        <v>514</v>
      </c>
      <c r="B504" s="97" t="s">
        <v>2543</v>
      </c>
      <c r="C504" s="121" t="s">
        <v>111</v>
      </c>
      <c r="D504" s="121" t="s">
        <v>20</v>
      </c>
      <c r="E504" s="121" t="s">
        <v>21</v>
      </c>
      <c r="F504" s="121" t="s">
        <v>2544</v>
      </c>
      <c r="G504" s="121" t="s">
        <v>2545</v>
      </c>
      <c r="H504" s="99" t="n">
        <v>34926</v>
      </c>
      <c r="I504" s="99" t="n">
        <v>34926</v>
      </c>
      <c r="J504" s="99" t="n">
        <v>0</v>
      </c>
      <c r="K504" s="99" t="n">
        <v>0</v>
      </c>
      <c r="L504" s="99" t="n">
        <v>0</v>
      </c>
      <c r="M504" s="99" t="n">
        <v>0</v>
      </c>
      <c r="N504" s="99" t="n">
        <v>0</v>
      </c>
      <c r="O504" s="42" t="n">
        <v>34926</v>
      </c>
    </row>
    <row r="505" spans="1:15">
      <c r="A505" s="37" t="n">
        <v>515</v>
      </c>
      <c r="B505" s="97" t="s">
        <v>585</v>
      </c>
      <c r="C505" s="121" t="s">
        <v>111</v>
      </c>
      <c r="D505" s="121" t="s">
        <v>20</v>
      </c>
      <c r="E505" s="121" t="s">
        <v>21</v>
      </c>
      <c r="F505" s="121" t="s">
        <v>586</v>
      </c>
      <c r="G505" s="121" t="s">
        <v>588</v>
      </c>
      <c r="H505" s="99" t="n">
        <v>34926</v>
      </c>
      <c r="I505" s="99" t="n">
        <v>34926</v>
      </c>
      <c r="J505" s="99" t="n">
        <v>0</v>
      </c>
      <c r="K505" s="99" t="n">
        <v>0</v>
      </c>
      <c r="L505" s="99" t="n">
        <v>0</v>
      </c>
      <c r="M505" s="99" t="n">
        <v>0</v>
      </c>
      <c r="N505" s="99" t="n">
        <v>0</v>
      </c>
      <c r="O505" s="42" t="n">
        <v>34926</v>
      </c>
    </row>
    <row r="506" spans="1:15">
      <c r="A506" s="37" t="n">
        <v>516</v>
      </c>
      <c r="B506" s="97" t="s">
        <v>2546</v>
      </c>
      <c r="C506" s="121" t="s">
        <v>120</v>
      </c>
      <c r="D506" s="121" t="s">
        <v>128</v>
      </c>
      <c r="E506" s="121" t="s">
        <v>15</v>
      </c>
      <c r="F506" s="98" t="n">
        <v>0</v>
      </c>
      <c r="G506" s="121" t="s">
        <v>2547</v>
      </c>
      <c r="H506" s="99" t="n">
        <v>30610</v>
      </c>
      <c r="I506" s="99" t="n">
        <v>30610</v>
      </c>
      <c r="J506" s="99" t="n">
        <v>0</v>
      </c>
      <c r="K506" s="99" t="n">
        <v>0</v>
      </c>
      <c r="L506" s="99" t="n">
        <v>0</v>
      </c>
      <c r="M506" s="99" t="n">
        <v>0</v>
      </c>
      <c r="N506" s="99" t="n">
        <v>0</v>
      </c>
      <c r="O506" s="42" t="n">
        <v>30610</v>
      </c>
    </row>
    <row r="507" spans="1:15">
      <c r="A507" s="37" t="n">
        <v>517</v>
      </c>
      <c r="B507" s="97" t="s">
        <v>1785</v>
      </c>
      <c r="C507" s="121" t="s">
        <v>120</v>
      </c>
      <c r="D507" s="121" t="s">
        <v>128</v>
      </c>
      <c r="E507" s="121" t="s">
        <v>15</v>
      </c>
      <c r="F507" s="98" t="n">
        <v>0</v>
      </c>
      <c r="G507" s="121" t="s">
        <v>1787</v>
      </c>
      <c r="H507" s="99" t="n">
        <v>29680</v>
      </c>
      <c r="I507" s="99" t="n">
        <v>29680</v>
      </c>
      <c r="J507" s="99" t="n">
        <v>0</v>
      </c>
      <c r="K507" s="99" t="n">
        <v>0</v>
      </c>
      <c r="L507" s="99" t="n">
        <v>0</v>
      </c>
      <c r="M507" s="99" t="n">
        <v>0</v>
      </c>
      <c r="N507" s="99" t="n">
        <v>0</v>
      </c>
      <c r="O507" s="42" t="n">
        <v>29680</v>
      </c>
    </row>
    <row r="508" spans="1:15">
      <c r="A508" s="37" t="n">
        <v>518</v>
      </c>
      <c r="B508" s="97" t="s">
        <v>1788</v>
      </c>
      <c r="C508" s="121" t="s">
        <v>120</v>
      </c>
      <c r="D508" s="121" t="s">
        <v>128</v>
      </c>
      <c r="E508" s="121" t="s">
        <v>15</v>
      </c>
      <c r="F508" s="98" t="n">
        <v>0</v>
      </c>
      <c r="G508" s="121" t="s">
        <v>1789</v>
      </c>
      <c r="H508" s="99" t="n">
        <v>31540</v>
      </c>
      <c r="I508" s="99" t="n">
        <v>31540</v>
      </c>
      <c r="J508" s="99" t="n">
        <v>0</v>
      </c>
      <c r="K508" s="99" t="n">
        <v>0</v>
      </c>
      <c r="L508" s="99" t="n">
        <v>0</v>
      </c>
      <c r="M508" s="99" t="n">
        <v>0</v>
      </c>
      <c r="N508" s="99" t="n">
        <v>0</v>
      </c>
      <c r="O508" s="42" t="n">
        <v>31540</v>
      </c>
    </row>
    <row r="509" spans="1:15">
      <c r="A509" s="37" t="n">
        <v>519</v>
      </c>
      <c r="B509" s="97" t="s">
        <v>1790</v>
      </c>
      <c r="C509" s="121" t="s">
        <v>120</v>
      </c>
      <c r="D509" s="121" t="s">
        <v>278</v>
      </c>
      <c r="E509" s="121" t="s">
        <v>16</v>
      </c>
      <c r="F509" s="98" t="n">
        <v>0</v>
      </c>
      <c r="G509" s="121" t="s">
        <v>1792</v>
      </c>
      <c r="H509" s="99" t="n">
        <v>30610</v>
      </c>
      <c r="I509" s="99" t="n">
        <v>30610</v>
      </c>
      <c r="J509" s="99" t="n">
        <v>0</v>
      </c>
      <c r="K509" s="99" t="n">
        <v>0</v>
      </c>
      <c r="L509" s="99" t="n">
        <v>0</v>
      </c>
      <c r="M509" s="99" t="n">
        <v>0</v>
      </c>
      <c r="N509" s="99" t="n">
        <v>0</v>
      </c>
      <c r="O509" s="42" t="n">
        <v>30610</v>
      </c>
    </row>
    <row r="510" spans="1:15">
      <c r="A510" s="37" t="n">
        <v>520</v>
      </c>
      <c r="B510" s="97" t="s">
        <v>1795</v>
      </c>
      <c r="C510" s="121" t="s">
        <v>120</v>
      </c>
      <c r="D510" s="121" t="s">
        <v>128</v>
      </c>
      <c r="E510" s="121" t="s">
        <v>15</v>
      </c>
      <c r="F510" s="98" t="n">
        <v>0</v>
      </c>
      <c r="G510" s="121" t="s">
        <v>1796</v>
      </c>
      <c r="H510" s="99" t="n">
        <v>31540</v>
      </c>
      <c r="I510" s="99" t="n">
        <v>31540</v>
      </c>
      <c r="J510" s="99" t="n">
        <v>0</v>
      </c>
      <c r="K510" s="99" t="n">
        <v>0</v>
      </c>
      <c r="L510" s="99" t="n">
        <v>0</v>
      </c>
      <c r="M510" s="99" t="n">
        <v>0</v>
      </c>
      <c r="N510" s="99" t="n">
        <v>0</v>
      </c>
      <c r="O510" s="42" t="n">
        <v>31540</v>
      </c>
    </row>
    <row r="511" spans="1:15">
      <c r="A511" s="37" t="n">
        <v>521</v>
      </c>
      <c r="B511" s="97" t="s">
        <v>1799</v>
      </c>
      <c r="C511" s="121" t="s">
        <v>120</v>
      </c>
      <c r="D511" s="121" t="s">
        <v>278</v>
      </c>
      <c r="E511" s="121" t="s">
        <v>16</v>
      </c>
      <c r="F511" s="98" t="n">
        <v>0</v>
      </c>
      <c r="G511" s="121" t="s">
        <v>1800</v>
      </c>
      <c r="H511" s="99" t="n">
        <v>30610</v>
      </c>
      <c r="I511" s="99" t="n">
        <v>30610</v>
      </c>
      <c r="J511" s="99" t="n">
        <v>0</v>
      </c>
      <c r="K511" s="99" t="n">
        <v>0</v>
      </c>
      <c r="L511" s="99" t="n">
        <v>0</v>
      </c>
      <c r="M511" s="99" t="n">
        <v>0</v>
      </c>
      <c r="N511" s="99" t="n">
        <v>0</v>
      </c>
      <c r="O511" s="42" t="n">
        <v>30610</v>
      </c>
    </row>
    <row r="512" spans="1:15">
      <c r="A512" s="37" t="n">
        <v>522</v>
      </c>
      <c r="B512" s="97" t="s">
        <v>1793</v>
      </c>
      <c r="C512" s="121" t="s">
        <v>120</v>
      </c>
      <c r="D512" s="121" t="s">
        <v>128</v>
      </c>
      <c r="E512" s="121" t="s">
        <v>15</v>
      </c>
      <c r="F512" s="98" t="n">
        <v>0</v>
      </c>
      <c r="G512" s="121" t="s">
        <v>1794</v>
      </c>
      <c r="H512" s="99" t="n">
        <v>31540</v>
      </c>
      <c r="I512" s="99" t="n">
        <v>31540</v>
      </c>
      <c r="J512" s="99" t="n">
        <v>0</v>
      </c>
      <c r="K512" s="99" t="n">
        <v>0</v>
      </c>
      <c r="L512" s="99" t="n">
        <v>0</v>
      </c>
      <c r="M512" s="99" t="n">
        <v>0</v>
      </c>
      <c r="N512" s="99" t="n">
        <v>0</v>
      </c>
      <c r="O512" s="42" t="n">
        <v>31540</v>
      </c>
    </row>
    <row r="513" spans="1:15">
      <c r="A513" s="37" t="n">
        <v>523</v>
      </c>
      <c r="B513" s="97" t="s">
        <v>1806</v>
      </c>
      <c r="C513" s="121" t="s">
        <v>95</v>
      </c>
      <c r="D513" s="121" t="s">
        <v>278</v>
      </c>
      <c r="E513" s="121" t="s">
        <v>16</v>
      </c>
      <c r="F513" s="98" t="n">
        <v>0</v>
      </c>
      <c r="G513" s="121" t="s">
        <v>1807</v>
      </c>
      <c r="H513" s="99" t="n">
        <v>31540</v>
      </c>
      <c r="I513" s="99" t="n">
        <v>31540</v>
      </c>
      <c r="J513" s="99" t="n">
        <v>0</v>
      </c>
      <c r="K513" s="99" t="n">
        <v>0</v>
      </c>
      <c r="L513" s="99" t="n">
        <v>0</v>
      </c>
      <c r="M513" s="99" t="n">
        <v>0</v>
      </c>
      <c r="N513" s="99" t="n">
        <v>0</v>
      </c>
      <c r="O513" s="42" t="n">
        <v>31540</v>
      </c>
    </row>
    <row r="514" spans="1:15">
      <c r="A514" s="37" t="n">
        <v>524</v>
      </c>
      <c r="B514" s="97" t="s">
        <v>1797</v>
      </c>
      <c r="C514" s="121" t="s">
        <v>120</v>
      </c>
      <c r="D514" s="121" t="s">
        <v>278</v>
      </c>
      <c r="E514" s="121" t="s">
        <v>16</v>
      </c>
      <c r="F514" s="98" t="n">
        <v>0</v>
      </c>
      <c r="G514" s="121" t="s">
        <v>1798</v>
      </c>
      <c r="H514" s="99" t="n">
        <v>31540</v>
      </c>
      <c r="I514" s="99" t="n">
        <v>31540</v>
      </c>
      <c r="J514" s="99" t="n">
        <v>0</v>
      </c>
      <c r="K514" s="99" t="n">
        <v>0</v>
      </c>
      <c r="L514" s="99" t="n">
        <v>0</v>
      </c>
      <c r="M514" s="99" t="n">
        <v>0</v>
      </c>
      <c r="N514" s="99" t="n">
        <v>0</v>
      </c>
      <c r="O514" s="42" t="n">
        <v>31540</v>
      </c>
    </row>
    <row r="515" spans="1:15">
      <c r="A515" s="37" t="n">
        <v>525</v>
      </c>
      <c r="B515" s="97" t="s">
        <v>1803</v>
      </c>
      <c r="C515" s="121" t="s">
        <v>120</v>
      </c>
      <c r="D515" s="121" t="s">
        <v>128</v>
      </c>
      <c r="E515" s="121" t="s">
        <v>15</v>
      </c>
      <c r="F515" s="98" t="n">
        <v>0</v>
      </c>
      <c r="G515" s="121" t="s">
        <v>1805</v>
      </c>
      <c r="H515" s="99" t="n">
        <v>31540</v>
      </c>
      <c r="I515" s="99" t="n">
        <v>31540</v>
      </c>
      <c r="J515" s="99" t="n">
        <v>0</v>
      </c>
      <c r="K515" s="99" t="n">
        <v>0</v>
      </c>
      <c r="L515" s="99" t="n">
        <v>0</v>
      </c>
      <c r="M515" s="99" t="n">
        <v>0</v>
      </c>
      <c r="N515" s="99" t="n">
        <v>0</v>
      </c>
      <c r="O515" s="42" t="n">
        <v>31540</v>
      </c>
    </row>
    <row r="516" spans="1:15">
      <c r="A516" s="37" t="n">
        <v>526</v>
      </c>
      <c r="B516" s="97" t="s">
        <v>1808</v>
      </c>
      <c r="C516" s="121" t="s">
        <v>95</v>
      </c>
      <c r="D516" s="121" t="s">
        <v>124</v>
      </c>
      <c r="E516" s="121" t="s">
        <v>15</v>
      </c>
      <c r="F516" s="98" t="n">
        <v>0</v>
      </c>
      <c r="G516" s="121" t="s">
        <v>1809</v>
      </c>
      <c r="H516" s="99" t="n">
        <v>31540</v>
      </c>
      <c r="I516" s="99" t="n">
        <v>31540</v>
      </c>
      <c r="J516" s="99" t="n">
        <v>0</v>
      </c>
      <c r="K516" s="99" t="n">
        <v>0</v>
      </c>
      <c r="L516" s="99" t="n">
        <v>0</v>
      </c>
      <c r="M516" s="99" t="n">
        <v>0</v>
      </c>
      <c r="N516" s="99" t="n">
        <v>0</v>
      </c>
      <c r="O516" s="42" t="n">
        <v>31540</v>
      </c>
    </row>
    <row r="517" spans="1:15">
      <c r="A517" s="37" t="n">
        <v>527</v>
      </c>
      <c r="B517" s="97" t="s">
        <v>1810</v>
      </c>
      <c r="C517" s="121" t="s">
        <v>95</v>
      </c>
      <c r="D517" s="121" t="s">
        <v>124</v>
      </c>
      <c r="E517" s="121" t="s">
        <v>15</v>
      </c>
      <c r="F517" s="98" t="n">
        <v>0</v>
      </c>
      <c r="G517" s="121" t="s">
        <v>1811</v>
      </c>
      <c r="H517" s="99" t="n">
        <v>31540</v>
      </c>
      <c r="I517" s="99" t="n">
        <v>31540</v>
      </c>
      <c r="J517" s="99" t="n">
        <v>0</v>
      </c>
      <c r="K517" s="99" t="n">
        <v>0</v>
      </c>
      <c r="L517" s="99" t="n">
        <v>0</v>
      </c>
      <c r="M517" s="99" t="n">
        <v>0</v>
      </c>
      <c r="N517" s="99" t="n">
        <v>0</v>
      </c>
      <c r="O517" s="42" t="n">
        <v>31540</v>
      </c>
    </row>
    <row r="518" spans="1:15">
      <c r="A518" s="37" t="n">
        <v>528</v>
      </c>
      <c r="B518" s="97" t="s">
        <v>1812</v>
      </c>
      <c r="C518" s="121" t="s">
        <v>95</v>
      </c>
      <c r="D518" s="121" t="s">
        <v>128</v>
      </c>
      <c r="E518" s="121" t="s">
        <v>15</v>
      </c>
      <c r="F518" s="98" t="n">
        <v>0</v>
      </c>
      <c r="G518" s="121" t="s">
        <v>1813</v>
      </c>
      <c r="H518" s="99" t="n">
        <v>31540</v>
      </c>
      <c r="I518" s="99" t="n">
        <v>31540</v>
      </c>
      <c r="J518" s="99" t="n">
        <v>0</v>
      </c>
      <c r="K518" s="99" t="n">
        <v>0</v>
      </c>
      <c r="L518" s="99" t="n">
        <v>0</v>
      </c>
      <c r="M518" s="99" t="n">
        <v>0</v>
      </c>
      <c r="N518" s="99" t="n">
        <v>0</v>
      </c>
      <c r="O518" s="42" t="n">
        <v>31540</v>
      </c>
    </row>
    <row r="519" spans="1:15">
      <c r="A519" s="37" t="n">
        <v>529</v>
      </c>
      <c r="B519" s="97" t="s">
        <v>1801</v>
      </c>
      <c r="C519" s="121" t="s">
        <v>95</v>
      </c>
      <c r="D519" s="121" t="s">
        <v>128</v>
      </c>
      <c r="E519" s="121" t="s">
        <v>15</v>
      </c>
      <c r="F519" s="98" t="n">
        <v>0</v>
      </c>
      <c r="G519" s="121" t="s">
        <v>1802</v>
      </c>
      <c r="H519" s="99" t="n">
        <v>31540</v>
      </c>
      <c r="I519" s="99" t="n">
        <v>31540</v>
      </c>
      <c r="J519" s="99" t="n">
        <v>0</v>
      </c>
      <c r="K519" s="99" t="n">
        <v>0</v>
      </c>
      <c r="L519" s="99" t="n">
        <v>0</v>
      </c>
      <c r="M519" s="99" t="n">
        <v>0</v>
      </c>
      <c r="N519" s="99" t="n">
        <v>0</v>
      </c>
      <c r="O519" s="42" t="n">
        <v>31540</v>
      </c>
    </row>
    <row r="520" spans="1:15">
      <c r="A520" s="37" t="n">
        <v>530</v>
      </c>
      <c r="B520" s="97" t="s">
        <v>1814</v>
      </c>
      <c r="C520" s="121" t="s">
        <v>95</v>
      </c>
      <c r="D520" s="121" t="s">
        <v>278</v>
      </c>
      <c r="E520" s="121" t="s">
        <v>16</v>
      </c>
      <c r="F520" s="98" t="n">
        <v>0</v>
      </c>
      <c r="G520" s="121" t="s">
        <v>1816</v>
      </c>
      <c r="H520" s="99" t="n">
        <v>31540</v>
      </c>
      <c r="I520" s="99" t="n">
        <v>31540</v>
      </c>
      <c r="J520" s="99" t="n">
        <v>0</v>
      </c>
      <c r="K520" s="99" t="n">
        <v>0</v>
      </c>
      <c r="L520" s="99" t="n">
        <v>0</v>
      </c>
      <c r="M520" s="99" t="n">
        <v>0</v>
      </c>
      <c r="N520" s="99" t="n">
        <v>0</v>
      </c>
      <c r="O520" s="42" t="n">
        <v>31540</v>
      </c>
    </row>
    <row r="521" spans="1:15">
      <c r="A521" s="37" t="n">
        <v>531</v>
      </c>
      <c r="B521" s="97" t="s">
        <v>2548</v>
      </c>
      <c r="C521" s="121" t="s">
        <v>58</v>
      </c>
      <c r="D521" s="121" t="s">
        <v>128</v>
      </c>
      <c r="E521" s="121" t="s">
        <v>15</v>
      </c>
      <c r="F521" s="121" t="s">
        <v>2549</v>
      </c>
      <c r="G521" s="121" t="s">
        <v>2550</v>
      </c>
      <c r="H521" s="99" t="n">
        <v>122700</v>
      </c>
      <c r="I521" s="99" t="n">
        <v>122700</v>
      </c>
      <c r="J521" s="99" t="n">
        <v>6135</v>
      </c>
      <c r="K521" s="99" t="n">
        <v>0</v>
      </c>
      <c r="L521" s="99" t="n">
        <v>0</v>
      </c>
      <c r="M521" s="99" t="n">
        <v>0</v>
      </c>
      <c r="N521" s="99" t="n">
        <v>0</v>
      </c>
      <c r="O521" s="42" t="n">
        <v>116565</v>
      </c>
    </row>
    <row r="522" spans="1:15">
      <c r="A522" s="37" t="n">
        <v>532</v>
      </c>
      <c r="B522" s="97" t="s">
        <v>1820</v>
      </c>
      <c r="C522" s="121" t="s">
        <v>19</v>
      </c>
      <c r="D522" s="121" t="s">
        <v>20</v>
      </c>
      <c r="E522" s="121" t="s">
        <v>21</v>
      </c>
      <c r="F522" s="121" t="s">
        <v>1821</v>
      </c>
      <c r="G522" s="121" t="s">
        <v>1823</v>
      </c>
      <c r="H522" s="99" t="n">
        <v>106500</v>
      </c>
      <c r="I522" s="99" t="n">
        <v>106500</v>
      </c>
      <c r="J522" s="99" t="n">
        <v>0</v>
      </c>
      <c r="K522" s="99" t="n">
        <v>15975</v>
      </c>
      <c r="L522" s="99" t="n">
        <v>0</v>
      </c>
      <c r="M522" s="99" t="n">
        <v>0</v>
      </c>
      <c r="N522" s="99" t="n">
        <v>0</v>
      </c>
      <c r="O522" s="42" t="n">
        <v>90525</v>
      </c>
    </row>
    <row r="523" spans="1:15">
      <c r="A523" s="37" t="n">
        <v>533</v>
      </c>
      <c r="B523" s="97" t="s">
        <v>452</v>
      </c>
      <c r="C523" s="121" t="s">
        <v>19</v>
      </c>
      <c r="D523" s="121" t="s">
        <v>20</v>
      </c>
      <c r="E523" s="121" t="s">
        <v>21</v>
      </c>
      <c r="F523" s="121" t="s">
        <v>453</v>
      </c>
      <c r="G523" s="121" t="s">
        <v>454</v>
      </c>
      <c r="H523" s="99" t="n">
        <v>101100</v>
      </c>
      <c r="I523" s="99" t="n">
        <v>101100</v>
      </c>
      <c r="J523" s="99" t="n">
        <v>0</v>
      </c>
      <c r="K523" s="99" t="n">
        <v>15165</v>
      </c>
      <c r="L523" s="99" t="n">
        <v>0</v>
      </c>
      <c r="M523" s="99" t="n">
        <v>0</v>
      </c>
      <c r="N523" s="99" t="n">
        <v>0</v>
      </c>
      <c r="O523" s="42" t="n">
        <v>85935</v>
      </c>
    </row>
    <row r="524" spans="1:15">
      <c r="A524" s="37" t="n">
        <v>534</v>
      </c>
      <c r="B524" s="97" t="s">
        <v>2551</v>
      </c>
      <c r="C524" s="121" t="s">
        <v>95</v>
      </c>
      <c r="D524" s="121" t="s">
        <v>128</v>
      </c>
      <c r="E524" s="121" t="s">
        <v>15</v>
      </c>
      <c r="F524" s="98" t="n">
        <v>0</v>
      </c>
      <c r="G524" s="121" t="s">
        <v>2552</v>
      </c>
      <c r="H524" s="99" t="n">
        <v>95700</v>
      </c>
      <c r="I524" s="99" t="n">
        <v>95700</v>
      </c>
      <c r="J524" s="99" t="n">
        <v>0</v>
      </c>
      <c r="K524" s="99" t="n">
        <v>0</v>
      </c>
      <c r="L524" s="99" t="n">
        <v>0</v>
      </c>
      <c r="M524" s="99" t="n">
        <v>0</v>
      </c>
      <c r="N524" s="99" t="n">
        <v>0</v>
      </c>
      <c r="O524" s="42" t="n">
        <v>95700</v>
      </c>
    </row>
    <row r="525" spans="1:15">
      <c r="A525" s="37" t="n">
        <v>535</v>
      </c>
      <c r="B525" s="97" t="s">
        <v>1835</v>
      </c>
      <c r="C525" s="121" t="s">
        <v>131</v>
      </c>
      <c r="D525" s="121" t="s">
        <v>20</v>
      </c>
      <c r="E525" s="121" t="s">
        <v>21</v>
      </c>
      <c r="F525" s="121" t="s">
        <v>1836</v>
      </c>
      <c r="G525" s="121" t="s">
        <v>1838</v>
      </c>
      <c r="H525" s="99" t="n">
        <v>90300</v>
      </c>
      <c r="I525" s="99" t="n">
        <v>90300</v>
      </c>
      <c r="J525" s="99" t="n">
        <v>4515</v>
      </c>
      <c r="K525" s="99" t="n">
        <v>0</v>
      </c>
      <c r="L525" s="99" t="n">
        <v>0</v>
      </c>
      <c r="M525" s="99" t="n">
        <v>0</v>
      </c>
      <c r="N525" s="99" t="n">
        <v>0</v>
      </c>
      <c r="O525" s="42" t="n">
        <v>85785</v>
      </c>
    </row>
    <row r="526" spans="1:15">
      <c r="A526" s="37" t="n">
        <v>536</v>
      </c>
      <c r="B526" s="97" t="s">
        <v>2553</v>
      </c>
      <c r="C526" s="121" t="s">
        <v>95</v>
      </c>
      <c r="D526" s="121" t="s">
        <v>128</v>
      </c>
      <c r="E526" s="121" t="s">
        <v>15</v>
      </c>
      <c r="F526" s="98" t="n">
        <v>0</v>
      </c>
      <c r="G526" s="121" t="s">
        <v>2554</v>
      </c>
      <c r="H526" s="99" t="n">
        <v>90300</v>
      </c>
      <c r="I526" s="99" t="n">
        <v>90300</v>
      </c>
      <c r="J526" s="99" t="n">
        <v>0</v>
      </c>
      <c r="K526" s="99" t="n">
        <v>0</v>
      </c>
      <c r="L526" s="99" t="n">
        <v>0</v>
      </c>
      <c r="M526" s="99" t="n">
        <v>0</v>
      </c>
      <c r="N526" s="99" t="n">
        <v>0</v>
      </c>
      <c r="O526" s="42" t="n">
        <v>90300</v>
      </c>
    </row>
    <row r="527" spans="1:15">
      <c r="A527" s="37" t="n">
        <v>537</v>
      </c>
      <c r="B527" s="97" t="s">
        <v>1839</v>
      </c>
      <c r="C527" s="121" t="s">
        <v>131</v>
      </c>
      <c r="D527" s="121" t="s">
        <v>20</v>
      </c>
      <c r="E527" s="121" t="s">
        <v>21</v>
      </c>
      <c r="F527" s="121" t="s">
        <v>1840</v>
      </c>
      <c r="G527" s="121" t="s">
        <v>1842</v>
      </c>
      <c r="H527" s="99" t="n">
        <v>85980</v>
      </c>
      <c r="I527" s="99" t="n">
        <v>85980</v>
      </c>
      <c r="J527" s="99" t="n">
        <v>4299</v>
      </c>
      <c r="K527" s="99" t="n">
        <v>0</v>
      </c>
      <c r="L527" s="99" t="n">
        <v>0</v>
      </c>
      <c r="M527" s="99" t="n">
        <v>0</v>
      </c>
      <c r="N527" s="99" t="n">
        <v>0</v>
      </c>
      <c r="O527" s="42" t="n">
        <v>81681</v>
      </c>
    </row>
    <row r="528" spans="1:15">
      <c r="A528" s="37" t="n">
        <v>538</v>
      </c>
      <c r="B528" s="97" t="s">
        <v>2555</v>
      </c>
      <c r="C528" s="121" t="s">
        <v>95</v>
      </c>
      <c r="D528" s="121" t="s">
        <v>128</v>
      </c>
      <c r="E528" s="121" t="s">
        <v>15</v>
      </c>
      <c r="F528" s="98" t="n">
        <v>0</v>
      </c>
      <c r="G528" s="121" t="s">
        <v>2556</v>
      </c>
      <c r="H528" s="99" t="n">
        <v>85980</v>
      </c>
      <c r="I528" s="99" t="n">
        <v>85980</v>
      </c>
      <c r="J528" s="99" t="n">
        <v>0</v>
      </c>
      <c r="K528" s="99" t="n">
        <v>0</v>
      </c>
      <c r="L528" s="99" t="n">
        <v>0</v>
      </c>
      <c r="M528" s="99" t="n">
        <v>0</v>
      </c>
      <c r="N528" s="99" t="n">
        <v>0</v>
      </c>
      <c r="O528" s="42" t="n">
        <v>85980</v>
      </c>
    </row>
    <row r="529" spans="1:15">
      <c r="A529" s="37" t="n">
        <v>539</v>
      </c>
      <c r="B529" s="97" t="s">
        <v>2557</v>
      </c>
      <c r="C529" s="121" t="s">
        <v>95</v>
      </c>
      <c r="D529" s="121" t="s">
        <v>128</v>
      </c>
      <c r="E529" s="121" t="s">
        <v>15</v>
      </c>
      <c r="F529" s="98" t="n">
        <v>0</v>
      </c>
      <c r="G529" s="121" t="s">
        <v>2558</v>
      </c>
      <c r="H529" s="99" t="n">
        <v>85980</v>
      </c>
      <c r="I529" s="99" t="n">
        <v>85980</v>
      </c>
      <c r="J529" s="99" t="n">
        <v>0</v>
      </c>
      <c r="K529" s="99" t="n">
        <v>0</v>
      </c>
      <c r="L529" s="99" t="n">
        <v>0</v>
      </c>
      <c r="M529" s="99" t="n">
        <v>0</v>
      </c>
      <c r="N529" s="99" t="n">
        <v>0</v>
      </c>
      <c r="O529" s="42" t="n">
        <v>85980</v>
      </c>
    </row>
    <row r="530" spans="1:15">
      <c r="A530" s="37" t="n">
        <v>540</v>
      </c>
      <c r="B530" s="97" t="s">
        <v>2559</v>
      </c>
      <c r="C530" s="121" t="s">
        <v>95</v>
      </c>
      <c r="D530" s="121" t="s">
        <v>128</v>
      </c>
      <c r="E530" s="121" t="s">
        <v>15</v>
      </c>
      <c r="F530" s="98" t="n">
        <v>0</v>
      </c>
      <c r="G530" s="121" t="s">
        <v>2560</v>
      </c>
      <c r="H530" s="99" t="n">
        <v>85980</v>
      </c>
      <c r="I530" s="99" t="n">
        <v>85980</v>
      </c>
      <c r="J530" s="99" t="n">
        <v>0</v>
      </c>
      <c r="K530" s="99" t="n">
        <v>0</v>
      </c>
      <c r="L530" s="99" t="n">
        <v>0</v>
      </c>
      <c r="M530" s="99" t="n">
        <v>0</v>
      </c>
      <c r="N530" s="99" t="n">
        <v>0</v>
      </c>
      <c r="O530" s="42" t="n">
        <v>85980</v>
      </c>
    </row>
    <row r="531" spans="1:15">
      <c r="A531" s="37" t="n">
        <v>541</v>
      </c>
      <c r="B531" s="97" t="s">
        <v>1853</v>
      </c>
      <c r="C531" s="121" t="s">
        <v>58</v>
      </c>
      <c r="D531" s="121" t="s">
        <v>20</v>
      </c>
      <c r="E531" s="121" t="s">
        <v>21</v>
      </c>
      <c r="F531" s="121" t="s">
        <v>1854</v>
      </c>
      <c r="G531" s="121" t="s">
        <v>1855</v>
      </c>
      <c r="H531" s="99" t="n">
        <v>73170</v>
      </c>
      <c r="I531" s="99" t="n">
        <v>73170</v>
      </c>
      <c r="J531" s="99" t="n">
        <v>3659</v>
      </c>
      <c r="K531" s="99" t="n">
        <v>0</v>
      </c>
      <c r="L531" s="99" t="n">
        <v>0</v>
      </c>
      <c r="M531" s="99" t="n">
        <v>0</v>
      </c>
      <c r="N531" s="99" t="n">
        <v>0</v>
      </c>
      <c r="O531" s="42" t="n">
        <v>69511</v>
      </c>
    </row>
    <row r="532" spans="1:15">
      <c r="A532" s="37" t="n">
        <v>542</v>
      </c>
      <c r="B532" s="97" t="s">
        <v>2561</v>
      </c>
      <c r="C532" s="121" t="s">
        <v>58</v>
      </c>
      <c r="D532" s="121" t="s">
        <v>20</v>
      </c>
      <c r="E532" s="121" t="s">
        <v>21</v>
      </c>
      <c r="F532" s="121" t="s">
        <v>2562</v>
      </c>
      <c r="G532" s="121" t="s">
        <v>2563</v>
      </c>
      <c r="H532" s="99" t="n">
        <v>71010</v>
      </c>
      <c r="I532" s="99" t="n">
        <v>71010</v>
      </c>
      <c r="J532" s="99" t="n">
        <v>3551</v>
      </c>
      <c r="K532" s="99" t="n">
        <v>0</v>
      </c>
      <c r="L532" s="99" t="n">
        <v>0</v>
      </c>
      <c r="M532" s="99" t="n">
        <v>0</v>
      </c>
      <c r="N532" s="99" t="n">
        <v>0</v>
      </c>
      <c r="O532" s="42" t="n">
        <v>67459</v>
      </c>
    </row>
    <row r="533" spans="1:15">
      <c r="A533" s="37" t="n">
        <v>543</v>
      </c>
      <c r="B533" s="97" t="s">
        <v>1856</v>
      </c>
      <c r="C533" s="121" t="s">
        <v>58</v>
      </c>
      <c r="D533" s="121" t="s">
        <v>20</v>
      </c>
      <c r="E533" s="121" t="s">
        <v>21</v>
      </c>
      <c r="F533" s="121" t="s">
        <v>1857</v>
      </c>
      <c r="G533" s="121" t="s">
        <v>1858</v>
      </c>
      <c r="H533" s="99" t="n">
        <v>70080</v>
      </c>
      <c r="I533" s="99" t="n">
        <v>70080</v>
      </c>
      <c r="J533" s="99" t="n">
        <v>3504</v>
      </c>
      <c r="K533" s="99" t="n">
        <v>0</v>
      </c>
      <c r="L533" s="99" t="n">
        <v>0</v>
      </c>
      <c r="M533" s="99" t="n">
        <v>0</v>
      </c>
      <c r="N533" s="99" t="n">
        <v>0</v>
      </c>
      <c r="O533" s="42" t="n">
        <v>66576</v>
      </c>
    </row>
    <row r="534" spans="1:15">
      <c r="A534" s="37" t="n">
        <v>544</v>
      </c>
      <c r="B534" s="97" t="s">
        <v>1859</v>
      </c>
      <c r="C534" s="121" t="s">
        <v>58</v>
      </c>
      <c r="D534" s="121" t="s">
        <v>20</v>
      </c>
      <c r="E534" s="121" t="s">
        <v>21</v>
      </c>
      <c r="F534" s="121" t="s">
        <v>1860</v>
      </c>
      <c r="G534" s="121" t="s">
        <v>1861</v>
      </c>
      <c r="H534" s="99" t="n">
        <v>70080</v>
      </c>
      <c r="I534" s="99" t="n">
        <v>70080</v>
      </c>
      <c r="J534" s="99" t="n">
        <v>3504</v>
      </c>
      <c r="K534" s="99" t="n">
        <v>0</v>
      </c>
      <c r="L534" s="99" t="n">
        <v>0</v>
      </c>
      <c r="M534" s="99" t="n">
        <v>0</v>
      </c>
      <c r="N534" s="99" t="n">
        <v>0</v>
      </c>
      <c r="O534" s="42" t="n">
        <v>66576</v>
      </c>
    </row>
    <row r="535" spans="1:15">
      <c r="A535" s="37" t="n">
        <v>545</v>
      </c>
      <c r="B535" s="97" t="s">
        <v>1862</v>
      </c>
      <c r="C535" s="121" t="s">
        <v>58</v>
      </c>
      <c r="D535" s="121" t="s">
        <v>20</v>
      </c>
      <c r="E535" s="121" t="s">
        <v>21</v>
      </c>
      <c r="F535" s="121" t="s">
        <v>1863</v>
      </c>
      <c r="G535" s="121" t="s">
        <v>1865</v>
      </c>
      <c r="H535" s="99" t="n">
        <v>70080</v>
      </c>
      <c r="I535" s="99" t="n">
        <v>70080</v>
      </c>
      <c r="J535" s="99" t="n">
        <v>3504</v>
      </c>
      <c r="K535" s="99" t="n">
        <v>0</v>
      </c>
      <c r="L535" s="99" t="n">
        <v>0</v>
      </c>
      <c r="M535" s="99" t="n">
        <v>0</v>
      </c>
      <c r="N535" s="99" t="n">
        <v>0</v>
      </c>
      <c r="O535" s="42" t="n">
        <v>66576</v>
      </c>
    </row>
    <row r="536" spans="1:15">
      <c r="A536" s="37" t="n">
        <v>546</v>
      </c>
      <c r="B536" s="97" t="s">
        <v>1866</v>
      </c>
      <c r="C536" s="121" t="s">
        <v>58</v>
      </c>
      <c r="D536" s="121" t="s">
        <v>20</v>
      </c>
      <c r="E536" s="121" t="s">
        <v>21</v>
      </c>
      <c r="F536" s="121" t="s">
        <v>1867</v>
      </c>
      <c r="G536" s="121" t="s">
        <v>1869</v>
      </c>
      <c r="H536" s="99" t="n">
        <v>65760</v>
      </c>
      <c r="I536" s="99" t="n">
        <v>65760</v>
      </c>
      <c r="J536" s="99" t="n">
        <v>3288</v>
      </c>
      <c r="K536" s="99" t="n">
        <v>0</v>
      </c>
      <c r="L536" s="99" t="n">
        <v>0</v>
      </c>
      <c r="M536" s="99" t="n">
        <v>0</v>
      </c>
      <c r="N536" s="99" t="n">
        <v>0</v>
      </c>
      <c r="O536" s="42" t="n">
        <v>62472</v>
      </c>
    </row>
    <row r="537" spans="1:15">
      <c r="A537" s="37" t="n">
        <v>547</v>
      </c>
      <c r="B537" s="97" t="s">
        <v>1888</v>
      </c>
      <c r="C537" s="121" t="s">
        <v>283</v>
      </c>
      <c r="D537" s="121" t="s">
        <v>20</v>
      </c>
      <c r="E537" s="121" t="s">
        <v>21</v>
      </c>
      <c r="F537" s="121" t="s">
        <v>2074</v>
      </c>
      <c r="G537" s="121" t="s">
        <v>1889</v>
      </c>
      <c r="H537" s="99" t="n">
        <v>65760</v>
      </c>
      <c r="I537" s="99" t="n">
        <v>65760</v>
      </c>
      <c r="J537" s="99" t="n">
        <v>0</v>
      </c>
      <c r="K537" s="99" t="n">
        <v>0</v>
      </c>
      <c r="L537" s="99" t="n">
        <v>0</v>
      </c>
      <c r="M537" s="99" t="n">
        <v>0</v>
      </c>
      <c r="N537" s="99" t="n">
        <v>0</v>
      </c>
      <c r="O537" s="42" t="n">
        <v>65760</v>
      </c>
    </row>
    <row r="538" spans="1:15">
      <c r="A538" s="37" t="n">
        <v>548</v>
      </c>
      <c r="B538" s="97" t="s">
        <v>1890</v>
      </c>
      <c r="C538" s="121" t="s">
        <v>283</v>
      </c>
      <c r="D538" s="121" t="s">
        <v>20</v>
      </c>
      <c r="E538" s="121" t="s">
        <v>21</v>
      </c>
      <c r="F538" s="121" t="s">
        <v>2564</v>
      </c>
      <c r="G538" s="121" t="s">
        <v>1891</v>
      </c>
      <c r="H538" s="99" t="n">
        <v>65760</v>
      </c>
      <c r="I538" s="99" t="n">
        <v>65760</v>
      </c>
      <c r="J538" s="99" t="n">
        <v>0</v>
      </c>
      <c r="K538" s="99" t="n">
        <v>0</v>
      </c>
      <c r="L538" s="99" t="n">
        <v>0</v>
      </c>
      <c r="M538" s="99" t="n">
        <v>0</v>
      </c>
      <c r="N538" s="99" t="n">
        <v>0</v>
      </c>
      <c r="O538" s="42" t="n">
        <v>65760</v>
      </c>
    </row>
    <row r="539" spans="1:15">
      <c r="A539" s="37" t="n">
        <v>549</v>
      </c>
      <c r="B539" s="97" t="s">
        <v>2565</v>
      </c>
      <c r="C539" s="121" t="s">
        <v>120</v>
      </c>
      <c r="D539" s="121" t="s">
        <v>128</v>
      </c>
      <c r="E539" s="121" t="s">
        <v>15</v>
      </c>
      <c r="F539" s="98" t="n">
        <v>0</v>
      </c>
      <c r="G539" s="121" t="s">
        <v>2566</v>
      </c>
      <c r="H539" s="99" t="n">
        <v>67920</v>
      </c>
      <c r="I539" s="99" t="n">
        <v>67920</v>
      </c>
      <c r="J539" s="99" t="n">
        <v>0</v>
      </c>
      <c r="K539" s="99" t="n">
        <v>0</v>
      </c>
      <c r="L539" s="99" t="n">
        <v>0</v>
      </c>
      <c r="M539" s="99" t="n">
        <v>0</v>
      </c>
      <c r="N539" s="99" t="n">
        <v>0</v>
      </c>
      <c r="O539" s="42" t="n">
        <v>67920</v>
      </c>
    </row>
    <row r="540" spans="1:15">
      <c r="A540" s="37" t="n">
        <v>550</v>
      </c>
      <c r="B540" s="97" t="s">
        <v>1892</v>
      </c>
      <c r="C540" s="121" t="s">
        <v>283</v>
      </c>
      <c r="D540" s="121" t="s">
        <v>20</v>
      </c>
      <c r="E540" s="121" t="s">
        <v>21</v>
      </c>
      <c r="F540" s="121" t="s">
        <v>2567</v>
      </c>
      <c r="G540" s="121" t="s">
        <v>1893</v>
      </c>
      <c r="H540" s="99" t="n">
        <v>67920</v>
      </c>
      <c r="I540" s="99" t="n">
        <v>67920</v>
      </c>
      <c r="J540" s="99" t="n">
        <v>0</v>
      </c>
      <c r="K540" s="99" t="n">
        <v>0</v>
      </c>
      <c r="L540" s="99" t="n">
        <v>0</v>
      </c>
      <c r="M540" s="99" t="n">
        <v>0</v>
      </c>
      <c r="N540" s="99" t="n">
        <v>0</v>
      </c>
      <c r="O540" s="42" t="n">
        <v>67920</v>
      </c>
    </row>
    <row r="541" spans="1:15">
      <c r="A541" s="37" t="n">
        <v>551</v>
      </c>
      <c r="B541" s="97" t="s">
        <v>1894</v>
      </c>
      <c r="C541" s="121" t="s">
        <v>283</v>
      </c>
      <c r="D541" s="121" t="s">
        <v>20</v>
      </c>
      <c r="E541" s="121" t="s">
        <v>21</v>
      </c>
      <c r="F541" s="121" t="s">
        <v>2074</v>
      </c>
      <c r="G541" s="121" t="s">
        <v>1895</v>
      </c>
      <c r="H541" s="99" t="n">
        <v>65760</v>
      </c>
      <c r="I541" s="99" t="n">
        <v>65760</v>
      </c>
      <c r="J541" s="99" t="n">
        <v>0</v>
      </c>
      <c r="K541" s="99" t="n">
        <v>0</v>
      </c>
      <c r="L541" s="99" t="n">
        <v>0</v>
      </c>
      <c r="M541" s="99" t="n">
        <v>0</v>
      </c>
      <c r="N541" s="99" t="n">
        <v>0</v>
      </c>
      <c r="O541" s="42" t="n">
        <v>65760</v>
      </c>
    </row>
    <row r="542" spans="1:15">
      <c r="A542" s="37" t="n">
        <v>552</v>
      </c>
      <c r="B542" s="97" t="s">
        <v>461</v>
      </c>
      <c r="C542" s="121" t="s">
        <v>58</v>
      </c>
      <c r="D542" s="121" t="s">
        <v>20</v>
      </c>
      <c r="E542" s="121" t="s">
        <v>21</v>
      </c>
      <c r="F542" s="121" t="s">
        <v>462</v>
      </c>
      <c r="G542" s="121" t="s">
        <v>464</v>
      </c>
      <c r="H542" s="99" t="n">
        <v>144428</v>
      </c>
      <c r="I542" s="99" t="n">
        <v>144428</v>
      </c>
      <c r="J542" s="99" t="n">
        <v>7221</v>
      </c>
      <c r="K542" s="99" t="n">
        <v>0</v>
      </c>
      <c r="L542" s="99" t="n">
        <v>0</v>
      </c>
      <c r="M542" s="99" t="n">
        <v>0</v>
      </c>
      <c r="N542" s="99" t="n">
        <v>0</v>
      </c>
      <c r="O542" s="42" t="n">
        <v>137207</v>
      </c>
    </row>
    <row r="543" spans="1:15">
      <c r="A543" s="37" t="n">
        <v>553</v>
      </c>
      <c r="B543" s="97" t="s">
        <v>1896</v>
      </c>
      <c r="C543" s="121" t="s">
        <v>58</v>
      </c>
      <c r="D543" s="121" t="s">
        <v>20</v>
      </c>
      <c r="E543" s="121" t="s">
        <v>21</v>
      </c>
      <c r="F543" s="121" t="s">
        <v>1897</v>
      </c>
      <c r="G543" s="121" t="s">
        <v>1898</v>
      </c>
      <c r="H543" s="99" t="n">
        <v>109135</v>
      </c>
      <c r="I543" s="99" t="n">
        <v>109135</v>
      </c>
      <c r="J543" s="99" t="n">
        <v>5457</v>
      </c>
      <c r="K543" s="99" t="n">
        <v>0</v>
      </c>
      <c r="L543" s="99" t="n">
        <v>0</v>
      </c>
      <c r="M543" s="99" t="n">
        <v>0</v>
      </c>
      <c r="N543" s="99" t="n">
        <v>0</v>
      </c>
      <c r="O543" s="42" t="n">
        <v>103678</v>
      </c>
    </row>
    <row r="544" spans="1:15">
      <c r="A544" s="37" t="n">
        <v>554</v>
      </c>
      <c r="B544" s="97" t="s">
        <v>1899</v>
      </c>
      <c r="C544" s="121" t="s">
        <v>58</v>
      </c>
      <c r="D544" s="121" t="s">
        <v>20</v>
      </c>
      <c r="E544" s="121" t="s">
        <v>21</v>
      </c>
      <c r="F544" s="121" t="s">
        <v>1900</v>
      </c>
      <c r="G544" s="121" t="s">
        <v>1901</v>
      </c>
      <c r="H544" s="99" t="n">
        <v>106498</v>
      </c>
      <c r="I544" s="99" t="n">
        <v>106498</v>
      </c>
      <c r="J544" s="99" t="n">
        <v>5325</v>
      </c>
      <c r="K544" s="99" t="n">
        <v>0</v>
      </c>
      <c r="L544" s="99" t="n">
        <v>0</v>
      </c>
      <c r="M544" s="99" t="n">
        <v>0</v>
      </c>
      <c r="N544" s="99" t="n">
        <v>0</v>
      </c>
      <c r="O544" s="42" t="n">
        <v>101173</v>
      </c>
    </row>
    <row r="545" spans="1:15">
      <c r="A545" s="37" t="n">
        <v>555</v>
      </c>
      <c r="B545" s="97" t="s">
        <v>1902</v>
      </c>
      <c r="C545" s="121" t="s">
        <v>58</v>
      </c>
      <c r="D545" s="121" t="s">
        <v>20</v>
      </c>
      <c r="E545" s="121" t="s">
        <v>21</v>
      </c>
      <c r="F545" s="121" t="s">
        <v>1903</v>
      </c>
      <c r="G545" s="121" t="s">
        <v>1904</v>
      </c>
      <c r="H545" s="99" t="n">
        <v>106498</v>
      </c>
      <c r="I545" s="99" t="n">
        <v>106498</v>
      </c>
      <c r="J545" s="99" t="n">
        <v>5325</v>
      </c>
      <c r="K545" s="99" t="n">
        <v>0</v>
      </c>
      <c r="L545" s="99" t="n">
        <v>0</v>
      </c>
      <c r="M545" s="99" t="n">
        <v>0</v>
      </c>
      <c r="N545" s="99" t="n">
        <v>0</v>
      </c>
      <c r="O545" s="42" t="n">
        <v>101173</v>
      </c>
    </row>
    <row r="546" spans="1:15">
      <c r="A546" s="37" t="n">
        <v>556</v>
      </c>
      <c r="B546" s="97" t="s">
        <v>1907</v>
      </c>
      <c r="C546" s="121" t="s">
        <v>120</v>
      </c>
      <c r="D546" s="121" t="s">
        <v>124</v>
      </c>
      <c r="E546" s="121" t="s">
        <v>15</v>
      </c>
      <c r="F546" s="98" t="n">
        <v>0</v>
      </c>
      <c r="G546" s="121" t="s">
        <v>1908</v>
      </c>
      <c r="H546" s="99" t="n">
        <v>87342</v>
      </c>
      <c r="I546" s="99" t="n">
        <v>87342</v>
      </c>
      <c r="J546" s="99" t="n">
        <v>0</v>
      </c>
      <c r="K546" s="99" t="n">
        <v>0</v>
      </c>
      <c r="L546" s="99" t="n">
        <v>0</v>
      </c>
      <c r="M546" s="99" t="n">
        <v>0</v>
      </c>
      <c r="N546" s="99" t="n">
        <v>0</v>
      </c>
      <c r="O546" s="42" t="n">
        <v>87342</v>
      </c>
    </row>
    <row r="547" spans="1:15">
      <c r="A547" s="37" t="n">
        <v>557</v>
      </c>
      <c r="B547" s="97" t="s">
        <v>2568</v>
      </c>
      <c r="C547" s="121" t="s">
        <v>120</v>
      </c>
      <c r="D547" s="121" t="s">
        <v>128</v>
      </c>
      <c r="E547" s="121" t="s">
        <v>15</v>
      </c>
      <c r="F547" s="98" t="n">
        <v>0</v>
      </c>
      <c r="G547" s="121" t="s">
        <v>2569</v>
      </c>
      <c r="H547" s="99" t="n">
        <v>80748</v>
      </c>
      <c r="I547" s="99" t="n">
        <v>80748</v>
      </c>
      <c r="J547" s="99" t="n">
        <v>0</v>
      </c>
      <c r="K547" s="99" t="n">
        <v>0</v>
      </c>
      <c r="L547" s="99" t="n">
        <v>0</v>
      </c>
      <c r="M547" s="99" t="n">
        <v>0</v>
      </c>
      <c r="N547" s="99" t="n">
        <v>0</v>
      </c>
      <c r="O547" s="42" t="n">
        <v>80748</v>
      </c>
    </row>
    <row r="548" spans="1:15">
      <c r="A548" s="37" t="n">
        <v>558</v>
      </c>
      <c r="B548" s="97" t="s">
        <v>1905</v>
      </c>
      <c r="C548" s="121" t="s">
        <v>120</v>
      </c>
      <c r="D548" s="121" t="s">
        <v>128</v>
      </c>
      <c r="E548" s="121" t="s">
        <v>15</v>
      </c>
      <c r="F548" s="98" t="n">
        <v>0</v>
      </c>
      <c r="G548" s="121" t="s">
        <v>1906</v>
      </c>
      <c r="H548" s="99" t="n">
        <v>83538</v>
      </c>
      <c r="I548" s="99" t="n">
        <v>83538</v>
      </c>
      <c r="J548" s="99" t="n">
        <v>0</v>
      </c>
      <c r="K548" s="99" t="n">
        <v>0</v>
      </c>
      <c r="L548" s="99" t="n">
        <v>0</v>
      </c>
      <c r="M548" s="99" t="n">
        <v>0</v>
      </c>
      <c r="N548" s="99" t="n">
        <v>0</v>
      </c>
      <c r="O548" s="42" t="n">
        <v>83538</v>
      </c>
    </row>
    <row r="549" spans="1:15">
      <c r="A549" s="37" t="n">
        <v>559</v>
      </c>
      <c r="B549" s="97" t="s">
        <v>1909</v>
      </c>
      <c r="C549" s="121" t="s">
        <v>95</v>
      </c>
      <c r="D549" s="121" t="s">
        <v>124</v>
      </c>
      <c r="E549" s="121" t="s">
        <v>15</v>
      </c>
      <c r="F549" s="98" t="n">
        <v>0</v>
      </c>
      <c r="G549" s="121" t="s">
        <v>1910</v>
      </c>
      <c r="H549" s="99" t="n">
        <v>80748</v>
      </c>
      <c r="I549" s="99" t="n">
        <v>80748</v>
      </c>
      <c r="J549" s="99" t="n">
        <v>0</v>
      </c>
      <c r="K549" s="99" t="n">
        <v>0</v>
      </c>
      <c r="L549" s="99" t="n">
        <v>0</v>
      </c>
      <c r="M549" s="99" t="n">
        <v>0</v>
      </c>
      <c r="N549" s="99" t="n">
        <v>0</v>
      </c>
      <c r="O549" s="42" t="n">
        <v>80748</v>
      </c>
    </row>
    <row r="550" spans="1:15">
      <c r="A550" s="37" t="n">
        <v>560</v>
      </c>
      <c r="B550" s="97" t="s">
        <v>2570</v>
      </c>
      <c r="C550" s="121" t="s">
        <v>95</v>
      </c>
      <c r="D550" s="121" t="s">
        <v>128</v>
      </c>
      <c r="E550" s="121" t="s">
        <v>15</v>
      </c>
      <c r="F550" s="98" t="n">
        <v>0</v>
      </c>
      <c r="G550" s="121" t="s">
        <v>2571</v>
      </c>
      <c r="H550" s="99" t="n">
        <v>82608</v>
      </c>
      <c r="I550" s="99" t="n">
        <v>82608</v>
      </c>
      <c r="J550" s="99" t="n">
        <v>0</v>
      </c>
      <c r="K550" s="99" t="n">
        <v>0</v>
      </c>
      <c r="L550" s="99" t="n">
        <v>0</v>
      </c>
      <c r="M550" s="99" t="n">
        <v>0</v>
      </c>
      <c r="N550" s="99" t="n">
        <v>0</v>
      </c>
      <c r="O550" s="42" t="n">
        <v>82608</v>
      </c>
    </row>
    <row r="551" spans="1:15">
      <c r="A551" s="37" t="n">
        <v>561</v>
      </c>
      <c r="B551" s="97" t="s">
        <v>1911</v>
      </c>
      <c r="C551" s="121" t="s">
        <v>95</v>
      </c>
      <c r="D551" s="121" t="s">
        <v>124</v>
      </c>
      <c r="E551" s="121" t="s">
        <v>15</v>
      </c>
      <c r="F551" s="98" t="n">
        <v>0</v>
      </c>
      <c r="G551" s="121" t="s">
        <v>1912</v>
      </c>
      <c r="H551" s="99" t="n">
        <v>76792</v>
      </c>
      <c r="I551" s="99" t="n">
        <v>76792</v>
      </c>
      <c r="J551" s="99" t="n">
        <v>0</v>
      </c>
      <c r="K551" s="99" t="n">
        <v>0</v>
      </c>
      <c r="L551" s="99" t="n">
        <v>0</v>
      </c>
      <c r="M551" s="99" t="n">
        <v>0</v>
      </c>
      <c r="N551" s="99" t="n">
        <v>0</v>
      </c>
      <c r="O551" s="42" t="n">
        <v>76792</v>
      </c>
    </row>
    <row r="552" spans="1:15">
      <c r="A552" s="37" t="n">
        <v>562</v>
      </c>
      <c r="B552" s="97" t="s">
        <v>1924</v>
      </c>
      <c r="C552" s="121" t="s">
        <v>120</v>
      </c>
      <c r="D552" s="121" t="s">
        <v>278</v>
      </c>
      <c r="E552" s="121" t="s">
        <v>16</v>
      </c>
      <c r="F552" s="98" t="n">
        <v>0</v>
      </c>
      <c r="G552" s="121" t="s">
        <v>1925</v>
      </c>
      <c r="H552" s="99" t="n">
        <v>20228</v>
      </c>
      <c r="I552" s="99" t="n">
        <v>20228</v>
      </c>
      <c r="J552" s="99" t="n">
        <v>0</v>
      </c>
      <c r="K552" s="99" t="n">
        <v>0</v>
      </c>
      <c r="L552" s="99" t="n">
        <v>0</v>
      </c>
      <c r="M552" s="99" t="n">
        <v>0</v>
      </c>
      <c r="N552" s="99" t="n">
        <v>0</v>
      </c>
      <c r="O552" s="42" t="n">
        <v>20228</v>
      </c>
    </row>
    <row r="553" spans="1:15">
      <c r="A553" s="37" t="n">
        <v>563</v>
      </c>
      <c r="B553" s="97" t="s">
        <v>1926</v>
      </c>
      <c r="C553" s="121" t="s">
        <v>120</v>
      </c>
      <c r="D553" s="121" t="s">
        <v>128</v>
      </c>
      <c r="E553" s="121" t="s">
        <v>15</v>
      </c>
      <c r="F553" s="98" t="n">
        <v>0</v>
      </c>
      <c r="G553" s="121" t="s">
        <v>1927</v>
      </c>
      <c r="H553" s="99" t="n">
        <v>19298</v>
      </c>
      <c r="I553" s="99" t="n">
        <v>19298</v>
      </c>
      <c r="J553" s="99" t="n">
        <v>0</v>
      </c>
      <c r="K553" s="99" t="n">
        <v>0</v>
      </c>
      <c r="L553" s="99" t="n">
        <v>0</v>
      </c>
      <c r="M553" s="99" t="n">
        <v>0</v>
      </c>
      <c r="N553" s="99" t="n">
        <v>0</v>
      </c>
      <c r="O553" s="42" t="n">
        <v>19298</v>
      </c>
    </row>
    <row r="554" spans="1:15">
      <c r="A554" s="37" t="n">
        <v>564</v>
      </c>
      <c r="B554" s="97" t="s">
        <v>2572</v>
      </c>
      <c r="C554" s="121" t="s">
        <v>120</v>
      </c>
      <c r="D554" s="121" t="s">
        <v>128</v>
      </c>
      <c r="E554" s="121" t="s">
        <v>15</v>
      </c>
      <c r="F554" s="98" t="n">
        <v>0</v>
      </c>
      <c r="G554" s="121" t="s">
        <v>2573</v>
      </c>
      <c r="H554" s="99" t="n">
        <v>19298</v>
      </c>
      <c r="I554" s="99" t="n">
        <v>19298</v>
      </c>
      <c r="J554" s="99" t="n">
        <v>0</v>
      </c>
      <c r="K554" s="99" t="n">
        <v>0</v>
      </c>
      <c r="L554" s="99" t="n">
        <v>0</v>
      </c>
      <c r="M554" s="99" t="n">
        <v>0</v>
      </c>
      <c r="N554" s="99" t="n">
        <v>0</v>
      </c>
      <c r="O554" s="42" t="n">
        <v>19298</v>
      </c>
    </row>
    <row r="555" spans="1:15">
      <c r="A555" s="37" t="n">
        <v>565</v>
      </c>
      <c r="B555" s="97" t="s">
        <v>1928</v>
      </c>
      <c r="C555" s="121" t="s">
        <v>120</v>
      </c>
      <c r="D555" s="121" t="s">
        <v>128</v>
      </c>
      <c r="E555" s="121" t="s">
        <v>15</v>
      </c>
      <c r="F555" s="98" t="n">
        <v>0</v>
      </c>
      <c r="G555" s="121" t="s">
        <v>1929</v>
      </c>
      <c r="H555" s="99" t="n">
        <v>19298</v>
      </c>
      <c r="I555" s="99" t="n">
        <v>19298</v>
      </c>
      <c r="J555" s="99" t="n">
        <v>0</v>
      </c>
      <c r="K555" s="99" t="n">
        <v>0</v>
      </c>
      <c r="L555" s="99" t="n">
        <v>0</v>
      </c>
      <c r="M555" s="99" t="n">
        <v>0</v>
      </c>
      <c r="N555" s="99" t="n">
        <v>0</v>
      </c>
      <c r="O555" s="42" t="n">
        <v>19298</v>
      </c>
    </row>
    <row r="556" spans="1:15">
      <c r="A556" s="37" t="n">
        <v>566</v>
      </c>
      <c r="B556" s="97" t="s">
        <v>1930</v>
      </c>
      <c r="C556" s="121" t="s">
        <v>120</v>
      </c>
      <c r="D556" s="121" t="s">
        <v>128</v>
      </c>
      <c r="E556" s="121" t="s">
        <v>15</v>
      </c>
      <c r="F556" s="98" t="n">
        <v>0</v>
      </c>
      <c r="G556" s="121" t="s">
        <v>1931</v>
      </c>
      <c r="H556" s="99" t="n">
        <v>20228</v>
      </c>
      <c r="I556" s="99" t="n">
        <v>20228</v>
      </c>
      <c r="J556" s="99" t="n">
        <v>0</v>
      </c>
      <c r="K556" s="99" t="n">
        <v>0</v>
      </c>
      <c r="L556" s="99" t="n">
        <v>0</v>
      </c>
      <c r="M556" s="99" t="n">
        <v>0</v>
      </c>
      <c r="N556" s="99" t="n">
        <v>0</v>
      </c>
      <c r="O556" s="42" t="n">
        <v>20228</v>
      </c>
    </row>
    <row r="557" spans="1:15">
      <c r="A557" s="37" t="n">
        <v>567</v>
      </c>
      <c r="B557" s="97" t="s">
        <v>1932</v>
      </c>
      <c r="C557" s="121" t="s">
        <v>120</v>
      </c>
      <c r="D557" s="121" t="s">
        <v>128</v>
      </c>
      <c r="E557" s="121" t="s">
        <v>15</v>
      </c>
      <c r="F557" s="98" t="n">
        <v>0</v>
      </c>
      <c r="G557" s="121" t="s">
        <v>1933</v>
      </c>
      <c r="H557" s="99" t="n">
        <v>20228</v>
      </c>
      <c r="I557" s="99" t="n">
        <v>20228</v>
      </c>
      <c r="J557" s="99" t="n">
        <v>0</v>
      </c>
      <c r="K557" s="99" t="n">
        <v>0</v>
      </c>
      <c r="L557" s="99" t="n">
        <v>0</v>
      </c>
      <c r="M557" s="99" t="n">
        <v>0</v>
      </c>
      <c r="N557" s="99" t="n">
        <v>0</v>
      </c>
      <c r="O557" s="42" t="n">
        <v>20228</v>
      </c>
    </row>
    <row r="558" spans="1:15">
      <c r="A558" s="37" t="n">
        <v>568</v>
      </c>
      <c r="B558" s="97" t="s">
        <v>2574</v>
      </c>
      <c r="C558" s="121" t="s">
        <v>58</v>
      </c>
      <c r="D558" s="121" t="s">
        <v>128</v>
      </c>
      <c r="E558" s="121" t="s">
        <v>15</v>
      </c>
      <c r="F558" s="98" t="n">
        <v>0</v>
      </c>
      <c r="G558" s="121" t="s">
        <v>2575</v>
      </c>
      <c r="H558" s="99" t="n">
        <v>36271</v>
      </c>
      <c r="I558" s="99" t="n">
        <v>36271</v>
      </c>
      <c r="J558" s="99" t="n">
        <v>1814</v>
      </c>
      <c r="K558" s="99" t="n">
        <v>0</v>
      </c>
      <c r="L558" s="99" t="n">
        <v>0</v>
      </c>
      <c r="M558" s="99" t="n">
        <v>0</v>
      </c>
      <c r="N558" s="99" t="n">
        <v>0</v>
      </c>
      <c r="O558" s="42" t="n">
        <v>34457</v>
      </c>
    </row>
    <row r="559" spans="1:15">
      <c r="A559" s="37" t="n">
        <v>569</v>
      </c>
      <c r="B559" s="97" t="s">
        <v>426</v>
      </c>
      <c r="C559" s="121" t="s">
        <v>58</v>
      </c>
      <c r="D559" s="121" t="s">
        <v>20</v>
      </c>
      <c r="E559" s="121" t="s">
        <v>21</v>
      </c>
      <c r="F559" s="121" t="s">
        <v>427</v>
      </c>
      <c r="G559" s="121" t="s">
        <v>429</v>
      </c>
      <c r="H559" s="99" t="n">
        <v>38131</v>
      </c>
      <c r="I559" s="99" t="n">
        <v>38131</v>
      </c>
      <c r="J559" s="99" t="n">
        <v>1907</v>
      </c>
      <c r="K559" s="99" t="n">
        <v>0</v>
      </c>
      <c r="L559" s="99" t="n">
        <v>0</v>
      </c>
      <c r="M559" s="99" t="n">
        <v>0</v>
      </c>
      <c r="N559" s="99" t="n">
        <v>0</v>
      </c>
      <c r="O559" s="42" t="n">
        <v>36224</v>
      </c>
    </row>
    <row r="560" spans="1:15">
      <c r="A560" s="37" t="n">
        <v>570</v>
      </c>
      <c r="B560" s="97" t="s">
        <v>2003</v>
      </c>
      <c r="C560" s="121" t="s">
        <v>58</v>
      </c>
      <c r="D560" s="121" t="s">
        <v>20</v>
      </c>
      <c r="E560" s="121" t="s">
        <v>21</v>
      </c>
      <c r="F560" s="121" t="s">
        <v>22</v>
      </c>
      <c r="G560" s="121" t="s">
        <v>2005</v>
      </c>
      <c r="H560" s="99" t="n">
        <v>36271</v>
      </c>
      <c r="I560" s="99" t="n">
        <v>36271</v>
      </c>
      <c r="J560" s="99" t="n">
        <v>1814</v>
      </c>
      <c r="K560" s="99" t="n">
        <v>0</v>
      </c>
      <c r="L560" s="99" t="n">
        <v>0</v>
      </c>
      <c r="M560" s="99" t="n">
        <v>0</v>
      </c>
      <c r="N560" s="99" t="n">
        <v>0</v>
      </c>
      <c r="O560" s="42" t="n">
        <v>34457</v>
      </c>
    </row>
    <row r="561" spans="1:15">
      <c r="A561" s="37" t="n">
        <v>571</v>
      </c>
      <c r="B561" s="97" t="s">
        <v>1952</v>
      </c>
      <c r="C561" s="121" t="s">
        <v>58</v>
      </c>
      <c r="D561" s="121" t="s">
        <v>20</v>
      </c>
      <c r="E561" s="121" t="s">
        <v>21</v>
      </c>
      <c r="F561" s="121" t="s">
        <v>1953</v>
      </c>
      <c r="G561" s="121" t="s">
        <v>1954</v>
      </c>
      <c r="H561" s="99" t="n">
        <v>36271</v>
      </c>
      <c r="I561" s="99" t="n">
        <v>36271</v>
      </c>
      <c r="J561" s="99" t="n">
        <v>1814</v>
      </c>
      <c r="K561" s="99" t="n">
        <v>0</v>
      </c>
      <c r="L561" s="99" t="n">
        <v>0</v>
      </c>
      <c r="M561" s="99" t="n">
        <v>0</v>
      </c>
      <c r="N561" s="99" t="n">
        <v>0</v>
      </c>
      <c r="O561" s="42" t="n">
        <v>34457</v>
      </c>
    </row>
    <row r="562" spans="1:15">
      <c r="A562" s="37" t="n">
        <v>572</v>
      </c>
      <c r="B562" s="97" t="s">
        <v>1937</v>
      </c>
      <c r="C562" s="121" t="s">
        <v>19</v>
      </c>
      <c r="D562" s="121" t="s">
        <v>20</v>
      </c>
      <c r="E562" s="121" t="s">
        <v>21</v>
      </c>
      <c r="F562" s="121" t="s">
        <v>1938</v>
      </c>
      <c r="G562" s="121" t="s">
        <v>1939</v>
      </c>
      <c r="H562" s="99" t="n">
        <v>36271</v>
      </c>
      <c r="I562" s="99" t="n">
        <v>36271</v>
      </c>
      <c r="J562" s="99" t="n">
        <v>0</v>
      </c>
      <c r="K562" s="99" t="n">
        <v>5441</v>
      </c>
      <c r="L562" s="99" t="n">
        <v>0</v>
      </c>
      <c r="M562" s="99" t="n">
        <v>0</v>
      </c>
      <c r="N562" s="99" t="n">
        <v>0</v>
      </c>
      <c r="O562" s="42" t="n">
        <v>30830</v>
      </c>
    </row>
    <row r="563" spans="1:15">
      <c r="A563" s="37" t="n">
        <v>573</v>
      </c>
      <c r="B563" s="97" t="s">
        <v>18</v>
      </c>
      <c r="C563" s="121" t="s">
        <v>19</v>
      </c>
      <c r="D563" s="121" t="s">
        <v>20</v>
      </c>
      <c r="E563" s="121" t="s">
        <v>21</v>
      </c>
      <c r="F563" s="121" t="s">
        <v>22</v>
      </c>
      <c r="G563" s="121" t="s">
        <v>24</v>
      </c>
      <c r="H563" s="99" t="n">
        <v>38131</v>
      </c>
      <c r="I563" s="99" t="n">
        <v>38131</v>
      </c>
      <c r="J563" s="99" t="n">
        <v>0</v>
      </c>
      <c r="K563" s="99" t="n">
        <v>5720</v>
      </c>
      <c r="L563" s="99" t="n">
        <v>0</v>
      </c>
      <c r="M563" s="99" t="n">
        <v>0</v>
      </c>
      <c r="N563" s="99" t="n">
        <v>0</v>
      </c>
      <c r="O563" s="42" t="n">
        <v>32411</v>
      </c>
    </row>
    <row r="564" spans="1:15">
      <c r="A564" s="37" t="n">
        <v>574</v>
      </c>
      <c r="B564" s="97" t="s">
        <v>430</v>
      </c>
      <c r="C564" s="121" t="s">
        <v>58</v>
      </c>
      <c r="D564" s="121" t="s">
        <v>20</v>
      </c>
      <c r="E564" s="121" t="s">
        <v>21</v>
      </c>
      <c r="F564" s="121" t="s">
        <v>431</v>
      </c>
      <c r="G564" s="121" t="s">
        <v>433</v>
      </c>
      <c r="H564" s="99" t="n">
        <v>36271</v>
      </c>
      <c r="I564" s="99" t="n">
        <v>36271</v>
      </c>
      <c r="J564" s="99" t="n">
        <v>1814</v>
      </c>
      <c r="K564" s="99" t="n">
        <v>0</v>
      </c>
      <c r="L564" s="99" t="n">
        <v>0</v>
      </c>
      <c r="M564" s="99" t="n">
        <v>0</v>
      </c>
      <c r="N564" s="99" t="n">
        <v>0</v>
      </c>
      <c r="O564" s="42" t="n">
        <v>34457</v>
      </c>
    </row>
    <row r="565" spans="1:15">
      <c r="A565" s="37" t="n">
        <v>575</v>
      </c>
      <c r="B565" s="97" t="s">
        <v>1978</v>
      </c>
      <c r="C565" s="121" t="s">
        <v>58</v>
      </c>
      <c r="D565" s="121" t="s">
        <v>20</v>
      </c>
      <c r="E565" s="121" t="s">
        <v>21</v>
      </c>
      <c r="F565" s="121" t="s">
        <v>1979</v>
      </c>
      <c r="G565" s="121" t="s">
        <v>1981</v>
      </c>
      <c r="H565" s="99" t="n">
        <v>38131</v>
      </c>
      <c r="I565" s="99" t="n">
        <v>38131</v>
      </c>
      <c r="J565" s="99" t="n">
        <v>1907</v>
      </c>
      <c r="K565" s="99" t="n">
        <v>0</v>
      </c>
      <c r="L565" s="99" t="n">
        <v>0</v>
      </c>
      <c r="M565" s="99" t="n">
        <v>0</v>
      </c>
      <c r="N565" s="99" t="n">
        <v>0</v>
      </c>
      <c r="O565" s="42" t="n">
        <v>36224</v>
      </c>
    </row>
    <row r="566" spans="1:15">
      <c r="A566" s="37" t="n">
        <v>576</v>
      </c>
      <c r="B566" s="97" t="s">
        <v>2576</v>
      </c>
      <c r="C566" s="121" t="s">
        <v>19</v>
      </c>
      <c r="D566" s="121" t="s">
        <v>20</v>
      </c>
      <c r="E566" s="121" t="s">
        <v>21</v>
      </c>
      <c r="F566" s="121" t="s">
        <v>2577</v>
      </c>
      <c r="G566" s="121" t="s">
        <v>2578</v>
      </c>
      <c r="H566" s="99" t="n">
        <v>38131</v>
      </c>
      <c r="I566" s="99" t="n">
        <v>38131</v>
      </c>
      <c r="J566" s="99" t="n">
        <v>0</v>
      </c>
      <c r="K566" s="99" t="n">
        <v>5720</v>
      </c>
      <c r="L566" s="99" t="n">
        <v>0</v>
      </c>
      <c r="M566" s="99" t="n">
        <v>0</v>
      </c>
      <c r="N566" s="99" t="n">
        <v>0</v>
      </c>
      <c r="O566" s="42" t="n">
        <v>32411</v>
      </c>
    </row>
    <row r="567" spans="1:15">
      <c r="A567" s="37" t="n">
        <v>577</v>
      </c>
      <c r="B567" s="97" t="s">
        <v>446</v>
      </c>
      <c r="C567" s="121" t="s">
        <v>58</v>
      </c>
      <c r="D567" s="121" t="s">
        <v>20</v>
      </c>
      <c r="E567" s="121" t="s">
        <v>21</v>
      </c>
      <c r="F567" s="121" t="s">
        <v>447</v>
      </c>
      <c r="G567" s="121" t="s">
        <v>449</v>
      </c>
      <c r="H567" s="99" t="n">
        <v>36271</v>
      </c>
      <c r="I567" s="99" t="n">
        <v>36271</v>
      </c>
      <c r="J567" s="99" t="n">
        <v>1814</v>
      </c>
      <c r="K567" s="99" t="n">
        <v>0</v>
      </c>
      <c r="L567" s="99" t="n">
        <v>0</v>
      </c>
      <c r="M567" s="99" t="n">
        <v>0</v>
      </c>
      <c r="N567" s="99" t="n">
        <v>0</v>
      </c>
      <c r="O567" s="42" t="n">
        <v>34457</v>
      </c>
    </row>
    <row r="568" spans="1:15">
      <c r="A568" s="37" t="n">
        <v>578</v>
      </c>
      <c r="B568" s="97" t="s">
        <v>1967</v>
      </c>
      <c r="C568" s="121" t="s">
        <v>131</v>
      </c>
      <c r="D568" s="121" t="s">
        <v>20</v>
      </c>
      <c r="E568" s="121" t="s">
        <v>21</v>
      </c>
      <c r="F568" s="121" t="s">
        <v>1968</v>
      </c>
      <c r="G568" s="121" t="s">
        <v>1970</v>
      </c>
      <c r="H568" s="99" t="n">
        <v>36271</v>
      </c>
      <c r="I568" s="99" t="n">
        <v>36271</v>
      </c>
      <c r="J568" s="99" t="n">
        <v>1814</v>
      </c>
      <c r="K568" s="99" t="n">
        <v>0</v>
      </c>
      <c r="L568" s="99" t="n">
        <v>0</v>
      </c>
      <c r="M568" s="99" t="n">
        <v>0</v>
      </c>
      <c r="N568" s="99" t="n">
        <v>0</v>
      </c>
      <c r="O568" s="42" t="n">
        <v>34457</v>
      </c>
    </row>
    <row r="569" spans="1:15">
      <c r="A569" s="37" t="n">
        <v>579</v>
      </c>
      <c r="B569" s="97" t="s">
        <v>1955</v>
      </c>
      <c r="C569" s="121" t="s">
        <v>19</v>
      </c>
      <c r="D569" s="121" t="s">
        <v>20</v>
      </c>
      <c r="E569" s="121" t="s">
        <v>21</v>
      </c>
      <c r="F569" s="121" t="s">
        <v>1956</v>
      </c>
      <c r="G569" s="121" t="s">
        <v>1957</v>
      </c>
      <c r="H569" s="99" t="n">
        <v>15408271</v>
      </c>
      <c r="I569" s="99" t="n">
        <v>15408271</v>
      </c>
      <c r="J569" s="99" t="n">
        <v>0</v>
      </c>
      <c r="K569" s="99" t="n">
        <v>2311241</v>
      </c>
      <c r="L569" s="99" t="n">
        <v>0</v>
      </c>
      <c r="M569" s="99" t="n">
        <v>0</v>
      </c>
      <c r="N569" s="99" t="n">
        <v>0</v>
      </c>
      <c r="O569" s="42" t="n">
        <v>13097030</v>
      </c>
    </row>
    <row r="570" spans="1:15">
      <c r="A570" s="37" t="n">
        <v>580</v>
      </c>
      <c r="B570" s="97" t="s">
        <v>420</v>
      </c>
      <c r="C570" s="121" t="s">
        <v>58</v>
      </c>
      <c r="D570" s="121" t="s">
        <v>20</v>
      </c>
      <c r="E570" s="121" t="s">
        <v>21</v>
      </c>
      <c r="F570" s="121" t="s">
        <v>421</v>
      </c>
      <c r="G570" s="121" t="s">
        <v>422</v>
      </c>
      <c r="H570" s="99" t="n">
        <v>36271</v>
      </c>
      <c r="I570" s="99" t="n">
        <v>36271</v>
      </c>
      <c r="J570" s="99" t="n">
        <v>1814</v>
      </c>
      <c r="K570" s="99" t="n">
        <v>0</v>
      </c>
      <c r="L570" s="99" t="n">
        <v>0</v>
      </c>
      <c r="M570" s="99" t="n">
        <v>0</v>
      </c>
      <c r="N570" s="99" t="n">
        <v>0</v>
      </c>
      <c r="O570" s="42" t="n">
        <v>34457</v>
      </c>
    </row>
    <row r="571" spans="1:15">
      <c r="A571" s="37" t="n">
        <v>581</v>
      </c>
      <c r="B571" s="97" t="s">
        <v>423</v>
      </c>
      <c r="C571" s="121" t="s">
        <v>58</v>
      </c>
      <c r="D571" s="121" t="s">
        <v>20</v>
      </c>
      <c r="E571" s="121" t="s">
        <v>21</v>
      </c>
      <c r="F571" s="121" t="s">
        <v>424</v>
      </c>
      <c r="G571" s="121" t="s">
        <v>425</v>
      </c>
      <c r="H571" s="99" t="n">
        <v>38131</v>
      </c>
      <c r="I571" s="99" t="n">
        <v>38131</v>
      </c>
      <c r="J571" s="99" t="n">
        <v>1907</v>
      </c>
      <c r="K571" s="99" t="n">
        <v>0</v>
      </c>
      <c r="L571" s="99" t="n">
        <v>0</v>
      </c>
      <c r="M571" s="99" t="n">
        <v>0</v>
      </c>
      <c r="N571" s="99" t="n">
        <v>0</v>
      </c>
      <c r="O571" s="42" t="n">
        <v>36224</v>
      </c>
    </row>
    <row r="572" spans="1:15">
      <c r="A572" s="37" t="n">
        <v>582</v>
      </c>
      <c r="B572" s="97" t="s">
        <v>417</v>
      </c>
      <c r="C572" s="121" t="s">
        <v>19</v>
      </c>
      <c r="D572" s="121" t="s">
        <v>20</v>
      </c>
      <c r="E572" s="121" t="s">
        <v>21</v>
      </c>
      <c r="F572" s="121" t="s">
        <v>418</v>
      </c>
      <c r="G572" s="121" t="s">
        <v>419</v>
      </c>
      <c r="H572" s="99" t="n">
        <v>280981</v>
      </c>
      <c r="I572" s="99" t="n">
        <v>280981</v>
      </c>
      <c r="J572" s="99" t="n">
        <v>0</v>
      </c>
      <c r="K572" s="99" t="n">
        <v>42147</v>
      </c>
      <c r="L572" s="99" t="n">
        <v>0</v>
      </c>
      <c r="M572" s="99" t="n">
        <v>0</v>
      </c>
      <c r="N572" s="99" t="n">
        <v>0</v>
      </c>
      <c r="O572" s="42" t="n">
        <v>238834</v>
      </c>
    </row>
    <row r="573" spans="1:15">
      <c r="A573" s="37" t="n">
        <v>583</v>
      </c>
      <c r="B573" s="97" t="s">
        <v>434</v>
      </c>
      <c r="C573" s="121" t="s">
        <v>58</v>
      </c>
      <c r="D573" s="121" t="s">
        <v>20</v>
      </c>
      <c r="E573" s="121" t="s">
        <v>21</v>
      </c>
      <c r="F573" s="121" t="s">
        <v>435</v>
      </c>
      <c r="G573" s="121" t="s">
        <v>437</v>
      </c>
      <c r="H573" s="99" t="n">
        <v>771955</v>
      </c>
      <c r="I573" s="99" t="n">
        <v>771955</v>
      </c>
      <c r="J573" s="99" t="n">
        <v>38598</v>
      </c>
      <c r="K573" s="99" t="n">
        <v>0</v>
      </c>
      <c r="L573" s="99" t="n">
        <v>0</v>
      </c>
      <c r="M573" s="99" t="n">
        <v>0</v>
      </c>
      <c r="N573" s="99" t="n">
        <v>0</v>
      </c>
      <c r="O573" s="42" t="n">
        <v>733357</v>
      </c>
    </row>
    <row r="574" spans="1:15">
      <c r="A574" s="37" t="n">
        <v>584</v>
      </c>
      <c r="B574" s="97" t="s">
        <v>1943</v>
      </c>
      <c r="C574" s="121" t="s">
        <v>131</v>
      </c>
      <c r="D574" s="121" t="s">
        <v>20</v>
      </c>
      <c r="E574" s="121" t="s">
        <v>21</v>
      </c>
      <c r="F574" s="121" t="s">
        <v>1944</v>
      </c>
      <c r="G574" s="121" t="s">
        <v>1945</v>
      </c>
      <c r="H574" s="99" t="n">
        <v>216199</v>
      </c>
      <c r="I574" s="99" t="n">
        <v>216199</v>
      </c>
      <c r="J574" s="99" t="n">
        <v>10810</v>
      </c>
      <c r="K574" s="99" t="n">
        <v>0</v>
      </c>
      <c r="L574" s="99" t="n">
        <v>0</v>
      </c>
      <c r="M574" s="99" t="n">
        <v>0</v>
      </c>
      <c r="N574" s="99" t="n">
        <v>0</v>
      </c>
      <c r="O574" s="42" t="n">
        <v>205389</v>
      </c>
    </row>
    <row r="575" spans="1:15">
      <c r="A575" s="37" t="n">
        <v>585</v>
      </c>
      <c r="B575" s="97" t="s">
        <v>442</v>
      </c>
      <c r="C575" s="121" t="s">
        <v>131</v>
      </c>
      <c r="D575" s="121" t="s">
        <v>20</v>
      </c>
      <c r="E575" s="121" t="s">
        <v>21</v>
      </c>
      <c r="F575" s="121" t="s">
        <v>443</v>
      </c>
      <c r="G575" s="121" t="s">
        <v>445</v>
      </c>
      <c r="H575" s="99" t="n">
        <v>882991</v>
      </c>
      <c r="I575" s="99" t="n">
        <v>882991</v>
      </c>
      <c r="J575" s="99" t="n">
        <v>44150</v>
      </c>
      <c r="K575" s="99" t="n">
        <v>0</v>
      </c>
      <c r="L575" s="99" t="n">
        <v>0</v>
      </c>
      <c r="M575" s="99" t="n">
        <v>0</v>
      </c>
      <c r="N575" s="99" t="n">
        <v>0</v>
      </c>
      <c r="O575" s="42" t="n">
        <v>838841</v>
      </c>
    </row>
    <row r="576" spans="1:15">
      <c r="A576" s="37" t="n">
        <v>586</v>
      </c>
      <c r="B576" s="97" t="s">
        <v>82</v>
      </c>
      <c r="C576" s="121" t="s">
        <v>19</v>
      </c>
      <c r="D576" s="121" t="s">
        <v>20</v>
      </c>
      <c r="E576" s="121" t="s">
        <v>21</v>
      </c>
      <c r="F576" s="121" t="s">
        <v>83</v>
      </c>
      <c r="G576" s="121" t="s">
        <v>85</v>
      </c>
      <c r="H576" s="99" t="n">
        <v>24181</v>
      </c>
      <c r="I576" s="99" t="n">
        <v>24181</v>
      </c>
      <c r="J576" s="99" t="n">
        <v>0</v>
      </c>
      <c r="K576" s="99" t="n">
        <v>3627</v>
      </c>
      <c r="L576" s="99" t="n">
        <v>0</v>
      </c>
      <c r="M576" s="99" t="n">
        <v>0</v>
      </c>
      <c r="N576" s="99" t="n">
        <v>0</v>
      </c>
      <c r="O576" s="42" t="n">
        <v>20554</v>
      </c>
    </row>
    <row r="577" spans="1:15">
      <c r="A577" s="37" t="n">
        <v>587</v>
      </c>
      <c r="B577" s="97" t="s">
        <v>1994</v>
      </c>
      <c r="C577" s="121" t="s">
        <v>19</v>
      </c>
      <c r="D577" s="121" t="s">
        <v>20</v>
      </c>
      <c r="E577" s="121" t="s">
        <v>21</v>
      </c>
      <c r="F577" s="121" t="s">
        <v>1995</v>
      </c>
      <c r="G577" s="121" t="s">
        <v>1997</v>
      </c>
      <c r="H577" s="99" t="n">
        <v>26041</v>
      </c>
      <c r="I577" s="99" t="n">
        <v>26041</v>
      </c>
      <c r="J577" s="99" t="n">
        <v>0</v>
      </c>
      <c r="K577" s="99" t="n">
        <v>3906</v>
      </c>
      <c r="L577" s="99" t="n">
        <v>0</v>
      </c>
      <c r="M577" s="99" t="n">
        <v>0</v>
      </c>
      <c r="N577" s="99" t="n">
        <v>0</v>
      </c>
      <c r="O577" s="42" t="n">
        <v>22135</v>
      </c>
    </row>
    <row r="578" spans="1:15">
      <c r="A578" s="37" t="n">
        <v>588</v>
      </c>
      <c r="B578" s="97" t="s">
        <v>90</v>
      </c>
      <c r="C578" s="121" t="s">
        <v>58</v>
      </c>
      <c r="D578" s="121" t="s">
        <v>20</v>
      </c>
      <c r="E578" s="121" t="s">
        <v>21</v>
      </c>
      <c r="F578" s="121" t="s">
        <v>91</v>
      </c>
      <c r="G578" s="121" t="s">
        <v>93</v>
      </c>
      <c r="H578" s="99" t="n">
        <v>24181</v>
      </c>
      <c r="I578" s="99" t="n">
        <v>24181</v>
      </c>
      <c r="J578" s="99" t="n">
        <v>1209</v>
      </c>
      <c r="K578" s="99" t="n">
        <v>0</v>
      </c>
      <c r="L578" s="99" t="n">
        <v>0</v>
      </c>
      <c r="M578" s="99" t="n">
        <v>0</v>
      </c>
      <c r="N578" s="99" t="n">
        <v>0</v>
      </c>
      <c r="O578" s="42" t="n">
        <v>22972</v>
      </c>
    </row>
    <row r="579" spans="1:15">
      <c r="A579" s="37" t="n">
        <v>589</v>
      </c>
      <c r="B579" s="97" t="s">
        <v>2579</v>
      </c>
      <c r="C579" s="121" t="s">
        <v>58</v>
      </c>
      <c r="D579" s="121" t="s">
        <v>20</v>
      </c>
      <c r="E579" s="121" t="s">
        <v>21</v>
      </c>
      <c r="F579" s="121" t="s">
        <v>2580</v>
      </c>
      <c r="G579" s="121" t="s">
        <v>2581</v>
      </c>
      <c r="H579" s="99" t="n">
        <v>24181</v>
      </c>
      <c r="I579" s="99" t="n">
        <v>24181</v>
      </c>
      <c r="J579" s="99" t="n">
        <v>1209</v>
      </c>
      <c r="K579" s="99" t="n">
        <v>0</v>
      </c>
      <c r="L579" s="99" t="n">
        <v>0</v>
      </c>
      <c r="M579" s="99" t="n">
        <v>0</v>
      </c>
      <c r="N579" s="99" t="n">
        <v>0</v>
      </c>
      <c r="O579" s="42" t="n">
        <v>22972</v>
      </c>
    </row>
    <row r="580" spans="1:15">
      <c r="A580" s="37" t="n">
        <v>590</v>
      </c>
      <c r="B580" s="97" t="s">
        <v>86</v>
      </c>
      <c r="C580" s="121" t="s">
        <v>58</v>
      </c>
      <c r="D580" s="121" t="s">
        <v>20</v>
      </c>
      <c r="E580" s="121" t="s">
        <v>21</v>
      </c>
      <c r="F580" s="121" t="s">
        <v>87</v>
      </c>
      <c r="G580" s="121" t="s">
        <v>89</v>
      </c>
      <c r="H580" s="99" t="n">
        <v>24181</v>
      </c>
      <c r="I580" s="99" t="n">
        <v>24181</v>
      </c>
      <c r="J580" s="99" t="n">
        <v>1209</v>
      </c>
      <c r="K580" s="99" t="n">
        <v>0</v>
      </c>
      <c r="L580" s="99" t="n">
        <v>0</v>
      </c>
      <c r="M580" s="99" t="n">
        <v>0</v>
      </c>
      <c r="N580" s="99" t="n">
        <v>0</v>
      </c>
      <c r="O580" s="42" t="n">
        <v>22972</v>
      </c>
    </row>
    <row r="581" spans="1:15">
      <c r="A581" s="37" t="n">
        <v>591</v>
      </c>
      <c r="B581" s="97" t="s">
        <v>2582</v>
      </c>
      <c r="C581" s="121" t="s">
        <v>58</v>
      </c>
      <c r="D581" s="121" t="s">
        <v>128</v>
      </c>
      <c r="E581" s="121" t="s">
        <v>15</v>
      </c>
      <c r="F581" s="121" t="s">
        <v>2074</v>
      </c>
      <c r="G581" s="121" t="s">
        <v>2583</v>
      </c>
      <c r="H581" s="99" t="n">
        <v>24181</v>
      </c>
      <c r="I581" s="99" t="n">
        <v>24181</v>
      </c>
      <c r="J581" s="99" t="n">
        <v>1209</v>
      </c>
      <c r="K581" s="99" t="n">
        <v>0</v>
      </c>
      <c r="L581" s="99" t="n">
        <v>0</v>
      </c>
      <c r="M581" s="99" t="n">
        <v>0</v>
      </c>
      <c r="N581" s="99" t="n">
        <v>0</v>
      </c>
      <c r="O581" s="42" t="n">
        <v>22972</v>
      </c>
    </row>
    <row r="582" spans="1:15">
      <c r="A582" s="37" t="n">
        <v>592</v>
      </c>
      <c r="B582" s="97" t="s">
        <v>2006</v>
      </c>
      <c r="C582" s="121" t="s">
        <v>19</v>
      </c>
      <c r="D582" s="121" t="s">
        <v>20</v>
      </c>
      <c r="E582" s="121" t="s">
        <v>21</v>
      </c>
      <c r="F582" s="121" t="s">
        <v>22</v>
      </c>
      <c r="G582" s="121" t="s">
        <v>2007</v>
      </c>
      <c r="H582" s="99" t="n">
        <v>24181</v>
      </c>
      <c r="I582" s="99" t="n">
        <v>24181</v>
      </c>
      <c r="J582" s="99" t="n">
        <v>0</v>
      </c>
      <c r="K582" s="99" t="n">
        <v>3627</v>
      </c>
      <c r="L582" s="99" t="n">
        <v>0</v>
      </c>
      <c r="M582" s="99" t="n">
        <v>0</v>
      </c>
      <c r="N582" s="99" t="n">
        <v>0</v>
      </c>
      <c r="O582" s="42" t="n">
        <v>20554</v>
      </c>
    </row>
    <row r="583" spans="1:15">
      <c r="A583" s="37" t="n">
        <v>593</v>
      </c>
      <c r="B583" s="97" t="s">
        <v>2008</v>
      </c>
      <c r="C583" s="121" t="s">
        <v>19</v>
      </c>
      <c r="D583" s="121" t="s">
        <v>20</v>
      </c>
      <c r="E583" s="121" t="s">
        <v>21</v>
      </c>
      <c r="F583" s="121" t="s">
        <v>22</v>
      </c>
      <c r="G583" s="121" t="s">
        <v>2010</v>
      </c>
      <c r="H583" s="99" t="n">
        <v>38131</v>
      </c>
      <c r="I583" s="99" t="n">
        <v>38131</v>
      </c>
      <c r="J583" s="99" t="n">
        <v>0</v>
      </c>
      <c r="K583" s="99" t="n">
        <v>5720</v>
      </c>
      <c r="L583" s="99" t="n">
        <v>0</v>
      </c>
      <c r="M583" s="99" t="n">
        <v>0</v>
      </c>
      <c r="N583" s="99" t="n">
        <v>0</v>
      </c>
      <c r="O583" s="42" t="n">
        <v>32411</v>
      </c>
    </row>
    <row r="584" spans="1:15">
      <c r="A584" s="37" t="n">
        <v>594</v>
      </c>
      <c r="B584" s="97" t="s">
        <v>1940</v>
      </c>
      <c r="C584" s="121" t="s">
        <v>58</v>
      </c>
      <c r="D584" s="121" t="s">
        <v>20</v>
      </c>
      <c r="E584" s="121" t="s">
        <v>21</v>
      </c>
      <c r="F584" s="121" t="s">
        <v>1941</v>
      </c>
      <c r="G584" s="121" t="s">
        <v>1942</v>
      </c>
      <c r="H584" s="99" t="n">
        <v>2544181</v>
      </c>
      <c r="I584" s="99" t="n">
        <v>2544181</v>
      </c>
      <c r="J584" s="99" t="n">
        <v>127209</v>
      </c>
      <c r="K584" s="99" t="n">
        <v>0</v>
      </c>
      <c r="L584" s="99" t="n">
        <v>0</v>
      </c>
      <c r="M584" s="99" t="n">
        <v>0</v>
      </c>
      <c r="N584" s="99" t="n">
        <v>0</v>
      </c>
      <c r="O584" s="42" t="n">
        <v>2416972</v>
      </c>
    </row>
    <row r="585" spans="1:15">
      <c r="A585" s="66"/>
      <c r="B585" s="63"/>
      <c r="C585" s="100"/>
      <c r="D585" s="100"/>
      <c r="E585" s="100"/>
      <c r="F585" s="100"/>
      <c r="G585" s="100"/>
      <c r="H585" s="101"/>
      <c r="I585" s="101"/>
      <c r="J585" s="101"/>
      <c r="K585" s="101"/>
      <c r="L585" s="101"/>
      <c r="M585" s="101"/>
      <c r="N585" s="101"/>
      <c r="O585" s="42"/>
    </row>
    <row r="586" spans="1:15">
      <c r="A586" s="102"/>
      <c r="B586" s="103"/>
      <c r="C586" s="104"/>
      <c r="D586" s="104"/>
      <c r="E586" s="104"/>
      <c r="F586" s="104"/>
      <c r="G586" s="104"/>
      <c r="H586" s="105" t="n">
        <v>71721922</v>
      </c>
      <c r="I586" s="105" t="n">
        <v>71721922</v>
      </c>
      <c r="J586" s="105" t="n">
        <v>1197397</v>
      </c>
      <c r="K586" s="105" t="n">
        <v>3265963</v>
      </c>
      <c r="L586" s="105" t="n">
        <v>0</v>
      </c>
      <c r="M586" s="105" t="n">
        <v>0</v>
      </c>
      <c r="N586" s="105" t="n">
        <v>0</v>
      </c>
      <c r="O586" s="105" t="n">
        <v>67258562</v>
      </c>
    </row>
    <row r="587" spans="1:15">
      <c r="A587" s="37"/>
      <c r="B587" s="97"/>
      <c r="C587" s="98"/>
      <c r="D587" s="98"/>
      <c r="E587" s="98"/>
      <c r="F587" s="98"/>
      <c r="G587" s="98"/>
      <c r="H587" s="99"/>
      <c r="I587" s="99"/>
      <c r="J587" s="99"/>
      <c r="K587" s="99"/>
      <c r="L587" s="99"/>
      <c r="M587" s="99"/>
      <c r="N587" s="99"/>
      <c r="O587" s="42"/>
    </row>
    <row r="588" spans="1:15">
      <c r="A588" s="37"/>
      <c r="B588" s="59" t="s">
        <v>2013</v>
      </c>
      <c r="C588" s="98"/>
      <c r="D588" s="98"/>
      <c r="E588" s="98"/>
      <c r="F588" s="98"/>
      <c r="G588" s="98"/>
      <c r="H588" s="99"/>
      <c r="I588" s="99"/>
      <c r="J588" s="99"/>
      <c r="K588" s="99"/>
      <c r="L588" s="99"/>
      <c r="M588" s="99"/>
      <c r="N588" s="99"/>
      <c r="O588" s="42"/>
    </row>
    <row r="589" spans="1:15">
      <c r="A589" s="37" t="n">
        <v>599</v>
      </c>
      <c r="B589" s="97" t="s">
        <v>2584</v>
      </c>
      <c r="C589" s="121" t="s">
        <v>95</v>
      </c>
      <c r="D589" s="121" t="s">
        <v>128</v>
      </c>
      <c r="E589" s="121" t="s">
        <v>15</v>
      </c>
      <c r="F589" s="98" t="n">
        <v>0</v>
      </c>
      <c r="G589" s="121" t="s">
        <v>2585</v>
      </c>
      <c r="H589" s="99" t="n">
        <v>36271</v>
      </c>
      <c r="I589" s="99" t="n">
        <v>18135.5</v>
      </c>
      <c r="J589" s="99" t="n">
        <v>907</v>
      </c>
      <c r="K589" s="99" t="n">
        <v>0</v>
      </c>
      <c r="L589" s="99" t="n">
        <v>0</v>
      </c>
      <c r="M589" s="99" t="n">
        <v>0</v>
      </c>
      <c r="N589" s="99" t="n">
        <v>0</v>
      </c>
      <c r="O589" s="42" t="n">
        <v>35364</v>
      </c>
    </row>
    <row r="590" spans="1:15">
      <c r="A590" s="37" t="n">
        <v>600</v>
      </c>
      <c r="B590" s="97" t="s">
        <v>2586</v>
      </c>
      <c r="C590" s="121" t="s">
        <v>120</v>
      </c>
      <c r="D590" s="121" t="s">
        <v>128</v>
      </c>
      <c r="E590" s="121" t="s">
        <v>15</v>
      </c>
      <c r="F590" s="98" t="n">
        <v>0</v>
      </c>
      <c r="G590" s="121" t="s">
        <v>2587</v>
      </c>
      <c r="H590" s="99" t="n">
        <v>36271</v>
      </c>
      <c r="I590" s="99" t="n">
        <v>18135.5</v>
      </c>
      <c r="J590" s="99" t="n">
        <v>907</v>
      </c>
      <c r="K590" s="99" t="n">
        <v>0</v>
      </c>
      <c r="L590" s="99" t="n">
        <v>0</v>
      </c>
      <c r="M590" s="99" t="n">
        <v>0</v>
      </c>
      <c r="N590" s="99" t="n">
        <v>0</v>
      </c>
      <c r="O590" s="42" t="n">
        <v>35364</v>
      </c>
    </row>
    <row r="591" spans="1:15">
      <c r="A591" s="37" t="n">
        <v>601</v>
      </c>
      <c r="B591" s="97" t="s">
        <v>2024</v>
      </c>
      <c r="C591" s="121" t="s">
        <v>120</v>
      </c>
      <c r="D591" s="98" t="n">
        <v>0</v>
      </c>
      <c r="E591" s="121" t="s">
        <v>21</v>
      </c>
      <c r="F591" s="121" t="s">
        <v>2025</v>
      </c>
      <c r="G591" s="121" t="s">
        <v>2027</v>
      </c>
      <c r="H591" s="99" t="n">
        <v>36271</v>
      </c>
      <c r="I591" s="99" t="n">
        <v>18135.5</v>
      </c>
      <c r="J591" s="99" t="n">
        <v>0</v>
      </c>
      <c r="K591" s="99" t="n">
        <v>2720</v>
      </c>
      <c r="L591" s="99" t="n">
        <v>0</v>
      </c>
      <c r="M591" s="99" t="n">
        <v>0</v>
      </c>
      <c r="N591" s="99" t="n">
        <v>0</v>
      </c>
      <c r="O591" s="42" t="n">
        <v>33551</v>
      </c>
    </row>
    <row r="592" spans="1:15">
      <c r="A592" s="37" t="n">
        <v>602</v>
      </c>
      <c r="B592" s="97" t="s">
        <v>2588</v>
      </c>
      <c r="C592" s="121" t="s">
        <v>120</v>
      </c>
      <c r="D592" s="121" t="s">
        <v>128</v>
      </c>
      <c r="E592" s="121" t="s">
        <v>15</v>
      </c>
      <c r="F592" s="98" t="n">
        <v>0</v>
      </c>
      <c r="G592" s="121" t="s">
        <v>2589</v>
      </c>
      <c r="H592" s="99" t="n">
        <v>36271</v>
      </c>
      <c r="I592" s="99" t="n">
        <v>18135.5</v>
      </c>
      <c r="J592" s="99" t="n">
        <v>907</v>
      </c>
      <c r="K592" s="99" t="n">
        <v>0</v>
      </c>
      <c r="L592" s="99" t="n">
        <v>0</v>
      </c>
      <c r="M592" s="99" t="n">
        <v>0</v>
      </c>
      <c r="N592" s="99" t="n">
        <v>0</v>
      </c>
      <c r="O592" s="42" t="n">
        <v>35364</v>
      </c>
    </row>
    <row r="593" spans="1:15">
      <c r="A593" s="37" t="n">
        <v>603</v>
      </c>
      <c r="B593" s="97" t="s">
        <v>2040</v>
      </c>
      <c r="C593" s="121" t="s">
        <v>120</v>
      </c>
      <c r="D593" s="98" t="n">
        <v>0</v>
      </c>
      <c r="E593" s="121" t="s">
        <v>21</v>
      </c>
      <c r="F593" s="121" t="s">
        <v>2041</v>
      </c>
      <c r="G593" s="121" t="s">
        <v>2042</v>
      </c>
      <c r="H593" s="99" t="n">
        <v>36271</v>
      </c>
      <c r="I593" s="99" t="n">
        <v>18135.5</v>
      </c>
      <c r="J593" s="99" t="n">
        <v>907</v>
      </c>
      <c r="K593" s="99" t="n">
        <v>0</v>
      </c>
      <c r="L593" s="99" t="n">
        <v>0</v>
      </c>
      <c r="M593" s="99" t="n">
        <v>0</v>
      </c>
      <c r="N593" s="99" t="n">
        <v>0</v>
      </c>
      <c r="O593" s="42" t="n">
        <v>35364</v>
      </c>
    </row>
    <row r="594" spans="1:15">
      <c r="A594" s="37" t="n">
        <v>604</v>
      </c>
      <c r="B594" s="97" t="s">
        <v>2590</v>
      </c>
      <c r="C594" s="121" t="s">
        <v>120</v>
      </c>
      <c r="D594" s="121" t="s">
        <v>128</v>
      </c>
      <c r="E594" s="121" t="s">
        <v>15</v>
      </c>
      <c r="F594" s="98" t="n">
        <v>0</v>
      </c>
      <c r="G594" s="121" t="s">
        <v>2591</v>
      </c>
      <c r="H594" s="99" t="n">
        <v>36271</v>
      </c>
      <c r="I594" s="99" t="n">
        <v>18135.5</v>
      </c>
      <c r="J594" s="99" t="n">
        <v>907</v>
      </c>
      <c r="K594" s="99" t="n">
        <v>0</v>
      </c>
      <c r="L594" s="99" t="n">
        <v>0</v>
      </c>
      <c r="M594" s="99" t="n">
        <v>0</v>
      </c>
      <c r="N594" s="99" t="n">
        <v>0</v>
      </c>
      <c r="O594" s="42" t="n">
        <v>35364</v>
      </c>
    </row>
    <row r="595" spans="1:15">
      <c r="A595" s="37" t="n">
        <v>605</v>
      </c>
      <c r="B595" s="97" t="s">
        <v>2034</v>
      </c>
      <c r="C595" s="121" t="s">
        <v>120</v>
      </c>
      <c r="D595" s="98" t="n">
        <v>0</v>
      </c>
      <c r="E595" s="121" t="s">
        <v>21</v>
      </c>
      <c r="F595" s="121" t="s">
        <v>2035</v>
      </c>
      <c r="G595" s="121" t="s">
        <v>2036</v>
      </c>
      <c r="H595" s="99" t="n">
        <v>36271</v>
      </c>
      <c r="I595" s="99" t="n">
        <v>18135.5</v>
      </c>
      <c r="J595" s="99" t="n">
        <v>907</v>
      </c>
      <c r="K595" s="99" t="n">
        <v>0</v>
      </c>
      <c r="L595" s="99" t="n">
        <v>0</v>
      </c>
      <c r="M595" s="99" t="n">
        <v>0</v>
      </c>
      <c r="N595" s="99" t="n">
        <v>0</v>
      </c>
      <c r="O595" s="42" t="n">
        <v>35364</v>
      </c>
    </row>
    <row r="596" spans="1:15">
      <c r="A596" s="37" t="n">
        <v>606</v>
      </c>
      <c r="B596" s="97" t="s">
        <v>2592</v>
      </c>
      <c r="C596" s="121" t="s">
        <v>120</v>
      </c>
      <c r="D596" s="121" t="s">
        <v>128</v>
      </c>
      <c r="E596" s="121" t="s">
        <v>15</v>
      </c>
      <c r="F596" s="98" t="n">
        <v>0</v>
      </c>
      <c r="G596" s="121" t="s">
        <v>2593</v>
      </c>
      <c r="H596" s="99" t="n">
        <v>24181</v>
      </c>
      <c r="I596" s="99" t="n">
        <v>12090.5</v>
      </c>
      <c r="J596" s="99" t="n">
        <v>605</v>
      </c>
      <c r="K596" s="99" t="n">
        <v>0</v>
      </c>
      <c r="L596" s="99" t="n">
        <v>0</v>
      </c>
      <c r="M596" s="99" t="n">
        <v>0</v>
      </c>
      <c r="N596" s="99" t="n">
        <v>0</v>
      </c>
      <c r="O596" s="42" t="n">
        <v>23576</v>
      </c>
    </row>
    <row r="597" spans="1:15">
      <c r="A597" s="66"/>
      <c r="B597" s="63"/>
      <c r="C597" s="106"/>
      <c r="D597" s="106"/>
      <c r="E597" s="106"/>
      <c r="F597" s="106"/>
      <c r="G597" s="106"/>
      <c r="H597" s="101"/>
      <c r="I597" s="101"/>
      <c r="J597" s="101"/>
      <c r="K597" s="101"/>
      <c r="L597" s="101"/>
      <c r="M597" s="101"/>
      <c r="N597" s="101"/>
      <c r="O597" s="107"/>
    </row>
    <row r="598" spans="1:15">
      <c r="A598" s="102"/>
      <c r="B598" s="103"/>
      <c r="C598" s="104"/>
      <c r="D598" s="104"/>
      <c r="E598" s="104"/>
      <c r="F598" s="104"/>
      <c r="G598" s="104"/>
      <c r="H598" s="105" t="n">
        <v>278078</v>
      </c>
      <c r="I598" s="105" t="n">
        <v>139039</v>
      </c>
      <c r="J598" s="105" t="n">
        <v>6047</v>
      </c>
      <c r="K598" s="105" t="n">
        <v>2720</v>
      </c>
      <c r="L598" s="105" t="n">
        <v>0</v>
      </c>
      <c r="M598" s="105" t="n">
        <v>0</v>
      </c>
      <c r="N598" s="105" t="n">
        <v>0</v>
      </c>
      <c r="O598" s="110" t="n">
        <v>269311</v>
      </c>
    </row>
    <row r="599" spans="1:15">
      <c r="A599" s="66"/>
      <c r="B599" s="63"/>
      <c r="C599" s="106"/>
      <c r="D599" s="106"/>
      <c r="E599" s="106"/>
      <c r="F599" s="106"/>
      <c r="G599" s="106"/>
      <c r="H599" s="101"/>
      <c r="I599" s="101"/>
      <c r="J599" s="101"/>
      <c r="K599" s="101"/>
      <c r="L599" s="101"/>
      <c r="M599" s="101"/>
      <c r="N599" s="101"/>
      <c r="O599" s="107"/>
    </row>
    <row r="600" spans="1:15">
      <c r="A600" s="102"/>
      <c r="B600" s="103"/>
      <c r="C600" s="104"/>
      <c r="D600" s="104"/>
      <c r="E600" s="104"/>
      <c r="F600" s="104"/>
      <c r="G600" s="104"/>
      <c r="H600" s="105" t="n">
        <v>72000000</v>
      </c>
      <c r="I600" s="105" t="n">
        <v>71860961</v>
      </c>
      <c r="J600" s="105" t="n">
        <v>1203444</v>
      </c>
      <c r="K600" s="105" t="n">
        <v>3268683</v>
      </c>
      <c r="L600" s="105" t="n">
        <v>0</v>
      </c>
      <c r="M600" s="105" t="n">
        <v>0</v>
      </c>
      <c r="N600" s="105" t="n">
        <v>0</v>
      </c>
      <c r="O600" s="110" t="n">
        <v>67527873</v>
      </c>
    </row>
    <row r="601" spans="1:15">
      <c r="A601" s="73"/>
      <c r="B601" s="111"/>
      <c r="C601" s="74"/>
      <c r="D601" s="74"/>
      <c r="E601" s="74"/>
      <c r="F601" s="74"/>
      <c r="G601" s="74"/>
      <c r="H601" s="112"/>
      <c r="I601" s="112"/>
      <c r="J601" s="112"/>
      <c r="K601" s="112"/>
      <c r="L601" s="112"/>
      <c r="M601" s="112"/>
      <c r="N601" s="112"/>
      <c r="O601" s="112"/>
    </row>
    <row r="602" spans="1:15">
      <c r="A602" s="73"/>
      <c r="B602" s="111"/>
      <c r="C602" s="74"/>
      <c r="D602" s="74"/>
      <c r="E602" s="74"/>
      <c r="F602" s="74"/>
      <c r="G602" s="74" t="s">
        <v>2202</v>
      </c>
      <c r="H602" s="112"/>
      <c r="I602" s="112"/>
      <c r="J602" s="112"/>
      <c r="K602" s="112"/>
      <c r="L602" s="112"/>
      <c r="M602" s="112"/>
      <c r="N602" s="112"/>
      <c r="O602" s="112"/>
    </row>
    <row r="603" spans="1:15">
      <c r="A603" s="73"/>
      <c r="B603" s="113" t="s">
        <v>2594</v>
      </c>
      <c r="C603" s="74"/>
      <c r="D603" s="74"/>
      <c r="E603" s="74"/>
      <c r="F603" s="74"/>
      <c r="G603" s="74" t="s">
        <v>2595</v>
      </c>
      <c r="H603" s="112"/>
      <c r="I603" s="112"/>
      <c r="J603" s="112"/>
      <c r="K603" s="112"/>
      <c r="L603" s="112"/>
      <c r="M603" s="112"/>
      <c r="N603" s="112"/>
      <c r="O603" s="112"/>
    </row>
    <row r="604" spans="1:15">
      <c r="A604" s="73"/>
      <c r="B604" s="113" t="s">
        <v>2596</v>
      </c>
      <c r="C604" s="114"/>
      <c r="D604" s="114"/>
      <c r="E604" s="114"/>
      <c r="F604" s="114"/>
      <c r="G604" s="114" t="s">
        <v>2204</v>
      </c>
      <c r="H604" s="112"/>
      <c r="I604" s="112"/>
      <c r="J604" s="112"/>
      <c r="K604" s="112"/>
      <c r="L604" s="112"/>
      <c r="M604" s="112"/>
      <c r="N604" s="112"/>
      <c r="O604" s="112"/>
    </row>
    <row r="605" spans="1:15">
      <c r="A605" s="73"/>
      <c r="B605" s="111"/>
      <c r="C605" s="74"/>
      <c r="D605" s="74"/>
      <c r="E605" s="74"/>
      <c r="F605" s="74"/>
      <c r="G605" s="74"/>
      <c r="H605" s="112"/>
      <c r="I605" s="112"/>
      <c r="J605" s="112"/>
      <c r="K605" s="112"/>
      <c r="L605" s="112"/>
      <c r="M605" s="112"/>
      <c r="N605" s="112"/>
      <c r="O605" s="112"/>
    </row>
    <row r="606" spans="1:15">
      <c r="A606" s="73"/>
      <c r="B606" s="111"/>
      <c r="C606" s="74"/>
      <c r="D606" s="74"/>
      <c r="E606" s="74"/>
      <c r="F606" s="74"/>
      <c r="G606" s="74"/>
      <c r="H606" s="112"/>
      <c r="I606" s="112"/>
      <c r="J606" s="112"/>
      <c r="K606" s="112"/>
      <c r="L606" s="112"/>
      <c r="M606" s="112"/>
      <c r="N606" s="112"/>
      <c r="O606" s="112"/>
    </row>
    <row r="607" spans="1:15">
      <c r="A607" s="73"/>
      <c r="B607" s="111"/>
      <c r="C607" s="74"/>
      <c r="D607" s="74"/>
      <c r="E607" s="74"/>
      <c r="F607" s="74"/>
      <c r="G607" s="74"/>
      <c r="H607" s="112"/>
      <c r="I607" s="112"/>
      <c r="J607" s="112"/>
      <c r="K607" s="112"/>
      <c r="L607" s="112"/>
      <c r="M607" s="112"/>
      <c r="N607" s="112"/>
      <c r="O607" s="112"/>
    </row>
    <row r="608" spans="1:15">
      <c r="A608" s="73"/>
      <c r="B608" s="111"/>
      <c r="C608" s="115"/>
      <c r="D608" s="115"/>
      <c r="E608" s="115"/>
      <c r="F608" s="115"/>
      <c r="G608" s="115" t="s">
        <v>146</v>
      </c>
      <c r="H608" s="112"/>
      <c r="I608" s="112"/>
      <c r="J608" s="112"/>
      <c r="K608" s="112"/>
      <c r="L608" s="112"/>
      <c r="M608" s="112"/>
      <c r="N608" s="112"/>
      <c r="O608" s="112"/>
    </row>
    <row r="609" spans="1:15">
      <c r="A609" s="73"/>
      <c r="B609" s="111"/>
      <c r="C609" s="74"/>
      <c r="D609" s="74"/>
      <c r="E609" s="74"/>
      <c r="F609" s="74"/>
      <c r="G609" s="74" t="s">
        <v>2205</v>
      </c>
      <c r="H609" s="112"/>
      <c r="I609" s="112"/>
      <c r="J609" s="112"/>
      <c r="K609" s="112"/>
      <c r="L609" s="112"/>
      <c r="M609" s="112"/>
      <c r="N609" s="112"/>
      <c r="O609" s="112"/>
    </row>
    <row r="610" spans="1:15">
      <c r="A610" s="73"/>
      <c r="B610" s="111"/>
      <c r="C610" s="74"/>
      <c r="D610" s="74"/>
      <c r="E610" s="74"/>
      <c r="F610" s="74"/>
      <c r="G610" s="74" t="s">
        <v>2206</v>
      </c>
      <c r="H610" s="112"/>
      <c r="I610" s="112"/>
      <c r="J610" s="112"/>
      <c r="K610" s="112"/>
      <c r="L610" s="112"/>
      <c r="M610" s="112"/>
      <c r="N610" s="112"/>
      <c r="O610" s="112"/>
    </row>
  </sheetData>
  <mergeCells count="1">
    <mergeCell ref="D5:E5"/>
  </mergeCells>
  <conditionalFormatting sqref="G589:G596">
    <cfRule type="duplicateValues" dxfId="58" priority="1"/>
  </conditionalFormatting>
  <conditionalFormatting sqref="B589:B596">
    <cfRule type="duplicateValues" dxfId="59" priority="2"/>
  </conditionalFormatting>
  <conditionalFormatting sqref="F589:F596">
    <cfRule type="duplicateValues" dxfId="60" priority="3"/>
  </conditionalFormatting>
  <conditionalFormatting sqref="F597:F598">
    <cfRule type="duplicateValues" dxfId="61" priority="4"/>
  </conditionalFormatting>
  <conditionalFormatting sqref="G597:G598">
    <cfRule type="duplicateValues" dxfId="62" priority="5"/>
  </conditionalFormatting>
  <conditionalFormatting sqref="F586">
    <cfRule type="duplicateValues" dxfId="63" priority="6"/>
  </conditionalFormatting>
  <conditionalFormatting sqref="G586">
    <cfRule type="duplicateValues" dxfId="64" priority="7"/>
  </conditionalFormatting>
  <conditionalFormatting sqref="G579:G583">
    <cfRule type="duplicateValues" dxfId="65" priority="8"/>
  </conditionalFormatting>
  <conditionalFormatting sqref="B579:B583">
    <cfRule type="duplicateValues" dxfId="66" priority="9"/>
  </conditionalFormatting>
  <conditionalFormatting sqref="F579:F583">
    <cfRule type="duplicateValues" dxfId="67" priority="10"/>
  </conditionalFormatting>
  <conditionalFormatting sqref="G464:G465">
    <cfRule type="duplicateValues" dxfId="68" priority="11"/>
  </conditionalFormatting>
  <conditionalFormatting sqref="B464:B465">
    <cfRule type="duplicateValues" dxfId="69" priority="12"/>
  </conditionalFormatting>
  <conditionalFormatting sqref="F464:F465">
    <cfRule type="duplicateValues" dxfId="70" priority="13"/>
  </conditionalFormatting>
  <conditionalFormatting sqref="G452">
    <cfRule type="duplicateValues" dxfId="71" priority="14"/>
  </conditionalFormatting>
  <conditionalFormatting sqref="B452">
    <cfRule type="duplicateValues" dxfId="72" priority="15"/>
  </conditionalFormatting>
  <conditionalFormatting sqref="F452">
    <cfRule type="duplicateValues" dxfId="73" priority="16"/>
  </conditionalFormatting>
  <conditionalFormatting sqref="G420:G451 G453:G463 G466:G578 G584">
    <cfRule type="duplicateValues" dxfId="74" priority="17"/>
  </conditionalFormatting>
  <conditionalFormatting sqref="B420:B451 B453:B463 B466:B578 B584">
    <cfRule type="duplicateValues" dxfId="75" priority="18"/>
  </conditionalFormatting>
  <conditionalFormatting sqref="F420:F451 F453:F463 F466:F578 F584">
    <cfRule type="duplicateValues" dxfId="76" priority="19"/>
  </conditionalFormatting>
  <conditionalFormatting sqref="G419 G585 G587:G588">
    <cfRule type="duplicateValues" dxfId="77" priority="20"/>
  </conditionalFormatting>
  <conditionalFormatting sqref="B419 B585 B587:B588">
    <cfRule type="duplicateValues" dxfId="78" priority="21"/>
  </conditionalFormatting>
  <conditionalFormatting sqref="F419 F585 F587:F588">
    <cfRule type="duplicateValues" dxfId="79" priority="22"/>
  </conditionalFormatting>
  <conditionalFormatting sqref="B229:B418">
    <cfRule type="duplicateValues" dxfId="80" priority="23"/>
  </conditionalFormatting>
  <conditionalFormatting sqref="G229:G418">
    <cfRule type="duplicateValues" dxfId="81" priority="24"/>
  </conditionalFormatting>
  <conditionalFormatting sqref="B229:B418">
    <cfRule type="duplicateValues" dxfId="82" priority="25"/>
  </conditionalFormatting>
  <conditionalFormatting sqref="F229:F418">
    <cfRule type="duplicateValues" dxfId="83" priority="26"/>
  </conditionalFormatting>
  <conditionalFormatting sqref="B199:B228">
    <cfRule type="duplicateValues" dxfId="84" priority="27"/>
  </conditionalFormatting>
  <conditionalFormatting sqref="F199:F228">
    <cfRule type="duplicateValues" dxfId="85" priority="28"/>
  </conditionalFormatting>
  <conditionalFormatting sqref="G199:G228">
    <cfRule type="duplicateValues" dxfId="86" priority="29"/>
  </conditionalFormatting>
  <conditionalFormatting sqref="G199:G228">
    <cfRule type="duplicateValues" dxfId="87" priority="30"/>
  </conditionalFormatting>
  <conditionalFormatting sqref="B199:B228">
    <cfRule type="duplicateValues" dxfId="88" priority="31"/>
  </conditionalFormatting>
  <conditionalFormatting sqref="B199:B228">
    <cfRule type="duplicateValues" dxfId="89" priority="32"/>
  </conditionalFormatting>
  <conditionalFormatting sqref="F199:F228">
    <cfRule type="duplicateValues" dxfId="90" priority="33"/>
  </conditionalFormatting>
  <conditionalFormatting sqref="F199:F228">
    <cfRule type="duplicateValues" dxfId="91" priority="34"/>
  </conditionalFormatting>
  <conditionalFormatting sqref="F137">
    <cfRule type="duplicateValues" dxfId="92" priority="35"/>
  </conditionalFormatting>
  <conditionalFormatting sqref="G137">
    <cfRule type="duplicateValues" dxfId="93" priority="36"/>
  </conditionalFormatting>
  <conditionalFormatting sqref="B137">
    <cfRule type="duplicateValues" dxfId="94" priority="37"/>
  </conditionalFormatting>
  <conditionalFormatting sqref="G138:G143">
    <cfRule type="duplicateValues" dxfId="95" priority="38"/>
  </conditionalFormatting>
  <conditionalFormatting sqref="B138:B143">
    <cfRule type="duplicateValues" dxfId="96" priority="39"/>
  </conditionalFormatting>
  <conditionalFormatting sqref="F138:F143">
    <cfRule type="duplicateValues" dxfId="97" priority="40"/>
  </conditionalFormatting>
  <conditionalFormatting sqref="G159:G198">
    <cfRule type="duplicateValues" dxfId="98" priority="41"/>
  </conditionalFormatting>
  <conditionalFormatting sqref="B159:B198">
    <cfRule type="duplicateValues" dxfId="99" priority="42"/>
  </conditionalFormatting>
  <conditionalFormatting sqref="F159:F198">
    <cfRule type="duplicateValues" dxfId="100" priority="43"/>
  </conditionalFormatting>
  <conditionalFormatting sqref="F137 F144:F198">
    <cfRule type="duplicateValues" dxfId="101" priority="44"/>
  </conditionalFormatting>
  <conditionalFormatting sqref="B1:B198 B419 B585:B588 B597:B602 B605:B610">
    <cfRule type="duplicateValues" dxfId="102" priority="45"/>
  </conditionalFormatting>
  <conditionalFormatting sqref="F26">
    <cfRule type="duplicateValues" dxfId="103" priority="46"/>
  </conditionalFormatting>
  <conditionalFormatting sqref="G26">
    <cfRule type="duplicateValues" dxfId="104" priority="47"/>
  </conditionalFormatting>
  <conditionalFormatting sqref="B26">
    <cfRule type="duplicateValues" dxfId="105" priority="48"/>
  </conditionalFormatting>
  <conditionalFormatting sqref="F98:F136">
    <cfRule type="duplicateValues" dxfId="106" priority="49"/>
  </conditionalFormatting>
  <conditionalFormatting sqref="F98:F136">
    <cfRule type="duplicateValues" dxfId="107" priority="50"/>
  </conditionalFormatting>
  <conditionalFormatting sqref="G98:G136">
    <cfRule type="duplicateValues" dxfId="108" priority="51"/>
  </conditionalFormatting>
  <conditionalFormatting sqref="B98:B136">
    <cfRule type="duplicateValues" dxfId="109" priority="52"/>
  </conditionalFormatting>
  <conditionalFormatting sqref="F1:F6 F137 F144:F198 F599:F610">
    <cfRule type="duplicateValues" dxfId="110" priority="53"/>
  </conditionalFormatting>
  <conditionalFormatting sqref="G1:G198 G599:G610">
    <cfRule type="duplicateValues" dxfId="111" priority="54"/>
  </conditionalFormatting>
  <conditionalFormatting sqref="B7:B198">
    <cfRule type="duplicateValues" dxfId="112" priority="55"/>
  </conditionalFormatting>
  <conditionalFormatting sqref="F7:F143">
    <cfRule type="duplicateValues" dxfId="113" priority="56"/>
  </conditionalFormatting>
  <printOptions>
    <extLst>
      <ext uri="smNativeData">
        <pm:pageFlags xmlns:pm="smNativeData" id="175973252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9732528" l="56" r="56" t="56" b="56" borderId="0" fillId="0" vertical="0"/>
        <pm:footer xmlns:pm="smNativeData" id="1759732528" l="56" r="56" t="56" b="56" borderId="0" fillId="0" vertical="2"/>
      </ext>
    </extLst>
  </headerFooter>
  <extLst>
    <ext uri="smNativeData">
      <pm:sheetPrefs xmlns:pm="smNativeData" day="175973252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O618"/>
  <sheetViews>
    <sheetView view="normal" zoomScale="90" workbookViewId="0">
      <selection activeCell="R5" sqref="A1:XFD1048576"/>
    </sheetView>
  </sheetViews>
  <sheetFormatPr defaultRowHeight="15.40"/>
  <cols>
    <col min="1" max="1" width="4.241071" customWidth="1"/>
    <col min="2" max="2" width="69.669643" customWidth="1"/>
    <col min="3" max="3" width="7.348214" customWidth="1"/>
    <col min="4" max="4" width="5.330357" customWidth="1"/>
    <col min="5" max="5" width="5.214286" customWidth="1"/>
    <col min="6" max="6" width="17.946429" customWidth="1"/>
    <col min="7" max="7" width="11.517857" customWidth="1"/>
    <col min="8" max="9" width="15.982143" customWidth="1"/>
    <col min="10" max="11" width="14.928571" customWidth="1"/>
    <col min="12" max="14" width="7.589286" customWidth="1"/>
    <col min="15" max="15" width="15.982143" customWidth="1"/>
    <col min="16" max="16384" width="10.000000" customWidth="1"/>
  </cols>
  <sheetData>
    <row r="1" spans="1:15">
      <c r="A1" s="73"/>
      <c r="B1" s="8" t="s">
        <v>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</row>
    <row r="2" spans="1:15">
      <c r="A2" s="73"/>
      <c r="B2" s="13" t="s">
        <v>2207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16"/>
      <c r="B3" s="88" t="s">
        <v>2597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>
      <c r="A4" s="19"/>
      <c r="B4" s="20"/>
      <c r="C4" s="22"/>
      <c r="D4" s="22"/>
      <c r="E4" s="22"/>
      <c r="F4" s="22"/>
      <c r="G4" s="22"/>
      <c r="H4" s="24"/>
      <c r="I4" s="24"/>
      <c r="J4" s="24"/>
      <c r="K4" s="24"/>
      <c r="L4" s="24"/>
      <c r="M4" s="24"/>
      <c r="N4" s="24"/>
      <c r="O4" s="24"/>
    </row>
    <row r="5" spans="1:15">
      <c r="A5" s="89" t="s">
        <v>3</v>
      </c>
      <c r="B5" s="90" t="s">
        <v>4</v>
      </c>
      <c r="C5" s="27" t="s">
        <v>5</v>
      </c>
      <c r="D5" s="27" t="s">
        <v>6</v>
      </c>
      <c r="E5" s="27"/>
      <c r="F5" s="27" t="s">
        <v>7</v>
      </c>
      <c r="G5" s="27" t="s">
        <v>9</v>
      </c>
      <c r="H5" s="91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30" t="s">
        <v>17</v>
      </c>
    </row>
    <row r="6" spans="1:15">
      <c r="A6" s="92"/>
      <c r="B6" s="93"/>
      <c r="C6" s="94"/>
      <c r="D6" s="94"/>
      <c r="E6" s="94"/>
      <c r="F6" s="94"/>
      <c r="G6" s="94"/>
      <c r="H6" s="95"/>
      <c r="I6" s="95"/>
      <c r="J6" s="95"/>
      <c r="K6" s="95"/>
      <c r="L6" s="95"/>
      <c r="M6" s="95"/>
      <c r="N6" s="95"/>
      <c r="O6" s="96"/>
    </row>
    <row r="7" spans="1:15">
      <c r="A7" s="37" t="n">
        <v>1</v>
      </c>
      <c r="B7" s="97" t="s">
        <v>2209</v>
      </c>
      <c r="C7" s="121" t="s">
        <v>19</v>
      </c>
      <c r="D7" s="121" t="s">
        <v>20</v>
      </c>
      <c r="E7" s="121" t="s">
        <v>21</v>
      </c>
      <c r="F7" s="98" t="n">
        <v>0</v>
      </c>
      <c r="G7" s="121" t="s">
        <v>2210</v>
      </c>
      <c r="H7" s="99" t="n">
        <v>584284</v>
      </c>
      <c r="I7" s="99" t="n">
        <v>584284</v>
      </c>
      <c r="J7" s="99" t="n">
        <v>0</v>
      </c>
      <c r="K7" s="99" t="n">
        <v>87643</v>
      </c>
      <c r="L7" s="99" t="n">
        <v>0</v>
      </c>
      <c r="M7" s="99" t="n">
        <v>0</v>
      </c>
      <c r="N7" s="99" t="n">
        <v>0</v>
      </c>
      <c r="O7" s="42" t="n">
        <v>496641</v>
      </c>
    </row>
    <row r="8" spans="1:15">
      <c r="A8" s="37" t="n">
        <v>2</v>
      </c>
      <c r="B8" s="97" t="s">
        <v>2211</v>
      </c>
      <c r="C8" s="121" t="s">
        <v>19</v>
      </c>
      <c r="D8" s="121" t="s">
        <v>20</v>
      </c>
      <c r="E8" s="121" t="s">
        <v>21</v>
      </c>
      <c r="F8" s="121" t="s">
        <v>2074</v>
      </c>
      <c r="G8" s="121" t="s">
        <v>2212</v>
      </c>
      <c r="H8" s="99" t="n">
        <v>409029</v>
      </c>
      <c r="I8" s="99" t="n">
        <v>409029</v>
      </c>
      <c r="J8" s="99" t="n">
        <v>0</v>
      </c>
      <c r="K8" s="99" t="n">
        <v>61354</v>
      </c>
      <c r="L8" s="99" t="n">
        <v>0</v>
      </c>
      <c r="M8" s="99" t="n">
        <v>0</v>
      </c>
      <c r="N8" s="99" t="n">
        <v>0</v>
      </c>
      <c r="O8" s="42" t="n">
        <v>347675</v>
      </c>
    </row>
    <row r="9" spans="1:15">
      <c r="A9" s="37" t="n">
        <v>3</v>
      </c>
      <c r="B9" s="97" t="s">
        <v>2213</v>
      </c>
      <c r="C9" s="121" t="s">
        <v>19</v>
      </c>
      <c r="D9" s="121" t="s">
        <v>20</v>
      </c>
      <c r="E9" s="121" t="s">
        <v>21</v>
      </c>
      <c r="F9" s="121" t="s">
        <v>2074</v>
      </c>
      <c r="G9" s="121" t="s">
        <v>2214</v>
      </c>
      <c r="H9" s="99" t="n">
        <v>233731</v>
      </c>
      <c r="I9" s="99" t="n">
        <v>233731</v>
      </c>
      <c r="J9" s="99" t="n">
        <v>0</v>
      </c>
      <c r="K9" s="99" t="n">
        <v>35060</v>
      </c>
      <c r="L9" s="99" t="n">
        <v>0</v>
      </c>
      <c r="M9" s="99" t="n">
        <v>0</v>
      </c>
      <c r="N9" s="99" t="n">
        <v>0</v>
      </c>
      <c r="O9" s="42" t="n">
        <v>198671</v>
      </c>
    </row>
    <row r="10" spans="1:15">
      <c r="A10" s="37" t="n">
        <v>4</v>
      </c>
      <c r="B10" s="97" t="s">
        <v>2215</v>
      </c>
      <c r="C10" s="121" t="s">
        <v>19</v>
      </c>
      <c r="D10" s="121" t="s">
        <v>20</v>
      </c>
      <c r="E10" s="121" t="s">
        <v>21</v>
      </c>
      <c r="F10" s="121" t="s">
        <v>2074</v>
      </c>
      <c r="G10" s="121" t="s">
        <v>2216</v>
      </c>
      <c r="H10" s="99" t="n">
        <v>233731</v>
      </c>
      <c r="I10" s="99" t="n">
        <v>233731</v>
      </c>
      <c r="J10" s="99" t="n">
        <v>0</v>
      </c>
      <c r="K10" s="99" t="n">
        <v>35060</v>
      </c>
      <c r="L10" s="99" t="n">
        <v>0</v>
      </c>
      <c r="M10" s="99" t="n">
        <v>0</v>
      </c>
      <c r="N10" s="99" t="n">
        <v>0</v>
      </c>
      <c r="O10" s="42" t="n">
        <v>198671</v>
      </c>
    </row>
    <row r="11" spans="1:15">
      <c r="A11" s="37" t="n">
        <v>5</v>
      </c>
      <c r="B11" s="97" t="s">
        <v>2217</v>
      </c>
      <c r="C11" s="121" t="s">
        <v>19</v>
      </c>
      <c r="D11" s="121" t="s">
        <v>20</v>
      </c>
      <c r="E11" s="121" t="s">
        <v>21</v>
      </c>
      <c r="F11" s="121" t="s">
        <v>2074</v>
      </c>
      <c r="G11" s="121" t="s">
        <v>2218</v>
      </c>
      <c r="H11" s="99" t="n">
        <v>233731</v>
      </c>
      <c r="I11" s="99" t="n">
        <v>233731</v>
      </c>
      <c r="J11" s="99" t="n">
        <v>0</v>
      </c>
      <c r="K11" s="99" t="n">
        <v>35060</v>
      </c>
      <c r="L11" s="99" t="n">
        <v>0</v>
      </c>
      <c r="M11" s="99" t="n">
        <v>0</v>
      </c>
      <c r="N11" s="99" t="n">
        <v>0</v>
      </c>
      <c r="O11" s="42" t="n">
        <v>198671</v>
      </c>
    </row>
    <row r="12" spans="1:15">
      <c r="A12" s="37" t="n">
        <v>6</v>
      </c>
      <c r="B12" s="97" t="s">
        <v>2219</v>
      </c>
      <c r="C12" s="121" t="s">
        <v>19</v>
      </c>
      <c r="D12" s="121" t="s">
        <v>20</v>
      </c>
      <c r="E12" s="121" t="s">
        <v>21</v>
      </c>
      <c r="F12" s="121" t="s">
        <v>2074</v>
      </c>
      <c r="G12" s="121" t="s">
        <v>2220</v>
      </c>
      <c r="H12" s="99" t="n">
        <v>233731</v>
      </c>
      <c r="I12" s="99" t="n">
        <v>233731</v>
      </c>
      <c r="J12" s="99" t="n">
        <v>0</v>
      </c>
      <c r="K12" s="99" t="n">
        <v>35060</v>
      </c>
      <c r="L12" s="99" t="n">
        <v>0</v>
      </c>
      <c r="M12" s="99" t="n">
        <v>0</v>
      </c>
      <c r="N12" s="99" t="n">
        <v>0</v>
      </c>
      <c r="O12" s="42" t="n">
        <v>198671</v>
      </c>
    </row>
    <row r="13" spans="1:15">
      <c r="A13" s="37" t="n">
        <v>7</v>
      </c>
      <c r="B13" s="97" t="s">
        <v>2221</v>
      </c>
      <c r="C13" s="121" t="s">
        <v>19</v>
      </c>
      <c r="D13" s="121" t="s">
        <v>20</v>
      </c>
      <c r="E13" s="121" t="s">
        <v>21</v>
      </c>
      <c r="F13" s="98" t="n">
        <v>0</v>
      </c>
      <c r="G13" s="121" t="s">
        <v>2222</v>
      </c>
      <c r="H13" s="99" t="n">
        <v>233731</v>
      </c>
      <c r="I13" s="99" t="n">
        <v>233731</v>
      </c>
      <c r="J13" s="99" t="n">
        <v>0</v>
      </c>
      <c r="K13" s="99" t="n">
        <v>35060</v>
      </c>
      <c r="L13" s="99" t="n">
        <v>0</v>
      </c>
      <c r="M13" s="99" t="n">
        <v>0</v>
      </c>
      <c r="N13" s="99" t="n">
        <v>0</v>
      </c>
      <c r="O13" s="42" t="n">
        <v>198671</v>
      </c>
    </row>
    <row r="14" spans="1:15">
      <c r="A14" s="37" t="n">
        <v>8</v>
      </c>
      <c r="B14" s="97" t="s">
        <v>2223</v>
      </c>
      <c r="C14" s="121" t="s">
        <v>19</v>
      </c>
      <c r="D14" s="121" t="s">
        <v>20</v>
      </c>
      <c r="E14" s="121" t="s">
        <v>21</v>
      </c>
      <c r="F14" s="98" t="n">
        <v>0</v>
      </c>
      <c r="G14" s="121" t="s">
        <v>2224</v>
      </c>
      <c r="H14" s="99" t="n">
        <v>233731</v>
      </c>
      <c r="I14" s="99" t="n">
        <v>233731</v>
      </c>
      <c r="J14" s="99" t="n">
        <v>0</v>
      </c>
      <c r="K14" s="99" t="n">
        <v>35060</v>
      </c>
      <c r="L14" s="99" t="n">
        <v>0</v>
      </c>
      <c r="M14" s="99" t="n">
        <v>0</v>
      </c>
      <c r="N14" s="99" t="n">
        <v>0</v>
      </c>
      <c r="O14" s="42" t="n">
        <v>198671</v>
      </c>
    </row>
    <row r="15" spans="1:15">
      <c r="A15" s="37" t="n">
        <v>9</v>
      </c>
      <c r="B15" s="97" t="s">
        <v>41</v>
      </c>
      <c r="C15" s="121" t="s">
        <v>19</v>
      </c>
      <c r="D15" s="121" t="s">
        <v>20</v>
      </c>
      <c r="E15" s="121" t="s">
        <v>21</v>
      </c>
      <c r="F15" s="121" t="s">
        <v>42</v>
      </c>
      <c r="G15" s="121" t="s">
        <v>44</v>
      </c>
      <c r="H15" s="99" t="n">
        <v>233731</v>
      </c>
      <c r="I15" s="99" t="n">
        <v>233731</v>
      </c>
      <c r="J15" s="99" t="n">
        <v>0</v>
      </c>
      <c r="K15" s="99" t="n">
        <v>35060</v>
      </c>
      <c r="L15" s="99" t="n">
        <v>0</v>
      </c>
      <c r="M15" s="99" t="n">
        <v>0</v>
      </c>
      <c r="N15" s="99" t="n">
        <v>0</v>
      </c>
      <c r="O15" s="42" t="n">
        <v>198671</v>
      </c>
    </row>
    <row r="16" spans="1:15">
      <c r="A16" s="37" t="n">
        <v>10</v>
      </c>
      <c r="B16" s="97" t="s">
        <v>2225</v>
      </c>
      <c r="C16" s="121" t="s">
        <v>58</v>
      </c>
      <c r="D16" s="121" t="s">
        <v>20</v>
      </c>
      <c r="E16" s="121" t="s">
        <v>21</v>
      </c>
      <c r="F16" s="121" t="s">
        <v>2074</v>
      </c>
      <c r="G16" s="121" t="s">
        <v>2226</v>
      </c>
      <c r="H16" s="99" t="n">
        <v>175298</v>
      </c>
      <c r="I16" s="99" t="n">
        <v>175298</v>
      </c>
      <c r="J16" s="99" t="n">
        <v>8765</v>
      </c>
      <c r="K16" s="99" t="n">
        <v>0</v>
      </c>
      <c r="L16" s="99" t="n">
        <v>0</v>
      </c>
      <c r="M16" s="99" t="n">
        <v>0</v>
      </c>
      <c r="N16" s="99" t="n">
        <v>0</v>
      </c>
      <c r="O16" s="42" t="n">
        <v>166533</v>
      </c>
    </row>
    <row r="17" spans="1:15">
      <c r="A17" s="37" t="n">
        <v>11</v>
      </c>
      <c r="B17" s="97" t="s">
        <v>62</v>
      </c>
      <c r="C17" s="121" t="s">
        <v>58</v>
      </c>
      <c r="D17" s="121" t="s">
        <v>20</v>
      </c>
      <c r="E17" s="121" t="s">
        <v>21</v>
      </c>
      <c r="F17" s="121" t="s">
        <v>63</v>
      </c>
      <c r="G17" s="121" t="s">
        <v>65</v>
      </c>
      <c r="H17" s="99" t="n">
        <v>175298</v>
      </c>
      <c r="I17" s="99" t="n">
        <v>175298</v>
      </c>
      <c r="J17" s="99" t="n">
        <v>8765</v>
      </c>
      <c r="K17" s="99" t="n">
        <v>0</v>
      </c>
      <c r="L17" s="99" t="n">
        <v>0</v>
      </c>
      <c r="M17" s="99" t="n">
        <v>0</v>
      </c>
      <c r="N17" s="99" t="n">
        <v>0</v>
      </c>
      <c r="O17" s="42" t="n">
        <v>166533</v>
      </c>
    </row>
    <row r="18" spans="1:15">
      <c r="A18" s="37" t="n">
        <v>12</v>
      </c>
      <c r="B18" s="97" t="s">
        <v>33</v>
      </c>
      <c r="C18" s="121" t="s">
        <v>19</v>
      </c>
      <c r="D18" s="121" t="s">
        <v>20</v>
      </c>
      <c r="E18" s="121" t="s">
        <v>21</v>
      </c>
      <c r="F18" s="121" t="s">
        <v>34</v>
      </c>
      <c r="G18" s="121" t="s">
        <v>36</v>
      </c>
      <c r="H18" s="99" t="n">
        <v>175298</v>
      </c>
      <c r="I18" s="99" t="n">
        <v>175298</v>
      </c>
      <c r="J18" s="99" t="n">
        <v>0</v>
      </c>
      <c r="K18" s="99" t="n">
        <v>26295</v>
      </c>
      <c r="L18" s="99" t="n">
        <v>0</v>
      </c>
      <c r="M18" s="99" t="n">
        <v>0</v>
      </c>
      <c r="N18" s="99" t="n">
        <v>0</v>
      </c>
      <c r="O18" s="42" t="n">
        <v>149003</v>
      </c>
    </row>
    <row r="19" spans="1:15">
      <c r="A19" s="37" t="n">
        <v>13</v>
      </c>
      <c r="B19" s="97" t="s">
        <v>2227</v>
      </c>
      <c r="C19" s="121" t="s">
        <v>58</v>
      </c>
      <c r="D19" s="121" t="s">
        <v>20</v>
      </c>
      <c r="E19" s="121" t="s">
        <v>21</v>
      </c>
      <c r="F19" s="121" t="s">
        <v>2074</v>
      </c>
      <c r="G19" s="121" t="s">
        <v>2228</v>
      </c>
      <c r="H19" s="99" t="n">
        <v>175298</v>
      </c>
      <c r="I19" s="99" t="n">
        <v>175298</v>
      </c>
      <c r="J19" s="99" t="n">
        <v>8765</v>
      </c>
      <c r="K19" s="99" t="n">
        <v>0</v>
      </c>
      <c r="L19" s="99" t="n">
        <v>0</v>
      </c>
      <c r="M19" s="99" t="n">
        <v>0</v>
      </c>
      <c r="N19" s="99" t="n">
        <v>0</v>
      </c>
      <c r="O19" s="42" t="n">
        <v>166533</v>
      </c>
    </row>
    <row r="20" spans="1:15">
      <c r="A20" s="37" t="n">
        <v>14</v>
      </c>
      <c r="B20" s="97" t="s">
        <v>2061</v>
      </c>
      <c r="C20" s="121" t="s">
        <v>58</v>
      </c>
      <c r="D20" s="121" t="s">
        <v>20</v>
      </c>
      <c r="E20" s="121" t="s">
        <v>21</v>
      </c>
      <c r="F20" s="121" t="s">
        <v>50</v>
      </c>
      <c r="G20" s="121" t="s">
        <v>52</v>
      </c>
      <c r="H20" s="99" t="n">
        <v>175298</v>
      </c>
      <c r="I20" s="99" t="n">
        <v>175298</v>
      </c>
      <c r="J20" s="99" t="n">
        <v>8765</v>
      </c>
      <c r="K20" s="99" t="n">
        <v>0</v>
      </c>
      <c r="L20" s="99" t="n">
        <v>0</v>
      </c>
      <c r="M20" s="99" t="n">
        <v>0</v>
      </c>
      <c r="N20" s="99" t="n">
        <v>0</v>
      </c>
      <c r="O20" s="42" t="n">
        <v>166533</v>
      </c>
    </row>
    <row r="21" spans="1:15">
      <c r="A21" s="37" t="n">
        <v>15</v>
      </c>
      <c r="B21" s="97" t="s">
        <v>2229</v>
      </c>
      <c r="C21" s="121" t="s">
        <v>111</v>
      </c>
      <c r="D21" s="121" t="s">
        <v>20</v>
      </c>
      <c r="E21" s="121" t="s">
        <v>21</v>
      </c>
      <c r="F21" s="121" t="s">
        <v>2230</v>
      </c>
      <c r="G21" s="121" t="s">
        <v>2231</v>
      </c>
      <c r="H21" s="99" t="n">
        <v>12953</v>
      </c>
      <c r="I21" s="99" t="n">
        <v>12953</v>
      </c>
      <c r="J21" s="99" t="n">
        <v>0</v>
      </c>
      <c r="K21" s="99" t="n">
        <v>0</v>
      </c>
      <c r="L21" s="99" t="n">
        <v>0</v>
      </c>
      <c r="M21" s="99" t="n">
        <v>0</v>
      </c>
      <c r="N21" s="99" t="n">
        <v>0</v>
      </c>
      <c r="O21" s="42" t="n">
        <v>12953</v>
      </c>
    </row>
    <row r="22" spans="1:15">
      <c r="A22" s="37" t="n">
        <v>16</v>
      </c>
      <c r="B22" s="97" t="s">
        <v>2232</v>
      </c>
      <c r="C22" s="121" t="s">
        <v>95</v>
      </c>
      <c r="D22" s="121" t="s">
        <v>137</v>
      </c>
      <c r="E22" s="121" t="s">
        <v>14</v>
      </c>
      <c r="F22" s="98" t="n">
        <v>0</v>
      </c>
      <c r="G22" s="121" t="s">
        <v>2233</v>
      </c>
      <c r="H22" s="99" t="n">
        <v>12953</v>
      </c>
      <c r="I22" s="99" t="n">
        <v>12953</v>
      </c>
      <c r="J22" s="99" t="n">
        <v>0</v>
      </c>
      <c r="K22" s="99" t="n">
        <v>0</v>
      </c>
      <c r="L22" s="99" t="n">
        <v>0</v>
      </c>
      <c r="M22" s="99" t="n">
        <v>0</v>
      </c>
      <c r="N22" s="99" t="n">
        <v>0</v>
      </c>
      <c r="O22" s="42" t="n">
        <v>12953</v>
      </c>
    </row>
    <row r="23" spans="1:15">
      <c r="A23" s="37" t="n">
        <v>17</v>
      </c>
      <c r="B23" s="97" t="s">
        <v>193</v>
      </c>
      <c r="C23" s="121" t="s">
        <v>95</v>
      </c>
      <c r="D23" s="121" t="s">
        <v>128</v>
      </c>
      <c r="E23" s="121" t="s">
        <v>15</v>
      </c>
      <c r="F23" s="98" t="n">
        <v>0</v>
      </c>
      <c r="G23" s="121" t="s">
        <v>194</v>
      </c>
      <c r="H23" s="99" t="n">
        <v>15874</v>
      </c>
      <c r="I23" s="99" t="n">
        <v>15874</v>
      </c>
      <c r="J23" s="99" t="n">
        <v>0</v>
      </c>
      <c r="K23" s="99" t="n">
        <v>0</v>
      </c>
      <c r="L23" s="99" t="n">
        <v>0</v>
      </c>
      <c r="M23" s="99" t="n">
        <v>0</v>
      </c>
      <c r="N23" s="99" t="n">
        <v>0</v>
      </c>
      <c r="O23" s="42" t="n">
        <v>15874</v>
      </c>
    </row>
    <row r="24" spans="1:15">
      <c r="A24" s="37" t="n">
        <v>18</v>
      </c>
      <c r="B24" s="97" t="s">
        <v>386</v>
      </c>
      <c r="C24" s="121" t="s">
        <v>95</v>
      </c>
      <c r="D24" s="121" t="s">
        <v>124</v>
      </c>
      <c r="E24" s="121" t="s">
        <v>15</v>
      </c>
      <c r="F24" s="98" t="n">
        <v>0</v>
      </c>
      <c r="G24" s="121" t="s">
        <v>387</v>
      </c>
      <c r="H24" s="99" t="n">
        <v>14121</v>
      </c>
      <c r="I24" s="99" t="n">
        <v>14121</v>
      </c>
      <c r="J24" s="99" t="n">
        <v>0</v>
      </c>
      <c r="K24" s="99" t="n">
        <v>0</v>
      </c>
      <c r="L24" s="99" t="n">
        <v>0</v>
      </c>
      <c r="M24" s="99" t="n">
        <v>0</v>
      </c>
      <c r="N24" s="99" t="n">
        <v>0</v>
      </c>
      <c r="O24" s="42" t="n">
        <v>14121</v>
      </c>
    </row>
    <row r="25" spans="1:15">
      <c r="A25" s="37" t="n">
        <v>19</v>
      </c>
      <c r="B25" s="97" t="s">
        <v>388</v>
      </c>
      <c r="C25" s="121" t="s">
        <v>95</v>
      </c>
      <c r="D25" s="121" t="s">
        <v>278</v>
      </c>
      <c r="E25" s="121" t="s">
        <v>16</v>
      </c>
      <c r="F25" s="98" t="n">
        <v>0</v>
      </c>
      <c r="G25" s="121" t="s">
        <v>390</v>
      </c>
      <c r="H25" s="99" t="n">
        <v>14121</v>
      </c>
      <c r="I25" s="99" t="n">
        <v>14121</v>
      </c>
      <c r="J25" s="99" t="n">
        <v>0</v>
      </c>
      <c r="K25" s="99" t="n">
        <v>0</v>
      </c>
      <c r="L25" s="99" t="n">
        <v>0</v>
      </c>
      <c r="M25" s="99" t="n">
        <v>0</v>
      </c>
      <c r="N25" s="99" t="n">
        <v>0</v>
      </c>
      <c r="O25" s="42" t="n">
        <v>14121</v>
      </c>
    </row>
    <row r="26" spans="1:15">
      <c r="A26" s="37" t="n">
        <v>20</v>
      </c>
      <c r="B26" s="97" t="s">
        <v>391</v>
      </c>
      <c r="C26" s="121" t="s">
        <v>95</v>
      </c>
      <c r="D26" s="121" t="s">
        <v>128</v>
      </c>
      <c r="E26" s="121" t="s">
        <v>15</v>
      </c>
      <c r="F26" s="98" t="n">
        <v>0</v>
      </c>
      <c r="G26" s="121" t="s">
        <v>392</v>
      </c>
      <c r="H26" s="99" t="n">
        <v>12953</v>
      </c>
      <c r="I26" s="99" t="n">
        <v>12953</v>
      </c>
      <c r="J26" s="99" t="n">
        <v>0</v>
      </c>
      <c r="K26" s="99" t="n">
        <v>0</v>
      </c>
      <c r="L26" s="99" t="n">
        <v>0</v>
      </c>
      <c r="M26" s="99" t="n">
        <v>0</v>
      </c>
      <c r="N26" s="99" t="n">
        <v>0</v>
      </c>
      <c r="O26" s="42" t="n">
        <v>12953</v>
      </c>
    </row>
    <row r="27" spans="1:15">
      <c r="A27" s="37" t="n">
        <v>21</v>
      </c>
      <c r="B27" s="97" t="s">
        <v>393</v>
      </c>
      <c r="C27" s="121" t="s">
        <v>95</v>
      </c>
      <c r="D27" s="121" t="s">
        <v>128</v>
      </c>
      <c r="E27" s="121" t="s">
        <v>15</v>
      </c>
      <c r="F27" s="98" t="n">
        <v>0</v>
      </c>
      <c r="G27" s="121" t="s">
        <v>395</v>
      </c>
      <c r="H27" s="99" t="n">
        <v>12953</v>
      </c>
      <c r="I27" s="99" t="n">
        <v>12953</v>
      </c>
      <c r="J27" s="99" t="n">
        <v>0</v>
      </c>
      <c r="K27" s="99" t="n">
        <v>0</v>
      </c>
      <c r="L27" s="99" t="n">
        <v>0</v>
      </c>
      <c r="M27" s="99" t="n">
        <v>0</v>
      </c>
      <c r="N27" s="99" t="n">
        <v>0</v>
      </c>
      <c r="O27" s="42" t="n">
        <v>12953</v>
      </c>
    </row>
    <row r="28" spans="1:15">
      <c r="A28" s="37" t="n">
        <v>22</v>
      </c>
      <c r="B28" s="97" t="s">
        <v>2234</v>
      </c>
      <c r="C28" s="121" t="s">
        <v>95</v>
      </c>
      <c r="D28" s="121" t="s">
        <v>128</v>
      </c>
      <c r="E28" s="121" t="s">
        <v>15</v>
      </c>
      <c r="F28" s="98" t="n">
        <v>0</v>
      </c>
      <c r="G28" s="121" t="s">
        <v>2235</v>
      </c>
      <c r="H28" s="99" t="n">
        <v>12953</v>
      </c>
      <c r="I28" s="99" t="n">
        <v>12953</v>
      </c>
      <c r="J28" s="99" t="n">
        <v>0</v>
      </c>
      <c r="K28" s="99" t="n">
        <v>0</v>
      </c>
      <c r="L28" s="99" t="n">
        <v>0</v>
      </c>
      <c r="M28" s="99" t="n">
        <v>0</v>
      </c>
      <c r="N28" s="99" t="n">
        <v>0</v>
      </c>
      <c r="O28" s="42" t="n">
        <v>12953</v>
      </c>
    </row>
    <row r="29" spans="1:15">
      <c r="A29" s="37" t="n">
        <v>23</v>
      </c>
      <c r="B29" s="97" t="s">
        <v>396</v>
      </c>
      <c r="C29" s="121" t="s">
        <v>95</v>
      </c>
      <c r="D29" s="121" t="s">
        <v>124</v>
      </c>
      <c r="E29" s="121" t="s">
        <v>15</v>
      </c>
      <c r="F29" s="98" t="n">
        <v>0</v>
      </c>
      <c r="G29" s="121" t="s">
        <v>398</v>
      </c>
      <c r="H29" s="99" t="n">
        <v>12953</v>
      </c>
      <c r="I29" s="99" t="n">
        <v>12953</v>
      </c>
      <c r="J29" s="99" t="n">
        <v>0</v>
      </c>
      <c r="K29" s="99" t="n">
        <v>0</v>
      </c>
      <c r="L29" s="99" t="n">
        <v>0</v>
      </c>
      <c r="M29" s="99" t="n">
        <v>0</v>
      </c>
      <c r="N29" s="99" t="n">
        <v>0</v>
      </c>
      <c r="O29" s="42" t="n">
        <v>12953</v>
      </c>
    </row>
    <row r="30" spans="1:15">
      <c r="A30" s="37" t="n">
        <v>24</v>
      </c>
      <c r="B30" s="97" t="s">
        <v>2236</v>
      </c>
      <c r="C30" s="121" t="s">
        <v>95</v>
      </c>
      <c r="D30" s="121" t="s">
        <v>137</v>
      </c>
      <c r="E30" s="121" t="s">
        <v>14</v>
      </c>
      <c r="F30" s="98" t="n">
        <v>0</v>
      </c>
      <c r="G30" s="121" t="s">
        <v>2237</v>
      </c>
      <c r="H30" s="99" t="n">
        <v>12953</v>
      </c>
      <c r="I30" s="99" t="n">
        <v>12953</v>
      </c>
      <c r="J30" s="99" t="n">
        <v>0</v>
      </c>
      <c r="K30" s="99" t="n">
        <v>0</v>
      </c>
      <c r="L30" s="99" t="n">
        <v>0</v>
      </c>
      <c r="M30" s="99" t="n">
        <v>0</v>
      </c>
      <c r="N30" s="99" t="n">
        <v>0</v>
      </c>
      <c r="O30" s="42" t="n">
        <v>12953</v>
      </c>
    </row>
    <row r="31" spans="1:15">
      <c r="A31" s="37" t="n">
        <v>25</v>
      </c>
      <c r="B31" s="97" t="s">
        <v>399</v>
      </c>
      <c r="C31" s="121" t="s">
        <v>95</v>
      </c>
      <c r="D31" s="121" t="s">
        <v>128</v>
      </c>
      <c r="E31" s="121" t="s">
        <v>15</v>
      </c>
      <c r="F31" s="98" t="n">
        <v>0</v>
      </c>
      <c r="G31" s="121" t="s">
        <v>400</v>
      </c>
      <c r="H31" s="99" t="n">
        <v>12953</v>
      </c>
      <c r="I31" s="99" t="n">
        <v>12953</v>
      </c>
      <c r="J31" s="99" t="n">
        <v>0</v>
      </c>
      <c r="K31" s="99" t="n">
        <v>0</v>
      </c>
      <c r="L31" s="99" t="n">
        <v>0</v>
      </c>
      <c r="M31" s="99" t="n">
        <v>0</v>
      </c>
      <c r="N31" s="99" t="n">
        <v>0</v>
      </c>
      <c r="O31" s="42" t="n">
        <v>12953</v>
      </c>
    </row>
    <row r="32" spans="1:15">
      <c r="A32" s="37" t="n">
        <v>26</v>
      </c>
      <c r="B32" s="97" t="s">
        <v>2238</v>
      </c>
      <c r="C32" s="121" t="s">
        <v>95</v>
      </c>
      <c r="D32" s="121" t="s">
        <v>137</v>
      </c>
      <c r="E32" s="121" t="s">
        <v>14</v>
      </c>
      <c r="F32" s="98" t="n">
        <v>0</v>
      </c>
      <c r="G32" s="121" t="s">
        <v>2239</v>
      </c>
      <c r="H32" s="99" t="n">
        <v>14121</v>
      </c>
      <c r="I32" s="99" t="n">
        <v>14121</v>
      </c>
      <c r="J32" s="99" t="n">
        <v>0</v>
      </c>
      <c r="K32" s="99" t="n">
        <v>0</v>
      </c>
      <c r="L32" s="99" t="n">
        <v>0</v>
      </c>
      <c r="M32" s="99" t="n">
        <v>0</v>
      </c>
      <c r="N32" s="99" t="n">
        <v>0</v>
      </c>
      <c r="O32" s="42" t="n">
        <v>14121</v>
      </c>
    </row>
    <row r="33" spans="1:15">
      <c r="A33" s="37" t="n">
        <v>27</v>
      </c>
      <c r="B33" s="97" t="s">
        <v>401</v>
      </c>
      <c r="C33" s="121" t="s">
        <v>95</v>
      </c>
      <c r="D33" s="121" t="s">
        <v>128</v>
      </c>
      <c r="E33" s="121" t="s">
        <v>15</v>
      </c>
      <c r="F33" s="98" t="n">
        <v>0</v>
      </c>
      <c r="G33" s="121" t="s">
        <v>403</v>
      </c>
      <c r="H33" s="99" t="n">
        <v>14121</v>
      </c>
      <c r="I33" s="99" t="n">
        <v>14121</v>
      </c>
      <c r="J33" s="99" t="n">
        <v>0</v>
      </c>
      <c r="K33" s="99" t="n">
        <v>0</v>
      </c>
      <c r="L33" s="99" t="n">
        <v>0</v>
      </c>
      <c r="M33" s="99" t="n">
        <v>0</v>
      </c>
      <c r="N33" s="99" t="n">
        <v>0</v>
      </c>
      <c r="O33" s="42" t="n">
        <v>14121</v>
      </c>
    </row>
    <row r="34" spans="1:15">
      <c r="A34" s="37" t="n">
        <v>28</v>
      </c>
      <c r="B34" s="97" t="s">
        <v>404</v>
      </c>
      <c r="C34" s="121" t="s">
        <v>95</v>
      </c>
      <c r="D34" s="121" t="s">
        <v>124</v>
      </c>
      <c r="E34" s="121" t="s">
        <v>15</v>
      </c>
      <c r="F34" s="98" t="n">
        <v>0</v>
      </c>
      <c r="G34" s="121" t="s">
        <v>405</v>
      </c>
      <c r="H34" s="99" t="n">
        <v>12953</v>
      </c>
      <c r="I34" s="99" t="n">
        <v>12953</v>
      </c>
      <c r="J34" s="99" t="n">
        <v>0</v>
      </c>
      <c r="K34" s="99" t="n">
        <v>0</v>
      </c>
      <c r="L34" s="99" t="n">
        <v>0</v>
      </c>
      <c r="M34" s="99" t="n">
        <v>0</v>
      </c>
      <c r="N34" s="99" t="n">
        <v>0</v>
      </c>
      <c r="O34" s="42" t="n">
        <v>12953</v>
      </c>
    </row>
    <row r="35" spans="1:15">
      <c r="A35" s="37" t="n">
        <v>29</v>
      </c>
      <c r="B35" s="97" t="s">
        <v>406</v>
      </c>
      <c r="C35" s="121" t="s">
        <v>95</v>
      </c>
      <c r="D35" s="121" t="s">
        <v>137</v>
      </c>
      <c r="E35" s="121" t="s">
        <v>14</v>
      </c>
      <c r="F35" s="98" t="n">
        <v>0</v>
      </c>
      <c r="G35" s="121" t="s">
        <v>407</v>
      </c>
      <c r="H35" s="99" t="n">
        <v>12953</v>
      </c>
      <c r="I35" s="99" t="n">
        <v>12953</v>
      </c>
      <c r="J35" s="99" t="n">
        <v>0</v>
      </c>
      <c r="K35" s="99" t="n">
        <v>0</v>
      </c>
      <c r="L35" s="99" t="n">
        <v>0</v>
      </c>
      <c r="M35" s="99" t="n">
        <v>0</v>
      </c>
      <c r="N35" s="99" t="n">
        <v>0</v>
      </c>
      <c r="O35" s="42" t="n">
        <v>12953</v>
      </c>
    </row>
    <row r="36" spans="1:15">
      <c r="A36" s="37" t="n">
        <v>30</v>
      </c>
      <c r="B36" s="97" t="s">
        <v>2240</v>
      </c>
      <c r="C36" s="121" t="s">
        <v>95</v>
      </c>
      <c r="D36" s="121" t="s">
        <v>124</v>
      </c>
      <c r="E36" s="121" t="s">
        <v>15</v>
      </c>
      <c r="F36" s="98" t="n">
        <v>0</v>
      </c>
      <c r="G36" s="121" t="s">
        <v>2241</v>
      </c>
      <c r="H36" s="99" t="n">
        <v>12953</v>
      </c>
      <c r="I36" s="99" t="n">
        <v>12953</v>
      </c>
      <c r="J36" s="99" t="n">
        <v>0</v>
      </c>
      <c r="K36" s="99" t="n">
        <v>0</v>
      </c>
      <c r="L36" s="99" t="n">
        <v>0</v>
      </c>
      <c r="M36" s="99" t="n">
        <v>0</v>
      </c>
      <c r="N36" s="99" t="n">
        <v>0</v>
      </c>
      <c r="O36" s="42" t="n">
        <v>12953</v>
      </c>
    </row>
    <row r="37" spans="1:15">
      <c r="A37" s="37" t="n">
        <v>31</v>
      </c>
      <c r="B37" s="97" t="s">
        <v>2242</v>
      </c>
      <c r="C37" s="121" t="s">
        <v>95</v>
      </c>
      <c r="D37" s="121" t="s">
        <v>137</v>
      </c>
      <c r="E37" s="121" t="s">
        <v>14</v>
      </c>
      <c r="F37" s="98" t="n">
        <v>0</v>
      </c>
      <c r="G37" s="121" t="s">
        <v>2243</v>
      </c>
      <c r="H37" s="99" t="n">
        <v>12953</v>
      </c>
      <c r="I37" s="99" t="n">
        <v>12953</v>
      </c>
      <c r="J37" s="99" t="n">
        <v>0</v>
      </c>
      <c r="K37" s="99" t="n">
        <v>0</v>
      </c>
      <c r="L37" s="99" t="n">
        <v>0</v>
      </c>
      <c r="M37" s="99" t="n">
        <v>0</v>
      </c>
      <c r="N37" s="99" t="n">
        <v>0</v>
      </c>
      <c r="O37" s="42" t="n">
        <v>12953</v>
      </c>
    </row>
    <row r="38" spans="1:15">
      <c r="A38" s="37" t="n">
        <v>32</v>
      </c>
      <c r="B38" s="97" t="s">
        <v>146</v>
      </c>
      <c r="C38" s="121" t="s">
        <v>58</v>
      </c>
      <c r="D38" s="121" t="s">
        <v>20</v>
      </c>
      <c r="E38" s="121" t="s">
        <v>21</v>
      </c>
      <c r="F38" s="121" t="s">
        <v>147</v>
      </c>
      <c r="G38" s="121" t="s">
        <v>148</v>
      </c>
      <c r="H38" s="99" t="n">
        <v>68464</v>
      </c>
      <c r="I38" s="99" t="n">
        <v>68464</v>
      </c>
      <c r="J38" s="99" t="n">
        <v>3423</v>
      </c>
      <c r="K38" s="99" t="n">
        <v>0</v>
      </c>
      <c r="L38" s="99" t="n">
        <v>0</v>
      </c>
      <c r="M38" s="99" t="n">
        <v>0</v>
      </c>
      <c r="N38" s="99" t="n">
        <v>0</v>
      </c>
      <c r="O38" s="42" t="n">
        <v>65041</v>
      </c>
    </row>
    <row r="39" spans="1:15">
      <c r="A39" s="37" t="n">
        <v>33</v>
      </c>
      <c r="B39" s="97" t="s">
        <v>66</v>
      </c>
      <c r="C39" s="121" t="s">
        <v>58</v>
      </c>
      <c r="D39" s="121" t="s">
        <v>20</v>
      </c>
      <c r="E39" s="121" t="s">
        <v>21</v>
      </c>
      <c r="F39" s="121" t="s">
        <v>67</v>
      </c>
      <c r="G39" s="121" t="s">
        <v>69</v>
      </c>
      <c r="H39" s="99" t="n">
        <v>68074</v>
      </c>
      <c r="I39" s="99" t="n">
        <v>68074</v>
      </c>
      <c r="J39" s="99" t="n">
        <v>3404</v>
      </c>
      <c r="K39" s="99" t="n">
        <v>0</v>
      </c>
      <c r="L39" s="99" t="n">
        <v>0</v>
      </c>
      <c r="M39" s="99" t="n">
        <v>0</v>
      </c>
      <c r="N39" s="99" t="n">
        <v>0</v>
      </c>
      <c r="O39" s="42" t="n">
        <v>64670</v>
      </c>
    </row>
    <row r="40" spans="1:15">
      <c r="A40" s="37" t="n">
        <v>34</v>
      </c>
      <c r="B40" s="97" t="s">
        <v>156</v>
      </c>
      <c r="C40" s="121" t="s">
        <v>58</v>
      </c>
      <c r="D40" s="121" t="s">
        <v>20</v>
      </c>
      <c r="E40" s="121" t="s">
        <v>21</v>
      </c>
      <c r="F40" s="121" t="s">
        <v>157</v>
      </c>
      <c r="G40" s="121" t="s">
        <v>159</v>
      </c>
      <c r="H40" s="99" t="n">
        <v>65250</v>
      </c>
      <c r="I40" s="99" t="n">
        <v>65250</v>
      </c>
      <c r="J40" s="99" t="n">
        <v>3263</v>
      </c>
      <c r="K40" s="99" t="n">
        <v>0</v>
      </c>
      <c r="L40" s="99" t="n">
        <v>0</v>
      </c>
      <c r="M40" s="99" t="n">
        <v>0</v>
      </c>
      <c r="N40" s="99" t="n">
        <v>0</v>
      </c>
      <c r="O40" s="42" t="n">
        <v>61987</v>
      </c>
    </row>
    <row r="41" spans="1:15">
      <c r="A41" s="37" t="n">
        <v>35</v>
      </c>
      <c r="B41" s="97" t="s">
        <v>78</v>
      </c>
      <c r="C41" s="121" t="s">
        <v>58</v>
      </c>
      <c r="D41" s="121" t="s">
        <v>20</v>
      </c>
      <c r="E41" s="121" t="s">
        <v>21</v>
      </c>
      <c r="F41" s="121" t="s">
        <v>79</v>
      </c>
      <c r="G41" s="121" t="s">
        <v>81</v>
      </c>
      <c r="H41" s="99" t="n">
        <v>53076</v>
      </c>
      <c r="I41" s="99" t="n">
        <v>53076</v>
      </c>
      <c r="J41" s="99" t="n">
        <v>2654</v>
      </c>
      <c r="K41" s="99" t="n">
        <v>0</v>
      </c>
      <c r="L41" s="99" t="n">
        <v>0</v>
      </c>
      <c r="M41" s="99" t="n">
        <v>0</v>
      </c>
      <c r="N41" s="99" t="n">
        <v>0</v>
      </c>
      <c r="O41" s="42" t="n">
        <v>50422</v>
      </c>
    </row>
    <row r="42" spans="1:15">
      <c r="A42" s="37" t="n">
        <v>36</v>
      </c>
      <c r="B42" s="97" t="s">
        <v>149</v>
      </c>
      <c r="C42" s="121" t="s">
        <v>58</v>
      </c>
      <c r="D42" s="121" t="s">
        <v>20</v>
      </c>
      <c r="E42" s="121" t="s">
        <v>21</v>
      </c>
      <c r="F42" s="121" t="s">
        <v>150</v>
      </c>
      <c r="G42" s="121" t="s">
        <v>151</v>
      </c>
      <c r="H42" s="99" t="n">
        <v>42266</v>
      </c>
      <c r="I42" s="99" t="n">
        <v>42266</v>
      </c>
      <c r="J42" s="99" t="n">
        <v>2113</v>
      </c>
      <c r="K42" s="99" t="n">
        <v>0</v>
      </c>
      <c r="L42" s="99" t="n">
        <v>0</v>
      </c>
      <c r="M42" s="99" t="n">
        <v>0</v>
      </c>
      <c r="N42" s="99" t="n">
        <v>0</v>
      </c>
      <c r="O42" s="42" t="n">
        <v>40153</v>
      </c>
    </row>
    <row r="43" spans="1:15">
      <c r="A43" s="37" t="n">
        <v>37</v>
      </c>
      <c r="B43" s="97" t="s">
        <v>164</v>
      </c>
      <c r="C43" s="121" t="s">
        <v>58</v>
      </c>
      <c r="D43" s="121" t="s">
        <v>20</v>
      </c>
      <c r="E43" s="121" t="s">
        <v>21</v>
      </c>
      <c r="F43" s="121" t="s">
        <v>165</v>
      </c>
      <c r="G43" s="121" t="s">
        <v>167</v>
      </c>
      <c r="H43" s="99" t="n">
        <v>42559</v>
      </c>
      <c r="I43" s="99" t="n">
        <v>42559</v>
      </c>
      <c r="J43" s="99" t="n">
        <v>2128</v>
      </c>
      <c r="K43" s="99" t="n">
        <v>0</v>
      </c>
      <c r="L43" s="99" t="n">
        <v>0</v>
      </c>
      <c r="M43" s="99" t="n">
        <v>0</v>
      </c>
      <c r="N43" s="99" t="n">
        <v>0</v>
      </c>
      <c r="O43" s="42" t="n">
        <v>40431</v>
      </c>
    </row>
    <row r="44" spans="1:15">
      <c r="A44" s="37" t="n">
        <v>38</v>
      </c>
      <c r="B44" s="97" t="s">
        <v>2244</v>
      </c>
      <c r="C44" s="121" t="s">
        <v>58</v>
      </c>
      <c r="D44" s="121" t="s">
        <v>20</v>
      </c>
      <c r="E44" s="121" t="s">
        <v>21</v>
      </c>
      <c r="F44" s="121" t="s">
        <v>2245</v>
      </c>
      <c r="G44" s="121" t="s">
        <v>2246</v>
      </c>
      <c r="H44" s="99" t="n">
        <v>42559</v>
      </c>
      <c r="I44" s="99" t="n">
        <v>42559</v>
      </c>
      <c r="J44" s="99" t="n">
        <v>2128</v>
      </c>
      <c r="K44" s="99" t="n">
        <v>0</v>
      </c>
      <c r="L44" s="99" t="n">
        <v>0</v>
      </c>
      <c r="M44" s="99" t="n">
        <v>0</v>
      </c>
      <c r="N44" s="99" t="n">
        <v>0</v>
      </c>
      <c r="O44" s="42" t="n">
        <v>40431</v>
      </c>
    </row>
    <row r="45" spans="1:15">
      <c r="A45" s="37" t="n">
        <v>39</v>
      </c>
      <c r="B45" s="97" t="s">
        <v>152</v>
      </c>
      <c r="C45" s="121" t="s">
        <v>58</v>
      </c>
      <c r="D45" s="121" t="s">
        <v>20</v>
      </c>
      <c r="E45" s="121" t="s">
        <v>21</v>
      </c>
      <c r="F45" s="121" t="s">
        <v>153</v>
      </c>
      <c r="G45" s="121" t="s">
        <v>155</v>
      </c>
      <c r="H45" s="99" t="n">
        <v>39637</v>
      </c>
      <c r="I45" s="99" t="n">
        <v>39637</v>
      </c>
      <c r="J45" s="99" t="n">
        <v>1982</v>
      </c>
      <c r="K45" s="99" t="n">
        <v>0</v>
      </c>
      <c r="L45" s="99" t="n">
        <v>0</v>
      </c>
      <c r="M45" s="99" t="n">
        <v>0</v>
      </c>
      <c r="N45" s="99" t="n">
        <v>0</v>
      </c>
      <c r="O45" s="42" t="n">
        <v>37655</v>
      </c>
    </row>
    <row r="46" spans="1:15">
      <c r="A46" s="37" t="n">
        <v>40</v>
      </c>
      <c r="B46" s="97" t="s">
        <v>2247</v>
      </c>
      <c r="C46" s="121" t="s">
        <v>58</v>
      </c>
      <c r="D46" s="121" t="s">
        <v>20</v>
      </c>
      <c r="E46" s="121" t="s">
        <v>21</v>
      </c>
      <c r="F46" s="121" t="s">
        <v>2248</v>
      </c>
      <c r="G46" s="121" t="s">
        <v>2249</v>
      </c>
      <c r="H46" s="99" t="n">
        <v>42559</v>
      </c>
      <c r="I46" s="99" t="n">
        <v>42559</v>
      </c>
      <c r="J46" s="99" t="n">
        <v>2128</v>
      </c>
      <c r="K46" s="99" t="n">
        <v>0</v>
      </c>
      <c r="L46" s="99" t="n">
        <v>0</v>
      </c>
      <c r="M46" s="99" t="n">
        <v>0</v>
      </c>
      <c r="N46" s="99" t="n">
        <v>0</v>
      </c>
      <c r="O46" s="42" t="n">
        <v>40431</v>
      </c>
    </row>
    <row r="47" spans="1:15">
      <c r="A47" s="37" t="n">
        <v>41</v>
      </c>
      <c r="B47" s="97" t="s">
        <v>102</v>
      </c>
      <c r="C47" s="121" t="s">
        <v>58</v>
      </c>
      <c r="D47" s="121" t="s">
        <v>20</v>
      </c>
      <c r="E47" s="121" t="s">
        <v>21</v>
      </c>
      <c r="F47" s="121" t="s">
        <v>103</v>
      </c>
      <c r="G47" s="121" t="s">
        <v>105</v>
      </c>
      <c r="H47" s="99" t="n">
        <v>36715</v>
      </c>
      <c r="I47" s="99" t="n">
        <v>36715</v>
      </c>
      <c r="J47" s="99" t="n">
        <v>1836</v>
      </c>
      <c r="K47" s="99" t="n">
        <v>0</v>
      </c>
      <c r="L47" s="99" t="n">
        <v>0</v>
      </c>
      <c r="M47" s="99" t="n">
        <v>0</v>
      </c>
      <c r="N47" s="99" t="n">
        <v>0</v>
      </c>
      <c r="O47" s="42" t="n">
        <v>34879</v>
      </c>
    </row>
    <row r="48" spans="1:15">
      <c r="A48" s="37" t="n">
        <v>42</v>
      </c>
      <c r="B48" s="97" t="s">
        <v>168</v>
      </c>
      <c r="C48" s="121" t="s">
        <v>58</v>
      </c>
      <c r="D48" s="121" t="s">
        <v>20</v>
      </c>
      <c r="E48" s="121" t="s">
        <v>21</v>
      </c>
      <c r="F48" s="121" t="s">
        <v>169</v>
      </c>
      <c r="G48" s="121" t="s">
        <v>171</v>
      </c>
      <c r="H48" s="99" t="n">
        <v>36715</v>
      </c>
      <c r="I48" s="99" t="n">
        <v>36715</v>
      </c>
      <c r="J48" s="99" t="n">
        <v>1836</v>
      </c>
      <c r="K48" s="99" t="n">
        <v>0</v>
      </c>
      <c r="L48" s="99" t="n">
        <v>0</v>
      </c>
      <c r="M48" s="99" t="n">
        <v>0</v>
      </c>
      <c r="N48" s="99" t="n">
        <v>0</v>
      </c>
      <c r="O48" s="42" t="n">
        <v>34879</v>
      </c>
    </row>
    <row r="49" spans="1:15">
      <c r="A49" s="37" t="n">
        <v>43</v>
      </c>
      <c r="B49" s="97" t="s">
        <v>98</v>
      </c>
      <c r="C49" s="121" t="s">
        <v>58</v>
      </c>
      <c r="D49" s="121" t="s">
        <v>20</v>
      </c>
      <c r="E49" s="121" t="s">
        <v>21</v>
      </c>
      <c r="F49" s="121" t="s">
        <v>99</v>
      </c>
      <c r="G49" s="121" t="s">
        <v>101</v>
      </c>
      <c r="H49" s="99" t="n">
        <v>36715</v>
      </c>
      <c r="I49" s="99" t="n">
        <v>36715</v>
      </c>
      <c r="J49" s="99" t="n">
        <v>1836</v>
      </c>
      <c r="K49" s="99" t="n">
        <v>0</v>
      </c>
      <c r="L49" s="99" t="n">
        <v>0</v>
      </c>
      <c r="M49" s="99" t="n">
        <v>0</v>
      </c>
      <c r="N49" s="99" t="n">
        <v>0</v>
      </c>
      <c r="O49" s="42" t="n">
        <v>34879</v>
      </c>
    </row>
    <row r="50" spans="1:15">
      <c r="A50" s="37" t="n">
        <v>44</v>
      </c>
      <c r="B50" s="97" t="s">
        <v>115</v>
      </c>
      <c r="C50" s="121" t="s">
        <v>111</v>
      </c>
      <c r="D50" s="121" t="s">
        <v>20</v>
      </c>
      <c r="E50" s="121" t="s">
        <v>21</v>
      </c>
      <c r="F50" s="121" t="s">
        <v>116</v>
      </c>
      <c r="G50" s="121" t="s">
        <v>118</v>
      </c>
      <c r="H50" s="99" t="n">
        <v>41682</v>
      </c>
      <c r="I50" s="99" t="n">
        <v>41682</v>
      </c>
      <c r="J50" s="99" t="n">
        <v>0</v>
      </c>
      <c r="K50" s="99" t="n">
        <v>0</v>
      </c>
      <c r="L50" s="99" t="n">
        <v>0</v>
      </c>
      <c r="M50" s="99" t="n">
        <v>0</v>
      </c>
      <c r="N50" s="99" t="n">
        <v>0</v>
      </c>
      <c r="O50" s="42" t="n">
        <v>41682</v>
      </c>
    </row>
    <row r="51" spans="1:15">
      <c r="A51" s="37" t="n">
        <v>45</v>
      </c>
      <c r="B51" s="97" t="s">
        <v>2250</v>
      </c>
      <c r="C51" s="121" t="s">
        <v>111</v>
      </c>
      <c r="D51" s="121" t="s">
        <v>20</v>
      </c>
      <c r="E51" s="121" t="s">
        <v>21</v>
      </c>
      <c r="F51" s="121" t="s">
        <v>2251</v>
      </c>
      <c r="G51" s="121" t="s">
        <v>2252</v>
      </c>
      <c r="H51" s="99" t="n">
        <v>35839</v>
      </c>
      <c r="I51" s="99" t="n">
        <v>35839</v>
      </c>
      <c r="J51" s="99" t="n">
        <v>0</v>
      </c>
      <c r="K51" s="99" t="n">
        <v>0</v>
      </c>
      <c r="L51" s="99" t="n">
        <v>0</v>
      </c>
      <c r="M51" s="99" t="n">
        <v>0</v>
      </c>
      <c r="N51" s="99" t="n">
        <v>0</v>
      </c>
      <c r="O51" s="42" t="n">
        <v>35839</v>
      </c>
    </row>
    <row r="52" spans="1:15">
      <c r="A52" s="37" t="n">
        <v>46</v>
      </c>
      <c r="B52" s="97" t="s">
        <v>172</v>
      </c>
      <c r="C52" s="121" t="s">
        <v>111</v>
      </c>
      <c r="D52" s="121" t="s">
        <v>20</v>
      </c>
      <c r="E52" s="121" t="s">
        <v>21</v>
      </c>
      <c r="F52" s="121" t="s">
        <v>173</v>
      </c>
      <c r="G52" s="121" t="s">
        <v>175</v>
      </c>
      <c r="H52" s="99" t="n">
        <v>35839</v>
      </c>
      <c r="I52" s="99" t="n">
        <v>35839</v>
      </c>
      <c r="J52" s="99" t="n">
        <v>0</v>
      </c>
      <c r="K52" s="99" t="n">
        <v>0</v>
      </c>
      <c r="L52" s="99" t="n">
        <v>0</v>
      </c>
      <c r="M52" s="99" t="n">
        <v>0</v>
      </c>
      <c r="N52" s="99" t="n">
        <v>0</v>
      </c>
      <c r="O52" s="42" t="n">
        <v>35839</v>
      </c>
    </row>
    <row r="53" spans="1:15">
      <c r="A53" s="37" t="n">
        <v>47</v>
      </c>
      <c r="B53" s="97" t="s">
        <v>110</v>
      </c>
      <c r="C53" s="121" t="s">
        <v>111</v>
      </c>
      <c r="D53" s="121" t="s">
        <v>20</v>
      </c>
      <c r="E53" s="121" t="s">
        <v>21</v>
      </c>
      <c r="F53" s="121" t="s">
        <v>112</v>
      </c>
      <c r="G53" s="121" t="s">
        <v>114</v>
      </c>
      <c r="H53" s="99" t="n">
        <v>35839</v>
      </c>
      <c r="I53" s="99" t="n">
        <v>35839</v>
      </c>
      <c r="J53" s="99" t="n">
        <v>0</v>
      </c>
      <c r="K53" s="99" t="n">
        <v>0</v>
      </c>
      <c r="L53" s="99" t="n">
        <v>0</v>
      </c>
      <c r="M53" s="99" t="n">
        <v>0</v>
      </c>
      <c r="N53" s="99" t="n">
        <v>0</v>
      </c>
      <c r="O53" s="42" t="n">
        <v>35839</v>
      </c>
    </row>
    <row r="54" spans="1:15">
      <c r="A54" s="37" t="n">
        <v>48</v>
      </c>
      <c r="B54" s="97" t="s">
        <v>183</v>
      </c>
      <c r="C54" s="121" t="s">
        <v>120</v>
      </c>
      <c r="D54" s="121" t="s">
        <v>128</v>
      </c>
      <c r="E54" s="121" t="s">
        <v>15</v>
      </c>
      <c r="F54" s="98" t="n">
        <v>0</v>
      </c>
      <c r="G54" s="121" t="s">
        <v>185</v>
      </c>
      <c r="H54" s="99" t="n">
        <v>39637</v>
      </c>
      <c r="I54" s="99" t="n">
        <v>39637</v>
      </c>
      <c r="J54" s="99" t="n">
        <v>0</v>
      </c>
      <c r="K54" s="99" t="n">
        <v>0</v>
      </c>
      <c r="L54" s="99" t="n">
        <v>0</v>
      </c>
      <c r="M54" s="99" t="n">
        <v>0</v>
      </c>
      <c r="N54" s="99" t="n">
        <v>0</v>
      </c>
      <c r="O54" s="42" t="n">
        <v>39637</v>
      </c>
    </row>
    <row r="55" spans="1:15">
      <c r="A55" s="37" t="n">
        <v>49</v>
      </c>
      <c r="B55" s="97" t="s">
        <v>180</v>
      </c>
      <c r="C55" s="121" t="s">
        <v>120</v>
      </c>
      <c r="D55" s="121" t="s">
        <v>137</v>
      </c>
      <c r="E55" s="121" t="s">
        <v>14</v>
      </c>
      <c r="F55" s="98" t="n">
        <v>0</v>
      </c>
      <c r="G55" s="121" t="s">
        <v>182</v>
      </c>
      <c r="H55" s="99" t="n">
        <v>39345</v>
      </c>
      <c r="I55" s="99" t="n">
        <v>39345</v>
      </c>
      <c r="J55" s="99" t="n">
        <v>0</v>
      </c>
      <c r="K55" s="99" t="n">
        <v>0</v>
      </c>
      <c r="L55" s="99" t="n">
        <v>0</v>
      </c>
      <c r="M55" s="99" t="n">
        <v>0</v>
      </c>
      <c r="N55" s="99" t="n">
        <v>0</v>
      </c>
      <c r="O55" s="42" t="n">
        <v>39345</v>
      </c>
    </row>
    <row r="56" spans="1:15">
      <c r="A56" s="37" t="n">
        <v>50</v>
      </c>
      <c r="B56" s="97" t="s">
        <v>2253</v>
      </c>
      <c r="C56" s="121" t="s">
        <v>120</v>
      </c>
      <c r="D56" s="121" t="s">
        <v>137</v>
      </c>
      <c r="E56" s="121" t="s">
        <v>14</v>
      </c>
      <c r="F56" s="98" t="n">
        <v>0</v>
      </c>
      <c r="G56" s="121" t="s">
        <v>2254</v>
      </c>
      <c r="H56" s="99" t="n">
        <v>39637</v>
      </c>
      <c r="I56" s="99" t="n">
        <v>39637</v>
      </c>
      <c r="J56" s="99" t="n">
        <v>0</v>
      </c>
      <c r="K56" s="99" t="n">
        <v>0</v>
      </c>
      <c r="L56" s="99" t="n">
        <v>0</v>
      </c>
      <c r="M56" s="99" t="n">
        <v>0</v>
      </c>
      <c r="N56" s="99" t="n">
        <v>0</v>
      </c>
      <c r="O56" s="42" t="n">
        <v>39637</v>
      </c>
    </row>
    <row r="57" spans="1:15">
      <c r="A57" s="37" t="n">
        <v>51</v>
      </c>
      <c r="B57" s="97" t="s">
        <v>2255</v>
      </c>
      <c r="C57" s="121" t="s">
        <v>120</v>
      </c>
      <c r="D57" s="121" t="s">
        <v>137</v>
      </c>
      <c r="E57" s="121" t="s">
        <v>14</v>
      </c>
      <c r="F57" s="98" t="n">
        <v>0</v>
      </c>
      <c r="G57" s="121" t="s">
        <v>2256</v>
      </c>
      <c r="H57" s="99" t="n">
        <v>42266</v>
      </c>
      <c r="I57" s="99" t="n">
        <v>42266</v>
      </c>
      <c r="J57" s="99" t="n">
        <v>0</v>
      </c>
      <c r="K57" s="99" t="n">
        <v>0</v>
      </c>
      <c r="L57" s="99" t="n">
        <v>0</v>
      </c>
      <c r="M57" s="99" t="n">
        <v>0</v>
      </c>
      <c r="N57" s="99" t="n">
        <v>0</v>
      </c>
      <c r="O57" s="42" t="n">
        <v>42266</v>
      </c>
    </row>
    <row r="58" spans="1:15">
      <c r="A58" s="37" t="n">
        <v>52</v>
      </c>
      <c r="B58" s="97" t="s">
        <v>186</v>
      </c>
      <c r="C58" s="121" t="s">
        <v>120</v>
      </c>
      <c r="D58" s="121" t="s">
        <v>187</v>
      </c>
      <c r="E58" s="121" t="s">
        <v>14</v>
      </c>
      <c r="F58" s="98" t="n">
        <v>0</v>
      </c>
      <c r="G58" s="121" t="s">
        <v>188</v>
      </c>
      <c r="H58" s="99" t="n">
        <v>39637</v>
      </c>
      <c r="I58" s="99" t="n">
        <v>39637</v>
      </c>
      <c r="J58" s="99" t="n">
        <v>0</v>
      </c>
      <c r="K58" s="99" t="n">
        <v>0</v>
      </c>
      <c r="L58" s="99" t="n">
        <v>0</v>
      </c>
      <c r="M58" s="99" t="n">
        <v>0</v>
      </c>
      <c r="N58" s="99" t="n">
        <v>0</v>
      </c>
      <c r="O58" s="42" t="n">
        <v>39637</v>
      </c>
    </row>
    <row r="59" spans="1:15">
      <c r="A59" s="37" t="n">
        <v>53</v>
      </c>
      <c r="B59" s="97" t="s">
        <v>2257</v>
      </c>
      <c r="C59" s="121" t="s">
        <v>120</v>
      </c>
      <c r="D59" s="121" t="s">
        <v>128</v>
      </c>
      <c r="E59" s="121" t="s">
        <v>15</v>
      </c>
      <c r="F59" s="98" t="n">
        <v>0</v>
      </c>
      <c r="G59" s="121" t="s">
        <v>2258</v>
      </c>
      <c r="H59" s="99" t="n">
        <v>36715</v>
      </c>
      <c r="I59" s="99" t="n">
        <v>36715</v>
      </c>
      <c r="J59" s="99" t="n">
        <v>0</v>
      </c>
      <c r="K59" s="99" t="n">
        <v>0</v>
      </c>
      <c r="L59" s="99" t="n">
        <v>0</v>
      </c>
      <c r="M59" s="99" t="n">
        <v>0</v>
      </c>
      <c r="N59" s="99" t="n">
        <v>0</v>
      </c>
      <c r="O59" s="42" t="n">
        <v>36715</v>
      </c>
    </row>
    <row r="60" spans="1:15">
      <c r="A60" s="37" t="n">
        <v>54</v>
      </c>
      <c r="B60" s="97" t="s">
        <v>1075</v>
      </c>
      <c r="C60" s="121" t="s">
        <v>120</v>
      </c>
      <c r="D60" s="121" t="s">
        <v>128</v>
      </c>
      <c r="E60" s="121" t="s">
        <v>15</v>
      </c>
      <c r="F60" s="98" t="n">
        <v>0</v>
      </c>
      <c r="G60" s="121" t="s">
        <v>1076</v>
      </c>
      <c r="H60" s="99" t="n">
        <v>35547</v>
      </c>
      <c r="I60" s="99" t="n">
        <v>35547</v>
      </c>
      <c r="J60" s="99" t="n">
        <v>0</v>
      </c>
      <c r="K60" s="99" t="n">
        <v>0</v>
      </c>
      <c r="L60" s="99" t="n">
        <v>0</v>
      </c>
      <c r="M60" s="99" t="n">
        <v>0</v>
      </c>
      <c r="N60" s="99" t="n">
        <v>0</v>
      </c>
      <c r="O60" s="42" t="n">
        <v>35547</v>
      </c>
    </row>
    <row r="61" spans="1:15">
      <c r="A61" s="37" t="n">
        <v>55</v>
      </c>
      <c r="B61" s="97" t="s">
        <v>321</v>
      </c>
      <c r="C61" s="121" t="s">
        <v>120</v>
      </c>
      <c r="D61" s="121" t="s">
        <v>124</v>
      </c>
      <c r="E61" s="121" t="s">
        <v>15</v>
      </c>
      <c r="F61" s="98" t="n">
        <v>0</v>
      </c>
      <c r="G61" s="121" t="s">
        <v>322</v>
      </c>
      <c r="H61" s="99" t="n">
        <v>35839</v>
      </c>
      <c r="I61" s="99" t="n">
        <v>35839</v>
      </c>
      <c r="J61" s="99" t="n">
        <v>0</v>
      </c>
      <c r="K61" s="99" t="n">
        <v>0</v>
      </c>
      <c r="L61" s="99" t="n">
        <v>0</v>
      </c>
      <c r="M61" s="99" t="n">
        <v>0</v>
      </c>
      <c r="N61" s="99" t="n">
        <v>0</v>
      </c>
      <c r="O61" s="42" t="n">
        <v>35839</v>
      </c>
    </row>
    <row r="62" spans="1:15">
      <c r="A62" s="37" t="n">
        <v>56</v>
      </c>
      <c r="B62" s="97" t="s">
        <v>123</v>
      </c>
      <c r="C62" s="121" t="s">
        <v>120</v>
      </c>
      <c r="D62" s="121" t="s">
        <v>124</v>
      </c>
      <c r="E62" s="121" t="s">
        <v>15</v>
      </c>
      <c r="F62" s="98" t="n">
        <v>0</v>
      </c>
      <c r="G62" s="121" t="s">
        <v>126</v>
      </c>
      <c r="H62" s="99" t="n">
        <v>35839</v>
      </c>
      <c r="I62" s="99" t="n">
        <v>35839</v>
      </c>
      <c r="J62" s="99" t="n">
        <v>0</v>
      </c>
      <c r="K62" s="99" t="n">
        <v>0</v>
      </c>
      <c r="L62" s="99" t="n">
        <v>0</v>
      </c>
      <c r="M62" s="99" t="n">
        <v>0</v>
      </c>
      <c r="N62" s="99" t="n">
        <v>0</v>
      </c>
      <c r="O62" s="42" t="n">
        <v>35839</v>
      </c>
    </row>
    <row r="63" spans="1:15">
      <c r="A63" s="37" t="n">
        <v>57</v>
      </c>
      <c r="B63" s="97" t="s">
        <v>127</v>
      </c>
      <c r="C63" s="121" t="s">
        <v>120</v>
      </c>
      <c r="D63" s="121" t="s">
        <v>128</v>
      </c>
      <c r="E63" s="121" t="s">
        <v>15</v>
      </c>
      <c r="F63" s="98" t="n">
        <v>0</v>
      </c>
      <c r="G63" s="121" t="s">
        <v>129</v>
      </c>
      <c r="H63" s="99" t="n">
        <v>35839</v>
      </c>
      <c r="I63" s="99" t="n">
        <v>35839</v>
      </c>
      <c r="J63" s="99" t="n">
        <v>0</v>
      </c>
      <c r="K63" s="99" t="n">
        <v>0</v>
      </c>
      <c r="L63" s="99" t="n">
        <v>0</v>
      </c>
      <c r="M63" s="99" t="n">
        <v>0</v>
      </c>
      <c r="N63" s="99" t="n">
        <v>0</v>
      </c>
      <c r="O63" s="42" t="n">
        <v>35839</v>
      </c>
    </row>
    <row r="64" spans="1:15">
      <c r="A64" s="37" t="n">
        <v>58</v>
      </c>
      <c r="B64" s="97" t="s">
        <v>2259</v>
      </c>
      <c r="C64" s="121" t="s">
        <v>120</v>
      </c>
      <c r="D64" s="121" t="s">
        <v>128</v>
      </c>
      <c r="E64" s="121" t="s">
        <v>15</v>
      </c>
      <c r="F64" s="98" t="n">
        <v>0</v>
      </c>
      <c r="G64" s="121" t="s">
        <v>2260</v>
      </c>
      <c r="H64" s="99" t="n">
        <v>35839</v>
      </c>
      <c r="I64" s="99" t="n">
        <v>35839</v>
      </c>
      <c r="J64" s="99" t="n">
        <v>0</v>
      </c>
      <c r="K64" s="99" t="n">
        <v>0</v>
      </c>
      <c r="L64" s="99" t="n">
        <v>0</v>
      </c>
      <c r="M64" s="99" t="n">
        <v>0</v>
      </c>
      <c r="N64" s="99" t="n">
        <v>0</v>
      </c>
      <c r="O64" s="42" t="n">
        <v>35839</v>
      </c>
    </row>
    <row r="65" spans="1:15">
      <c r="A65" s="37" t="n">
        <v>59</v>
      </c>
      <c r="B65" s="97" t="s">
        <v>189</v>
      </c>
      <c r="C65" s="121" t="s">
        <v>120</v>
      </c>
      <c r="D65" s="121" t="s">
        <v>128</v>
      </c>
      <c r="E65" s="121" t="s">
        <v>15</v>
      </c>
      <c r="F65" s="98" t="n">
        <v>0</v>
      </c>
      <c r="G65" s="121" t="s">
        <v>190</v>
      </c>
      <c r="H65" s="99" t="n">
        <v>35839</v>
      </c>
      <c r="I65" s="99" t="n">
        <v>35839</v>
      </c>
      <c r="J65" s="99" t="n">
        <v>0</v>
      </c>
      <c r="K65" s="99" t="n">
        <v>0</v>
      </c>
      <c r="L65" s="99" t="n">
        <v>0</v>
      </c>
      <c r="M65" s="99" t="n">
        <v>0</v>
      </c>
      <c r="N65" s="99" t="n">
        <v>0</v>
      </c>
      <c r="O65" s="42" t="n">
        <v>35839</v>
      </c>
    </row>
    <row r="66" spans="1:15">
      <c r="A66" s="37" t="n">
        <v>60</v>
      </c>
      <c r="B66" s="97" t="s">
        <v>191</v>
      </c>
      <c r="C66" s="121" t="s">
        <v>120</v>
      </c>
      <c r="D66" s="121" t="s">
        <v>128</v>
      </c>
      <c r="E66" s="121" t="s">
        <v>15</v>
      </c>
      <c r="F66" s="98" t="n">
        <v>0</v>
      </c>
      <c r="G66" s="121" t="s">
        <v>192</v>
      </c>
      <c r="H66" s="99" t="n">
        <v>35839</v>
      </c>
      <c r="I66" s="99" t="n">
        <v>35839</v>
      </c>
      <c r="J66" s="99" t="n">
        <v>0</v>
      </c>
      <c r="K66" s="99" t="n">
        <v>0</v>
      </c>
      <c r="L66" s="99" t="n">
        <v>0</v>
      </c>
      <c r="M66" s="99" t="n">
        <v>0</v>
      </c>
      <c r="N66" s="99" t="n">
        <v>0</v>
      </c>
      <c r="O66" s="42" t="n">
        <v>35839</v>
      </c>
    </row>
    <row r="67" spans="1:15">
      <c r="A67" s="37" t="n">
        <v>61</v>
      </c>
      <c r="B67" s="97" t="s">
        <v>2261</v>
      </c>
      <c r="C67" s="121" t="s">
        <v>95</v>
      </c>
      <c r="D67" s="121" t="s">
        <v>124</v>
      </c>
      <c r="E67" s="121" t="s">
        <v>15</v>
      </c>
      <c r="F67" s="98" t="n">
        <v>0</v>
      </c>
      <c r="G67" s="121" t="s">
        <v>2262</v>
      </c>
      <c r="H67" s="99" t="n">
        <v>34086</v>
      </c>
      <c r="I67" s="99" t="n">
        <v>34086</v>
      </c>
      <c r="J67" s="99" t="n">
        <v>0</v>
      </c>
      <c r="K67" s="99" t="n">
        <v>0</v>
      </c>
      <c r="L67" s="99" t="n">
        <v>0</v>
      </c>
      <c r="M67" s="99" t="n">
        <v>0</v>
      </c>
      <c r="N67" s="99" t="n">
        <v>0</v>
      </c>
      <c r="O67" s="42" t="n">
        <v>34086</v>
      </c>
    </row>
    <row r="68" spans="1:15">
      <c r="A68" s="37" t="n">
        <v>62</v>
      </c>
      <c r="B68" s="97" t="s">
        <v>2263</v>
      </c>
      <c r="C68" s="121" t="s">
        <v>95</v>
      </c>
      <c r="D68" s="121" t="s">
        <v>278</v>
      </c>
      <c r="E68" s="121" t="s">
        <v>16</v>
      </c>
      <c r="F68" s="98" t="n">
        <v>0</v>
      </c>
      <c r="G68" s="121" t="s">
        <v>2264</v>
      </c>
      <c r="H68" s="99" t="n">
        <v>68464</v>
      </c>
      <c r="I68" s="99" t="n">
        <v>68464</v>
      </c>
      <c r="J68" s="99" t="n">
        <v>0</v>
      </c>
      <c r="K68" s="99" t="n">
        <v>0</v>
      </c>
      <c r="L68" s="99" t="n">
        <v>0</v>
      </c>
      <c r="M68" s="99" t="n">
        <v>0</v>
      </c>
      <c r="N68" s="99" t="n">
        <v>0</v>
      </c>
      <c r="O68" s="42" t="n">
        <v>68464</v>
      </c>
    </row>
    <row r="69" spans="1:15">
      <c r="A69" s="37" t="n">
        <v>63</v>
      </c>
      <c r="B69" s="97" t="s">
        <v>197</v>
      </c>
      <c r="C69" s="121" t="s">
        <v>95</v>
      </c>
      <c r="D69" s="121" t="s">
        <v>137</v>
      </c>
      <c r="E69" s="121" t="s">
        <v>14</v>
      </c>
      <c r="F69" s="98" t="n">
        <v>0</v>
      </c>
      <c r="G69" s="121" t="s">
        <v>199</v>
      </c>
      <c r="H69" s="99" t="n">
        <v>33988</v>
      </c>
      <c r="I69" s="99" t="n">
        <v>33988</v>
      </c>
      <c r="J69" s="99" t="n">
        <v>0</v>
      </c>
      <c r="K69" s="99" t="n">
        <v>0</v>
      </c>
      <c r="L69" s="99" t="n">
        <v>0</v>
      </c>
      <c r="M69" s="99" t="n">
        <v>0</v>
      </c>
      <c r="N69" s="99" t="n">
        <v>0</v>
      </c>
      <c r="O69" s="42" t="n">
        <v>33988</v>
      </c>
    </row>
    <row r="70" spans="1:15">
      <c r="A70" s="37" t="n">
        <v>64</v>
      </c>
      <c r="B70" s="97" t="s">
        <v>200</v>
      </c>
      <c r="C70" s="121" t="s">
        <v>58</v>
      </c>
      <c r="D70" s="121" t="s">
        <v>20</v>
      </c>
      <c r="E70" s="121" t="s">
        <v>21</v>
      </c>
      <c r="F70" s="121" t="s">
        <v>201</v>
      </c>
      <c r="G70" s="121" t="s">
        <v>203</v>
      </c>
      <c r="H70" s="99" t="n">
        <v>40708</v>
      </c>
      <c r="I70" s="99" t="n">
        <v>40708</v>
      </c>
      <c r="J70" s="99" t="n">
        <v>2035</v>
      </c>
      <c r="K70" s="99" t="n">
        <v>0</v>
      </c>
      <c r="L70" s="99" t="n">
        <v>0</v>
      </c>
      <c r="M70" s="99" t="n">
        <v>0</v>
      </c>
      <c r="N70" s="99" t="n">
        <v>0</v>
      </c>
      <c r="O70" s="42" t="n">
        <v>38673</v>
      </c>
    </row>
    <row r="71" spans="1:15">
      <c r="A71" s="37" t="n">
        <v>65</v>
      </c>
      <c r="B71" s="97" t="s">
        <v>204</v>
      </c>
      <c r="C71" s="121" t="s">
        <v>58</v>
      </c>
      <c r="D71" s="121" t="s">
        <v>20</v>
      </c>
      <c r="E71" s="121" t="s">
        <v>21</v>
      </c>
      <c r="F71" s="121" t="s">
        <v>205</v>
      </c>
      <c r="G71" s="121" t="s">
        <v>207</v>
      </c>
      <c r="H71" s="99" t="n">
        <v>40416</v>
      </c>
      <c r="I71" s="99" t="n">
        <v>40416</v>
      </c>
      <c r="J71" s="99" t="n">
        <v>2021</v>
      </c>
      <c r="K71" s="99" t="n">
        <v>0</v>
      </c>
      <c r="L71" s="99" t="n">
        <v>0</v>
      </c>
      <c r="M71" s="99" t="n">
        <v>0</v>
      </c>
      <c r="N71" s="99" t="n">
        <v>0</v>
      </c>
      <c r="O71" s="42" t="n">
        <v>38395</v>
      </c>
    </row>
    <row r="72" spans="1:15">
      <c r="A72" s="37" t="n">
        <v>66</v>
      </c>
      <c r="B72" s="97" t="s">
        <v>2265</v>
      </c>
      <c r="C72" s="121" t="s">
        <v>95</v>
      </c>
      <c r="D72" s="121" t="s">
        <v>20</v>
      </c>
      <c r="E72" s="121" t="s">
        <v>21</v>
      </c>
      <c r="F72" s="98" t="n">
        <v>0</v>
      </c>
      <c r="G72" s="121" t="s">
        <v>2266</v>
      </c>
      <c r="H72" s="99" t="n">
        <v>27853</v>
      </c>
      <c r="I72" s="99" t="n">
        <v>27853</v>
      </c>
      <c r="J72" s="99" t="n">
        <v>0</v>
      </c>
      <c r="K72" s="99" t="n">
        <v>0</v>
      </c>
      <c r="L72" s="99" t="n">
        <v>0</v>
      </c>
      <c r="M72" s="99" t="n">
        <v>0</v>
      </c>
      <c r="N72" s="99" t="n">
        <v>0</v>
      </c>
      <c r="O72" s="42" t="n">
        <v>27853</v>
      </c>
    </row>
    <row r="73" spans="1:15">
      <c r="A73" s="37" t="n">
        <v>67</v>
      </c>
      <c r="B73" s="97" t="s">
        <v>2267</v>
      </c>
      <c r="C73" s="121" t="s">
        <v>95</v>
      </c>
      <c r="D73" s="121" t="s">
        <v>20</v>
      </c>
      <c r="E73" s="121" t="s">
        <v>21</v>
      </c>
      <c r="F73" s="98" t="n">
        <v>0</v>
      </c>
      <c r="G73" s="121" t="s">
        <v>2268</v>
      </c>
      <c r="H73" s="99" t="n">
        <v>27853</v>
      </c>
      <c r="I73" s="99" t="n">
        <v>27853</v>
      </c>
      <c r="J73" s="99" t="n">
        <v>0</v>
      </c>
      <c r="K73" s="99" t="n">
        <v>0</v>
      </c>
      <c r="L73" s="99" t="n">
        <v>0</v>
      </c>
      <c r="M73" s="99" t="n">
        <v>0</v>
      </c>
      <c r="N73" s="99" t="n">
        <v>0</v>
      </c>
      <c r="O73" s="42" t="n">
        <v>27853</v>
      </c>
    </row>
    <row r="74" spans="1:15">
      <c r="A74" s="37" t="n">
        <v>68</v>
      </c>
      <c r="B74" s="97" t="s">
        <v>70</v>
      </c>
      <c r="C74" s="121" t="s">
        <v>58</v>
      </c>
      <c r="D74" s="121" t="s">
        <v>20</v>
      </c>
      <c r="E74" s="121" t="s">
        <v>21</v>
      </c>
      <c r="F74" s="121" t="s">
        <v>71</v>
      </c>
      <c r="G74" s="121" t="s">
        <v>73</v>
      </c>
      <c r="H74" s="99" t="n">
        <v>39442</v>
      </c>
      <c r="I74" s="99" t="n">
        <v>39442</v>
      </c>
      <c r="J74" s="99" t="n">
        <v>1972</v>
      </c>
      <c r="K74" s="99" t="n">
        <v>0</v>
      </c>
      <c r="L74" s="99" t="n">
        <v>0</v>
      </c>
      <c r="M74" s="99" t="n">
        <v>0</v>
      </c>
      <c r="N74" s="99" t="n">
        <v>0</v>
      </c>
      <c r="O74" s="42" t="n">
        <v>37470</v>
      </c>
    </row>
    <row r="75" spans="1:15">
      <c r="A75" s="37" t="n">
        <v>69</v>
      </c>
      <c r="B75" s="97" t="s">
        <v>232</v>
      </c>
      <c r="C75" s="121" t="s">
        <v>58</v>
      </c>
      <c r="D75" s="121" t="s">
        <v>20</v>
      </c>
      <c r="E75" s="121" t="s">
        <v>21</v>
      </c>
      <c r="F75" s="121" t="s">
        <v>233</v>
      </c>
      <c r="G75" s="121" t="s">
        <v>235</v>
      </c>
      <c r="H75" s="99" t="n">
        <v>25516</v>
      </c>
      <c r="I75" s="99" t="n">
        <v>25516</v>
      </c>
      <c r="J75" s="99" t="n">
        <v>1276</v>
      </c>
      <c r="K75" s="99" t="n">
        <v>0</v>
      </c>
      <c r="L75" s="99" t="n">
        <v>0</v>
      </c>
      <c r="M75" s="99" t="n">
        <v>0</v>
      </c>
      <c r="N75" s="99" t="n">
        <v>0</v>
      </c>
      <c r="O75" s="42" t="n">
        <v>24240</v>
      </c>
    </row>
    <row r="76" spans="1:15">
      <c r="A76" s="37" t="n">
        <v>70</v>
      </c>
      <c r="B76" s="97" t="s">
        <v>252</v>
      </c>
      <c r="C76" s="121" t="s">
        <v>120</v>
      </c>
      <c r="D76" s="121" t="s">
        <v>137</v>
      </c>
      <c r="E76" s="121" t="s">
        <v>14</v>
      </c>
      <c r="F76" s="98" t="n">
        <v>0</v>
      </c>
      <c r="G76" s="121" t="s">
        <v>253</v>
      </c>
      <c r="H76" s="99" t="n">
        <v>28924</v>
      </c>
      <c r="I76" s="99" t="n">
        <v>28924</v>
      </c>
      <c r="J76" s="99" t="n">
        <v>0</v>
      </c>
      <c r="K76" s="99" t="n">
        <v>0</v>
      </c>
      <c r="L76" s="99" t="n">
        <v>0</v>
      </c>
      <c r="M76" s="99" t="n">
        <v>0</v>
      </c>
      <c r="N76" s="99" t="n">
        <v>0</v>
      </c>
      <c r="O76" s="42" t="n">
        <v>28924</v>
      </c>
    </row>
    <row r="77" spans="1:15">
      <c r="A77" s="37" t="n">
        <v>71</v>
      </c>
      <c r="B77" s="97" t="s">
        <v>250</v>
      </c>
      <c r="C77" s="121" t="s">
        <v>120</v>
      </c>
      <c r="D77" s="121" t="s">
        <v>128</v>
      </c>
      <c r="E77" s="121" t="s">
        <v>15</v>
      </c>
      <c r="F77" s="98" t="n">
        <v>0</v>
      </c>
      <c r="G77" s="121" t="s">
        <v>251</v>
      </c>
      <c r="H77" s="99" t="n">
        <v>28632</v>
      </c>
      <c r="I77" s="99" t="n">
        <v>28632</v>
      </c>
      <c r="J77" s="99" t="n">
        <v>0</v>
      </c>
      <c r="K77" s="99" t="n">
        <v>0</v>
      </c>
      <c r="L77" s="99" t="n">
        <v>0</v>
      </c>
      <c r="M77" s="99" t="n">
        <v>0</v>
      </c>
      <c r="N77" s="99" t="n">
        <v>0</v>
      </c>
      <c r="O77" s="42" t="n">
        <v>28632</v>
      </c>
    </row>
    <row r="78" spans="1:15">
      <c r="A78" s="37" t="n">
        <v>72</v>
      </c>
      <c r="B78" s="97" t="s">
        <v>254</v>
      </c>
      <c r="C78" s="121" t="s">
        <v>120</v>
      </c>
      <c r="D78" s="121" t="s">
        <v>128</v>
      </c>
      <c r="E78" s="121" t="s">
        <v>15</v>
      </c>
      <c r="F78" s="98" t="n">
        <v>0</v>
      </c>
      <c r="G78" s="121" t="s">
        <v>255</v>
      </c>
      <c r="H78" s="99" t="n">
        <v>28924</v>
      </c>
      <c r="I78" s="99" t="n">
        <v>28924</v>
      </c>
      <c r="J78" s="99" t="n">
        <v>0</v>
      </c>
      <c r="K78" s="99" t="n">
        <v>0</v>
      </c>
      <c r="L78" s="99" t="n">
        <v>0</v>
      </c>
      <c r="M78" s="99" t="n">
        <v>0</v>
      </c>
      <c r="N78" s="99" t="n">
        <v>0</v>
      </c>
      <c r="O78" s="42" t="n">
        <v>28924</v>
      </c>
    </row>
    <row r="79" spans="1:15">
      <c r="A79" s="37" t="n">
        <v>73</v>
      </c>
      <c r="B79" s="97" t="s">
        <v>256</v>
      </c>
      <c r="C79" s="121" t="s">
        <v>120</v>
      </c>
      <c r="D79" s="121" t="s">
        <v>128</v>
      </c>
      <c r="E79" s="121" t="s">
        <v>15</v>
      </c>
      <c r="F79" s="98" t="n">
        <v>0</v>
      </c>
      <c r="G79" s="121" t="s">
        <v>258</v>
      </c>
      <c r="H79" s="99" t="n">
        <v>28535</v>
      </c>
      <c r="I79" s="99" t="n">
        <v>28535</v>
      </c>
      <c r="J79" s="99" t="n">
        <v>0</v>
      </c>
      <c r="K79" s="99" t="n">
        <v>0</v>
      </c>
      <c r="L79" s="99" t="n">
        <v>0</v>
      </c>
      <c r="M79" s="99" t="n">
        <v>0</v>
      </c>
      <c r="N79" s="99" t="n">
        <v>0</v>
      </c>
      <c r="O79" s="42" t="n">
        <v>28535</v>
      </c>
    </row>
    <row r="80" spans="1:15">
      <c r="A80" s="37" t="n">
        <v>74</v>
      </c>
      <c r="B80" s="97" t="s">
        <v>264</v>
      </c>
      <c r="C80" s="121" t="s">
        <v>120</v>
      </c>
      <c r="D80" s="121" t="s">
        <v>128</v>
      </c>
      <c r="E80" s="121" t="s">
        <v>15</v>
      </c>
      <c r="F80" s="98" t="n">
        <v>0</v>
      </c>
      <c r="G80" s="121" t="s">
        <v>266</v>
      </c>
      <c r="H80" s="99" t="n">
        <v>24250</v>
      </c>
      <c r="I80" s="99" t="n">
        <v>24250</v>
      </c>
      <c r="J80" s="99" t="n">
        <v>0</v>
      </c>
      <c r="K80" s="99" t="n">
        <v>0</v>
      </c>
      <c r="L80" s="99" t="n">
        <v>0</v>
      </c>
      <c r="M80" s="99" t="n">
        <v>0</v>
      </c>
      <c r="N80" s="99" t="n">
        <v>0</v>
      </c>
      <c r="O80" s="42" t="n">
        <v>24250</v>
      </c>
    </row>
    <row r="81" spans="1:15">
      <c r="A81" s="37" t="n">
        <v>75</v>
      </c>
      <c r="B81" s="97" t="s">
        <v>267</v>
      </c>
      <c r="C81" s="121" t="s">
        <v>120</v>
      </c>
      <c r="D81" s="121" t="s">
        <v>128</v>
      </c>
      <c r="E81" s="121" t="s">
        <v>15</v>
      </c>
      <c r="F81" s="98" t="n">
        <v>0</v>
      </c>
      <c r="G81" s="121" t="s">
        <v>269</v>
      </c>
      <c r="H81" s="99" t="n">
        <v>23178</v>
      </c>
      <c r="I81" s="99" t="n">
        <v>23178</v>
      </c>
      <c r="J81" s="99" t="n">
        <v>0</v>
      </c>
      <c r="K81" s="99" t="n">
        <v>0</v>
      </c>
      <c r="L81" s="99" t="n">
        <v>0</v>
      </c>
      <c r="M81" s="99" t="n">
        <v>0</v>
      </c>
      <c r="N81" s="99" t="n">
        <v>0</v>
      </c>
      <c r="O81" s="42" t="n">
        <v>23178</v>
      </c>
    </row>
    <row r="82" spans="1:15">
      <c r="A82" s="37" t="n">
        <v>76</v>
      </c>
      <c r="B82" s="97" t="s">
        <v>220</v>
      </c>
      <c r="C82" s="121" t="s">
        <v>58</v>
      </c>
      <c r="D82" s="121" t="s">
        <v>20</v>
      </c>
      <c r="E82" s="121" t="s">
        <v>21</v>
      </c>
      <c r="F82" s="121" t="s">
        <v>221</v>
      </c>
      <c r="G82" s="121" t="s">
        <v>223</v>
      </c>
      <c r="H82" s="99" t="n">
        <v>40708</v>
      </c>
      <c r="I82" s="99" t="n">
        <v>40708</v>
      </c>
      <c r="J82" s="99" t="n">
        <v>2035</v>
      </c>
      <c r="K82" s="99" t="n">
        <v>0</v>
      </c>
      <c r="L82" s="99" t="n">
        <v>0</v>
      </c>
      <c r="M82" s="99" t="n">
        <v>0</v>
      </c>
      <c r="N82" s="99" t="n">
        <v>0</v>
      </c>
      <c r="O82" s="42" t="n">
        <v>38673</v>
      </c>
    </row>
    <row r="83" spans="1:15">
      <c r="A83" s="37" t="n">
        <v>77</v>
      </c>
      <c r="B83" s="97" t="s">
        <v>2271</v>
      </c>
      <c r="C83" s="121" t="s">
        <v>58</v>
      </c>
      <c r="D83" s="121" t="s">
        <v>20</v>
      </c>
      <c r="E83" s="121" t="s">
        <v>21</v>
      </c>
      <c r="F83" s="121" t="s">
        <v>2272</v>
      </c>
      <c r="G83" s="121" t="s">
        <v>2273</v>
      </c>
      <c r="H83" s="99" t="n">
        <v>28535</v>
      </c>
      <c r="I83" s="99" t="n">
        <v>28535</v>
      </c>
      <c r="J83" s="99" t="n">
        <v>1427</v>
      </c>
      <c r="K83" s="99" t="n">
        <v>0</v>
      </c>
      <c r="L83" s="99" t="n">
        <v>0</v>
      </c>
      <c r="M83" s="99" t="n">
        <v>0</v>
      </c>
      <c r="N83" s="99" t="n">
        <v>0</v>
      </c>
      <c r="O83" s="42" t="n">
        <v>27108</v>
      </c>
    </row>
    <row r="84" spans="1:15">
      <c r="A84" s="37" t="n">
        <v>78</v>
      </c>
      <c r="B84" s="97" t="s">
        <v>228</v>
      </c>
      <c r="C84" s="121" t="s">
        <v>58</v>
      </c>
      <c r="D84" s="121" t="s">
        <v>20</v>
      </c>
      <c r="E84" s="121" t="s">
        <v>21</v>
      </c>
      <c r="F84" s="121" t="s">
        <v>229</v>
      </c>
      <c r="G84" s="121" t="s">
        <v>231</v>
      </c>
      <c r="H84" s="99" t="n">
        <v>29411</v>
      </c>
      <c r="I84" s="99" t="n">
        <v>29411</v>
      </c>
      <c r="J84" s="99" t="n">
        <v>1471</v>
      </c>
      <c r="K84" s="99" t="n">
        <v>0</v>
      </c>
      <c r="L84" s="99" t="n">
        <v>0</v>
      </c>
      <c r="M84" s="99" t="n">
        <v>0</v>
      </c>
      <c r="N84" s="99" t="n">
        <v>0</v>
      </c>
      <c r="O84" s="42" t="n">
        <v>27940</v>
      </c>
    </row>
    <row r="85" spans="1:15">
      <c r="A85" s="37" t="n">
        <v>79</v>
      </c>
      <c r="B85" s="97" t="s">
        <v>2274</v>
      </c>
      <c r="C85" s="121" t="s">
        <v>111</v>
      </c>
      <c r="D85" s="121" t="s">
        <v>20</v>
      </c>
      <c r="E85" s="121" t="s">
        <v>21</v>
      </c>
      <c r="F85" s="121" t="s">
        <v>2275</v>
      </c>
      <c r="G85" s="121" t="s">
        <v>2276</v>
      </c>
      <c r="H85" s="99" t="n">
        <v>32820</v>
      </c>
      <c r="I85" s="99" t="n">
        <v>32820</v>
      </c>
      <c r="J85" s="99" t="n">
        <v>0</v>
      </c>
      <c r="K85" s="99" t="n">
        <v>0</v>
      </c>
      <c r="L85" s="99" t="n">
        <v>0</v>
      </c>
      <c r="M85" s="99" t="n">
        <v>0</v>
      </c>
      <c r="N85" s="99" t="n">
        <v>0</v>
      </c>
      <c r="O85" s="42" t="n">
        <v>32820</v>
      </c>
    </row>
    <row r="86" spans="1:15">
      <c r="A86" s="37" t="n">
        <v>80</v>
      </c>
      <c r="B86" s="97" t="s">
        <v>259</v>
      </c>
      <c r="C86" s="121" t="s">
        <v>120</v>
      </c>
      <c r="D86" s="121" t="s">
        <v>124</v>
      </c>
      <c r="E86" s="121" t="s">
        <v>15</v>
      </c>
      <c r="F86" s="98" t="n">
        <v>0</v>
      </c>
      <c r="G86" s="121" t="s">
        <v>261</v>
      </c>
      <c r="H86" s="99" t="n">
        <v>27366</v>
      </c>
      <c r="I86" s="99" t="n">
        <v>27366</v>
      </c>
      <c r="J86" s="99" t="n">
        <v>0</v>
      </c>
      <c r="K86" s="99" t="n">
        <v>0</v>
      </c>
      <c r="L86" s="99" t="n">
        <v>0</v>
      </c>
      <c r="M86" s="99" t="n">
        <v>0</v>
      </c>
      <c r="N86" s="99" t="n">
        <v>0</v>
      </c>
      <c r="O86" s="42" t="n">
        <v>27366</v>
      </c>
    </row>
    <row r="87" spans="1:15">
      <c r="A87" s="37" t="n">
        <v>81</v>
      </c>
      <c r="B87" s="97" t="s">
        <v>2277</v>
      </c>
      <c r="C87" s="121" t="s">
        <v>120</v>
      </c>
      <c r="D87" s="98" t="n">
        <v>0</v>
      </c>
      <c r="E87" s="121" t="s">
        <v>21</v>
      </c>
      <c r="F87" s="98" t="n">
        <v>0</v>
      </c>
      <c r="G87" s="121" t="s">
        <v>2278</v>
      </c>
      <c r="H87" s="99" t="n">
        <v>26003</v>
      </c>
      <c r="I87" s="99" t="n">
        <v>26003</v>
      </c>
      <c r="J87" s="99" t="n">
        <v>0</v>
      </c>
      <c r="K87" s="99" t="n">
        <v>0</v>
      </c>
      <c r="L87" s="99" t="n">
        <v>0</v>
      </c>
      <c r="M87" s="99" t="n">
        <v>0</v>
      </c>
      <c r="N87" s="99" t="n">
        <v>0</v>
      </c>
      <c r="O87" s="42" t="n">
        <v>26003</v>
      </c>
    </row>
    <row r="88" spans="1:15">
      <c r="A88" s="37" t="n">
        <v>82</v>
      </c>
      <c r="B88" s="97" t="s">
        <v>236</v>
      </c>
      <c r="C88" s="121" t="s">
        <v>131</v>
      </c>
      <c r="D88" s="121" t="s">
        <v>20</v>
      </c>
      <c r="E88" s="121" t="s">
        <v>21</v>
      </c>
      <c r="F88" s="121" t="s">
        <v>237</v>
      </c>
      <c r="G88" s="121" t="s">
        <v>239</v>
      </c>
      <c r="H88" s="99" t="n">
        <v>27853</v>
      </c>
      <c r="I88" s="99" t="n">
        <v>27853</v>
      </c>
      <c r="J88" s="99" t="n">
        <v>1393</v>
      </c>
      <c r="K88" s="99" t="n">
        <v>0</v>
      </c>
      <c r="L88" s="99" t="n">
        <v>0</v>
      </c>
      <c r="M88" s="99" t="n">
        <v>0</v>
      </c>
      <c r="N88" s="99" t="n">
        <v>0</v>
      </c>
      <c r="O88" s="42" t="n">
        <v>26460</v>
      </c>
    </row>
    <row r="89" spans="1:15">
      <c r="A89" s="37" t="n">
        <v>83</v>
      </c>
      <c r="B89" s="97" t="s">
        <v>546</v>
      </c>
      <c r="C89" s="121" t="s">
        <v>120</v>
      </c>
      <c r="D89" s="121" t="s">
        <v>124</v>
      </c>
      <c r="E89" s="121" t="s">
        <v>15</v>
      </c>
      <c r="F89" s="98" t="n">
        <v>0</v>
      </c>
      <c r="G89" s="121" t="s">
        <v>547</v>
      </c>
      <c r="H89" s="99" t="n">
        <v>32820</v>
      </c>
      <c r="I89" s="99" t="n">
        <v>32820</v>
      </c>
      <c r="J89" s="99" t="n">
        <v>0</v>
      </c>
      <c r="K89" s="99" t="n">
        <v>0</v>
      </c>
      <c r="L89" s="99" t="n">
        <v>0</v>
      </c>
      <c r="M89" s="99" t="n">
        <v>0</v>
      </c>
      <c r="N89" s="99" t="n">
        <v>0</v>
      </c>
      <c r="O89" s="42" t="n">
        <v>32820</v>
      </c>
    </row>
    <row r="90" spans="1:15">
      <c r="A90" s="37" t="n">
        <v>84</v>
      </c>
      <c r="B90" s="97" t="s">
        <v>347</v>
      </c>
      <c r="C90" s="121" t="s">
        <v>95</v>
      </c>
      <c r="D90" s="121" t="s">
        <v>137</v>
      </c>
      <c r="E90" s="121" t="s">
        <v>14</v>
      </c>
      <c r="F90" s="98" t="n">
        <v>0</v>
      </c>
      <c r="G90" s="121" t="s">
        <v>348</v>
      </c>
      <c r="H90" s="99" t="n">
        <v>29216</v>
      </c>
      <c r="I90" s="99" t="n">
        <v>29216</v>
      </c>
      <c r="J90" s="99" t="n">
        <v>0</v>
      </c>
      <c r="K90" s="99" t="n">
        <v>0</v>
      </c>
      <c r="L90" s="99" t="n">
        <v>0</v>
      </c>
      <c r="M90" s="99" t="n">
        <v>0</v>
      </c>
      <c r="N90" s="99" t="n">
        <v>0</v>
      </c>
      <c r="O90" s="42" t="n">
        <v>29216</v>
      </c>
    </row>
    <row r="91" spans="1:15">
      <c r="A91" s="37" t="n">
        <v>85</v>
      </c>
      <c r="B91" s="97" t="s">
        <v>2279</v>
      </c>
      <c r="C91" s="121" t="s">
        <v>95</v>
      </c>
      <c r="D91" s="121" t="s">
        <v>128</v>
      </c>
      <c r="E91" s="121" t="s">
        <v>15</v>
      </c>
      <c r="F91" s="98" t="n">
        <v>0</v>
      </c>
      <c r="G91" s="121" t="s">
        <v>2280</v>
      </c>
      <c r="H91" s="99" t="n">
        <v>23957</v>
      </c>
      <c r="I91" s="99" t="n">
        <v>23957</v>
      </c>
      <c r="J91" s="99" t="n">
        <v>0</v>
      </c>
      <c r="K91" s="99" t="n">
        <v>0</v>
      </c>
      <c r="L91" s="99" t="n">
        <v>0</v>
      </c>
      <c r="M91" s="99" t="n">
        <v>0</v>
      </c>
      <c r="N91" s="99" t="n">
        <v>0</v>
      </c>
      <c r="O91" s="42" t="n">
        <v>23957</v>
      </c>
    </row>
    <row r="92" spans="1:15">
      <c r="A92" s="37" t="n">
        <v>86</v>
      </c>
      <c r="B92" s="97" t="s">
        <v>273</v>
      </c>
      <c r="C92" s="121" t="s">
        <v>58</v>
      </c>
      <c r="D92" s="121" t="s">
        <v>20</v>
      </c>
      <c r="E92" s="121" t="s">
        <v>21</v>
      </c>
      <c r="F92" s="121" t="s">
        <v>274</v>
      </c>
      <c r="G92" s="121" t="s">
        <v>276</v>
      </c>
      <c r="H92" s="99" t="n">
        <v>43630</v>
      </c>
      <c r="I92" s="99" t="n">
        <v>43630</v>
      </c>
      <c r="J92" s="99" t="n">
        <v>2182</v>
      </c>
      <c r="K92" s="99" t="n">
        <v>0</v>
      </c>
      <c r="L92" s="99" t="n">
        <v>0</v>
      </c>
      <c r="M92" s="99" t="n">
        <v>0</v>
      </c>
      <c r="N92" s="99" t="n">
        <v>0</v>
      </c>
      <c r="O92" s="42" t="n">
        <v>41448</v>
      </c>
    </row>
    <row r="93" spans="1:15">
      <c r="A93" s="37" t="n">
        <v>87</v>
      </c>
      <c r="B93" s="97" t="s">
        <v>2281</v>
      </c>
      <c r="C93" s="121" t="s">
        <v>120</v>
      </c>
      <c r="D93" s="98" t="n">
        <v>0</v>
      </c>
      <c r="E93" s="121" t="s">
        <v>21</v>
      </c>
      <c r="F93" s="98" t="n">
        <v>0</v>
      </c>
      <c r="G93" s="121" t="s">
        <v>2282</v>
      </c>
      <c r="H93" s="99" t="n">
        <v>43240</v>
      </c>
      <c r="I93" s="99" t="n">
        <v>43240</v>
      </c>
      <c r="J93" s="99" t="n">
        <v>0</v>
      </c>
      <c r="K93" s="99" t="n">
        <v>0</v>
      </c>
      <c r="L93" s="99" t="n">
        <v>0</v>
      </c>
      <c r="M93" s="99" t="n">
        <v>0</v>
      </c>
      <c r="N93" s="99" t="n">
        <v>0</v>
      </c>
      <c r="O93" s="42" t="n">
        <v>43240</v>
      </c>
    </row>
    <row r="94" spans="1:15">
      <c r="A94" s="37" t="n">
        <v>88</v>
      </c>
      <c r="B94" s="97" t="s">
        <v>277</v>
      </c>
      <c r="C94" s="121" t="s">
        <v>120</v>
      </c>
      <c r="D94" s="121" t="s">
        <v>278</v>
      </c>
      <c r="E94" s="121" t="s">
        <v>16</v>
      </c>
      <c r="F94" s="98" t="n">
        <v>0</v>
      </c>
      <c r="G94" s="121" t="s">
        <v>279</v>
      </c>
      <c r="H94" s="99" t="n">
        <v>38566</v>
      </c>
      <c r="I94" s="99" t="n">
        <v>38566</v>
      </c>
      <c r="J94" s="99" t="n">
        <v>0</v>
      </c>
      <c r="K94" s="99" t="n">
        <v>0</v>
      </c>
      <c r="L94" s="99" t="n">
        <v>0</v>
      </c>
      <c r="M94" s="99" t="n">
        <v>0</v>
      </c>
      <c r="N94" s="99" t="n">
        <v>0</v>
      </c>
      <c r="O94" s="42" t="n">
        <v>38566</v>
      </c>
    </row>
    <row r="95" spans="1:15">
      <c r="A95" s="37" t="n">
        <v>89</v>
      </c>
      <c r="B95" s="97" t="s">
        <v>280</v>
      </c>
      <c r="C95" s="121" t="s">
        <v>120</v>
      </c>
      <c r="D95" s="121" t="s">
        <v>128</v>
      </c>
      <c r="E95" s="121" t="s">
        <v>15</v>
      </c>
      <c r="F95" s="98" t="n">
        <v>0</v>
      </c>
      <c r="G95" s="121" t="s">
        <v>281</v>
      </c>
      <c r="H95" s="99" t="n">
        <v>36910</v>
      </c>
      <c r="I95" s="99" t="n">
        <v>36910</v>
      </c>
      <c r="J95" s="99" t="n">
        <v>0</v>
      </c>
      <c r="K95" s="99" t="n">
        <v>0</v>
      </c>
      <c r="L95" s="99" t="n">
        <v>0</v>
      </c>
      <c r="M95" s="99" t="n">
        <v>0</v>
      </c>
      <c r="N95" s="99" t="n">
        <v>0</v>
      </c>
      <c r="O95" s="42" t="n">
        <v>36910</v>
      </c>
    </row>
    <row r="96" spans="1:15">
      <c r="A96" s="37" t="n">
        <v>90</v>
      </c>
      <c r="B96" s="97" t="s">
        <v>2283</v>
      </c>
      <c r="C96" s="121" t="s">
        <v>120</v>
      </c>
      <c r="D96" s="121" t="s">
        <v>128</v>
      </c>
      <c r="E96" s="121" t="s">
        <v>15</v>
      </c>
      <c r="F96" s="98" t="n">
        <v>0</v>
      </c>
      <c r="G96" s="121" t="s">
        <v>2284</v>
      </c>
      <c r="H96" s="99" t="n">
        <v>37787</v>
      </c>
      <c r="I96" s="99" t="n">
        <v>37787</v>
      </c>
      <c r="J96" s="99" t="n">
        <v>0</v>
      </c>
      <c r="K96" s="99" t="n">
        <v>0</v>
      </c>
      <c r="L96" s="99" t="n">
        <v>0</v>
      </c>
      <c r="M96" s="99" t="n">
        <v>0</v>
      </c>
      <c r="N96" s="99" t="n">
        <v>0</v>
      </c>
      <c r="O96" s="42" t="n">
        <v>37787</v>
      </c>
    </row>
    <row r="97" spans="1:15">
      <c r="A97" s="37" t="n">
        <v>91</v>
      </c>
      <c r="B97" s="97" t="s">
        <v>2285</v>
      </c>
      <c r="C97" s="121" t="s">
        <v>95</v>
      </c>
      <c r="D97" s="121" t="s">
        <v>124</v>
      </c>
      <c r="E97" s="121" t="s">
        <v>15</v>
      </c>
      <c r="F97" s="98" t="n">
        <v>0</v>
      </c>
      <c r="G97" s="121" t="s">
        <v>2286</v>
      </c>
      <c r="H97" s="99" t="n">
        <v>35866</v>
      </c>
      <c r="I97" s="99" t="n">
        <v>35866</v>
      </c>
      <c r="J97" s="99" t="n">
        <v>0</v>
      </c>
      <c r="K97" s="99" t="n">
        <v>0</v>
      </c>
      <c r="L97" s="99" t="n">
        <v>0</v>
      </c>
      <c r="M97" s="99" t="n">
        <v>0</v>
      </c>
      <c r="N97" s="99" t="n">
        <v>0</v>
      </c>
      <c r="O97" s="42" t="n">
        <v>35866</v>
      </c>
    </row>
    <row r="98" spans="1:15">
      <c r="A98" s="37" t="n">
        <v>92</v>
      </c>
      <c r="B98" s="97" t="s">
        <v>2287</v>
      </c>
      <c r="C98" s="121" t="s">
        <v>95</v>
      </c>
      <c r="D98" s="121" t="s">
        <v>137</v>
      </c>
      <c r="E98" s="121" t="s">
        <v>14</v>
      </c>
      <c r="F98" s="121" t="s">
        <v>2074</v>
      </c>
      <c r="G98" s="121" t="s">
        <v>2288</v>
      </c>
      <c r="H98" s="99" t="n">
        <v>35936</v>
      </c>
      <c r="I98" s="99" t="n">
        <v>35936</v>
      </c>
      <c r="J98" s="99" t="n">
        <v>0</v>
      </c>
      <c r="K98" s="99" t="n">
        <v>0</v>
      </c>
      <c r="L98" s="99" t="n">
        <v>0</v>
      </c>
      <c r="M98" s="99" t="n">
        <v>0</v>
      </c>
      <c r="N98" s="99" t="n">
        <v>0</v>
      </c>
      <c r="O98" s="42" t="n">
        <v>35936</v>
      </c>
    </row>
    <row r="99" spans="1:15">
      <c r="A99" s="37" t="n">
        <v>93</v>
      </c>
      <c r="B99" s="97" t="s">
        <v>2289</v>
      </c>
      <c r="C99" s="121" t="s">
        <v>58</v>
      </c>
      <c r="D99" s="121" t="s">
        <v>20</v>
      </c>
      <c r="E99" s="121" t="s">
        <v>21</v>
      </c>
      <c r="F99" s="121" t="s">
        <v>2290</v>
      </c>
      <c r="G99" s="121" t="s">
        <v>2291</v>
      </c>
      <c r="H99" s="99" t="n">
        <v>36228</v>
      </c>
      <c r="I99" s="99" t="n">
        <v>36228</v>
      </c>
      <c r="J99" s="99" t="n">
        <v>1811</v>
      </c>
      <c r="K99" s="99" t="n">
        <v>0</v>
      </c>
      <c r="L99" s="99" t="n">
        <v>0</v>
      </c>
      <c r="M99" s="99" t="n">
        <v>0</v>
      </c>
      <c r="N99" s="99" t="n">
        <v>0</v>
      </c>
      <c r="O99" s="42" t="n">
        <v>34417</v>
      </c>
    </row>
    <row r="100" spans="1:15">
      <c r="A100" s="37" t="n">
        <v>94</v>
      </c>
      <c r="B100" s="97" t="s">
        <v>299</v>
      </c>
      <c r="C100" s="121" t="s">
        <v>58</v>
      </c>
      <c r="D100" s="121" t="s">
        <v>20</v>
      </c>
      <c r="E100" s="121" t="s">
        <v>21</v>
      </c>
      <c r="F100" s="121" t="s">
        <v>300</v>
      </c>
      <c r="G100" s="121" t="s">
        <v>302</v>
      </c>
      <c r="H100" s="99" t="n">
        <v>35936</v>
      </c>
      <c r="I100" s="99" t="n">
        <v>35936</v>
      </c>
      <c r="J100" s="99" t="n">
        <v>1797</v>
      </c>
      <c r="K100" s="99" t="n">
        <v>0</v>
      </c>
      <c r="L100" s="99" t="n">
        <v>0</v>
      </c>
      <c r="M100" s="99" t="n">
        <v>0</v>
      </c>
      <c r="N100" s="99" t="n">
        <v>0</v>
      </c>
      <c r="O100" s="42" t="n">
        <v>34139</v>
      </c>
    </row>
    <row r="101" spans="1:15">
      <c r="A101" s="37" t="n">
        <v>95</v>
      </c>
      <c r="B101" s="97" t="s">
        <v>2292</v>
      </c>
      <c r="C101" s="121" t="s">
        <v>58</v>
      </c>
      <c r="D101" s="121" t="s">
        <v>20</v>
      </c>
      <c r="E101" s="121" t="s">
        <v>21</v>
      </c>
      <c r="F101" s="121" t="s">
        <v>2293</v>
      </c>
      <c r="G101" s="121" t="s">
        <v>2294</v>
      </c>
      <c r="H101" s="99" t="n">
        <v>34670</v>
      </c>
      <c r="I101" s="99" t="n">
        <v>34670</v>
      </c>
      <c r="J101" s="99" t="n">
        <v>1734</v>
      </c>
      <c r="K101" s="99" t="n">
        <v>0</v>
      </c>
      <c r="L101" s="99" t="n">
        <v>0</v>
      </c>
      <c r="M101" s="99" t="n">
        <v>0</v>
      </c>
      <c r="N101" s="99" t="n">
        <v>0</v>
      </c>
      <c r="O101" s="42" t="n">
        <v>32936</v>
      </c>
    </row>
    <row r="102" spans="1:15">
      <c r="A102" s="37" t="n">
        <v>96</v>
      </c>
      <c r="B102" s="97" t="s">
        <v>2295</v>
      </c>
      <c r="C102" s="121" t="s">
        <v>58</v>
      </c>
      <c r="D102" s="121" t="s">
        <v>20</v>
      </c>
      <c r="E102" s="121" t="s">
        <v>21</v>
      </c>
      <c r="F102" s="121" t="s">
        <v>2074</v>
      </c>
      <c r="G102" s="121" t="s">
        <v>2296</v>
      </c>
      <c r="H102" s="99" t="n">
        <v>34670</v>
      </c>
      <c r="I102" s="99" t="n">
        <v>34670</v>
      </c>
      <c r="J102" s="99" t="n">
        <v>1734</v>
      </c>
      <c r="K102" s="99" t="n">
        <v>0</v>
      </c>
      <c r="L102" s="99" t="n">
        <v>0</v>
      </c>
      <c r="M102" s="99" t="n">
        <v>0</v>
      </c>
      <c r="N102" s="99" t="n">
        <v>0</v>
      </c>
      <c r="O102" s="42" t="n">
        <v>32936</v>
      </c>
    </row>
    <row r="103" spans="1:15">
      <c r="A103" s="37" t="n">
        <v>97</v>
      </c>
      <c r="B103" s="97" t="s">
        <v>295</v>
      </c>
      <c r="C103" s="121" t="s">
        <v>58</v>
      </c>
      <c r="D103" s="121" t="s">
        <v>20</v>
      </c>
      <c r="E103" s="121" t="s">
        <v>21</v>
      </c>
      <c r="F103" s="121" t="s">
        <v>296</v>
      </c>
      <c r="G103" s="121" t="s">
        <v>298</v>
      </c>
      <c r="H103" s="99" t="n">
        <v>34670</v>
      </c>
      <c r="I103" s="99" t="n">
        <v>34670</v>
      </c>
      <c r="J103" s="99" t="n">
        <v>1734</v>
      </c>
      <c r="K103" s="99" t="n">
        <v>0</v>
      </c>
      <c r="L103" s="99" t="n">
        <v>0</v>
      </c>
      <c r="M103" s="99" t="n">
        <v>0</v>
      </c>
      <c r="N103" s="99" t="n">
        <v>0</v>
      </c>
      <c r="O103" s="42" t="n">
        <v>32936</v>
      </c>
    </row>
    <row r="104" spans="1:15">
      <c r="A104" s="37" t="n">
        <v>98</v>
      </c>
      <c r="B104" s="97" t="s">
        <v>303</v>
      </c>
      <c r="C104" s="121" t="s">
        <v>111</v>
      </c>
      <c r="D104" s="121" t="s">
        <v>20</v>
      </c>
      <c r="E104" s="121" t="s">
        <v>21</v>
      </c>
      <c r="F104" s="121" t="s">
        <v>304</v>
      </c>
      <c r="G104" s="121" t="s">
        <v>306</v>
      </c>
      <c r="H104" s="99" t="n">
        <v>34086</v>
      </c>
      <c r="I104" s="99" t="n">
        <v>34086</v>
      </c>
      <c r="J104" s="99" t="n">
        <v>0</v>
      </c>
      <c r="K104" s="99" t="n">
        <v>0</v>
      </c>
      <c r="L104" s="99" t="n">
        <v>0</v>
      </c>
      <c r="M104" s="99" t="n">
        <v>0</v>
      </c>
      <c r="N104" s="99" t="n">
        <v>0</v>
      </c>
      <c r="O104" s="42" t="n">
        <v>34086</v>
      </c>
    </row>
    <row r="105" spans="1:15">
      <c r="A105" s="37" t="n">
        <v>99</v>
      </c>
      <c r="B105" s="97" t="s">
        <v>247</v>
      </c>
      <c r="C105" s="121" t="s">
        <v>111</v>
      </c>
      <c r="D105" s="121" t="s">
        <v>20</v>
      </c>
      <c r="E105" s="121" t="s">
        <v>21</v>
      </c>
      <c r="F105" s="121" t="s">
        <v>248</v>
      </c>
      <c r="G105" s="121" t="s">
        <v>249</v>
      </c>
      <c r="H105" s="99" t="n">
        <v>28729</v>
      </c>
      <c r="I105" s="99" t="n">
        <v>28729</v>
      </c>
      <c r="J105" s="99" t="n">
        <v>0</v>
      </c>
      <c r="K105" s="99" t="n">
        <v>0</v>
      </c>
      <c r="L105" s="99" t="n">
        <v>0</v>
      </c>
      <c r="M105" s="99" t="n">
        <v>0</v>
      </c>
      <c r="N105" s="99" t="n">
        <v>0</v>
      </c>
      <c r="O105" s="42" t="n">
        <v>28729</v>
      </c>
    </row>
    <row r="106" spans="1:15">
      <c r="A106" s="37" t="n">
        <v>100</v>
      </c>
      <c r="B106" s="97" t="s">
        <v>307</v>
      </c>
      <c r="C106" s="121" t="s">
        <v>58</v>
      </c>
      <c r="D106" s="121" t="s">
        <v>20</v>
      </c>
      <c r="E106" s="121" t="s">
        <v>21</v>
      </c>
      <c r="F106" s="121" t="s">
        <v>308</v>
      </c>
      <c r="G106" s="121" t="s">
        <v>309</v>
      </c>
      <c r="H106" s="99" t="n">
        <v>68074</v>
      </c>
      <c r="I106" s="99" t="n">
        <v>68074</v>
      </c>
      <c r="J106" s="99" t="n">
        <v>3404</v>
      </c>
      <c r="K106" s="99" t="n">
        <v>0</v>
      </c>
      <c r="L106" s="99" t="n">
        <v>0</v>
      </c>
      <c r="M106" s="99" t="n">
        <v>0</v>
      </c>
      <c r="N106" s="99" t="n">
        <v>0</v>
      </c>
      <c r="O106" s="42" t="n">
        <v>64670</v>
      </c>
    </row>
    <row r="107" spans="1:15">
      <c r="A107" s="37" t="n">
        <v>101</v>
      </c>
      <c r="B107" s="97" t="s">
        <v>783</v>
      </c>
      <c r="C107" s="121" t="s">
        <v>58</v>
      </c>
      <c r="D107" s="121" t="s">
        <v>20</v>
      </c>
      <c r="E107" s="121" t="s">
        <v>21</v>
      </c>
      <c r="F107" s="121" t="s">
        <v>784</v>
      </c>
      <c r="G107" s="121" t="s">
        <v>785</v>
      </c>
      <c r="H107" s="99" t="n">
        <v>68074</v>
      </c>
      <c r="I107" s="99" t="n">
        <v>68074</v>
      </c>
      <c r="J107" s="99" t="n">
        <v>3404</v>
      </c>
      <c r="K107" s="99" t="n">
        <v>0</v>
      </c>
      <c r="L107" s="99" t="n">
        <v>0</v>
      </c>
      <c r="M107" s="99" t="n">
        <v>0</v>
      </c>
      <c r="N107" s="99" t="n">
        <v>0</v>
      </c>
      <c r="O107" s="42" t="n">
        <v>64670</v>
      </c>
    </row>
    <row r="108" spans="1:15">
      <c r="A108" s="37" t="n">
        <v>102</v>
      </c>
      <c r="B108" s="97" t="s">
        <v>1088</v>
      </c>
      <c r="C108" s="121" t="s">
        <v>58</v>
      </c>
      <c r="D108" s="121" t="s">
        <v>20</v>
      </c>
      <c r="E108" s="121" t="s">
        <v>21</v>
      </c>
      <c r="F108" s="121" t="s">
        <v>1089</v>
      </c>
      <c r="G108" s="121" t="s">
        <v>1091</v>
      </c>
      <c r="H108" s="99" t="n">
        <v>68074</v>
      </c>
      <c r="I108" s="99" t="n">
        <v>68074</v>
      </c>
      <c r="J108" s="99" t="n">
        <v>3404</v>
      </c>
      <c r="K108" s="99" t="n">
        <v>0</v>
      </c>
      <c r="L108" s="99" t="n">
        <v>0</v>
      </c>
      <c r="M108" s="99" t="n">
        <v>0</v>
      </c>
      <c r="N108" s="99" t="n">
        <v>0</v>
      </c>
      <c r="O108" s="42" t="n">
        <v>64670</v>
      </c>
    </row>
    <row r="109" spans="1:15">
      <c r="A109" s="37" t="n">
        <v>104</v>
      </c>
      <c r="B109" s="97" t="s">
        <v>74</v>
      </c>
      <c r="C109" s="121" t="s">
        <v>58</v>
      </c>
      <c r="D109" s="121" t="s">
        <v>20</v>
      </c>
      <c r="E109" s="121" t="s">
        <v>21</v>
      </c>
      <c r="F109" s="121" t="s">
        <v>75</v>
      </c>
      <c r="G109" s="121" t="s">
        <v>77</v>
      </c>
      <c r="H109" s="99" t="n">
        <v>30969</v>
      </c>
      <c r="I109" s="99" t="n">
        <v>30969</v>
      </c>
      <c r="J109" s="99" t="n">
        <v>1548</v>
      </c>
      <c r="K109" s="99" t="n">
        <v>0</v>
      </c>
      <c r="L109" s="99" t="n">
        <v>0</v>
      </c>
      <c r="M109" s="99" t="n">
        <v>0</v>
      </c>
      <c r="N109" s="99" t="n">
        <v>0</v>
      </c>
      <c r="O109" s="42" t="n">
        <v>29421</v>
      </c>
    </row>
    <row r="110" spans="1:15">
      <c r="A110" s="37" t="n">
        <v>105</v>
      </c>
      <c r="B110" s="97" t="s">
        <v>2297</v>
      </c>
      <c r="C110" s="121" t="s">
        <v>111</v>
      </c>
      <c r="D110" s="121" t="s">
        <v>20</v>
      </c>
      <c r="E110" s="121" t="s">
        <v>21</v>
      </c>
      <c r="F110" s="121" t="s">
        <v>2074</v>
      </c>
      <c r="G110" s="121" t="s">
        <v>2298</v>
      </c>
      <c r="H110" s="99" t="n">
        <v>28924</v>
      </c>
      <c r="I110" s="99" t="n">
        <v>28924</v>
      </c>
      <c r="J110" s="99" t="n">
        <v>0</v>
      </c>
      <c r="K110" s="99" t="n">
        <v>0</v>
      </c>
      <c r="L110" s="99" t="n">
        <v>0</v>
      </c>
      <c r="M110" s="99" t="n">
        <v>0</v>
      </c>
      <c r="N110" s="99" t="n">
        <v>0</v>
      </c>
      <c r="O110" s="42" t="n">
        <v>28924</v>
      </c>
    </row>
    <row r="111" spans="1:15">
      <c r="A111" s="37" t="n">
        <v>106</v>
      </c>
      <c r="B111" s="97" t="s">
        <v>240</v>
      </c>
      <c r="C111" s="121" t="s">
        <v>131</v>
      </c>
      <c r="D111" s="121" t="s">
        <v>20</v>
      </c>
      <c r="E111" s="121" t="s">
        <v>21</v>
      </c>
      <c r="F111" s="121" t="s">
        <v>241</v>
      </c>
      <c r="G111" s="121" t="s">
        <v>242</v>
      </c>
      <c r="H111" s="99" t="n">
        <v>32138</v>
      </c>
      <c r="I111" s="99" t="n">
        <v>32138</v>
      </c>
      <c r="J111" s="99" t="n">
        <v>1607</v>
      </c>
      <c r="K111" s="99" t="n">
        <v>0</v>
      </c>
      <c r="L111" s="99" t="n">
        <v>0</v>
      </c>
      <c r="M111" s="99" t="n">
        <v>0</v>
      </c>
      <c r="N111" s="99" t="n">
        <v>0</v>
      </c>
      <c r="O111" s="42" t="n">
        <v>30531</v>
      </c>
    </row>
    <row r="112" spans="1:15">
      <c r="A112" s="37" t="n">
        <v>107</v>
      </c>
      <c r="B112" s="97" t="s">
        <v>331</v>
      </c>
      <c r="C112" s="121" t="s">
        <v>58</v>
      </c>
      <c r="D112" s="121" t="s">
        <v>20</v>
      </c>
      <c r="E112" s="121" t="s">
        <v>21</v>
      </c>
      <c r="F112" s="121" t="s">
        <v>332</v>
      </c>
      <c r="G112" s="121" t="s">
        <v>334</v>
      </c>
      <c r="H112" s="99" t="n">
        <v>29606</v>
      </c>
      <c r="I112" s="99" t="n">
        <v>29606</v>
      </c>
      <c r="J112" s="99" t="n">
        <v>1480</v>
      </c>
      <c r="K112" s="99" t="n">
        <v>0</v>
      </c>
      <c r="L112" s="99" t="n">
        <v>0</v>
      </c>
      <c r="M112" s="99" t="n">
        <v>0</v>
      </c>
      <c r="N112" s="99" t="n">
        <v>0</v>
      </c>
      <c r="O112" s="42" t="n">
        <v>28126</v>
      </c>
    </row>
    <row r="113" spans="1:15">
      <c r="A113" s="37" t="n">
        <v>108</v>
      </c>
      <c r="B113" s="97" t="s">
        <v>325</v>
      </c>
      <c r="C113" s="121" t="s">
        <v>131</v>
      </c>
      <c r="D113" s="121" t="s">
        <v>20</v>
      </c>
      <c r="E113" s="121" t="s">
        <v>21</v>
      </c>
      <c r="F113" s="121" t="s">
        <v>326</v>
      </c>
      <c r="G113" s="121" t="s">
        <v>327</v>
      </c>
      <c r="H113" s="99" t="n">
        <v>30775</v>
      </c>
      <c r="I113" s="99" t="n">
        <v>30775</v>
      </c>
      <c r="J113" s="99" t="n">
        <v>1539</v>
      </c>
      <c r="K113" s="99" t="n">
        <v>0</v>
      </c>
      <c r="L113" s="99" t="n">
        <v>0</v>
      </c>
      <c r="M113" s="99" t="n">
        <v>0</v>
      </c>
      <c r="N113" s="99" t="n">
        <v>0</v>
      </c>
      <c r="O113" s="42" t="n">
        <v>29236</v>
      </c>
    </row>
    <row r="114" spans="1:15">
      <c r="A114" s="37" t="n">
        <v>109</v>
      </c>
      <c r="B114" s="97" t="s">
        <v>2305</v>
      </c>
      <c r="C114" s="121" t="s">
        <v>131</v>
      </c>
      <c r="D114" s="121" t="s">
        <v>20</v>
      </c>
      <c r="E114" s="121" t="s">
        <v>21</v>
      </c>
      <c r="F114" s="98" t="n">
        <v>0</v>
      </c>
      <c r="G114" s="121" t="s">
        <v>2306</v>
      </c>
      <c r="H114" s="99" t="n">
        <v>39539</v>
      </c>
      <c r="I114" s="99" t="n">
        <v>39539</v>
      </c>
      <c r="J114" s="99" t="n">
        <v>1977</v>
      </c>
      <c r="K114" s="99" t="n">
        <v>0</v>
      </c>
      <c r="L114" s="99" t="n">
        <v>0</v>
      </c>
      <c r="M114" s="99" t="n">
        <v>0</v>
      </c>
      <c r="N114" s="99" t="n">
        <v>0</v>
      </c>
      <c r="O114" s="42" t="n">
        <v>37562</v>
      </c>
    </row>
    <row r="115" spans="1:15">
      <c r="A115" s="37" t="n">
        <v>110</v>
      </c>
      <c r="B115" s="97" t="s">
        <v>345</v>
      </c>
      <c r="C115" s="121" t="s">
        <v>120</v>
      </c>
      <c r="D115" s="121" t="s">
        <v>128</v>
      </c>
      <c r="E115" s="121" t="s">
        <v>15</v>
      </c>
      <c r="F115" s="98" t="n">
        <v>0</v>
      </c>
      <c r="G115" s="121" t="s">
        <v>346</v>
      </c>
      <c r="H115" s="99" t="n">
        <v>26684</v>
      </c>
      <c r="I115" s="99" t="n">
        <v>26684</v>
      </c>
      <c r="J115" s="99" t="n">
        <v>0</v>
      </c>
      <c r="K115" s="99" t="n">
        <v>0</v>
      </c>
      <c r="L115" s="99" t="n">
        <v>0</v>
      </c>
      <c r="M115" s="99" t="n">
        <v>0</v>
      </c>
      <c r="N115" s="99" t="n">
        <v>0</v>
      </c>
      <c r="O115" s="42" t="n">
        <v>26684</v>
      </c>
    </row>
    <row r="116" spans="1:15">
      <c r="A116" s="37" t="n">
        <v>111</v>
      </c>
      <c r="B116" s="97" t="s">
        <v>328</v>
      </c>
      <c r="C116" s="121" t="s">
        <v>131</v>
      </c>
      <c r="D116" s="121" t="s">
        <v>20</v>
      </c>
      <c r="E116" s="121" t="s">
        <v>21</v>
      </c>
      <c r="F116" s="121" t="s">
        <v>329</v>
      </c>
      <c r="G116" s="121" t="s">
        <v>330</v>
      </c>
      <c r="H116" s="99" t="n">
        <v>29606</v>
      </c>
      <c r="I116" s="99" t="n">
        <v>29606</v>
      </c>
      <c r="J116" s="99" t="n">
        <v>1480</v>
      </c>
      <c r="K116" s="99" t="n">
        <v>0</v>
      </c>
      <c r="L116" s="99" t="n">
        <v>0</v>
      </c>
      <c r="M116" s="99" t="n">
        <v>0</v>
      </c>
      <c r="N116" s="99" t="n">
        <v>0</v>
      </c>
      <c r="O116" s="42" t="n">
        <v>28126</v>
      </c>
    </row>
    <row r="117" spans="1:15">
      <c r="A117" s="37" t="n">
        <v>112</v>
      </c>
      <c r="B117" s="97" t="s">
        <v>2307</v>
      </c>
      <c r="C117" s="121" t="s">
        <v>120</v>
      </c>
      <c r="D117" s="121" t="s">
        <v>128</v>
      </c>
      <c r="E117" s="121" t="s">
        <v>15</v>
      </c>
      <c r="F117" s="98" t="n">
        <v>0</v>
      </c>
      <c r="G117" s="121" t="s">
        <v>2308</v>
      </c>
      <c r="H117" s="99" t="n">
        <v>24250</v>
      </c>
      <c r="I117" s="99" t="n">
        <v>24250</v>
      </c>
      <c r="J117" s="99" t="n">
        <v>0</v>
      </c>
      <c r="K117" s="99" t="n">
        <v>0</v>
      </c>
      <c r="L117" s="99" t="n">
        <v>0</v>
      </c>
      <c r="M117" s="99" t="n">
        <v>0</v>
      </c>
      <c r="N117" s="99" t="n">
        <v>0</v>
      </c>
      <c r="O117" s="42" t="n">
        <v>24250</v>
      </c>
    </row>
    <row r="118" spans="1:15">
      <c r="A118" s="37" t="n">
        <v>113</v>
      </c>
      <c r="B118" s="97" t="s">
        <v>375</v>
      </c>
      <c r="C118" s="121" t="s">
        <v>120</v>
      </c>
      <c r="D118" s="121" t="s">
        <v>128</v>
      </c>
      <c r="E118" s="121" t="s">
        <v>15</v>
      </c>
      <c r="F118" s="98" t="n">
        <v>0</v>
      </c>
      <c r="G118" s="121" t="s">
        <v>376</v>
      </c>
      <c r="H118" s="99" t="n">
        <v>24250</v>
      </c>
      <c r="I118" s="99" t="n">
        <v>24250</v>
      </c>
      <c r="J118" s="99" t="n">
        <v>0</v>
      </c>
      <c r="K118" s="99" t="n">
        <v>0</v>
      </c>
      <c r="L118" s="99" t="n">
        <v>0</v>
      </c>
      <c r="M118" s="99" t="n">
        <v>0</v>
      </c>
      <c r="N118" s="99" t="n">
        <v>0</v>
      </c>
      <c r="O118" s="42" t="n">
        <v>24250</v>
      </c>
    </row>
    <row r="119" spans="1:15">
      <c r="A119" s="37" t="n">
        <v>114</v>
      </c>
      <c r="B119" s="97" t="s">
        <v>377</v>
      </c>
      <c r="C119" s="121" t="s">
        <v>95</v>
      </c>
      <c r="D119" s="121" t="s">
        <v>128</v>
      </c>
      <c r="E119" s="121" t="s">
        <v>15</v>
      </c>
      <c r="F119" s="98" t="n">
        <v>0</v>
      </c>
      <c r="G119" s="121" t="s">
        <v>378</v>
      </c>
      <c r="H119" s="99" t="n">
        <v>24250</v>
      </c>
      <c r="I119" s="99" t="n">
        <v>24250</v>
      </c>
      <c r="J119" s="99" t="n">
        <v>0</v>
      </c>
      <c r="K119" s="99" t="n">
        <v>0</v>
      </c>
      <c r="L119" s="99" t="n">
        <v>0</v>
      </c>
      <c r="M119" s="99" t="n">
        <v>0</v>
      </c>
      <c r="N119" s="99" t="n">
        <v>0</v>
      </c>
      <c r="O119" s="42" t="n">
        <v>24250</v>
      </c>
    </row>
    <row r="120" spans="1:15">
      <c r="A120" s="37" t="n">
        <v>115</v>
      </c>
      <c r="B120" s="97" t="s">
        <v>136</v>
      </c>
      <c r="C120" s="121" t="s">
        <v>95</v>
      </c>
      <c r="D120" s="121" t="s">
        <v>137</v>
      </c>
      <c r="E120" s="121" t="s">
        <v>14</v>
      </c>
      <c r="F120" s="98" t="n">
        <v>0</v>
      </c>
      <c r="G120" s="121" t="s">
        <v>139</v>
      </c>
      <c r="H120" s="99" t="n">
        <v>29606</v>
      </c>
      <c r="I120" s="99" t="n">
        <v>29606</v>
      </c>
      <c r="J120" s="99" t="n">
        <v>0</v>
      </c>
      <c r="K120" s="99" t="n">
        <v>0</v>
      </c>
      <c r="L120" s="99" t="n">
        <v>0</v>
      </c>
      <c r="M120" s="99" t="n">
        <v>0</v>
      </c>
      <c r="N120" s="99" t="n">
        <v>0</v>
      </c>
      <c r="O120" s="42" t="n">
        <v>29606</v>
      </c>
    </row>
    <row r="121" spans="1:15">
      <c r="A121" s="37" t="n">
        <v>116</v>
      </c>
      <c r="B121" s="97" t="s">
        <v>134</v>
      </c>
      <c r="C121" s="121" t="s">
        <v>95</v>
      </c>
      <c r="D121" s="121" t="s">
        <v>124</v>
      </c>
      <c r="E121" s="121" t="s">
        <v>15</v>
      </c>
      <c r="F121" s="98" t="n">
        <v>0</v>
      </c>
      <c r="G121" s="121" t="s">
        <v>135</v>
      </c>
      <c r="H121" s="99" t="n">
        <v>29606</v>
      </c>
      <c r="I121" s="99" t="n">
        <v>29606</v>
      </c>
      <c r="J121" s="99" t="n">
        <v>0</v>
      </c>
      <c r="K121" s="99" t="n">
        <v>0</v>
      </c>
      <c r="L121" s="99" t="n">
        <v>0</v>
      </c>
      <c r="M121" s="99" t="n">
        <v>0</v>
      </c>
      <c r="N121" s="99" t="n">
        <v>0</v>
      </c>
      <c r="O121" s="42" t="n">
        <v>29606</v>
      </c>
    </row>
    <row r="122" spans="1:15">
      <c r="A122" s="37" t="n">
        <v>117</v>
      </c>
      <c r="B122" s="97" t="s">
        <v>338</v>
      </c>
      <c r="C122" s="121" t="s">
        <v>95</v>
      </c>
      <c r="D122" s="121" t="s">
        <v>124</v>
      </c>
      <c r="E122" s="121" t="s">
        <v>15</v>
      </c>
      <c r="F122" s="98" t="n">
        <v>0</v>
      </c>
      <c r="G122" s="121" t="s">
        <v>340</v>
      </c>
      <c r="H122" s="99" t="n">
        <v>29606</v>
      </c>
      <c r="I122" s="99" t="n">
        <v>29606</v>
      </c>
      <c r="J122" s="99" t="n">
        <v>0</v>
      </c>
      <c r="K122" s="99" t="n">
        <v>0</v>
      </c>
      <c r="L122" s="99" t="n">
        <v>0</v>
      </c>
      <c r="M122" s="99" t="n">
        <v>0</v>
      </c>
      <c r="N122" s="99" t="n">
        <v>0</v>
      </c>
      <c r="O122" s="42" t="n">
        <v>29606</v>
      </c>
    </row>
    <row r="123" spans="1:15">
      <c r="A123" s="37" t="n">
        <v>118</v>
      </c>
      <c r="B123" s="97" t="s">
        <v>2309</v>
      </c>
      <c r="C123" s="121" t="s">
        <v>95</v>
      </c>
      <c r="D123" s="121" t="s">
        <v>128</v>
      </c>
      <c r="E123" s="121" t="s">
        <v>15</v>
      </c>
      <c r="F123" s="98" t="n">
        <v>0</v>
      </c>
      <c r="G123" s="121" t="s">
        <v>2310</v>
      </c>
      <c r="H123" s="99" t="n">
        <v>24250</v>
      </c>
      <c r="I123" s="99" t="n">
        <v>24250</v>
      </c>
      <c r="J123" s="99" t="n">
        <v>0</v>
      </c>
      <c r="K123" s="99" t="n">
        <v>0</v>
      </c>
      <c r="L123" s="99" t="n">
        <v>0</v>
      </c>
      <c r="M123" s="99" t="n">
        <v>0</v>
      </c>
      <c r="N123" s="99" t="n">
        <v>0</v>
      </c>
      <c r="O123" s="42" t="n">
        <v>24250</v>
      </c>
    </row>
    <row r="124" spans="1:15">
      <c r="A124" s="37" t="n">
        <v>119</v>
      </c>
      <c r="B124" s="97" t="s">
        <v>384</v>
      </c>
      <c r="C124" s="121" t="s">
        <v>95</v>
      </c>
      <c r="D124" s="121" t="s">
        <v>124</v>
      </c>
      <c r="E124" s="121" t="s">
        <v>15</v>
      </c>
      <c r="F124" s="98" t="n">
        <v>0</v>
      </c>
      <c r="G124" s="121" t="s">
        <v>385</v>
      </c>
      <c r="H124" s="99" t="n">
        <v>24250</v>
      </c>
      <c r="I124" s="99" t="n">
        <v>24250</v>
      </c>
      <c r="J124" s="99" t="n">
        <v>0</v>
      </c>
      <c r="K124" s="99" t="n">
        <v>0</v>
      </c>
      <c r="L124" s="99" t="n">
        <v>0</v>
      </c>
      <c r="M124" s="99" t="n">
        <v>0</v>
      </c>
      <c r="N124" s="99" t="n">
        <v>0</v>
      </c>
      <c r="O124" s="42" t="n">
        <v>24250</v>
      </c>
    </row>
    <row r="125" spans="1:15">
      <c r="A125" s="37" t="n">
        <v>120</v>
      </c>
      <c r="B125" s="97" t="s">
        <v>382</v>
      </c>
      <c r="C125" s="121" t="s">
        <v>95</v>
      </c>
      <c r="D125" s="121" t="s">
        <v>137</v>
      </c>
      <c r="E125" s="121" t="s">
        <v>14</v>
      </c>
      <c r="F125" s="98" t="n">
        <v>0</v>
      </c>
      <c r="G125" s="121" t="s">
        <v>383</v>
      </c>
      <c r="H125" s="99" t="n">
        <v>26684</v>
      </c>
      <c r="I125" s="99" t="n">
        <v>26684</v>
      </c>
      <c r="J125" s="99" t="n">
        <v>0</v>
      </c>
      <c r="K125" s="99" t="n">
        <v>0</v>
      </c>
      <c r="L125" s="99" t="n">
        <v>0</v>
      </c>
      <c r="M125" s="99" t="n">
        <v>0</v>
      </c>
      <c r="N125" s="99" t="n">
        <v>0</v>
      </c>
      <c r="O125" s="42" t="n">
        <v>26684</v>
      </c>
    </row>
    <row r="126" spans="1:15">
      <c r="A126" s="37" t="n">
        <v>121</v>
      </c>
      <c r="B126" s="97" t="s">
        <v>130</v>
      </c>
      <c r="C126" s="121" t="s">
        <v>131</v>
      </c>
      <c r="D126" s="121" t="s">
        <v>20</v>
      </c>
      <c r="E126" s="121" t="s">
        <v>21</v>
      </c>
      <c r="F126" s="121" t="s">
        <v>132</v>
      </c>
      <c r="G126" s="121" t="s">
        <v>133</v>
      </c>
      <c r="H126" s="99" t="n">
        <v>29606</v>
      </c>
      <c r="I126" s="99" t="n">
        <v>29606</v>
      </c>
      <c r="J126" s="99" t="n">
        <v>1480</v>
      </c>
      <c r="K126" s="99" t="n">
        <v>0</v>
      </c>
      <c r="L126" s="99" t="n">
        <v>0</v>
      </c>
      <c r="M126" s="99" t="n">
        <v>0</v>
      </c>
      <c r="N126" s="99" t="n">
        <v>0</v>
      </c>
      <c r="O126" s="42" t="n">
        <v>28126</v>
      </c>
    </row>
    <row r="127" spans="1:15">
      <c r="A127" s="37" t="n">
        <v>122</v>
      </c>
      <c r="B127" s="97" t="s">
        <v>176</v>
      </c>
      <c r="C127" s="121" t="s">
        <v>58</v>
      </c>
      <c r="D127" s="121" t="s">
        <v>20</v>
      </c>
      <c r="E127" s="121" t="s">
        <v>21</v>
      </c>
      <c r="F127" s="121" t="s">
        <v>177</v>
      </c>
      <c r="G127" s="121" t="s">
        <v>179</v>
      </c>
      <c r="H127" s="99" t="n">
        <v>32333</v>
      </c>
      <c r="I127" s="99" t="n">
        <v>32333</v>
      </c>
      <c r="J127" s="99" t="n">
        <v>1617</v>
      </c>
      <c r="K127" s="99" t="n">
        <v>0</v>
      </c>
      <c r="L127" s="99" t="n">
        <v>0</v>
      </c>
      <c r="M127" s="99" t="n">
        <v>0</v>
      </c>
      <c r="N127" s="99" t="n">
        <v>0</v>
      </c>
      <c r="O127" s="42" t="n">
        <v>30716</v>
      </c>
    </row>
    <row r="128" spans="1:15">
      <c r="A128" s="37" t="n">
        <v>123</v>
      </c>
      <c r="B128" s="97" t="s">
        <v>356</v>
      </c>
      <c r="C128" s="121" t="s">
        <v>58</v>
      </c>
      <c r="D128" s="121" t="s">
        <v>20</v>
      </c>
      <c r="E128" s="121" t="s">
        <v>21</v>
      </c>
      <c r="F128" s="121" t="s">
        <v>357</v>
      </c>
      <c r="G128" s="121" t="s">
        <v>359</v>
      </c>
      <c r="H128" s="99" t="n">
        <v>27853</v>
      </c>
      <c r="I128" s="99" t="n">
        <v>27853</v>
      </c>
      <c r="J128" s="99" t="n">
        <v>1393</v>
      </c>
      <c r="K128" s="99" t="n">
        <v>0</v>
      </c>
      <c r="L128" s="99" t="n">
        <v>0</v>
      </c>
      <c r="M128" s="99" t="n">
        <v>0</v>
      </c>
      <c r="N128" s="99" t="n">
        <v>0</v>
      </c>
      <c r="O128" s="42" t="n">
        <v>26460</v>
      </c>
    </row>
    <row r="129" spans="1:15">
      <c r="A129" s="37" t="n">
        <v>124</v>
      </c>
      <c r="B129" s="97" t="s">
        <v>2311</v>
      </c>
      <c r="C129" s="121" t="s">
        <v>111</v>
      </c>
      <c r="D129" s="121" t="s">
        <v>20</v>
      </c>
      <c r="E129" s="121" t="s">
        <v>21</v>
      </c>
      <c r="F129" s="121" t="s">
        <v>2312</v>
      </c>
      <c r="G129" s="121" t="s">
        <v>2313</v>
      </c>
      <c r="H129" s="99" t="n">
        <v>25516</v>
      </c>
      <c r="I129" s="99" t="n">
        <v>25516</v>
      </c>
      <c r="J129" s="99" t="n">
        <v>0</v>
      </c>
      <c r="K129" s="99" t="n">
        <v>0</v>
      </c>
      <c r="L129" s="99" t="n">
        <v>0</v>
      </c>
      <c r="M129" s="99" t="n">
        <v>0</v>
      </c>
      <c r="N129" s="99" t="n">
        <v>0</v>
      </c>
      <c r="O129" s="42" t="n">
        <v>25516</v>
      </c>
    </row>
    <row r="130" spans="1:15">
      <c r="A130" s="37" t="n">
        <v>125</v>
      </c>
      <c r="B130" s="97" t="s">
        <v>2314</v>
      </c>
      <c r="C130" s="121" t="s">
        <v>58</v>
      </c>
      <c r="D130" s="121" t="s">
        <v>20</v>
      </c>
      <c r="E130" s="121" t="s">
        <v>21</v>
      </c>
      <c r="F130" s="121" t="s">
        <v>2315</v>
      </c>
      <c r="G130" s="121" t="s">
        <v>2316</v>
      </c>
      <c r="H130" s="99" t="n">
        <v>26684</v>
      </c>
      <c r="I130" s="99" t="n">
        <v>26684</v>
      </c>
      <c r="J130" s="99" t="n">
        <v>1334</v>
      </c>
      <c r="K130" s="99" t="n">
        <v>0</v>
      </c>
      <c r="L130" s="99" t="n">
        <v>0</v>
      </c>
      <c r="M130" s="99" t="n">
        <v>0</v>
      </c>
      <c r="N130" s="99" t="n">
        <v>0</v>
      </c>
      <c r="O130" s="42" t="n">
        <v>25350</v>
      </c>
    </row>
    <row r="131" spans="1:15">
      <c r="A131" s="37" t="n">
        <v>126</v>
      </c>
      <c r="B131" s="97" t="s">
        <v>2317</v>
      </c>
      <c r="C131" s="121" t="s">
        <v>120</v>
      </c>
      <c r="D131" s="98" t="n">
        <v>0</v>
      </c>
      <c r="E131" s="121" t="s">
        <v>21</v>
      </c>
      <c r="F131" s="98" t="n">
        <v>0</v>
      </c>
      <c r="G131" s="121" t="s">
        <v>2318</v>
      </c>
      <c r="H131" s="99" t="n">
        <v>25516</v>
      </c>
      <c r="I131" s="99" t="n">
        <v>25516</v>
      </c>
      <c r="J131" s="99" t="n">
        <v>0</v>
      </c>
      <c r="K131" s="99" t="n">
        <v>0</v>
      </c>
      <c r="L131" s="99" t="n">
        <v>0</v>
      </c>
      <c r="M131" s="99" t="n">
        <v>0</v>
      </c>
      <c r="N131" s="99" t="n">
        <v>0</v>
      </c>
      <c r="O131" s="42" t="n">
        <v>25516</v>
      </c>
    </row>
    <row r="132" spans="1:15">
      <c r="A132" s="37" t="n">
        <v>127</v>
      </c>
      <c r="B132" s="97" t="s">
        <v>369</v>
      </c>
      <c r="C132" s="121" t="s">
        <v>120</v>
      </c>
      <c r="D132" s="121" t="s">
        <v>124</v>
      </c>
      <c r="E132" s="121" t="s">
        <v>15</v>
      </c>
      <c r="F132" s="98" t="n">
        <v>0</v>
      </c>
      <c r="G132" s="121" t="s">
        <v>371</v>
      </c>
      <c r="H132" s="99" t="n">
        <v>25808</v>
      </c>
      <c r="I132" s="99" t="n">
        <v>25808</v>
      </c>
      <c r="J132" s="99" t="n">
        <v>0</v>
      </c>
      <c r="K132" s="99" t="n">
        <v>0</v>
      </c>
      <c r="L132" s="99" t="n">
        <v>0</v>
      </c>
      <c r="M132" s="99" t="n">
        <v>0</v>
      </c>
      <c r="N132" s="99" t="n">
        <v>0</v>
      </c>
      <c r="O132" s="42" t="n">
        <v>25808</v>
      </c>
    </row>
    <row r="133" spans="1:15">
      <c r="A133" s="37" t="n">
        <v>128</v>
      </c>
      <c r="B133" s="97" t="s">
        <v>360</v>
      </c>
      <c r="C133" s="121" t="s">
        <v>120</v>
      </c>
      <c r="D133" s="121" t="s">
        <v>128</v>
      </c>
      <c r="E133" s="121" t="s">
        <v>15</v>
      </c>
      <c r="F133" s="98" t="n">
        <v>0</v>
      </c>
      <c r="G133" s="121" t="s">
        <v>361</v>
      </c>
      <c r="H133" s="99" t="n">
        <v>26976</v>
      </c>
      <c r="I133" s="99" t="n">
        <v>26976</v>
      </c>
      <c r="J133" s="99" t="n">
        <v>0</v>
      </c>
      <c r="K133" s="99" t="n">
        <v>0</v>
      </c>
      <c r="L133" s="99" t="n">
        <v>0</v>
      </c>
      <c r="M133" s="99" t="n">
        <v>0</v>
      </c>
      <c r="N133" s="99" t="n">
        <v>0</v>
      </c>
      <c r="O133" s="42" t="n">
        <v>26976</v>
      </c>
    </row>
    <row r="134" spans="1:15">
      <c r="A134" s="37" t="n">
        <v>129</v>
      </c>
      <c r="B134" s="97" t="s">
        <v>362</v>
      </c>
      <c r="C134" s="121" t="s">
        <v>120</v>
      </c>
      <c r="D134" s="121" t="s">
        <v>278</v>
      </c>
      <c r="E134" s="121" t="s">
        <v>16</v>
      </c>
      <c r="F134" s="98" t="n">
        <v>0</v>
      </c>
      <c r="G134" s="121" t="s">
        <v>363</v>
      </c>
      <c r="H134" s="99" t="n">
        <v>25808</v>
      </c>
      <c r="I134" s="99" t="n">
        <v>25808</v>
      </c>
      <c r="J134" s="99" t="n">
        <v>0</v>
      </c>
      <c r="K134" s="99" t="n">
        <v>0</v>
      </c>
      <c r="L134" s="99" t="n">
        <v>0</v>
      </c>
      <c r="M134" s="99" t="n">
        <v>0</v>
      </c>
      <c r="N134" s="99" t="n">
        <v>0</v>
      </c>
      <c r="O134" s="42" t="n">
        <v>25808</v>
      </c>
    </row>
    <row r="135" spans="1:15">
      <c r="A135" s="37" t="n">
        <v>130</v>
      </c>
      <c r="B135" s="97" t="s">
        <v>379</v>
      </c>
      <c r="C135" s="121" t="s">
        <v>120</v>
      </c>
      <c r="D135" s="121" t="s">
        <v>278</v>
      </c>
      <c r="E135" s="121" t="s">
        <v>16</v>
      </c>
      <c r="F135" s="98" t="n">
        <v>0</v>
      </c>
      <c r="G135" s="121" t="s">
        <v>381</v>
      </c>
      <c r="H135" s="99" t="n">
        <v>25808</v>
      </c>
      <c r="I135" s="99" t="n">
        <v>25808</v>
      </c>
      <c r="J135" s="99" t="n">
        <v>0</v>
      </c>
      <c r="K135" s="99" t="n">
        <v>0</v>
      </c>
      <c r="L135" s="99" t="n">
        <v>0</v>
      </c>
      <c r="M135" s="99" t="n">
        <v>0</v>
      </c>
      <c r="N135" s="99" t="n">
        <v>0</v>
      </c>
      <c r="O135" s="42" t="n">
        <v>25808</v>
      </c>
    </row>
    <row r="136" spans="1:15">
      <c r="A136" s="37" t="n">
        <v>131</v>
      </c>
      <c r="B136" s="97" t="s">
        <v>364</v>
      </c>
      <c r="C136" s="121" t="s">
        <v>95</v>
      </c>
      <c r="D136" s="121" t="s">
        <v>124</v>
      </c>
      <c r="E136" s="121" t="s">
        <v>15</v>
      </c>
      <c r="F136" s="98" t="n">
        <v>0</v>
      </c>
      <c r="G136" s="121" t="s">
        <v>365</v>
      </c>
      <c r="H136" s="99" t="n">
        <v>26684</v>
      </c>
      <c r="I136" s="99" t="n">
        <v>26684</v>
      </c>
      <c r="J136" s="99" t="n">
        <v>0</v>
      </c>
      <c r="K136" s="99" t="n">
        <v>0</v>
      </c>
      <c r="L136" s="99" t="n">
        <v>0</v>
      </c>
      <c r="M136" s="99" t="n">
        <v>0</v>
      </c>
      <c r="N136" s="99" t="n">
        <v>0</v>
      </c>
      <c r="O136" s="42" t="n">
        <v>26684</v>
      </c>
    </row>
    <row r="137" spans="1:15">
      <c r="A137" s="37" t="n">
        <v>132</v>
      </c>
      <c r="B137" s="97" t="s">
        <v>286</v>
      </c>
      <c r="C137" s="121" t="s">
        <v>95</v>
      </c>
      <c r="D137" s="121" t="s">
        <v>124</v>
      </c>
      <c r="E137" s="121" t="s">
        <v>15</v>
      </c>
      <c r="F137" s="98" t="n">
        <v>0</v>
      </c>
      <c r="G137" s="121" t="s">
        <v>288</v>
      </c>
      <c r="H137" s="99" t="n">
        <v>25808</v>
      </c>
      <c r="I137" s="99" t="n">
        <v>25808</v>
      </c>
      <c r="J137" s="99" t="n">
        <v>0</v>
      </c>
      <c r="K137" s="99" t="n">
        <v>0</v>
      </c>
      <c r="L137" s="99" t="n">
        <v>0</v>
      </c>
      <c r="M137" s="99" t="n">
        <v>0</v>
      </c>
      <c r="N137" s="99" t="n">
        <v>0</v>
      </c>
      <c r="O137" s="42" t="n">
        <v>25808</v>
      </c>
    </row>
    <row r="138" spans="1:15">
      <c r="A138" s="37" t="n">
        <v>133</v>
      </c>
      <c r="B138" s="97" t="s">
        <v>2319</v>
      </c>
      <c r="C138" s="121" t="s">
        <v>95</v>
      </c>
      <c r="D138" s="98" t="n">
        <v>0</v>
      </c>
      <c r="E138" s="121" t="s">
        <v>21</v>
      </c>
      <c r="F138" s="98" t="n">
        <v>0</v>
      </c>
      <c r="G138" s="121" t="s">
        <v>2320</v>
      </c>
      <c r="H138" s="99" t="n">
        <v>25808</v>
      </c>
      <c r="I138" s="99" t="n">
        <v>25808</v>
      </c>
      <c r="J138" s="99" t="n">
        <v>0</v>
      </c>
      <c r="K138" s="99" t="n">
        <v>0</v>
      </c>
      <c r="L138" s="99" t="n">
        <v>0</v>
      </c>
      <c r="M138" s="99" t="n">
        <v>0</v>
      </c>
      <c r="N138" s="99" t="n">
        <v>0</v>
      </c>
      <c r="O138" s="42" t="n">
        <v>25808</v>
      </c>
    </row>
    <row r="139" spans="1:15">
      <c r="A139" s="37" t="n">
        <v>134</v>
      </c>
      <c r="B139" s="97" t="s">
        <v>480</v>
      </c>
      <c r="C139" s="121" t="s">
        <v>95</v>
      </c>
      <c r="D139" s="121" t="s">
        <v>124</v>
      </c>
      <c r="E139" s="121" t="s">
        <v>15</v>
      </c>
      <c r="F139" s="98" t="n">
        <v>0</v>
      </c>
      <c r="G139" s="121" t="s">
        <v>481</v>
      </c>
      <c r="H139" s="99" t="n">
        <v>26684</v>
      </c>
      <c r="I139" s="99" t="n">
        <v>26684</v>
      </c>
      <c r="J139" s="99" t="n">
        <v>0</v>
      </c>
      <c r="K139" s="99" t="n">
        <v>0</v>
      </c>
      <c r="L139" s="99" t="n">
        <v>0</v>
      </c>
      <c r="M139" s="99" t="n">
        <v>0</v>
      </c>
      <c r="N139" s="99" t="n">
        <v>0</v>
      </c>
      <c r="O139" s="42" t="n">
        <v>26684</v>
      </c>
    </row>
    <row r="140" spans="1:15">
      <c r="A140" s="37" t="n">
        <v>135</v>
      </c>
      <c r="B140" s="97" t="s">
        <v>2321</v>
      </c>
      <c r="C140" s="121" t="s">
        <v>120</v>
      </c>
      <c r="D140" s="98" t="n">
        <v>0</v>
      </c>
      <c r="E140" s="121" t="s">
        <v>21</v>
      </c>
      <c r="F140" s="98" t="n">
        <v>0</v>
      </c>
      <c r="G140" s="121" t="s">
        <v>2322</v>
      </c>
      <c r="H140" s="99" t="n">
        <v>25808</v>
      </c>
      <c r="I140" s="99" t="n">
        <v>25808</v>
      </c>
      <c r="J140" s="99" t="n">
        <v>0</v>
      </c>
      <c r="K140" s="99" t="n">
        <v>0</v>
      </c>
      <c r="L140" s="99" t="n">
        <v>0</v>
      </c>
      <c r="M140" s="99" t="n">
        <v>0</v>
      </c>
      <c r="N140" s="99" t="n">
        <v>0</v>
      </c>
      <c r="O140" s="42" t="n">
        <v>25808</v>
      </c>
    </row>
    <row r="141" spans="1:15">
      <c r="A141" s="37" t="n">
        <v>136</v>
      </c>
      <c r="B141" s="97" t="s">
        <v>366</v>
      </c>
      <c r="C141" s="121" t="s">
        <v>95</v>
      </c>
      <c r="D141" s="121" t="s">
        <v>124</v>
      </c>
      <c r="E141" s="121" t="s">
        <v>15</v>
      </c>
      <c r="F141" s="98" t="n">
        <v>0</v>
      </c>
      <c r="G141" s="121" t="s">
        <v>368</v>
      </c>
      <c r="H141" s="99" t="n">
        <v>26684</v>
      </c>
      <c r="I141" s="99" t="n">
        <v>26684</v>
      </c>
      <c r="J141" s="99" t="n">
        <v>0</v>
      </c>
      <c r="K141" s="99" t="n">
        <v>0</v>
      </c>
      <c r="L141" s="99" t="n">
        <v>0</v>
      </c>
      <c r="M141" s="99" t="n">
        <v>0</v>
      </c>
      <c r="N141" s="99" t="n">
        <v>0</v>
      </c>
      <c r="O141" s="42" t="n">
        <v>26684</v>
      </c>
    </row>
    <row r="142" spans="1:15">
      <c r="A142" s="37" t="n">
        <v>137</v>
      </c>
      <c r="B142" s="97" t="s">
        <v>372</v>
      </c>
      <c r="C142" s="121" t="s">
        <v>95</v>
      </c>
      <c r="D142" s="121" t="s">
        <v>128</v>
      </c>
      <c r="E142" s="121" t="s">
        <v>15</v>
      </c>
      <c r="F142" s="98" t="n">
        <v>0</v>
      </c>
      <c r="G142" s="121" t="s">
        <v>374</v>
      </c>
      <c r="H142" s="99" t="n">
        <v>26684</v>
      </c>
      <c r="I142" s="99" t="n">
        <v>26684</v>
      </c>
      <c r="J142" s="99" t="n">
        <v>0</v>
      </c>
      <c r="K142" s="99" t="n">
        <v>0</v>
      </c>
      <c r="L142" s="99" t="n">
        <v>0</v>
      </c>
      <c r="M142" s="99" t="n">
        <v>0</v>
      </c>
      <c r="N142" s="99" t="n">
        <v>0</v>
      </c>
      <c r="O142" s="42" t="n">
        <v>26684</v>
      </c>
    </row>
    <row r="143" spans="1:15">
      <c r="A143" s="37" t="n">
        <v>138</v>
      </c>
      <c r="B143" s="97" t="s">
        <v>471</v>
      </c>
      <c r="C143" s="121" t="s">
        <v>58</v>
      </c>
      <c r="D143" s="121" t="s">
        <v>20</v>
      </c>
      <c r="E143" s="121" t="s">
        <v>21</v>
      </c>
      <c r="F143" s="121" t="s">
        <v>472</v>
      </c>
      <c r="G143" s="121" t="s">
        <v>473</v>
      </c>
      <c r="H143" s="99" t="n">
        <v>17206</v>
      </c>
      <c r="I143" s="99" t="n">
        <v>17206</v>
      </c>
      <c r="J143" s="99" t="n">
        <v>860</v>
      </c>
      <c r="K143" s="99" t="n">
        <v>0</v>
      </c>
      <c r="L143" s="99" t="n">
        <v>0</v>
      </c>
      <c r="M143" s="99" t="n">
        <v>0</v>
      </c>
      <c r="N143" s="99" t="n">
        <v>0</v>
      </c>
      <c r="O143" s="42" t="n">
        <v>16346</v>
      </c>
    </row>
    <row r="144" spans="1:15">
      <c r="A144" s="37" t="n">
        <v>139</v>
      </c>
      <c r="B144" s="97" t="s">
        <v>548</v>
      </c>
      <c r="C144" s="121" t="s">
        <v>58</v>
      </c>
      <c r="D144" s="121" t="s">
        <v>20</v>
      </c>
      <c r="E144" s="121" t="s">
        <v>21</v>
      </c>
      <c r="F144" s="121" t="s">
        <v>549</v>
      </c>
      <c r="G144" s="121" t="s">
        <v>550</v>
      </c>
      <c r="H144" s="99" t="n">
        <v>17206</v>
      </c>
      <c r="I144" s="99" t="n">
        <v>17206</v>
      </c>
      <c r="J144" s="99" t="n">
        <v>860</v>
      </c>
      <c r="K144" s="99" t="n">
        <v>0</v>
      </c>
      <c r="L144" s="99" t="n">
        <v>0</v>
      </c>
      <c r="M144" s="99" t="n">
        <v>0</v>
      </c>
      <c r="N144" s="99" t="n">
        <v>0</v>
      </c>
      <c r="O144" s="42" t="n">
        <v>16346</v>
      </c>
    </row>
    <row r="145" spans="1:15">
      <c r="A145" s="37" t="n">
        <v>140</v>
      </c>
      <c r="B145" s="97" t="s">
        <v>492</v>
      </c>
      <c r="C145" s="121" t="s">
        <v>58</v>
      </c>
      <c r="D145" s="121" t="s">
        <v>20</v>
      </c>
      <c r="E145" s="121" t="s">
        <v>21</v>
      </c>
      <c r="F145" s="121" t="s">
        <v>493</v>
      </c>
      <c r="G145" s="121" t="s">
        <v>494</v>
      </c>
      <c r="H145" s="99" t="n">
        <v>17206</v>
      </c>
      <c r="I145" s="99" t="n">
        <v>17206</v>
      </c>
      <c r="J145" s="99" t="n">
        <v>860</v>
      </c>
      <c r="K145" s="99" t="n">
        <v>0</v>
      </c>
      <c r="L145" s="99" t="n">
        <v>0</v>
      </c>
      <c r="M145" s="99" t="n">
        <v>0</v>
      </c>
      <c r="N145" s="99" t="n">
        <v>0</v>
      </c>
      <c r="O145" s="42" t="n">
        <v>16346</v>
      </c>
    </row>
    <row r="146" spans="1:15">
      <c r="A146" s="37" t="n">
        <v>141</v>
      </c>
      <c r="B146" s="97" t="s">
        <v>2323</v>
      </c>
      <c r="C146" s="121" t="s">
        <v>58</v>
      </c>
      <c r="D146" s="121" t="s">
        <v>20</v>
      </c>
      <c r="E146" s="121" t="s">
        <v>21</v>
      </c>
      <c r="F146" s="121" t="s">
        <v>2324</v>
      </c>
      <c r="G146" s="121" t="s">
        <v>2325</v>
      </c>
      <c r="H146" s="99" t="n">
        <v>17206</v>
      </c>
      <c r="I146" s="99" t="n">
        <v>17206</v>
      </c>
      <c r="J146" s="99" t="n">
        <v>860</v>
      </c>
      <c r="K146" s="99" t="n">
        <v>0</v>
      </c>
      <c r="L146" s="99" t="n">
        <v>0</v>
      </c>
      <c r="M146" s="99" t="n">
        <v>0</v>
      </c>
      <c r="N146" s="99" t="n">
        <v>0</v>
      </c>
      <c r="O146" s="42" t="n">
        <v>16346</v>
      </c>
    </row>
    <row r="147" spans="1:15">
      <c r="A147" s="37" t="n">
        <v>142</v>
      </c>
      <c r="B147" s="97" t="s">
        <v>555</v>
      </c>
      <c r="C147" s="121" t="s">
        <v>58</v>
      </c>
      <c r="D147" s="121" t="s">
        <v>20</v>
      </c>
      <c r="E147" s="121" t="s">
        <v>21</v>
      </c>
      <c r="F147" s="121" t="s">
        <v>556</v>
      </c>
      <c r="G147" s="121" t="s">
        <v>557</v>
      </c>
      <c r="H147" s="99" t="n">
        <v>17206</v>
      </c>
      <c r="I147" s="99" t="n">
        <v>17206</v>
      </c>
      <c r="J147" s="99" t="n">
        <v>860</v>
      </c>
      <c r="K147" s="99" t="n">
        <v>0</v>
      </c>
      <c r="L147" s="99" t="n">
        <v>0</v>
      </c>
      <c r="M147" s="99" t="n">
        <v>0</v>
      </c>
      <c r="N147" s="99" t="n">
        <v>0</v>
      </c>
      <c r="O147" s="42" t="n">
        <v>16346</v>
      </c>
    </row>
    <row r="148" spans="1:15">
      <c r="A148" s="37" t="n">
        <v>143</v>
      </c>
      <c r="B148" s="97" t="s">
        <v>317</v>
      </c>
      <c r="C148" s="121" t="s">
        <v>58</v>
      </c>
      <c r="D148" s="121" t="s">
        <v>20</v>
      </c>
      <c r="E148" s="121" t="s">
        <v>21</v>
      </c>
      <c r="F148" s="121" t="s">
        <v>318</v>
      </c>
      <c r="G148" s="121" t="s">
        <v>320</v>
      </c>
      <c r="H148" s="99" t="n">
        <v>17206</v>
      </c>
      <c r="I148" s="99" t="n">
        <v>17206</v>
      </c>
      <c r="J148" s="99" t="n">
        <v>860</v>
      </c>
      <c r="K148" s="99" t="n">
        <v>0</v>
      </c>
      <c r="L148" s="99" t="n">
        <v>0</v>
      </c>
      <c r="M148" s="99" t="n">
        <v>0</v>
      </c>
      <c r="N148" s="99" t="n">
        <v>0</v>
      </c>
      <c r="O148" s="42" t="n">
        <v>16346</v>
      </c>
    </row>
    <row r="149" spans="1:15">
      <c r="A149" s="37" t="n">
        <v>144</v>
      </c>
      <c r="B149" s="97" t="s">
        <v>2326</v>
      </c>
      <c r="C149" s="121" t="s">
        <v>58</v>
      </c>
      <c r="D149" s="121" t="s">
        <v>20</v>
      </c>
      <c r="E149" s="121" t="s">
        <v>21</v>
      </c>
      <c r="F149" s="121" t="s">
        <v>2327</v>
      </c>
      <c r="G149" s="121" t="s">
        <v>2328</v>
      </c>
      <c r="H149" s="99" t="n">
        <v>17206</v>
      </c>
      <c r="I149" s="99" t="n">
        <v>17206</v>
      </c>
      <c r="J149" s="99" t="n">
        <v>860</v>
      </c>
      <c r="K149" s="99" t="n">
        <v>0</v>
      </c>
      <c r="L149" s="99" t="n">
        <v>0</v>
      </c>
      <c r="M149" s="99" t="n">
        <v>0</v>
      </c>
      <c r="N149" s="99" t="n">
        <v>0</v>
      </c>
      <c r="O149" s="42" t="n">
        <v>16346</v>
      </c>
    </row>
    <row r="150" spans="1:15">
      <c r="A150" s="37" t="n">
        <v>145</v>
      </c>
      <c r="B150" s="97" t="s">
        <v>504</v>
      </c>
      <c r="C150" s="121" t="s">
        <v>58</v>
      </c>
      <c r="D150" s="121" t="s">
        <v>20</v>
      </c>
      <c r="E150" s="121" t="s">
        <v>21</v>
      </c>
      <c r="F150" s="121" t="s">
        <v>505</v>
      </c>
      <c r="G150" s="121" t="s">
        <v>506</v>
      </c>
      <c r="H150" s="99" t="n">
        <v>17206</v>
      </c>
      <c r="I150" s="99" t="n">
        <v>17206</v>
      </c>
      <c r="J150" s="99" t="n">
        <v>860</v>
      </c>
      <c r="K150" s="99" t="n">
        <v>0</v>
      </c>
      <c r="L150" s="99" t="n">
        <v>0</v>
      </c>
      <c r="M150" s="99" t="n">
        <v>0</v>
      </c>
      <c r="N150" s="99" t="n">
        <v>0</v>
      </c>
      <c r="O150" s="42" t="n">
        <v>16346</v>
      </c>
    </row>
    <row r="151" spans="1:15">
      <c r="A151" s="37" t="n">
        <v>146</v>
      </c>
      <c r="B151" s="97" t="s">
        <v>539</v>
      </c>
      <c r="C151" s="121" t="s">
        <v>58</v>
      </c>
      <c r="D151" s="121" t="s">
        <v>20</v>
      </c>
      <c r="E151" s="121" t="s">
        <v>21</v>
      </c>
      <c r="F151" s="121" t="s">
        <v>540</v>
      </c>
      <c r="G151" s="121" t="s">
        <v>542</v>
      </c>
      <c r="H151" s="99" t="n">
        <v>17206</v>
      </c>
      <c r="I151" s="99" t="n">
        <v>17206</v>
      </c>
      <c r="J151" s="99" t="n">
        <v>860</v>
      </c>
      <c r="K151" s="99" t="n">
        <v>0</v>
      </c>
      <c r="L151" s="99" t="n">
        <v>0</v>
      </c>
      <c r="M151" s="99" t="n">
        <v>0</v>
      </c>
      <c r="N151" s="99" t="n">
        <v>0</v>
      </c>
      <c r="O151" s="42" t="n">
        <v>16346</v>
      </c>
    </row>
    <row r="152" spans="1:15">
      <c r="A152" s="37" t="n">
        <v>147</v>
      </c>
      <c r="B152" s="97" t="s">
        <v>2329</v>
      </c>
      <c r="C152" s="121" t="s">
        <v>58</v>
      </c>
      <c r="D152" s="121" t="s">
        <v>20</v>
      </c>
      <c r="E152" s="121" t="s">
        <v>21</v>
      </c>
      <c r="F152" s="121" t="s">
        <v>2330</v>
      </c>
      <c r="G152" s="121" t="s">
        <v>2331</v>
      </c>
      <c r="H152" s="99" t="n">
        <v>17206</v>
      </c>
      <c r="I152" s="99" t="n">
        <v>17206</v>
      </c>
      <c r="J152" s="99" t="n">
        <v>860</v>
      </c>
      <c r="K152" s="99" t="n">
        <v>0</v>
      </c>
      <c r="L152" s="99" t="n">
        <v>0</v>
      </c>
      <c r="M152" s="99" t="n">
        <v>0</v>
      </c>
      <c r="N152" s="99" t="n">
        <v>0</v>
      </c>
      <c r="O152" s="42" t="n">
        <v>16346</v>
      </c>
    </row>
    <row r="153" spans="1:15">
      <c r="A153" s="37" t="n">
        <v>148</v>
      </c>
      <c r="B153" s="97" t="s">
        <v>2332</v>
      </c>
      <c r="C153" s="121" t="s">
        <v>111</v>
      </c>
      <c r="D153" s="121" t="s">
        <v>20</v>
      </c>
      <c r="E153" s="121" t="s">
        <v>21</v>
      </c>
      <c r="F153" s="121" t="s">
        <v>2333</v>
      </c>
      <c r="G153" s="121" t="s">
        <v>2334</v>
      </c>
      <c r="H153" s="99" t="n">
        <v>17206</v>
      </c>
      <c r="I153" s="99" t="n">
        <v>17206</v>
      </c>
      <c r="J153" s="99" t="n">
        <v>0</v>
      </c>
      <c r="K153" s="99" t="n">
        <v>0</v>
      </c>
      <c r="L153" s="99" t="n">
        <v>0</v>
      </c>
      <c r="M153" s="99" t="n">
        <v>0</v>
      </c>
      <c r="N153" s="99" t="n">
        <v>0</v>
      </c>
      <c r="O153" s="42" t="n">
        <v>17206</v>
      </c>
    </row>
    <row r="154" spans="1:15">
      <c r="A154" s="37" t="n">
        <v>149</v>
      </c>
      <c r="B154" s="97" t="s">
        <v>2335</v>
      </c>
      <c r="C154" s="121" t="s">
        <v>111</v>
      </c>
      <c r="D154" s="121" t="s">
        <v>20</v>
      </c>
      <c r="E154" s="121" t="s">
        <v>21</v>
      </c>
      <c r="F154" s="98" t="n">
        <v>0</v>
      </c>
      <c r="G154" s="121" t="s">
        <v>2336</v>
      </c>
      <c r="H154" s="99" t="n">
        <v>17206</v>
      </c>
      <c r="I154" s="99" t="n">
        <v>17206</v>
      </c>
      <c r="J154" s="99" t="n">
        <v>0</v>
      </c>
      <c r="K154" s="99" t="n">
        <v>0</v>
      </c>
      <c r="L154" s="99" t="n">
        <v>0</v>
      </c>
      <c r="M154" s="99" t="n">
        <v>0</v>
      </c>
      <c r="N154" s="99" t="n">
        <v>0</v>
      </c>
      <c r="O154" s="42" t="n">
        <v>17206</v>
      </c>
    </row>
    <row r="155" spans="1:15">
      <c r="A155" s="37" t="n">
        <v>150</v>
      </c>
      <c r="B155" s="97" t="s">
        <v>551</v>
      </c>
      <c r="C155" s="121" t="s">
        <v>111</v>
      </c>
      <c r="D155" s="121" t="s">
        <v>20</v>
      </c>
      <c r="E155" s="121" t="s">
        <v>21</v>
      </c>
      <c r="F155" s="121" t="s">
        <v>552</v>
      </c>
      <c r="G155" s="121" t="s">
        <v>554</v>
      </c>
      <c r="H155" s="99" t="n">
        <v>17206</v>
      </c>
      <c r="I155" s="99" t="n">
        <v>17206</v>
      </c>
      <c r="J155" s="99" t="n">
        <v>0</v>
      </c>
      <c r="K155" s="99" t="n">
        <v>0</v>
      </c>
      <c r="L155" s="99" t="n">
        <v>0</v>
      </c>
      <c r="M155" s="99" t="n">
        <v>0</v>
      </c>
      <c r="N155" s="99" t="n">
        <v>0</v>
      </c>
      <c r="O155" s="42" t="n">
        <v>17206</v>
      </c>
    </row>
    <row r="156" spans="1:15">
      <c r="A156" s="37" t="n">
        <v>151</v>
      </c>
      <c r="B156" s="97" t="s">
        <v>486</v>
      </c>
      <c r="C156" s="121" t="s">
        <v>111</v>
      </c>
      <c r="D156" s="121" t="s">
        <v>20</v>
      </c>
      <c r="E156" s="121" t="s">
        <v>21</v>
      </c>
      <c r="F156" s="121" t="s">
        <v>487</v>
      </c>
      <c r="G156" s="121" t="s">
        <v>488</v>
      </c>
      <c r="H156" s="99" t="n">
        <v>17206</v>
      </c>
      <c r="I156" s="99" t="n">
        <v>17206</v>
      </c>
      <c r="J156" s="99" t="n">
        <v>0</v>
      </c>
      <c r="K156" s="99" t="n">
        <v>0</v>
      </c>
      <c r="L156" s="99" t="n">
        <v>0</v>
      </c>
      <c r="M156" s="99" t="n">
        <v>0</v>
      </c>
      <c r="N156" s="99" t="n">
        <v>0</v>
      </c>
      <c r="O156" s="42" t="n">
        <v>17206</v>
      </c>
    </row>
    <row r="157" spans="1:15">
      <c r="A157" s="37" t="n">
        <v>152</v>
      </c>
      <c r="B157" s="97" t="s">
        <v>507</v>
      </c>
      <c r="C157" s="121" t="s">
        <v>111</v>
      </c>
      <c r="D157" s="121" t="s">
        <v>20</v>
      </c>
      <c r="E157" s="121" t="s">
        <v>21</v>
      </c>
      <c r="F157" s="121" t="s">
        <v>508</v>
      </c>
      <c r="G157" s="121" t="s">
        <v>509</v>
      </c>
      <c r="H157" s="99" t="n">
        <v>17206</v>
      </c>
      <c r="I157" s="99" t="n">
        <v>17206</v>
      </c>
      <c r="J157" s="99" t="n">
        <v>0</v>
      </c>
      <c r="K157" s="99" t="n">
        <v>0</v>
      </c>
      <c r="L157" s="99" t="n">
        <v>0</v>
      </c>
      <c r="M157" s="99" t="n">
        <v>0</v>
      </c>
      <c r="N157" s="99" t="n">
        <v>0</v>
      </c>
      <c r="O157" s="42" t="n">
        <v>17206</v>
      </c>
    </row>
    <row r="158" spans="1:15">
      <c r="A158" s="37" t="n">
        <v>153</v>
      </c>
      <c r="B158" s="97" t="s">
        <v>341</v>
      </c>
      <c r="C158" s="121" t="s">
        <v>111</v>
      </c>
      <c r="D158" s="121" t="s">
        <v>20</v>
      </c>
      <c r="E158" s="121" t="s">
        <v>21</v>
      </c>
      <c r="F158" s="121" t="s">
        <v>342</v>
      </c>
      <c r="G158" s="121" t="s">
        <v>344</v>
      </c>
      <c r="H158" s="99" t="n">
        <v>17206</v>
      </c>
      <c r="I158" s="99" t="n">
        <v>17206</v>
      </c>
      <c r="J158" s="99" t="n">
        <v>0</v>
      </c>
      <c r="K158" s="99" t="n">
        <v>0</v>
      </c>
      <c r="L158" s="99" t="n">
        <v>0</v>
      </c>
      <c r="M158" s="99" t="n">
        <v>0</v>
      </c>
      <c r="N158" s="99" t="n">
        <v>0</v>
      </c>
      <c r="O158" s="42" t="n">
        <v>17206</v>
      </c>
    </row>
    <row r="159" spans="1:15">
      <c r="A159" s="37" t="n">
        <v>154</v>
      </c>
      <c r="B159" s="97" t="s">
        <v>574</v>
      </c>
      <c r="C159" s="121" t="s">
        <v>111</v>
      </c>
      <c r="D159" s="121" t="s">
        <v>20</v>
      </c>
      <c r="E159" s="121" t="s">
        <v>21</v>
      </c>
      <c r="F159" s="121" t="s">
        <v>575</v>
      </c>
      <c r="G159" s="121" t="s">
        <v>576</v>
      </c>
      <c r="H159" s="99" t="n">
        <v>17206</v>
      </c>
      <c r="I159" s="99" t="n">
        <v>17206</v>
      </c>
      <c r="J159" s="99" t="n">
        <v>0</v>
      </c>
      <c r="K159" s="99" t="n">
        <v>0</v>
      </c>
      <c r="L159" s="99" t="n">
        <v>0</v>
      </c>
      <c r="M159" s="99" t="n">
        <v>0</v>
      </c>
      <c r="N159" s="99" t="n">
        <v>0</v>
      </c>
      <c r="O159" s="42" t="n">
        <v>17206</v>
      </c>
    </row>
    <row r="160" spans="1:15">
      <c r="A160" s="37" t="n">
        <v>155</v>
      </c>
      <c r="B160" s="97" t="s">
        <v>2337</v>
      </c>
      <c r="C160" s="121" t="s">
        <v>111</v>
      </c>
      <c r="D160" s="121" t="s">
        <v>20</v>
      </c>
      <c r="E160" s="121" t="s">
        <v>21</v>
      </c>
      <c r="F160" s="121" t="s">
        <v>2338</v>
      </c>
      <c r="G160" s="121" t="s">
        <v>2339</v>
      </c>
      <c r="H160" s="99" t="n">
        <v>17206</v>
      </c>
      <c r="I160" s="99" t="n">
        <v>17206</v>
      </c>
      <c r="J160" s="99" t="n">
        <v>0</v>
      </c>
      <c r="K160" s="99" t="n">
        <v>0</v>
      </c>
      <c r="L160" s="99" t="n">
        <v>0</v>
      </c>
      <c r="M160" s="99" t="n">
        <v>0</v>
      </c>
      <c r="N160" s="99" t="n">
        <v>0</v>
      </c>
      <c r="O160" s="42" t="n">
        <v>17206</v>
      </c>
    </row>
    <row r="161" spans="1:15">
      <c r="A161" s="37" t="n">
        <v>156</v>
      </c>
      <c r="B161" s="97" t="s">
        <v>497</v>
      </c>
      <c r="C161" s="121" t="s">
        <v>111</v>
      </c>
      <c r="D161" s="121" t="s">
        <v>20</v>
      </c>
      <c r="E161" s="121" t="s">
        <v>21</v>
      </c>
      <c r="F161" s="121" t="s">
        <v>498</v>
      </c>
      <c r="G161" s="121" t="s">
        <v>500</v>
      </c>
      <c r="H161" s="99" t="n">
        <v>17206</v>
      </c>
      <c r="I161" s="99" t="n">
        <v>17206</v>
      </c>
      <c r="J161" s="99" t="n">
        <v>0</v>
      </c>
      <c r="K161" s="99" t="n">
        <v>0</v>
      </c>
      <c r="L161" s="99" t="n">
        <v>0</v>
      </c>
      <c r="M161" s="99" t="n">
        <v>0</v>
      </c>
      <c r="N161" s="99" t="n">
        <v>0</v>
      </c>
      <c r="O161" s="42" t="n">
        <v>17206</v>
      </c>
    </row>
    <row r="162" spans="1:15">
      <c r="A162" s="37" t="n">
        <v>157</v>
      </c>
      <c r="B162" s="97" t="s">
        <v>2340</v>
      </c>
      <c r="C162" s="121" t="s">
        <v>111</v>
      </c>
      <c r="D162" s="121" t="s">
        <v>20</v>
      </c>
      <c r="E162" s="121" t="s">
        <v>21</v>
      </c>
      <c r="F162" s="98" t="n">
        <v>0</v>
      </c>
      <c r="G162" s="121" t="s">
        <v>2341</v>
      </c>
      <c r="H162" s="99" t="n">
        <v>17206</v>
      </c>
      <c r="I162" s="99" t="n">
        <v>17206</v>
      </c>
      <c r="J162" s="99" t="n">
        <v>0</v>
      </c>
      <c r="K162" s="99" t="n">
        <v>0</v>
      </c>
      <c r="L162" s="99" t="n">
        <v>0</v>
      </c>
      <c r="M162" s="99" t="n">
        <v>0</v>
      </c>
      <c r="N162" s="99" t="n">
        <v>0</v>
      </c>
      <c r="O162" s="42" t="n">
        <v>17206</v>
      </c>
    </row>
    <row r="163" spans="1:15">
      <c r="A163" s="37" t="n">
        <v>158</v>
      </c>
      <c r="B163" s="97" t="s">
        <v>565</v>
      </c>
      <c r="C163" s="121" t="s">
        <v>111</v>
      </c>
      <c r="D163" s="121" t="s">
        <v>20</v>
      </c>
      <c r="E163" s="121" t="s">
        <v>21</v>
      </c>
      <c r="F163" s="121" t="s">
        <v>566</v>
      </c>
      <c r="G163" s="121" t="s">
        <v>567</v>
      </c>
      <c r="H163" s="99" t="n">
        <v>17206</v>
      </c>
      <c r="I163" s="99" t="n">
        <v>17206</v>
      </c>
      <c r="J163" s="99" t="n">
        <v>0</v>
      </c>
      <c r="K163" s="99" t="n">
        <v>0</v>
      </c>
      <c r="L163" s="99" t="n">
        <v>0</v>
      </c>
      <c r="M163" s="99" t="n">
        <v>0</v>
      </c>
      <c r="N163" s="99" t="n">
        <v>0</v>
      </c>
      <c r="O163" s="42" t="n">
        <v>17206</v>
      </c>
    </row>
    <row r="164" spans="1:15">
      <c r="A164" s="37" t="n">
        <v>159</v>
      </c>
      <c r="B164" s="97" t="s">
        <v>501</v>
      </c>
      <c r="C164" s="121" t="s">
        <v>111</v>
      </c>
      <c r="D164" s="121" t="s">
        <v>20</v>
      </c>
      <c r="E164" s="121" t="s">
        <v>21</v>
      </c>
      <c r="F164" s="121" t="s">
        <v>502</v>
      </c>
      <c r="G164" s="121" t="s">
        <v>503</v>
      </c>
      <c r="H164" s="99" t="n">
        <v>17206</v>
      </c>
      <c r="I164" s="99" t="n">
        <v>17206</v>
      </c>
      <c r="J164" s="99" t="n">
        <v>0</v>
      </c>
      <c r="K164" s="99" t="n">
        <v>0</v>
      </c>
      <c r="L164" s="99" t="n">
        <v>0</v>
      </c>
      <c r="M164" s="99" t="n">
        <v>0</v>
      </c>
      <c r="N164" s="99" t="n">
        <v>0</v>
      </c>
      <c r="O164" s="42" t="n">
        <v>17206</v>
      </c>
    </row>
    <row r="165" spans="1:15">
      <c r="A165" s="37" t="n">
        <v>160</v>
      </c>
      <c r="B165" s="97" t="s">
        <v>2342</v>
      </c>
      <c r="C165" s="121" t="s">
        <v>111</v>
      </c>
      <c r="D165" s="121" t="s">
        <v>20</v>
      </c>
      <c r="E165" s="121" t="s">
        <v>21</v>
      </c>
      <c r="F165" s="98" t="n">
        <v>0</v>
      </c>
      <c r="G165" s="121" t="s">
        <v>2343</v>
      </c>
      <c r="H165" s="99" t="n">
        <v>17206</v>
      </c>
      <c r="I165" s="99" t="n">
        <v>17206</v>
      </c>
      <c r="J165" s="99" t="n">
        <v>0</v>
      </c>
      <c r="K165" s="99" t="n">
        <v>0</v>
      </c>
      <c r="L165" s="99" t="n">
        <v>0</v>
      </c>
      <c r="M165" s="99" t="n">
        <v>0</v>
      </c>
      <c r="N165" s="99" t="n">
        <v>0</v>
      </c>
      <c r="O165" s="42" t="n">
        <v>17206</v>
      </c>
    </row>
    <row r="166" spans="1:15">
      <c r="A166" s="37" t="n">
        <v>161</v>
      </c>
      <c r="B166" s="97" t="s">
        <v>611</v>
      </c>
      <c r="C166" s="121" t="s">
        <v>111</v>
      </c>
      <c r="D166" s="121" t="s">
        <v>20</v>
      </c>
      <c r="E166" s="121" t="s">
        <v>21</v>
      </c>
      <c r="F166" s="121" t="s">
        <v>612</v>
      </c>
      <c r="G166" s="121" t="s">
        <v>613</v>
      </c>
      <c r="H166" s="99" t="n">
        <v>17206</v>
      </c>
      <c r="I166" s="99" t="n">
        <v>17206</v>
      </c>
      <c r="J166" s="99" t="n">
        <v>0</v>
      </c>
      <c r="K166" s="99" t="n">
        <v>0</v>
      </c>
      <c r="L166" s="99" t="n">
        <v>0</v>
      </c>
      <c r="M166" s="99" t="n">
        <v>0</v>
      </c>
      <c r="N166" s="99" t="n">
        <v>0</v>
      </c>
      <c r="O166" s="42" t="n">
        <v>17206</v>
      </c>
    </row>
    <row r="167" spans="1:15">
      <c r="A167" s="37" t="n">
        <v>162</v>
      </c>
      <c r="B167" s="97" t="s">
        <v>572</v>
      </c>
      <c r="C167" s="121" t="s">
        <v>120</v>
      </c>
      <c r="D167" s="121" t="s">
        <v>128</v>
      </c>
      <c r="E167" s="121" t="s">
        <v>15</v>
      </c>
      <c r="F167" s="98" t="n">
        <v>0</v>
      </c>
      <c r="G167" s="121" t="s">
        <v>573</v>
      </c>
      <c r="H167" s="99" t="n">
        <v>17206</v>
      </c>
      <c r="I167" s="99" t="n">
        <v>17206</v>
      </c>
      <c r="J167" s="99" t="n">
        <v>0</v>
      </c>
      <c r="K167" s="99" t="n">
        <v>0</v>
      </c>
      <c r="L167" s="99" t="n">
        <v>0</v>
      </c>
      <c r="M167" s="99" t="n">
        <v>0</v>
      </c>
      <c r="N167" s="99" t="n">
        <v>0</v>
      </c>
      <c r="O167" s="42" t="n">
        <v>17206</v>
      </c>
    </row>
    <row r="168" spans="1:15">
      <c r="A168" s="37" t="n">
        <v>163</v>
      </c>
      <c r="B168" s="97" t="s">
        <v>482</v>
      </c>
      <c r="C168" s="121" t="s">
        <v>120</v>
      </c>
      <c r="D168" s="121" t="s">
        <v>278</v>
      </c>
      <c r="E168" s="121" t="s">
        <v>16</v>
      </c>
      <c r="F168" s="98" t="n">
        <v>0</v>
      </c>
      <c r="G168" s="121" t="s">
        <v>483</v>
      </c>
      <c r="H168" s="99" t="n">
        <v>17206</v>
      </c>
      <c r="I168" s="99" t="n">
        <v>17206</v>
      </c>
      <c r="J168" s="99" t="n">
        <v>0</v>
      </c>
      <c r="K168" s="99" t="n">
        <v>0</v>
      </c>
      <c r="L168" s="99" t="n">
        <v>0</v>
      </c>
      <c r="M168" s="99" t="n">
        <v>0</v>
      </c>
      <c r="N168" s="99" t="n">
        <v>0</v>
      </c>
      <c r="O168" s="42" t="n">
        <v>17206</v>
      </c>
    </row>
    <row r="169" spans="1:15">
      <c r="A169" s="37" t="n">
        <v>164</v>
      </c>
      <c r="B169" s="97" t="s">
        <v>529</v>
      </c>
      <c r="C169" s="121" t="s">
        <v>120</v>
      </c>
      <c r="D169" s="121" t="s">
        <v>128</v>
      </c>
      <c r="E169" s="121" t="s">
        <v>15</v>
      </c>
      <c r="F169" s="98" t="n">
        <v>0</v>
      </c>
      <c r="G169" s="121" t="s">
        <v>530</v>
      </c>
      <c r="H169" s="99" t="n">
        <v>17206</v>
      </c>
      <c r="I169" s="99" t="n">
        <v>17206</v>
      </c>
      <c r="J169" s="99" t="n">
        <v>0</v>
      </c>
      <c r="K169" s="99" t="n">
        <v>0</v>
      </c>
      <c r="L169" s="99" t="n">
        <v>0</v>
      </c>
      <c r="M169" s="99" t="n">
        <v>0</v>
      </c>
      <c r="N169" s="99" t="n">
        <v>0</v>
      </c>
      <c r="O169" s="42" t="n">
        <v>17206</v>
      </c>
    </row>
    <row r="170" spans="1:15">
      <c r="A170" s="37" t="n">
        <v>165</v>
      </c>
      <c r="B170" s="97" t="s">
        <v>563</v>
      </c>
      <c r="C170" s="121" t="s">
        <v>120</v>
      </c>
      <c r="D170" s="121" t="s">
        <v>124</v>
      </c>
      <c r="E170" s="121" t="s">
        <v>15</v>
      </c>
      <c r="F170" s="98" t="n">
        <v>0</v>
      </c>
      <c r="G170" s="121" t="s">
        <v>564</v>
      </c>
      <c r="H170" s="99" t="n">
        <v>17206</v>
      </c>
      <c r="I170" s="99" t="n">
        <v>17206</v>
      </c>
      <c r="J170" s="99" t="n">
        <v>0</v>
      </c>
      <c r="K170" s="99" t="n">
        <v>0</v>
      </c>
      <c r="L170" s="99" t="n">
        <v>0</v>
      </c>
      <c r="M170" s="99" t="n">
        <v>0</v>
      </c>
      <c r="N170" s="99" t="n">
        <v>0</v>
      </c>
      <c r="O170" s="42" t="n">
        <v>17206</v>
      </c>
    </row>
    <row r="171" spans="1:15">
      <c r="A171" s="37" t="n">
        <v>166</v>
      </c>
      <c r="B171" s="97" t="s">
        <v>323</v>
      </c>
      <c r="C171" s="121" t="s">
        <v>120</v>
      </c>
      <c r="D171" s="121" t="s">
        <v>124</v>
      </c>
      <c r="E171" s="121" t="s">
        <v>15</v>
      </c>
      <c r="F171" s="98" t="n">
        <v>0</v>
      </c>
      <c r="G171" s="121" t="s">
        <v>324</v>
      </c>
      <c r="H171" s="99" t="n">
        <v>17206</v>
      </c>
      <c r="I171" s="99" t="n">
        <v>17206</v>
      </c>
      <c r="J171" s="99" t="n">
        <v>0</v>
      </c>
      <c r="K171" s="99" t="n">
        <v>0</v>
      </c>
      <c r="L171" s="99" t="n">
        <v>0</v>
      </c>
      <c r="M171" s="99" t="n">
        <v>0</v>
      </c>
      <c r="N171" s="99" t="n">
        <v>0</v>
      </c>
      <c r="O171" s="42" t="n">
        <v>17206</v>
      </c>
    </row>
    <row r="172" spans="1:15">
      <c r="A172" s="37" t="n">
        <v>167</v>
      </c>
      <c r="B172" s="97" t="s">
        <v>119</v>
      </c>
      <c r="C172" s="121" t="s">
        <v>120</v>
      </c>
      <c r="D172" s="121" t="s">
        <v>137</v>
      </c>
      <c r="E172" s="121" t="s">
        <v>14</v>
      </c>
      <c r="F172" s="121" t="s">
        <v>2344</v>
      </c>
      <c r="G172" s="121" t="s">
        <v>122</v>
      </c>
      <c r="H172" s="99" t="n">
        <v>17206</v>
      </c>
      <c r="I172" s="99" t="n">
        <v>17206</v>
      </c>
      <c r="J172" s="99" t="n">
        <v>0</v>
      </c>
      <c r="K172" s="99" t="n">
        <v>0</v>
      </c>
      <c r="L172" s="99" t="n">
        <v>0</v>
      </c>
      <c r="M172" s="99" t="n">
        <v>0</v>
      </c>
      <c r="N172" s="99" t="n">
        <v>0</v>
      </c>
      <c r="O172" s="42" t="n">
        <v>17206</v>
      </c>
    </row>
    <row r="173" spans="1:15">
      <c r="A173" s="37" t="n">
        <v>168</v>
      </c>
      <c r="B173" s="97" t="s">
        <v>478</v>
      </c>
      <c r="C173" s="121" t="s">
        <v>120</v>
      </c>
      <c r="D173" s="121" t="s">
        <v>278</v>
      </c>
      <c r="E173" s="121" t="s">
        <v>16</v>
      </c>
      <c r="F173" s="98" t="n">
        <v>0</v>
      </c>
      <c r="G173" s="121" t="s">
        <v>479</v>
      </c>
      <c r="H173" s="99" t="n">
        <v>17206</v>
      </c>
      <c r="I173" s="99" t="n">
        <v>17206</v>
      </c>
      <c r="J173" s="99" t="n">
        <v>0</v>
      </c>
      <c r="K173" s="99" t="n">
        <v>0</v>
      </c>
      <c r="L173" s="99" t="n">
        <v>0</v>
      </c>
      <c r="M173" s="99" t="n">
        <v>0</v>
      </c>
      <c r="N173" s="99" t="n">
        <v>0</v>
      </c>
      <c r="O173" s="42" t="n">
        <v>17206</v>
      </c>
    </row>
    <row r="174" spans="1:15">
      <c r="A174" s="37" t="n">
        <v>169</v>
      </c>
      <c r="B174" s="97" t="s">
        <v>495</v>
      </c>
      <c r="C174" s="121" t="s">
        <v>120</v>
      </c>
      <c r="D174" s="121" t="s">
        <v>121</v>
      </c>
      <c r="E174" s="121" t="s">
        <v>14</v>
      </c>
      <c r="F174" s="98" t="n">
        <v>0</v>
      </c>
      <c r="G174" s="121" t="s">
        <v>496</v>
      </c>
      <c r="H174" s="99" t="n">
        <v>17206</v>
      </c>
      <c r="I174" s="99" t="n">
        <v>17206</v>
      </c>
      <c r="J174" s="99" t="n">
        <v>0</v>
      </c>
      <c r="K174" s="99" t="n">
        <v>0</v>
      </c>
      <c r="L174" s="99" t="n">
        <v>0</v>
      </c>
      <c r="M174" s="99" t="n">
        <v>0</v>
      </c>
      <c r="N174" s="99" t="n">
        <v>0</v>
      </c>
      <c r="O174" s="42" t="n">
        <v>17206</v>
      </c>
    </row>
    <row r="175" spans="1:15">
      <c r="A175" s="37" t="n">
        <v>170</v>
      </c>
      <c r="B175" s="97" t="s">
        <v>484</v>
      </c>
      <c r="C175" s="121" t="s">
        <v>120</v>
      </c>
      <c r="D175" s="121" t="s">
        <v>128</v>
      </c>
      <c r="E175" s="121" t="s">
        <v>15</v>
      </c>
      <c r="F175" s="98" t="n">
        <v>0</v>
      </c>
      <c r="G175" s="121" t="s">
        <v>485</v>
      </c>
      <c r="H175" s="99" t="n">
        <v>17206</v>
      </c>
      <c r="I175" s="99" t="n">
        <v>17206</v>
      </c>
      <c r="J175" s="99" t="n">
        <v>0</v>
      </c>
      <c r="K175" s="99" t="n">
        <v>0</v>
      </c>
      <c r="L175" s="99" t="n">
        <v>0</v>
      </c>
      <c r="M175" s="99" t="n">
        <v>0</v>
      </c>
      <c r="N175" s="99" t="n">
        <v>0</v>
      </c>
      <c r="O175" s="42" t="n">
        <v>17206</v>
      </c>
    </row>
    <row r="176" spans="1:15">
      <c r="A176" s="37" t="n">
        <v>171</v>
      </c>
      <c r="B176" s="97" t="s">
        <v>558</v>
      </c>
      <c r="C176" s="121" t="s">
        <v>120</v>
      </c>
      <c r="D176" s="121" t="s">
        <v>128</v>
      </c>
      <c r="E176" s="121" t="s">
        <v>15</v>
      </c>
      <c r="F176" s="98" t="n">
        <v>0</v>
      </c>
      <c r="G176" s="121" t="s">
        <v>560</v>
      </c>
      <c r="H176" s="99" t="n">
        <v>17206</v>
      </c>
      <c r="I176" s="99" t="n">
        <v>17206</v>
      </c>
      <c r="J176" s="99" t="n">
        <v>0</v>
      </c>
      <c r="K176" s="99" t="n">
        <v>0</v>
      </c>
      <c r="L176" s="99" t="n">
        <v>0</v>
      </c>
      <c r="M176" s="99" t="n">
        <v>0</v>
      </c>
      <c r="N176" s="99" t="n">
        <v>0</v>
      </c>
      <c r="O176" s="42" t="n">
        <v>17206</v>
      </c>
    </row>
    <row r="177" spans="1:15">
      <c r="A177" s="37" t="n">
        <v>172</v>
      </c>
      <c r="B177" s="97" t="s">
        <v>561</v>
      </c>
      <c r="C177" s="121" t="s">
        <v>120</v>
      </c>
      <c r="D177" s="121" t="s">
        <v>137</v>
      </c>
      <c r="E177" s="121" t="s">
        <v>14</v>
      </c>
      <c r="F177" s="98" t="n">
        <v>0</v>
      </c>
      <c r="G177" s="121" t="s">
        <v>562</v>
      </c>
      <c r="H177" s="99" t="n">
        <v>17206</v>
      </c>
      <c r="I177" s="99" t="n">
        <v>17206</v>
      </c>
      <c r="J177" s="99" t="n">
        <v>0</v>
      </c>
      <c r="K177" s="99" t="n">
        <v>0</v>
      </c>
      <c r="L177" s="99" t="n">
        <v>0</v>
      </c>
      <c r="M177" s="99" t="n">
        <v>0</v>
      </c>
      <c r="N177" s="99" t="n">
        <v>0</v>
      </c>
      <c r="O177" s="42" t="n">
        <v>17206</v>
      </c>
    </row>
    <row r="178" spans="1:15">
      <c r="A178" s="37" t="n">
        <v>173</v>
      </c>
      <c r="B178" s="97" t="s">
        <v>2345</v>
      </c>
      <c r="C178" s="121" t="s">
        <v>120</v>
      </c>
      <c r="D178" s="121" t="s">
        <v>128</v>
      </c>
      <c r="E178" s="121" t="s">
        <v>15</v>
      </c>
      <c r="F178" s="121" t="s">
        <v>2346</v>
      </c>
      <c r="G178" s="121" t="s">
        <v>2347</v>
      </c>
      <c r="H178" s="99" t="n">
        <v>17206</v>
      </c>
      <c r="I178" s="99" t="n">
        <v>17206</v>
      </c>
      <c r="J178" s="99" t="n">
        <v>0</v>
      </c>
      <c r="K178" s="99" t="n">
        <v>0</v>
      </c>
      <c r="L178" s="99" t="n">
        <v>0</v>
      </c>
      <c r="M178" s="99" t="n">
        <v>0</v>
      </c>
      <c r="N178" s="99" t="n">
        <v>0</v>
      </c>
      <c r="O178" s="42" t="n">
        <v>17206</v>
      </c>
    </row>
    <row r="179" spans="1:15">
      <c r="A179" s="37" t="n">
        <v>174</v>
      </c>
      <c r="B179" s="97" t="s">
        <v>570</v>
      </c>
      <c r="C179" s="121" t="s">
        <v>120</v>
      </c>
      <c r="D179" s="121" t="s">
        <v>124</v>
      </c>
      <c r="E179" s="121" t="s">
        <v>15</v>
      </c>
      <c r="F179" s="98" t="n">
        <v>0</v>
      </c>
      <c r="G179" s="121" t="s">
        <v>571</v>
      </c>
      <c r="H179" s="99" t="n">
        <v>17206</v>
      </c>
      <c r="I179" s="99" t="n">
        <v>17206</v>
      </c>
      <c r="J179" s="99" t="n">
        <v>0</v>
      </c>
      <c r="K179" s="99" t="n">
        <v>0</v>
      </c>
      <c r="L179" s="99" t="n">
        <v>0</v>
      </c>
      <c r="M179" s="99" t="n">
        <v>0</v>
      </c>
      <c r="N179" s="99" t="n">
        <v>0</v>
      </c>
      <c r="O179" s="42" t="n">
        <v>17206</v>
      </c>
    </row>
    <row r="180" spans="1:15">
      <c r="A180" s="37" t="n">
        <v>175</v>
      </c>
      <c r="B180" s="97" t="s">
        <v>811</v>
      </c>
      <c r="C180" s="121" t="s">
        <v>120</v>
      </c>
      <c r="D180" s="121" t="s">
        <v>128</v>
      </c>
      <c r="E180" s="121" t="s">
        <v>15</v>
      </c>
      <c r="F180" s="121" t="s">
        <v>2348</v>
      </c>
      <c r="G180" s="121" t="s">
        <v>812</v>
      </c>
      <c r="H180" s="99" t="n">
        <v>17206</v>
      </c>
      <c r="I180" s="99" t="n">
        <v>17206</v>
      </c>
      <c r="J180" s="99" t="n">
        <v>0</v>
      </c>
      <c r="K180" s="99" t="n">
        <v>0</v>
      </c>
      <c r="L180" s="99" t="n">
        <v>0</v>
      </c>
      <c r="M180" s="99" t="n">
        <v>0</v>
      </c>
      <c r="N180" s="99" t="n">
        <v>0</v>
      </c>
      <c r="O180" s="42" t="n">
        <v>17206</v>
      </c>
    </row>
    <row r="181" spans="1:15">
      <c r="A181" s="37" t="n">
        <v>176</v>
      </c>
      <c r="B181" s="97" t="s">
        <v>577</v>
      </c>
      <c r="C181" s="121" t="s">
        <v>95</v>
      </c>
      <c r="D181" s="121" t="s">
        <v>128</v>
      </c>
      <c r="E181" s="121" t="s">
        <v>15</v>
      </c>
      <c r="F181" s="98" t="n">
        <v>0</v>
      </c>
      <c r="G181" s="121" t="s">
        <v>578</v>
      </c>
      <c r="H181" s="99" t="n">
        <v>17206</v>
      </c>
      <c r="I181" s="99" t="n">
        <v>17206</v>
      </c>
      <c r="J181" s="99" t="n">
        <v>0</v>
      </c>
      <c r="K181" s="99" t="n">
        <v>0</v>
      </c>
      <c r="L181" s="99" t="n">
        <v>0</v>
      </c>
      <c r="M181" s="99" t="n">
        <v>0</v>
      </c>
      <c r="N181" s="99" t="n">
        <v>0</v>
      </c>
      <c r="O181" s="42" t="n">
        <v>17206</v>
      </c>
    </row>
    <row r="182" spans="1:15">
      <c r="A182" s="37" t="n">
        <v>177</v>
      </c>
      <c r="B182" s="97" t="s">
        <v>568</v>
      </c>
      <c r="C182" s="121" t="s">
        <v>95</v>
      </c>
      <c r="D182" s="121" t="s">
        <v>137</v>
      </c>
      <c r="E182" s="121" t="s">
        <v>14</v>
      </c>
      <c r="F182" s="98" t="n">
        <v>0</v>
      </c>
      <c r="G182" s="121" t="s">
        <v>569</v>
      </c>
      <c r="H182" s="99" t="n">
        <v>17206</v>
      </c>
      <c r="I182" s="99" t="n">
        <v>17206</v>
      </c>
      <c r="J182" s="99" t="n">
        <v>0</v>
      </c>
      <c r="K182" s="99" t="n">
        <v>0</v>
      </c>
      <c r="L182" s="99" t="n">
        <v>0</v>
      </c>
      <c r="M182" s="99" t="n">
        <v>0</v>
      </c>
      <c r="N182" s="99" t="n">
        <v>0</v>
      </c>
      <c r="O182" s="42" t="n">
        <v>17206</v>
      </c>
    </row>
    <row r="183" spans="1:15">
      <c r="A183" s="37" t="n">
        <v>178</v>
      </c>
      <c r="B183" s="97" t="s">
        <v>2349</v>
      </c>
      <c r="C183" s="121" t="s">
        <v>95</v>
      </c>
      <c r="D183" s="121" t="s">
        <v>128</v>
      </c>
      <c r="E183" s="121" t="s">
        <v>15</v>
      </c>
      <c r="F183" s="121" t="s">
        <v>2350</v>
      </c>
      <c r="G183" s="121" t="s">
        <v>2351</v>
      </c>
      <c r="H183" s="99" t="n">
        <v>17206</v>
      </c>
      <c r="I183" s="99" t="n">
        <v>17206</v>
      </c>
      <c r="J183" s="99" t="n">
        <v>0</v>
      </c>
      <c r="K183" s="99" t="n">
        <v>0</v>
      </c>
      <c r="L183" s="99" t="n">
        <v>0</v>
      </c>
      <c r="M183" s="99" t="n">
        <v>0</v>
      </c>
      <c r="N183" s="99" t="n">
        <v>0</v>
      </c>
      <c r="O183" s="42" t="n">
        <v>17206</v>
      </c>
    </row>
    <row r="184" spans="1:15">
      <c r="A184" s="37" t="n">
        <v>179</v>
      </c>
      <c r="B184" s="97" t="s">
        <v>2095</v>
      </c>
      <c r="C184" s="121" t="s">
        <v>95</v>
      </c>
      <c r="D184" s="121" t="s">
        <v>128</v>
      </c>
      <c r="E184" s="121" t="s">
        <v>15</v>
      </c>
      <c r="F184" s="121" t="s">
        <v>2352</v>
      </c>
      <c r="G184" s="121" t="s">
        <v>2096</v>
      </c>
      <c r="H184" s="99" t="n">
        <v>17206</v>
      </c>
      <c r="I184" s="99" t="n">
        <v>17206</v>
      </c>
      <c r="J184" s="99" t="n">
        <v>0</v>
      </c>
      <c r="K184" s="99" t="n">
        <v>0</v>
      </c>
      <c r="L184" s="99" t="n">
        <v>0</v>
      </c>
      <c r="M184" s="99" t="n">
        <v>0</v>
      </c>
      <c r="N184" s="99" t="n">
        <v>0</v>
      </c>
      <c r="O184" s="42" t="n">
        <v>17206</v>
      </c>
    </row>
    <row r="185" spans="1:15">
      <c r="A185" s="37" t="n">
        <v>180</v>
      </c>
      <c r="B185" s="97" t="s">
        <v>2353</v>
      </c>
      <c r="C185" s="121" t="s">
        <v>95</v>
      </c>
      <c r="D185" s="121" t="s">
        <v>128</v>
      </c>
      <c r="E185" s="121" t="s">
        <v>15</v>
      </c>
      <c r="F185" s="121" t="s">
        <v>2074</v>
      </c>
      <c r="G185" s="121" t="s">
        <v>2354</v>
      </c>
      <c r="H185" s="99" t="n">
        <v>17206</v>
      </c>
      <c r="I185" s="99" t="n">
        <v>17206</v>
      </c>
      <c r="J185" s="99" t="n">
        <v>0</v>
      </c>
      <c r="K185" s="99" t="n">
        <v>0</v>
      </c>
      <c r="L185" s="99" t="n">
        <v>0</v>
      </c>
      <c r="M185" s="99" t="n">
        <v>0</v>
      </c>
      <c r="N185" s="99" t="n">
        <v>0</v>
      </c>
      <c r="O185" s="42" t="n">
        <v>17206</v>
      </c>
    </row>
    <row r="186" spans="1:15">
      <c r="A186" s="37" t="n">
        <v>181</v>
      </c>
      <c r="B186" s="97" t="s">
        <v>474</v>
      </c>
      <c r="C186" s="121" t="s">
        <v>95</v>
      </c>
      <c r="D186" s="121" t="s">
        <v>124</v>
      </c>
      <c r="E186" s="121" t="s">
        <v>15</v>
      </c>
      <c r="F186" s="98" t="n">
        <v>0</v>
      </c>
      <c r="G186" s="121" t="s">
        <v>475</v>
      </c>
      <c r="H186" s="99" t="n">
        <v>17206</v>
      </c>
      <c r="I186" s="99" t="n">
        <v>17206</v>
      </c>
      <c r="J186" s="99" t="n">
        <v>0</v>
      </c>
      <c r="K186" s="99" t="n">
        <v>0</v>
      </c>
      <c r="L186" s="99" t="n">
        <v>0</v>
      </c>
      <c r="M186" s="99" t="n">
        <v>0</v>
      </c>
      <c r="N186" s="99" t="n">
        <v>0</v>
      </c>
      <c r="O186" s="42" t="n">
        <v>17206</v>
      </c>
    </row>
    <row r="187" spans="1:15">
      <c r="A187" s="37" t="n">
        <v>182</v>
      </c>
      <c r="B187" s="97" t="s">
        <v>476</v>
      </c>
      <c r="C187" s="121" t="s">
        <v>95</v>
      </c>
      <c r="D187" s="121" t="s">
        <v>124</v>
      </c>
      <c r="E187" s="121" t="s">
        <v>15</v>
      </c>
      <c r="F187" s="98" t="n">
        <v>0</v>
      </c>
      <c r="G187" s="121" t="s">
        <v>477</v>
      </c>
      <c r="H187" s="99" t="n">
        <v>17206</v>
      </c>
      <c r="I187" s="99" t="n">
        <v>17206</v>
      </c>
      <c r="J187" s="99" t="n">
        <v>0</v>
      </c>
      <c r="K187" s="99" t="n">
        <v>0</v>
      </c>
      <c r="L187" s="99" t="n">
        <v>0</v>
      </c>
      <c r="M187" s="99" t="n">
        <v>0</v>
      </c>
      <c r="N187" s="99" t="n">
        <v>0</v>
      </c>
      <c r="O187" s="42" t="n">
        <v>17206</v>
      </c>
    </row>
    <row r="188" spans="1:15">
      <c r="A188" s="37" t="n">
        <v>183</v>
      </c>
      <c r="B188" s="97" t="s">
        <v>2355</v>
      </c>
      <c r="C188" s="121" t="s">
        <v>95</v>
      </c>
      <c r="D188" s="121" t="s">
        <v>124</v>
      </c>
      <c r="E188" s="121" t="s">
        <v>15</v>
      </c>
      <c r="F188" s="98" t="n">
        <v>0</v>
      </c>
      <c r="G188" s="121" t="s">
        <v>2356</v>
      </c>
      <c r="H188" s="99" t="n">
        <v>17206</v>
      </c>
      <c r="I188" s="99" t="n">
        <v>17206</v>
      </c>
      <c r="J188" s="99" t="n">
        <v>0</v>
      </c>
      <c r="K188" s="99" t="n">
        <v>0</v>
      </c>
      <c r="L188" s="99" t="n">
        <v>0</v>
      </c>
      <c r="M188" s="99" t="n">
        <v>0</v>
      </c>
      <c r="N188" s="99" t="n">
        <v>0</v>
      </c>
      <c r="O188" s="42" t="n">
        <v>17206</v>
      </c>
    </row>
    <row r="189" spans="1:15">
      <c r="A189" s="37" t="n">
        <v>184</v>
      </c>
      <c r="B189" s="97" t="s">
        <v>489</v>
      </c>
      <c r="C189" s="121" t="s">
        <v>58</v>
      </c>
      <c r="D189" s="121" t="s">
        <v>20</v>
      </c>
      <c r="E189" s="121" t="s">
        <v>21</v>
      </c>
      <c r="F189" s="121" t="s">
        <v>490</v>
      </c>
      <c r="G189" s="121" t="s">
        <v>491</v>
      </c>
      <c r="H189" s="99" t="n">
        <v>17206</v>
      </c>
      <c r="I189" s="99" t="n">
        <v>17206</v>
      </c>
      <c r="J189" s="99" t="n">
        <v>860</v>
      </c>
      <c r="K189" s="99" t="n">
        <v>0</v>
      </c>
      <c r="L189" s="99" t="n">
        <v>0</v>
      </c>
      <c r="M189" s="99" t="n">
        <v>0</v>
      </c>
      <c r="N189" s="99" t="n">
        <v>0</v>
      </c>
      <c r="O189" s="42" t="n">
        <v>16346</v>
      </c>
    </row>
    <row r="190" spans="1:15">
      <c r="A190" s="37" t="n">
        <v>185</v>
      </c>
      <c r="B190" s="97" t="s">
        <v>543</v>
      </c>
      <c r="C190" s="121" t="s">
        <v>58</v>
      </c>
      <c r="D190" s="121" t="s">
        <v>20</v>
      </c>
      <c r="E190" s="121" t="s">
        <v>21</v>
      </c>
      <c r="F190" s="121" t="s">
        <v>544</v>
      </c>
      <c r="G190" s="121" t="s">
        <v>545</v>
      </c>
      <c r="H190" s="99" t="n">
        <v>17206</v>
      </c>
      <c r="I190" s="99" t="n">
        <v>17206</v>
      </c>
      <c r="J190" s="99" t="n">
        <v>860</v>
      </c>
      <c r="K190" s="99" t="n">
        <v>0</v>
      </c>
      <c r="L190" s="99" t="n">
        <v>0</v>
      </c>
      <c r="M190" s="99" t="n">
        <v>0</v>
      </c>
      <c r="N190" s="99" t="n">
        <v>0</v>
      </c>
      <c r="O190" s="42" t="n">
        <v>16346</v>
      </c>
    </row>
    <row r="191" spans="1:15">
      <c r="A191" s="37" t="n">
        <v>186</v>
      </c>
      <c r="B191" s="97" t="s">
        <v>2357</v>
      </c>
      <c r="C191" s="121" t="s">
        <v>58</v>
      </c>
      <c r="D191" s="121" t="s">
        <v>20</v>
      </c>
      <c r="E191" s="121" t="s">
        <v>21</v>
      </c>
      <c r="F191" s="121" t="s">
        <v>2358</v>
      </c>
      <c r="G191" s="121" t="s">
        <v>2359</v>
      </c>
      <c r="H191" s="99" t="n">
        <v>17206</v>
      </c>
      <c r="I191" s="99" t="n">
        <v>17206</v>
      </c>
      <c r="J191" s="99" t="n">
        <v>860</v>
      </c>
      <c r="K191" s="99" t="n">
        <v>0</v>
      </c>
      <c r="L191" s="99" t="n">
        <v>0</v>
      </c>
      <c r="M191" s="99" t="n">
        <v>0</v>
      </c>
      <c r="N191" s="99" t="n">
        <v>0</v>
      </c>
      <c r="O191" s="42" t="n">
        <v>16346</v>
      </c>
    </row>
    <row r="192" spans="1:15">
      <c r="A192" s="37" t="n">
        <v>187</v>
      </c>
      <c r="B192" s="97" t="s">
        <v>515</v>
      </c>
      <c r="C192" s="121" t="s">
        <v>111</v>
      </c>
      <c r="D192" s="121" t="s">
        <v>20</v>
      </c>
      <c r="E192" s="121" t="s">
        <v>21</v>
      </c>
      <c r="F192" s="121" t="s">
        <v>516</v>
      </c>
      <c r="G192" s="121" t="s">
        <v>517</v>
      </c>
      <c r="H192" s="99" t="n">
        <v>17206</v>
      </c>
      <c r="I192" s="99" t="n">
        <v>17206</v>
      </c>
      <c r="J192" s="99" t="n">
        <v>0</v>
      </c>
      <c r="K192" s="99" t="n">
        <v>0</v>
      </c>
      <c r="L192" s="99" t="n">
        <v>0</v>
      </c>
      <c r="M192" s="99" t="n">
        <v>0</v>
      </c>
      <c r="N192" s="99" t="n">
        <v>0</v>
      </c>
      <c r="O192" s="42" t="n">
        <v>17206</v>
      </c>
    </row>
    <row r="193" spans="1:15">
      <c r="A193" s="37" t="n">
        <v>188</v>
      </c>
      <c r="B193" s="97" t="s">
        <v>512</v>
      </c>
      <c r="C193" s="121" t="s">
        <v>111</v>
      </c>
      <c r="D193" s="121" t="s">
        <v>20</v>
      </c>
      <c r="E193" s="121" t="s">
        <v>21</v>
      </c>
      <c r="F193" s="121" t="s">
        <v>513</v>
      </c>
      <c r="G193" s="121" t="s">
        <v>514</v>
      </c>
      <c r="H193" s="99" t="n">
        <v>17206</v>
      </c>
      <c r="I193" s="99" t="n">
        <v>17206</v>
      </c>
      <c r="J193" s="99" t="n">
        <v>0</v>
      </c>
      <c r="K193" s="99" t="n">
        <v>0</v>
      </c>
      <c r="L193" s="99" t="n">
        <v>0</v>
      </c>
      <c r="M193" s="99" t="n">
        <v>0</v>
      </c>
      <c r="N193" s="99" t="n">
        <v>0</v>
      </c>
      <c r="O193" s="42" t="n">
        <v>17206</v>
      </c>
    </row>
    <row r="194" spans="1:15">
      <c r="A194" s="37" t="n">
        <v>189</v>
      </c>
      <c r="B194" s="97" t="s">
        <v>2360</v>
      </c>
      <c r="C194" s="121" t="s">
        <v>111</v>
      </c>
      <c r="D194" s="121" t="s">
        <v>20</v>
      </c>
      <c r="E194" s="121" t="s">
        <v>21</v>
      </c>
      <c r="F194" s="121" t="s">
        <v>2361</v>
      </c>
      <c r="G194" s="121" t="s">
        <v>2362</v>
      </c>
      <c r="H194" s="99" t="n">
        <v>17206</v>
      </c>
      <c r="I194" s="99" t="n">
        <v>17206</v>
      </c>
      <c r="J194" s="99" t="n">
        <v>0</v>
      </c>
      <c r="K194" s="99" t="n">
        <v>0</v>
      </c>
      <c r="L194" s="99" t="n">
        <v>0</v>
      </c>
      <c r="M194" s="99" t="n">
        <v>0</v>
      </c>
      <c r="N194" s="99" t="n">
        <v>0</v>
      </c>
      <c r="O194" s="42" t="n">
        <v>17206</v>
      </c>
    </row>
    <row r="195" spans="1:15">
      <c r="A195" s="37" t="n">
        <v>190</v>
      </c>
      <c r="B195" s="97" t="s">
        <v>599</v>
      </c>
      <c r="C195" s="121" t="s">
        <v>111</v>
      </c>
      <c r="D195" s="121" t="s">
        <v>20</v>
      </c>
      <c r="E195" s="121" t="s">
        <v>21</v>
      </c>
      <c r="F195" s="121" t="s">
        <v>600</v>
      </c>
      <c r="G195" s="121" t="s">
        <v>602</v>
      </c>
      <c r="H195" s="99" t="n">
        <v>17206</v>
      </c>
      <c r="I195" s="99" t="n">
        <v>17206</v>
      </c>
      <c r="J195" s="99" t="n">
        <v>0</v>
      </c>
      <c r="K195" s="99" t="n">
        <v>0</v>
      </c>
      <c r="L195" s="99" t="n">
        <v>0</v>
      </c>
      <c r="M195" s="99" t="n">
        <v>0</v>
      </c>
      <c r="N195" s="99" t="n">
        <v>0</v>
      </c>
      <c r="O195" s="42" t="n">
        <v>17206</v>
      </c>
    </row>
    <row r="196" spans="1:15">
      <c r="A196" s="37" t="n">
        <v>191</v>
      </c>
      <c r="B196" s="97" t="s">
        <v>1623</v>
      </c>
      <c r="C196" s="121" t="s">
        <v>111</v>
      </c>
      <c r="D196" s="121" t="s">
        <v>20</v>
      </c>
      <c r="E196" s="121" t="s">
        <v>21</v>
      </c>
      <c r="F196" s="121" t="s">
        <v>1624</v>
      </c>
      <c r="G196" s="121" t="s">
        <v>1626</v>
      </c>
      <c r="H196" s="99" t="n">
        <v>17206</v>
      </c>
      <c r="I196" s="99" t="n">
        <v>17206</v>
      </c>
      <c r="J196" s="99" t="n">
        <v>0</v>
      </c>
      <c r="K196" s="99" t="n">
        <v>0</v>
      </c>
      <c r="L196" s="99" t="n">
        <v>0</v>
      </c>
      <c r="M196" s="99" t="n">
        <v>0</v>
      </c>
      <c r="N196" s="99" t="n">
        <v>0</v>
      </c>
      <c r="O196" s="42" t="n">
        <v>17206</v>
      </c>
    </row>
    <row r="197" spans="1:15">
      <c r="A197" s="37" t="n">
        <v>192</v>
      </c>
      <c r="B197" s="97" t="s">
        <v>1915</v>
      </c>
      <c r="C197" s="121" t="s">
        <v>111</v>
      </c>
      <c r="D197" s="121" t="s">
        <v>20</v>
      </c>
      <c r="E197" s="121" t="s">
        <v>21</v>
      </c>
      <c r="F197" s="121" t="s">
        <v>1916</v>
      </c>
      <c r="G197" s="121" t="s">
        <v>1917</v>
      </c>
      <c r="H197" s="99" t="n">
        <v>17206</v>
      </c>
      <c r="I197" s="99" t="n">
        <v>17206</v>
      </c>
      <c r="J197" s="99" t="n">
        <v>0</v>
      </c>
      <c r="K197" s="99" t="n">
        <v>0</v>
      </c>
      <c r="L197" s="99" t="n">
        <v>0</v>
      </c>
      <c r="M197" s="99" t="n">
        <v>0</v>
      </c>
      <c r="N197" s="99" t="n">
        <v>0</v>
      </c>
      <c r="O197" s="42" t="n">
        <v>17206</v>
      </c>
    </row>
    <row r="198" spans="1:15">
      <c r="A198" s="37" t="n">
        <v>193</v>
      </c>
      <c r="B198" s="97" t="s">
        <v>351</v>
      </c>
      <c r="C198" s="121" t="s">
        <v>111</v>
      </c>
      <c r="D198" s="121" t="s">
        <v>20</v>
      </c>
      <c r="E198" s="121" t="s">
        <v>21</v>
      </c>
      <c r="F198" s="121" t="s">
        <v>352</v>
      </c>
      <c r="G198" s="121" t="s">
        <v>353</v>
      </c>
      <c r="H198" s="99" t="n">
        <v>17206</v>
      </c>
      <c r="I198" s="99" t="n">
        <v>17206</v>
      </c>
      <c r="J198" s="99" t="n">
        <v>0</v>
      </c>
      <c r="K198" s="99" t="n">
        <v>0</v>
      </c>
      <c r="L198" s="99" t="n">
        <v>0</v>
      </c>
      <c r="M198" s="99" t="n">
        <v>0</v>
      </c>
      <c r="N198" s="99" t="n">
        <v>0</v>
      </c>
      <c r="O198" s="42" t="n">
        <v>17206</v>
      </c>
    </row>
    <row r="199" spans="1:15">
      <c r="A199" s="37" t="n">
        <v>194</v>
      </c>
      <c r="B199" s="97" t="s">
        <v>1591</v>
      </c>
      <c r="C199" s="121" t="s">
        <v>111</v>
      </c>
      <c r="D199" s="121" t="s">
        <v>20</v>
      </c>
      <c r="E199" s="121" t="s">
        <v>21</v>
      </c>
      <c r="F199" s="121" t="s">
        <v>1592</v>
      </c>
      <c r="G199" s="121" t="s">
        <v>1593</v>
      </c>
      <c r="H199" s="99" t="n">
        <v>17206</v>
      </c>
      <c r="I199" s="99" t="n">
        <v>17206</v>
      </c>
      <c r="J199" s="99" t="n">
        <v>0</v>
      </c>
      <c r="K199" s="99" t="n">
        <v>0</v>
      </c>
      <c r="L199" s="99" t="n">
        <v>0</v>
      </c>
      <c r="M199" s="99" t="n">
        <v>0</v>
      </c>
      <c r="N199" s="99" t="n">
        <v>0</v>
      </c>
      <c r="O199" s="42" t="n">
        <v>17206</v>
      </c>
    </row>
    <row r="200" spans="1:15">
      <c r="A200" s="37" t="n">
        <v>195</v>
      </c>
      <c r="B200" s="97" t="s">
        <v>1618</v>
      </c>
      <c r="C200" s="121" t="s">
        <v>111</v>
      </c>
      <c r="D200" s="121" t="s">
        <v>20</v>
      </c>
      <c r="E200" s="121" t="s">
        <v>21</v>
      </c>
      <c r="F200" s="121" t="s">
        <v>1619</v>
      </c>
      <c r="G200" s="121" t="s">
        <v>1620</v>
      </c>
      <c r="H200" s="99" t="n">
        <v>17206</v>
      </c>
      <c r="I200" s="99" t="n">
        <v>17206</v>
      </c>
      <c r="J200" s="99" t="n">
        <v>0</v>
      </c>
      <c r="K200" s="99" t="n">
        <v>0</v>
      </c>
      <c r="L200" s="99" t="n">
        <v>0</v>
      </c>
      <c r="M200" s="99" t="n">
        <v>0</v>
      </c>
      <c r="N200" s="99" t="n">
        <v>0</v>
      </c>
      <c r="O200" s="42" t="n">
        <v>17206</v>
      </c>
    </row>
    <row r="201" spans="1:15">
      <c r="A201" s="37" t="n">
        <v>196</v>
      </c>
      <c r="B201" s="97" t="s">
        <v>579</v>
      </c>
      <c r="C201" s="121" t="s">
        <v>120</v>
      </c>
      <c r="D201" s="121" t="s">
        <v>128</v>
      </c>
      <c r="E201" s="121" t="s">
        <v>15</v>
      </c>
      <c r="F201" s="98" t="n">
        <v>0</v>
      </c>
      <c r="G201" s="121" t="s">
        <v>581</v>
      </c>
      <c r="H201" s="99" t="n">
        <v>17206</v>
      </c>
      <c r="I201" s="99" t="n">
        <v>17206</v>
      </c>
      <c r="J201" s="99" t="n">
        <v>0</v>
      </c>
      <c r="K201" s="99" t="n">
        <v>0</v>
      </c>
      <c r="L201" s="99" t="n">
        <v>0</v>
      </c>
      <c r="M201" s="99" t="n">
        <v>0</v>
      </c>
      <c r="N201" s="99" t="n">
        <v>0</v>
      </c>
      <c r="O201" s="42" t="n">
        <v>17206</v>
      </c>
    </row>
    <row r="202" spans="1:15">
      <c r="A202" s="37" t="n">
        <v>197</v>
      </c>
      <c r="B202" s="97" t="s">
        <v>1608</v>
      </c>
      <c r="C202" s="121" t="s">
        <v>120</v>
      </c>
      <c r="D202" s="121" t="s">
        <v>128</v>
      </c>
      <c r="E202" s="121" t="s">
        <v>15</v>
      </c>
      <c r="F202" s="121" t="s">
        <v>2363</v>
      </c>
      <c r="G202" s="121" t="s">
        <v>1609</v>
      </c>
      <c r="H202" s="99" t="n">
        <v>17206</v>
      </c>
      <c r="I202" s="99" t="n">
        <v>17206</v>
      </c>
      <c r="J202" s="99" t="n">
        <v>0</v>
      </c>
      <c r="K202" s="99" t="n">
        <v>0</v>
      </c>
      <c r="L202" s="99" t="n">
        <v>0</v>
      </c>
      <c r="M202" s="99" t="n">
        <v>0</v>
      </c>
      <c r="N202" s="99" t="n">
        <v>0</v>
      </c>
      <c r="O202" s="42" t="n">
        <v>17206</v>
      </c>
    </row>
    <row r="203" spans="1:15">
      <c r="A203" s="37" t="n">
        <v>198</v>
      </c>
      <c r="B203" s="97" t="s">
        <v>524</v>
      </c>
      <c r="C203" s="121" t="s">
        <v>120</v>
      </c>
      <c r="D203" s="121" t="s">
        <v>124</v>
      </c>
      <c r="E203" s="121" t="s">
        <v>15</v>
      </c>
      <c r="F203" s="98" t="n">
        <v>0</v>
      </c>
      <c r="G203" s="121" t="s">
        <v>525</v>
      </c>
      <c r="H203" s="99" t="n">
        <v>17206</v>
      </c>
      <c r="I203" s="99" t="n">
        <v>17206</v>
      </c>
      <c r="J203" s="99" t="n">
        <v>0</v>
      </c>
      <c r="K203" s="99" t="n">
        <v>0</v>
      </c>
      <c r="L203" s="99" t="n">
        <v>0</v>
      </c>
      <c r="M203" s="99" t="n">
        <v>0</v>
      </c>
      <c r="N203" s="99" t="n">
        <v>0</v>
      </c>
      <c r="O203" s="42" t="n">
        <v>17206</v>
      </c>
    </row>
    <row r="204" spans="1:15">
      <c r="A204" s="37" t="n">
        <v>199</v>
      </c>
      <c r="B204" s="97" t="s">
        <v>603</v>
      </c>
      <c r="C204" s="121" t="s">
        <v>120</v>
      </c>
      <c r="D204" s="121" t="s">
        <v>124</v>
      </c>
      <c r="E204" s="121" t="s">
        <v>15</v>
      </c>
      <c r="F204" s="98" t="n">
        <v>0</v>
      </c>
      <c r="G204" s="121" t="s">
        <v>604</v>
      </c>
      <c r="H204" s="99" t="n">
        <v>17206</v>
      </c>
      <c r="I204" s="99" t="n">
        <v>17206</v>
      </c>
      <c r="J204" s="99" t="n">
        <v>0</v>
      </c>
      <c r="K204" s="99" t="n">
        <v>0</v>
      </c>
      <c r="L204" s="99" t="n">
        <v>0</v>
      </c>
      <c r="M204" s="99" t="n">
        <v>0</v>
      </c>
      <c r="N204" s="99" t="n">
        <v>0</v>
      </c>
      <c r="O204" s="42" t="n">
        <v>17206</v>
      </c>
    </row>
    <row r="205" spans="1:15">
      <c r="A205" s="37" t="n">
        <v>200</v>
      </c>
      <c r="B205" s="97" t="s">
        <v>521</v>
      </c>
      <c r="C205" s="121" t="s">
        <v>120</v>
      </c>
      <c r="D205" s="121" t="s">
        <v>278</v>
      </c>
      <c r="E205" s="121" t="s">
        <v>16</v>
      </c>
      <c r="F205" s="98" t="n">
        <v>0</v>
      </c>
      <c r="G205" s="121" t="s">
        <v>523</v>
      </c>
      <c r="H205" s="99" t="n">
        <v>17206</v>
      </c>
      <c r="I205" s="99" t="n">
        <v>17206</v>
      </c>
      <c r="J205" s="99" t="n">
        <v>0</v>
      </c>
      <c r="K205" s="99" t="n">
        <v>0</v>
      </c>
      <c r="L205" s="99" t="n">
        <v>0</v>
      </c>
      <c r="M205" s="99" t="n">
        <v>0</v>
      </c>
      <c r="N205" s="99" t="n">
        <v>0</v>
      </c>
      <c r="O205" s="42" t="n">
        <v>17206</v>
      </c>
    </row>
    <row r="206" spans="1:15">
      <c r="A206" s="37" t="n">
        <v>201</v>
      </c>
      <c r="B206" s="97" t="s">
        <v>354</v>
      </c>
      <c r="C206" s="121" t="s">
        <v>120</v>
      </c>
      <c r="D206" s="121" t="s">
        <v>128</v>
      </c>
      <c r="E206" s="121" t="s">
        <v>15</v>
      </c>
      <c r="F206" s="121" t="s">
        <v>2364</v>
      </c>
      <c r="G206" s="121" t="s">
        <v>355</v>
      </c>
      <c r="H206" s="99" t="n">
        <v>17206</v>
      </c>
      <c r="I206" s="99" t="n">
        <v>17206</v>
      </c>
      <c r="J206" s="99" t="n">
        <v>0</v>
      </c>
      <c r="K206" s="99" t="n">
        <v>0</v>
      </c>
      <c r="L206" s="99" t="n">
        <v>0</v>
      </c>
      <c r="M206" s="99" t="n">
        <v>0</v>
      </c>
      <c r="N206" s="99" t="n">
        <v>0</v>
      </c>
      <c r="O206" s="42" t="n">
        <v>17206</v>
      </c>
    </row>
    <row r="207" spans="1:15">
      <c r="A207" s="37" t="n">
        <v>202</v>
      </c>
      <c r="B207" s="97" t="s">
        <v>589</v>
      </c>
      <c r="C207" s="121" t="s">
        <v>120</v>
      </c>
      <c r="D207" s="121" t="s">
        <v>128</v>
      </c>
      <c r="E207" s="121" t="s">
        <v>15</v>
      </c>
      <c r="F207" s="98" t="n">
        <v>0</v>
      </c>
      <c r="G207" s="121" t="s">
        <v>591</v>
      </c>
      <c r="H207" s="99" t="n">
        <v>17206</v>
      </c>
      <c r="I207" s="99" t="n">
        <v>17206</v>
      </c>
      <c r="J207" s="99" t="n">
        <v>0</v>
      </c>
      <c r="K207" s="99" t="n">
        <v>0</v>
      </c>
      <c r="L207" s="99" t="n">
        <v>0</v>
      </c>
      <c r="M207" s="99" t="n">
        <v>0</v>
      </c>
      <c r="N207" s="99" t="n">
        <v>0</v>
      </c>
      <c r="O207" s="42" t="n">
        <v>17206</v>
      </c>
    </row>
    <row r="208" spans="1:15">
      <c r="A208" s="37" t="n">
        <v>203</v>
      </c>
      <c r="B208" s="97" t="s">
        <v>1817</v>
      </c>
      <c r="C208" s="121" t="s">
        <v>120</v>
      </c>
      <c r="D208" s="121" t="s">
        <v>128</v>
      </c>
      <c r="E208" s="121" t="s">
        <v>15</v>
      </c>
      <c r="F208" s="121" t="s">
        <v>2365</v>
      </c>
      <c r="G208" s="121" t="s">
        <v>1819</v>
      </c>
      <c r="H208" s="99" t="n">
        <v>17206</v>
      </c>
      <c r="I208" s="99" t="n">
        <v>17206</v>
      </c>
      <c r="J208" s="99" t="n">
        <v>0</v>
      </c>
      <c r="K208" s="99" t="n">
        <v>0</v>
      </c>
      <c r="L208" s="99" t="n">
        <v>0</v>
      </c>
      <c r="M208" s="99" t="n">
        <v>0</v>
      </c>
      <c r="N208" s="99" t="n">
        <v>0</v>
      </c>
      <c r="O208" s="42" t="n">
        <v>17206</v>
      </c>
    </row>
    <row r="209" spans="1:15">
      <c r="A209" s="37" t="n">
        <v>204</v>
      </c>
      <c r="B209" s="97" t="s">
        <v>592</v>
      </c>
      <c r="C209" s="121" t="s">
        <v>120</v>
      </c>
      <c r="D209" s="121" t="s">
        <v>128</v>
      </c>
      <c r="E209" s="121" t="s">
        <v>15</v>
      </c>
      <c r="F209" s="98" t="n">
        <v>0</v>
      </c>
      <c r="G209" s="121" t="s">
        <v>594</v>
      </c>
      <c r="H209" s="99" t="n">
        <v>17206</v>
      </c>
      <c r="I209" s="99" t="n">
        <v>17206</v>
      </c>
      <c r="J209" s="99" t="n">
        <v>0</v>
      </c>
      <c r="K209" s="99" t="n">
        <v>0</v>
      </c>
      <c r="L209" s="99" t="n">
        <v>0</v>
      </c>
      <c r="M209" s="99" t="n">
        <v>0</v>
      </c>
      <c r="N209" s="99" t="n">
        <v>0</v>
      </c>
      <c r="O209" s="42" t="n">
        <v>17206</v>
      </c>
    </row>
    <row r="210" spans="1:15">
      <c r="A210" s="37" t="n">
        <v>205</v>
      </c>
      <c r="B210" s="97" t="s">
        <v>595</v>
      </c>
      <c r="C210" s="121" t="s">
        <v>95</v>
      </c>
      <c r="D210" s="121" t="s">
        <v>137</v>
      </c>
      <c r="E210" s="121" t="s">
        <v>14</v>
      </c>
      <c r="F210" s="98" t="n">
        <v>0</v>
      </c>
      <c r="G210" s="121" t="s">
        <v>596</v>
      </c>
      <c r="H210" s="99" t="n">
        <v>17206</v>
      </c>
      <c r="I210" s="99" t="n">
        <v>17206</v>
      </c>
      <c r="J210" s="99" t="n">
        <v>0</v>
      </c>
      <c r="K210" s="99" t="n">
        <v>0</v>
      </c>
      <c r="L210" s="99" t="n">
        <v>0</v>
      </c>
      <c r="M210" s="99" t="n">
        <v>0</v>
      </c>
      <c r="N210" s="99" t="n">
        <v>0</v>
      </c>
      <c r="O210" s="42" t="n">
        <v>17206</v>
      </c>
    </row>
    <row r="211" spans="1:15">
      <c r="A211" s="37" t="n">
        <v>206</v>
      </c>
      <c r="B211" s="97" t="s">
        <v>1918</v>
      </c>
      <c r="C211" s="121" t="s">
        <v>95</v>
      </c>
      <c r="D211" s="121" t="s">
        <v>128</v>
      </c>
      <c r="E211" s="121" t="s">
        <v>15</v>
      </c>
      <c r="F211" s="121" t="s">
        <v>2366</v>
      </c>
      <c r="G211" s="121" t="s">
        <v>1919</v>
      </c>
      <c r="H211" s="99" t="n">
        <v>17206</v>
      </c>
      <c r="I211" s="99" t="n">
        <v>17206</v>
      </c>
      <c r="J211" s="99" t="n">
        <v>0</v>
      </c>
      <c r="K211" s="99" t="n">
        <v>0</v>
      </c>
      <c r="L211" s="99" t="n">
        <v>0</v>
      </c>
      <c r="M211" s="99" t="n">
        <v>0</v>
      </c>
      <c r="N211" s="99" t="n">
        <v>0</v>
      </c>
      <c r="O211" s="42" t="n">
        <v>17206</v>
      </c>
    </row>
    <row r="212" spans="1:15">
      <c r="A212" s="37" t="n">
        <v>207</v>
      </c>
      <c r="B212" s="97" t="s">
        <v>2367</v>
      </c>
      <c r="C212" s="121" t="s">
        <v>95</v>
      </c>
      <c r="D212" s="121" t="s">
        <v>128</v>
      </c>
      <c r="E212" s="121" t="s">
        <v>15</v>
      </c>
      <c r="F212" s="121" t="s">
        <v>2368</v>
      </c>
      <c r="G212" s="121" t="s">
        <v>2369</v>
      </c>
      <c r="H212" s="99" t="n">
        <v>17206</v>
      </c>
      <c r="I212" s="99" t="n">
        <v>17206</v>
      </c>
      <c r="J212" s="99" t="n">
        <v>0</v>
      </c>
      <c r="K212" s="99" t="n">
        <v>0</v>
      </c>
      <c r="L212" s="99" t="n">
        <v>0</v>
      </c>
      <c r="M212" s="99" t="n">
        <v>0</v>
      </c>
      <c r="N212" s="99" t="n">
        <v>0</v>
      </c>
      <c r="O212" s="42" t="n">
        <v>17206</v>
      </c>
    </row>
    <row r="213" spans="1:15">
      <c r="A213" s="37" t="n">
        <v>208</v>
      </c>
      <c r="B213" s="97" t="s">
        <v>526</v>
      </c>
      <c r="C213" s="121" t="s">
        <v>95</v>
      </c>
      <c r="D213" s="121" t="s">
        <v>124</v>
      </c>
      <c r="E213" s="121" t="s">
        <v>15</v>
      </c>
      <c r="F213" s="98" t="n">
        <v>0</v>
      </c>
      <c r="G213" s="121" t="s">
        <v>528</v>
      </c>
      <c r="H213" s="99" t="n">
        <v>17206</v>
      </c>
      <c r="I213" s="99" t="n">
        <v>17206</v>
      </c>
      <c r="J213" s="99" t="n">
        <v>0</v>
      </c>
      <c r="K213" s="99" t="n">
        <v>0</v>
      </c>
      <c r="L213" s="99" t="n">
        <v>0</v>
      </c>
      <c r="M213" s="99" t="n">
        <v>0</v>
      </c>
      <c r="N213" s="99" t="n">
        <v>0</v>
      </c>
      <c r="O213" s="42" t="n">
        <v>17206</v>
      </c>
    </row>
    <row r="214" spans="1:15">
      <c r="A214" s="37" t="n">
        <v>209</v>
      </c>
      <c r="B214" s="97" t="s">
        <v>1913</v>
      </c>
      <c r="C214" s="121" t="s">
        <v>95</v>
      </c>
      <c r="D214" s="121" t="s">
        <v>128</v>
      </c>
      <c r="E214" s="121" t="s">
        <v>15</v>
      </c>
      <c r="F214" s="121" t="s">
        <v>2370</v>
      </c>
      <c r="G214" s="121" t="s">
        <v>1914</v>
      </c>
      <c r="H214" s="99" t="n">
        <v>17206</v>
      </c>
      <c r="I214" s="99" t="n">
        <v>17206</v>
      </c>
      <c r="J214" s="99" t="n">
        <v>0</v>
      </c>
      <c r="K214" s="99" t="n">
        <v>0</v>
      </c>
      <c r="L214" s="99" t="n">
        <v>0</v>
      </c>
      <c r="M214" s="99" t="n">
        <v>0</v>
      </c>
      <c r="N214" s="99" t="n">
        <v>0</v>
      </c>
      <c r="O214" s="42" t="n">
        <v>17206</v>
      </c>
    </row>
    <row r="215" spans="1:15">
      <c r="A215" s="37" t="n">
        <v>210</v>
      </c>
      <c r="B215" s="97" t="s">
        <v>1621</v>
      </c>
      <c r="C215" s="121" t="s">
        <v>95</v>
      </c>
      <c r="D215" s="121" t="s">
        <v>128</v>
      </c>
      <c r="E215" s="121" t="s">
        <v>15</v>
      </c>
      <c r="F215" s="121" t="s">
        <v>2371</v>
      </c>
      <c r="G215" s="121" t="s">
        <v>1622</v>
      </c>
      <c r="H215" s="99" t="n">
        <v>17206</v>
      </c>
      <c r="I215" s="99" t="n">
        <v>17206</v>
      </c>
      <c r="J215" s="99" t="n">
        <v>0</v>
      </c>
      <c r="K215" s="99" t="n">
        <v>0</v>
      </c>
      <c r="L215" s="99" t="n">
        <v>0</v>
      </c>
      <c r="M215" s="99" t="n">
        <v>0</v>
      </c>
      <c r="N215" s="99" t="n">
        <v>0</v>
      </c>
      <c r="O215" s="42" t="n">
        <v>17206</v>
      </c>
    </row>
    <row r="216" spans="1:15">
      <c r="A216" s="37" t="n">
        <v>211</v>
      </c>
      <c r="B216" s="97" t="s">
        <v>597</v>
      </c>
      <c r="C216" s="121" t="s">
        <v>95</v>
      </c>
      <c r="D216" s="121" t="s">
        <v>128</v>
      </c>
      <c r="E216" s="121" t="s">
        <v>15</v>
      </c>
      <c r="F216" s="98" t="n">
        <v>0</v>
      </c>
      <c r="G216" s="121" t="s">
        <v>598</v>
      </c>
      <c r="H216" s="99" t="n">
        <v>17206</v>
      </c>
      <c r="I216" s="99" t="n">
        <v>17206</v>
      </c>
      <c r="J216" s="99" t="n">
        <v>0</v>
      </c>
      <c r="K216" s="99" t="n">
        <v>0</v>
      </c>
      <c r="L216" s="99" t="n">
        <v>0</v>
      </c>
      <c r="M216" s="99" t="n">
        <v>0</v>
      </c>
      <c r="N216" s="99" t="n">
        <v>0</v>
      </c>
      <c r="O216" s="42" t="n">
        <v>17206</v>
      </c>
    </row>
    <row r="217" spans="1:15">
      <c r="A217" s="37" t="n">
        <v>212</v>
      </c>
      <c r="B217" s="97" t="s">
        <v>582</v>
      </c>
      <c r="C217" s="121" t="s">
        <v>95</v>
      </c>
      <c r="D217" s="121" t="s">
        <v>128</v>
      </c>
      <c r="E217" s="121" t="s">
        <v>15</v>
      </c>
      <c r="F217" s="98" t="n">
        <v>0</v>
      </c>
      <c r="G217" s="121" t="s">
        <v>584</v>
      </c>
      <c r="H217" s="99" t="n">
        <v>17206</v>
      </c>
      <c r="I217" s="99" t="n">
        <v>17206</v>
      </c>
      <c r="J217" s="99" t="n">
        <v>0</v>
      </c>
      <c r="K217" s="99" t="n">
        <v>0</v>
      </c>
      <c r="L217" s="99" t="n">
        <v>0</v>
      </c>
      <c r="M217" s="99" t="n">
        <v>0</v>
      </c>
      <c r="N217" s="99" t="n">
        <v>0</v>
      </c>
      <c r="O217" s="42" t="n">
        <v>17206</v>
      </c>
    </row>
    <row r="218" spans="1:15">
      <c r="A218" s="37" t="n">
        <v>213</v>
      </c>
      <c r="B218" s="97" t="s">
        <v>605</v>
      </c>
      <c r="C218" s="121" t="s">
        <v>95</v>
      </c>
      <c r="D218" s="121" t="s">
        <v>124</v>
      </c>
      <c r="E218" s="121" t="s">
        <v>15</v>
      </c>
      <c r="F218" s="98" t="n">
        <v>0</v>
      </c>
      <c r="G218" s="121" t="s">
        <v>606</v>
      </c>
      <c r="H218" s="99" t="n">
        <v>17206</v>
      </c>
      <c r="I218" s="99" t="n">
        <v>17206</v>
      </c>
      <c r="J218" s="99" t="n">
        <v>0</v>
      </c>
      <c r="K218" s="99" t="n">
        <v>0</v>
      </c>
      <c r="L218" s="99" t="n">
        <v>0</v>
      </c>
      <c r="M218" s="99" t="n">
        <v>0</v>
      </c>
      <c r="N218" s="99" t="n">
        <v>0</v>
      </c>
      <c r="O218" s="42" t="n">
        <v>17206</v>
      </c>
    </row>
    <row r="219" spans="1:15">
      <c r="A219" s="37" t="n">
        <v>214</v>
      </c>
      <c r="B219" s="97" t="s">
        <v>270</v>
      </c>
      <c r="C219" s="121" t="s">
        <v>95</v>
      </c>
      <c r="D219" s="121" t="s">
        <v>137</v>
      </c>
      <c r="E219" s="121" t="s">
        <v>14</v>
      </c>
      <c r="F219" s="98" t="n">
        <v>0</v>
      </c>
      <c r="G219" s="121" t="s">
        <v>272</v>
      </c>
      <c r="H219" s="99" t="n">
        <v>17206</v>
      </c>
      <c r="I219" s="99" t="n">
        <v>17206</v>
      </c>
      <c r="J219" s="99" t="n">
        <v>0</v>
      </c>
      <c r="K219" s="99" t="n">
        <v>0</v>
      </c>
      <c r="L219" s="99" t="n">
        <v>0</v>
      </c>
      <c r="M219" s="99" t="n">
        <v>0</v>
      </c>
      <c r="N219" s="99" t="n">
        <v>0</v>
      </c>
      <c r="O219" s="42" t="n">
        <v>17206</v>
      </c>
    </row>
    <row r="220" spans="1:15">
      <c r="A220" s="37" t="n">
        <v>215</v>
      </c>
      <c r="B220" s="97" t="s">
        <v>349</v>
      </c>
      <c r="C220" s="121" t="s">
        <v>95</v>
      </c>
      <c r="D220" s="121" t="s">
        <v>128</v>
      </c>
      <c r="E220" s="121" t="s">
        <v>15</v>
      </c>
      <c r="F220" s="121" t="s">
        <v>2372</v>
      </c>
      <c r="G220" s="121" t="s">
        <v>350</v>
      </c>
      <c r="H220" s="99" t="n">
        <v>17206</v>
      </c>
      <c r="I220" s="99" t="n">
        <v>17206</v>
      </c>
      <c r="J220" s="99" t="n">
        <v>0</v>
      </c>
      <c r="K220" s="99" t="n">
        <v>0</v>
      </c>
      <c r="L220" s="99" t="n">
        <v>0</v>
      </c>
      <c r="M220" s="99" t="n">
        <v>0</v>
      </c>
      <c r="N220" s="99" t="n">
        <v>0</v>
      </c>
      <c r="O220" s="42" t="n">
        <v>17206</v>
      </c>
    </row>
    <row r="221" spans="1:15">
      <c r="A221" s="37" t="n">
        <v>216</v>
      </c>
      <c r="B221" s="97" t="s">
        <v>510</v>
      </c>
      <c r="C221" s="121" t="s">
        <v>95</v>
      </c>
      <c r="D221" s="121" t="s">
        <v>137</v>
      </c>
      <c r="E221" s="121" t="s">
        <v>14</v>
      </c>
      <c r="F221" s="98" t="n">
        <v>0</v>
      </c>
      <c r="G221" s="121" t="s">
        <v>511</v>
      </c>
      <c r="H221" s="99" t="n">
        <v>17206</v>
      </c>
      <c r="I221" s="99" t="n">
        <v>17206</v>
      </c>
      <c r="J221" s="99" t="n">
        <v>0</v>
      </c>
      <c r="K221" s="99" t="n">
        <v>0</v>
      </c>
      <c r="L221" s="99" t="n">
        <v>0</v>
      </c>
      <c r="M221" s="99" t="n">
        <v>0</v>
      </c>
      <c r="N221" s="99" t="n">
        <v>0</v>
      </c>
      <c r="O221" s="42" t="n">
        <v>17206</v>
      </c>
    </row>
    <row r="222" spans="1:15">
      <c r="A222" s="37" t="n">
        <v>217</v>
      </c>
      <c r="B222" s="97" t="s">
        <v>607</v>
      </c>
      <c r="C222" s="121" t="s">
        <v>95</v>
      </c>
      <c r="D222" s="121" t="s">
        <v>137</v>
      </c>
      <c r="E222" s="121" t="s">
        <v>14</v>
      </c>
      <c r="F222" s="98" t="n">
        <v>0</v>
      </c>
      <c r="G222" s="121" t="s">
        <v>608</v>
      </c>
      <c r="H222" s="99" t="n">
        <v>17206</v>
      </c>
      <c r="I222" s="99" t="n">
        <v>17206</v>
      </c>
      <c r="J222" s="99" t="n">
        <v>0</v>
      </c>
      <c r="K222" s="99" t="n">
        <v>0</v>
      </c>
      <c r="L222" s="99" t="n">
        <v>0</v>
      </c>
      <c r="M222" s="99" t="n">
        <v>0</v>
      </c>
      <c r="N222" s="99" t="n">
        <v>0</v>
      </c>
      <c r="O222" s="42" t="n">
        <v>17206</v>
      </c>
    </row>
    <row r="223" spans="1:15">
      <c r="A223" s="37" t="n">
        <v>218</v>
      </c>
      <c r="B223" s="97" t="s">
        <v>518</v>
      </c>
      <c r="C223" s="121" t="s">
        <v>95</v>
      </c>
      <c r="D223" s="121" t="s">
        <v>128</v>
      </c>
      <c r="E223" s="121" t="s">
        <v>15</v>
      </c>
      <c r="F223" s="98" t="n">
        <v>0</v>
      </c>
      <c r="G223" s="121" t="s">
        <v>520</v>
      </c>
      <c r="H223" s="99" t="n">
        <v>17206</v>
      </c>
      <c r="I223" s="99" t="n">
        <v>17206</v>
      </c>
      <c r="J223" s="99" t="n">
        <v>0</v>
      </c>
      <c r="K223" s="99" t="n">
        <v>0</v>
      </c>
      <c r="L223" s="99" t="n">
        <v>0</v>
      </c>
      <c r="M223" s="99" t="n">
        <v>0</v>
      </c>
      <c r="N223" s="99" t="n">
        <v>0</v>
      </c>
      <c r="O223" s="42" t="n">
        <v>17206</v>
      </c>
    </row>
    <row r="224" spans="1:15">
      <c r="A224" s="37" t="n">
        <v>219</v>
      </c>
      <c r="B224" s="97" t="s">
        <v>531</v>
      </c>
      <c r="C224" s="121" t="s">
        <v>95</v>
      </c>
      <c r="D224" s="121" t="s">
        <v>128</v>
      </c>
      <c r="E224" s="121" t="s">
        <v>15</v>
      </c>
      <c r="F224" s="98" t="n">
        <v>0</v>
      </c>
      <c r="G224" s="121" t="s">
        <v>532</v>
      </c>
      <c r="H224" s="99" t="n">
        <v>17206</v>
      </c>
      <c r="I224" s="99" t="n">
        <v>17206</v>
      </c>
      <c r="J224" s="99" t="n">
        <v>0</v>
      </c>
      <c r="K224" s="99" t="n">
        <v>0</v>
      </c>
      <c r="L224" s="99" t="n">
        <v>0</v>
      </c>
      <c r="M224" s="99" t="n">
        <v>0</v>
      </c>
      <c r="N224" s="99" t="n">
        <v>0</v>
      </c>
      <c r="O224" s="42" t="n">
        <v>17206</v>
      </c>
    </row>
    <row r="225" spans="1:15">
      <c r="A225" s="37" t="n">
        <v>220</v>
      </c>
      <c r="B225" s="97" t="s">
        <v>533</v>
      </c>
      <c r="C225" s="121" t="s">
        <v>95</v>
      </c>
      <c r="D225" s="121" t="s">
        <v>124</v>
      </c>
      <c r="E225" s="121" t="s">
        <v>15</v>
      </c>
      <c r="F225" s="98" t="n">
        <v>0</v>
      </c>
      <c r="G225" s="121" t="s">
        <v>535</v>
      </c>
      <c r="H225" s="99" t="n">
        <v>17206</v>
      </c>
      <c r="I225" s="99" t="n">
        <v>17206</v>
      </c>
      <c r="J225" s="99" t="n">
        <v>0</v>
      </c>
      <c r="K225" s="99" t="n">
        <v>0</v>
      </c>
      <c r="L225" s="99" t="n">
        <v>0</v>
      </c>
      <c r="M225" s="99" t="n">
        <v>0</v>
      </c>
      <c r="N225" s="99" t="n">
        <v>0</v>
      </c>
      <c r="O225" s="42" t="n">
        <v>17206</v>
      </c>
    </row>
    <row r="226" spans="1:15">
      <c r="A226" s="37" t="n">
        <v>221</v>
      </c>
      <c r="B226" s="97" t="s">
        <v>536</v>
      </c>
      <c r="C226" s="121" t="s">
        <v>95</v>
      </c>
      <c r="D226" s="121" t="s">
        <v>121</v>
      </c>
      <c r="E226" s="121" t="s">
        <v>14</v>
      </c>
      <c r="F226" s="98" t="n">
        <v>0</v>
      </c>
      <c r="G226" s="121" t="s">
        <v>538</v>
      </c>
      <c r="H226" s="99" t="n">
        <v>17206</v>
      </c>
      <c r="I226" s="99" t="n">
        <v>17206</v>
      </c>
      <c r="J226" s="99" t="n">
        <v>0</v>
      </c>
      <c r="K226" s="99" t="n">
        <v>0</v>
      </c>
      <c r="L226" s="99" t="n">
        <v>0</v>
      </c>
      <c r="M226" s="99" t="n">
        <v>0</v>
      </c>
      <c r="N226" s="99" t="n">
        <v>0</v>
      </c>
      <c r="O226" s="42" t="n">
        <v>17206</v>
      </c>
    </row>
    <row r="227" spans="1:15">
      <c r="A227" s="37" t="n">
        <v>222</v>
      </c>
      <c r="B227" s="97" t="s">
        <v>1920</v>
      </c>
      <c r="C227" s="121" t="s">
        <v>95</v>
      </c>
      <c r="D227" s="121" t="s">
        <v>128</v>
      </c>
      <c r="E227" s="121" t="s">
        <v>15</v>
      </c>
      <c r="F227" s="121" t="s">
        <v>2074</v>
      </c>
      <c r="G227" s="121" t="s">
        <v>1921</v>
      </c>
      <c r="H227" s="99" t="n">
        <v>17206</v>
      </c>
      <c r="I227" s="99" t="n">
        <v>17206</v>
      </c>
      <c r="J227" s="99" t="n">
        <v>0</v>
      </c>
      <c r="K227" s="99" t="n">
        <v>0</v>
      </c>
      <c r="L227" s="99" t="n">
        <v>0</v>
      </c>
      <c r="M227" s="99" t="n">
        <v>0</v>
      </c>
      <c r="N227" s="99" t="n">
        <v>0</v>
      </c>
      <c r="O227" s="42" t="n">
        <v>17206</v>
      </c>
    </row>
    <row r="228" spans="1:15">
      <c r="A228" s="37" t="n">
        <v>223</v>
      </c>
      <c r="B228" s="97" t="s">
        <v>617</v>
      </c>
      <c r="C228" s="121" t="s">
        <v>58</v>
      </c>
      <c r="D228" s="121" t="s">
        <v>20</v>
      </c>
      <c r="E228" s="121" t="s">
        <v>21</v>
      </c>
      <c r="F228" s="121" t="s">
        <v>618</v>
      </c>
      <c r="G228" s="121" t="s">
        <v>619</v>
      </c>
      <c r="H228" s="99" t="n">
        <v>15180</v>
      </c>
      <c r="I228" s="99" t="n">
        <v>15180</v>
      </c>
      <c r="J228" s="99" t="n">
        <v>759</v>
      </c>
      <c r="K228" s="99" t="n">
        <v>0</v>
      </c>
      <c r="L228" s="99" t="n">
        <v>0</v>
      </c>
      <c r="M228" s="99" t="n">
        <v>0</v>
      </c>
      <c r="N228" s="99" t="n">
        <v>0</v>
      </c>
      <c r="O228" s="42" t="n">
        <v>14421</v>
      </c>
    </row>
    <row r="229" spans="1:15">
      <c r="A229" s="37" t="n">
        <v>224</v>
      </c>
      <c r="B229" s="97" t="s">
        <v>627</v>
      </c>
      <c r="C229" s="121" t="s">
        <v>58</v>
      </c>
      <c r="D229" s="121" t="s">
        <v>20</v>
      </c>
      <c r="E229" s="121" t="s">
        <v>21</v>
      </c>
      <c r="F229" s="121" t="s">
        <v>628</v>
      </c>
      <c r="G229" s="121" t="s">
        <v>630</v>
      </c>
      <c r="H229" s="99" t="n">
        <v>14050</v>
      </c>
      <c r="I229" s="99" t="n">
        <v>14050</v>
      </c>
      <c r="J229" s="99" t="n">
        <v>703</v>
      </c>
      <c r="K229" s="99" t="n">
        <v>0</v>
      </c>
      <c r="L229" s="99" t="n">
        <v>0</v>
      </c>
      <c r="M229" s="99" t="n">
        <v>0</v>
      </c>
      <c r="N229" s="99" t="n">
        <v>0</v>
      </c>
      <c r="O229" s="42" t="n">
        <v>13347</v>
      </c>
    </row>
    <row r="230" spans="1:15">
      <c r="A230" s="37" t="n">
        <v>225</v>
      </c>
      <c r="B230" s="97" t="s">
        <v>635</v>
      </c>
      <c r="C230" s="121" t="s">
        <v>58</v>
      </c>
      <c r="D230" s="121" t="s">
        <v>20</v>
      </c>
      <c r="E230" s="121" t="s">
        <v>21</v>
      </c>
      <c r="F230" s="121" t="s">
        <v>636</v>
      </c>
      <c r="G230" s="121" t="s">
        <v>638</v>
      </c>
      <c r="H230" s="99" t="n">
        <v>14050</v>
      </c>
      <c r="I230" s="99" t="n">
        <v>14050</v>
      </c>
      <c r="J230" s="99" t="n">
        <v>703</v>
      </c>
      <c r="K230" s="99" t="n">
        <v>0</v>
      </c>
      <c r="L230" s="99" t="n">
        <v>0</v>
      </c>
      <c r="M230" s="99" t="n">
        <v>0</v>
      </c>
      <c r="N230" s="99" t="n">
        <v>0</v>
      </c>
      <c r="O230" s="42" t="n">
        <v>13347</v>
      </c>
    </row>
    <row r="231" spans="1:15">
      <c r="A231" s="37" t="n">
        <v>226</v>
      </c>
      <c r="B231" s="97" t="s">
        <v>639</v>
      </c>
      <c r="C231" s="121" t="s">
        <v>58</v>
      </c>
      <c r="D231" s="121" t="s">
        <v>20</v>
      </c>
      <c r="E231" s="121" t="s">
        <v>21</v>
      </c>
      <c r="F231" s="121" t="s">
        <v>640</v>
      </c>
      <c r="G231" s="121" t="s">
        <v>642</v>
      </c>
      <c r="H231" s="99" t="n">
        <v>14050</v>
      </c>
      <c r="I231" s="99" t="n">
        <v>14050</v>
      </c>
      <c r="J231" s="99" t="n">
        <v>703</v>
      </c>
      <c r="K231" s="99" t="n">
        <v>0</v>
      </c>
      <c r="L231" s="99" t="n">
        <v>0</v>
      </c>
      <c r="M231" s="99" t="n">
        <v>0</v>
      </c>
      <c r="N231" s="99" t="n">
        <v>0</v>
      </c>
      <c r="O231" s="42" t="n">
        <v>13347</v>
      </c>
    </row>
    <row r="232" spans="1:15">
      <c r="A232" s="37" t="n">
        <v>227</v>
      </c>
      <c r="B232" s="97" t="s">
        <v>1293</v>
      </c>
      <c r="C232" s="121" t="s">
        <v>58</v>
      </c>
      <c r="D232" s="121" t="s">
        <v>20</v>
      </c>
      <c r="E232" s="121" t="s">
        <v>21</v>
      </c>
      <c r="F232" s="121" t="s">
        <v>1294</v>
      </c>
      <c r="G232" s="121" t="s">
        <v>1295</v>
      </c>
      <c r="H232" s="99" t="n">
        <v>14502</v>
      </c>
      <c r="I232" s="99" t="n">
        <v>14502</v>
      </c>
      <c r="J232" s="99" t="n">
        <v>725</v>
      </c>
      <c r="K232" s="99" t="n">
        <v>0</v>
      </c>
      <c r="L232" s="99" t="n">
        <v>0</v>
      </c>
      <c r="M232" s="99" t="n">
        <v>0</v>
      </c>
      <c r="N232" s="99" t="n">
        <v>0</v>
      </c>
      <c r="O232" s="42" t="n">
        <v>13777</v>
      </c>
    </row>
    <row r="233" spans="1:15">
      <c r="A233" s="37" t="n">
        <v>228</v>
      </c>
      <c r="B233" s="97" t="s">
        <v>106</v>
      </c>
      <c r="C233" s="121" t="s">
        <v>58</v>
      </c>
      <c r="D233" s="121" t="s">
        <v>20</v>
      </c>
      <c r="E233" s="121" t="s">
        <v>21</v>
      </c>
      <c r="F233" s="121" t="s">
        <v>107</v>
      </c>
      <c r="G233" s="121" t="s">
        <v>109</v>
      </c>
      <c r="H233" s="99" t="n">
        <v>14050</v>
      </c>
      <c r="I233" s="99" t="n">
        <v>14050</v>
      </c>
      <c r="J233" s="99" t="n">
        <v>703</v>
      </c>
      <c r="K233" s="99" t="n">
        <v>0</v>
      </c>
      <c r="L233" s="99" t="n">
        <v>0</v>
      </c>
      <c r="M233" s="99" t="n">
        <v>0</v>
      </c>
      <c r="N233" s="99" t="n">
        <v>0</v>
      </c>
      <c r="O233" s="42" t="n">
        <v>13347</v>
      </c>
    </row>
    <row r="234" spans="1:15">
      <c r="A234" s="37" t="n">
        <v>229</v>
      </c>
      <c r="B234" s="97" t="s">
        <v>2373</v>
      </c>
      <c r="C234" s="121" t="s">
        <v>58</v>
      </c>
      <c r="D234" s="121" t="s">
        <v>20</v>
      </c>
      <c r="E234" s="121" t="s">
        <v>21</v>
      </c>
      <c r="F234" s="121" t="s">
        <v>2374</v>
      </c>
      <c r="G234" s="121" t="s">
        <v>2375</v>
      </c>
      <c r="H234" s="99" t="n">
        <v>14050</v>
      </c>
      <c r="I234" s="99" t="n">
        <v>14050</v>
      </c>
      <c r="J234" s="99" t="n">
        <v>703</v>
      </c>
      <c r="K234" s="99" t="n">
        <v>0</v>
      </c>
      <c r="L234" s="99" t="n">
        <v>0</v>
      </c>
      <c r="M234" s="99" t="n">
        <v>0</v>
      </c>
      <c r="N234" s="99" t="n">
        <v>0</v>
      </c>
      <c r="O234" s="42" t="n">
        <v>13347</v>
      </c>
    </row>
    <row r="235" spans="1:15">
      <c r="A235" s="37" t="n">
        <v>230</v>
      </c>
      <c r="B235" s="97" t="s">
        <v>1296</v>
      </c>
      <c r="C235" s="121" t="s">
        <v>58</v>
      </c>
      <c r="D235" s="121" t="s">
        <v>20</v>
      </c>
      <c r="E235" s="121" t="s">
        <v>21</v>
      </c>
      <c r="F235" s="121" t="s">
        <v>1297</v>
      </c>
      <c r="G235" s="121" t="s">
        <v>1298</v>
      </c>
      <c r="H235" s="99" t="n">
        <v>14502</v>
      </c>
      <c r="I235" s="99" t="n">
        <v>14502</v>
      </c>
      <c r="J235" s="99" t="n">
        <v>725</v>
      </c>
      <c r="K235" s="99" t="n">
        <v>0</v>
      </c>
      <c r="L235" s="99" t="n">
        <v>0</v>
      </c>
      <c r="M235" s="99" t="n">
        <v>0</v>
      </c>
      <c r="N235" s="99" t="n">
        <v>0</v>
      </c>
      <c r="O235" s="42" t="n">
        <v>13777</v>
      </c>
    </row>
    <row r="236" spans="1:15">
      <c r="A236" s="37" t="n">
        <v>231</v>
      </c>
      <c r="B236" s="97" t="s">
        <v>1280</v>
      </c>
      <c r="C236" s="121" t="s">
        <v>58</v>
      </c>
      <c r="D236" s="121" t="s">
        <v>20</v>
      </c>
      <c r="E236" s="121" t="s">
        <v>21</v>
      </c>
      <c r="F236" s="121" t="s">
        <v>1281</v>
      </c>
      <c r="G236" s="121" t="s">
        <v>1282</v>
      </c>
      <c r="H236" s="99" t="n">
        <v>14050</v>
      </c>
      <c r="I236" s="99" t="n">
        <v>14050</v>
      </c>
      <c r="J236" s="99" t="n">
        <v>703</v>
      </c>
      <c r="K236" s="99" t="n">
        <v>0</v>
      </c>
      <c r="L236" s="99" t="n">
        <v>0</v>
      </c>
      <c r="M236" s="99" t="n">
        <v>0</v>
      </c>
      <c r="N236" s="99" t="n">
        <v>0</v>
      </c>
      <c r="O236" s="42" t="n">
        <v>13347</v>
      </c>
    </row>
    <row r="237" spans="1:15">
      <c r="A237" s="37" t="n">
        <v>232</v>
      </c>
      <c r="B237" s="97" t="s">
        <v>643</v>
      </c>
      <c r="C237" s="121" t="s">
        <v>58</v>
      </c>
      <c r="D237" s="121" t="s">
        <v>20</v>
      </c>
      <c r="E237" s="121" t="s">
        <v>21</v>
      </c>
      <c r="F237" s="121" t="s">
        <v>644</v>
      </c>
      <c r="G237" s="121" t="s">
        <v>645</v>
      </c>
      <c r="H237" s="99" t="n">
        <v>14050</v>
      </c>
      <c r="I237" s="99" t="n">
        <v>14050</v>
      </c>
      <c r="J237" s="99" t="n">
        <v>703</v>
      </c>
      <c r="K237" s="99" t="n">
        <v>0</v>
      </c>
      <c r="L237" s="99" t="n">
        <v>0</v>
      </c>
      <c r="M237" s="99" t="n">
        <v>0</v>
      </c>
      <c r="N237" s="99" t="n">
        <v>0</v>
      </c>
      <c r="O237" s="42" t="n">
        <v>13347</v>
      </c>
    </row>
    <row r="238" spans="1:15">
      <c r="A238" s="37" t="n">
        <v>233</v>
      </c>
      <c r="B238" s="97" t="s">
        <v>631</v>
      </c>
      <c r="C238" s="121" t="s">
        <v>58</v>
      </c>
      <c r="D238" s="121" t="s">
        <v>20</v>
      </c>
      <c r="E238" s="121" t="s">
        <v>21</v>
      </c>
      <c r="F238" s="121" t="s">
        <v>632</v>
      </c>
      <c r="G238" s="121" t="s">
        <v>634</v>
      </c>
      <c r="H238" s="99" t="n">
        <v>14050</v>
      </c>
      <c r="I238" s="99" t="n">
        <v>14050</v>
      </c>
      <c r="J238" s="99" t="n">
        <v>703</v>
      </c>
      <c r="K238" s="99" t="n">
        <v>0</v>
      </c>
      <c r="L238" s="99" t="n">
        <v>0</v>
      </c>
      <c r="M238" s="99" t="n">
        <v>0</v>
      </c>
      <c r="N238" s="99" t="n">
        <v>0</v>
      </c>
      <c r="O238" s="42" t="n">
        <v>13347</v>
      </c>
    </row>
    <row r="239" spans="1:15">
      <c r="A239" s="37" t="n">
        <v>234</v>
      </c>
      <c r="B239" s="97" t="s">
        <v>652</v>
      </c>
      <c r="C239" s="121" t="s">
        <v>58</v>
      </c>
      <c r="D239" s="121" t="s">
        <v>20</v>
      </c>
      <c r="E239" s="121" t="s">
        <v>21</v>
      </c>
      <c r="F239" s="121" t="s">
        <v>653</v>
      </c>
      <c r="G239" s="121" t="s">
        <v>654</v>
      </c>
      <c r="H239" s="99" t="n">
        <v>14502</v>
      </c>
      <c r="I239" s="99" t="n">
        <v>14502</v>
      </c>
      <c r="J239" s="99" t="n">
        <v>725</v>
      </c>
      <c r="K239" s="99" t="n">
        <v>0</v>
      </c>
      <c r="L239" s="99" t="n">
        <v>0</v>
      </c>
      <c r="M239" s="99" t="n">
        <v>0</v>
      </c>
      <c r="N239" s="99" t="n">
        <v>0</v>
      </c>
      <c r="O239" s="42" t="n">
        <v>13777</v>
      </c>
    </row>
    <row r="240" spans="1:15">
      <c r="A240" s="37" t="n">
        <v>235</v>
      </c>
      <c r="B240" s="97" t="s">
        <v>1328</v>
      </c>
      <c r="C240" s="121" t="s">
        <v>283</v>
      </c>
      <c r="D240" s="121" t="s">
        <v>20</v>
      </c>
      <c r="E240" s="121" t="s">
        <v>21</v>
      </c>
      <c r="F240" s="121" t="s">
        <v>2490</v>
      </c>
      <c r="G240" s="121" t="s">
        <v>1329</v>
      </c>
      <c r="H240" s="99" t="n">
        <v>14050</v>
      </c>
      <c r="I240" s="99" t="n">
        <v>14050</v>
      </c>
      <c r="J240" s="99" t="n">
        <v>0</v>
      </c>
      <c r="K240" s="99" t="n">
        <v>0</v>
      </c>
      <c r="L240" s="99" t="n">
        <v>0</v>
      </c>
      <c r="M240" s="99" t="n">
        <v>0</v>
      </c>
      <c r="N240" s="99" t="n">
        <v>0</v>
      </c>
      <c r="O240" s="42" t="n">
        <v>14050</v>
      </c>
    </row>
    <row r="241" spans="1:15">
      <c r="A241" s="37" t="n">
        <v>236</v>
      </c>
      <c r="B241" s="97" t="s">
        <v>2491</v>
      </c>
      <c r="C241" s="121" t="s">
        <v>120</v>
      </c>
      <c r="D241" s="121" t="s">
        <v>278</v>
      </c>
      <c r="E241" s="121" t="s">
        <v>16</v>
      </c>
      <c r="F241" s="98" t="n">
        <v>0</v>
      </c>
      <c r="G241" s="121" t="s">
        <v>2492</v>
      </c>
      <c r="H241" s="99" t="n">
        <v>14050</v>
      </c>
      <c r="I241" s="99" t="n">
        <v>14050</v>
      </c>
      <c r="J241" s="99" t="n">
        <v>0</v>
      </c>
      <c r="K241" s="99" t="n">
        <v>0</v>
      </c>
      <c r="L241" s="99" t="n">
        <v>0</v>
      </c>
      <c r="M241" s="99" t="n">
        <v>0</v>
      </c>
      <c r="N241" s="99" t="n">
        <v>0</v>
      </c>
      <c r="O241" s="42" t="n">
        <v>14050</v>
      </c>
    </row>
    <row r="242" spans="1:15">
      <c r="A242" s="37" t="n">
        <v>237</v>
      </c>
      <c r="B242" s="97" t="s">
        <v>1334</v>
      </c>
      <c r="C242" s="121" t="s">
        <v>283</v>
      </c>
      <c r="D242" s="121" t="s">
        <v>20</v>
      </c>
      <c r="E242" s="121" t="s">
        <v>21</v>
      </c>
      <c r="F242" s="121" t="s">
        <v>2489</v>
      </c>
      <c r="G242" s="121" t="s">
        <v>1335</v>
      </c>
      <c r="H242" s="99" t="n">
        <v>14050</v>
      </c>
      <c r="I242" s="99" t="n">
        <v>14050</v>
      </c>
      <c r="J242" s="99" t="n">
        <v>0</v>
      </c>
      <c r="K242" s="99" t="n">
        <v>0</v>
      </c>
      <c r="L242" s="99" t="n">
        <v>0</v>
      </c>
      <c r="M242" s="99" t="n">
        <v>0</v>
      </c>
      <c r="N242" s="99" t="n">
        <v>0</v>
      </c>
      <c r="O242" s="42" t="n">
        <v>14050</v>
      </c>
    </row>
    <row r="243" spans="1:15">
      <c r="A243" s="37" t="n">
        <v>238</v>
      </c>
      <c r="B243" s="97" t="s">
        <v>2376</v>
      </c>
      <c r="C243" s="121" t="s">
        <v>120</v>
      </c>
      <c r="D243" s="121" t="s">
        <v>128</v>
      </c>
      <c r="E243" s="121" t="s">
        <v>15</v>
      </c>
      <c r="F243" s="98" t="n">
        <v>0</v>
      </c>
      <c r="G243" s="121" t="s">
        <v>2377</v>
      </c>
      <c r="H243" s="99" t="n">
        <v>14502</v>
      </c>
      <c r="I243" s="99" t="n">
        <v>14502</v>
      </c>
      <c r="J243" s="99" t="n">
        <v>0</v>
      </c>
      <c r="K243" s="99" t="n">
        <v>0</v>
      </c>
      <c r="L243" s="99" t="n">
        <v>0</v>
      </c>
      <c r="M243" s="99" t="n">
        <v>0</v>
      </c>
      <c r="N243" s="99" t="n">
        <v>0</v>
      </c>
      <c r="O243" s="42" t="n">
        <v>14502</v>
      </c>
    </row>
    <row r="244" spans="1:15">
      <c r="A244" s="37" t="n">
        <v>239</v>
      </c>
      <c r="B244" s="97" t="s">
        <v>1119</v>
      </c>
      <c r="C244" s="121" t="s">
        <v>283</v>
      </c>
      <c r="D244" s="121" t="s">
        <v>20</v>
      </c>
      <c r="E244" s="121" t="s">
        <v>21</v>
      </c>
      <c r="F244" s="121" t="s">
        <v>2378</v>
      </c>
      <c r="G244" s="121" t="s">
        <v>1121</v>
      </c>
      <c r="H244" s="99" t="n">
        <v>14050</v>
      </c>
      <c r="I244" s="99" t="n">
        <v>14050</v>
      </c>
      <c r="J244" s="99" t="n">
        <v>0</v>
      </c>
      <c r="K244" s="99" t="n">
        <v>0</v>
      </c>
      <c r="L244" s="99" t="n">
        <v>0</v>
      </c>
      <c r="M244" s="99" t="n">
        <v>0</v>
      </c>
      <c r="N244" s="99" t="n">
        <v>0</v>
      </c>
      <c r="O244" s="42" t="n">
        <v>14050</v>
      </c>
    </row>
    <row r="245" spans="1:15">
      <c r="A245" s="37" t="n">
        <v>240</v>
      </c>
      <c r="B245" s="97" t="s">
        <v>2379</v>
      </c>
      <c r="C245" s="121" t="s">
        <v>120</v>
      </c>
      <c r="D245" s="121" t="s">
        <v>137</v>
      </c>
      <c r="E245" s="121" t="s">
        <v>14</v>
      </c>
      <c r="F245" s="98" t="n">
        <v>0</v>
      </c>
      <c r="G245" s="121" t="s">
        <v>2380</v>
      </c>
      <c r="H245" s="99" t="n">
        <v>14050</v>
      </c>
      <c r="I245" s="99" t="n">
        <v>14050</v>
      </c>
      <c r="J245" s="99" t="n">
        <v>0</v>
      </c>
      <c r="K245" s="99" t="n">
        <v>0</v>
      </c>
      <c r="L245" s="99" t="n">
        <v>0</v>
      </c>
      <c r="M245" s="99" t="n">
        <v>0</v>
      </c>
      <c r="N245" s="99" t="n">
        <v>0</v>
      </c>
      <c r="O245" s="42" t="n">
        <v>14050</v>
      </c>
    </row>
    <row r="246" spans="1:15">
      <c r="A246" s="37" t="n">
        <v>241</v>
      </c>
      <c r="B246" s="97" t="s">
        <v>673</v>
      </c>
      <c r="C246" s="121" t="s">
        <v>283</v>
      </c>
      <c r="D246" s="121" t="s">
        <v>20</v>
      </c>
      <c r="E246" s="121" t="s">
        <v>21</v>
      </c>
      <c r="F246" s="121" t="s">
        <v>2381</v>
      </c>
      <c r="G246" s="121" t="s">
        <v>674</v>
      </c>
      <c r="H246" s="99" t="n">
        <v>14050</v>
      </c>
      <c r="I246" s="99" t="n">
        <v>14050</v>
      </c>
      <c r="J246" s="99" t="n">
        <v>0</v>
      </c>
      <c r="K246" s="99" t="n">
        <v>0</v>
      </c>
      <c r="L246" s="99" t="n">
        <v>0</v>
      </c>
      <c r="M246" s="99" t="n">
        <v>0</v>
      </c>
      <c r="N246" s="99" t="n">
        <v>0</v>
      </c>
      <c r="O246" s="42" t="n">
        <v>14050</v>
      </c>
    </row>
    <row r="247" spans="1:15">
      <c r="A247" s="37" t="n">
        <v>242</v>
      </c>
      <c r="B247" s="97" t="s">
        <v>1339</v>
      </c>
      <c r="C247" s="121" t="s">
        <v>283</v>
      </c>
      <c r="D247" s="121" t="s">
        <v>20</v>
      </c>
      <c r="E247" s="121" t="s">
        <v>21</v>
      </c>
      <c r="F247" s="121" t="s">
        <v>2382</v>
      </c>
      <c r="G247" s="121" t="s">
        <v>1340</v>
      </c>
      <c r="H247" s="99" t="n">
        <v>14050</v>
      </c>
      <c r="I247" s="99" t="n">
        <v>14050</v>
      </c>
      <c r="J247" s="99" t="n">
        <v>0</v>
      </c>
      <c r="K247" s="99" t="n">
        <v>0</v>
      </c>
      <c r="L247" s="99" t="n">
        <v>0</v>
      </c>
      <c r="M247" s="99" t="n">
        <v>0</v>
      </c>
      <c r="N247" s="99" t="n">
        <v>0</v>
      </c>
      <c r="O247" s="42" t="n">
        <v>14050</v>
      </c>
    </row>
    <row r="248" spans="1:15">
      <c r="A248" s="37" t="n">
        <v>243</v>
      </c>
      <c r="B248" s="97" t="s">
        <v>670</v>
      </c>
      <c r="C248" s="121" t="s">
        <v>131</v>
      </c>
      <c r="D248" s="121" t="s">
        <v>20</v>
      </c>
      <c r="E248" s="121" t="s">
        <v>21</v>
      </c>
      <c r="F248" s="121" t="s">
        <v>671</v>
      </c>
      <c r="G248" s="121" t="s">
        <v>672</v>
      </c>
      <c r="H248" s="99" t="n">
        <v>14502</v>
      </c>
      <c r="I248" s="99" t="n">
        <v>14502</v>
      </c>
      <c r="J248" s="99" t="n">
        <v>725</v>
      </c>
      <c r="K248" s="99" t="n">
        <v>0</v>
      </c>
      <c r="L248" s="99" t="n">
        <v>0</v>
      </c>
      <c r="M248" s="99" t="n">
        <v>0</v>
      </c>
      <c r="N248" s="99" t="n">
        <v>0</v>
      </c>
      <c r="O248" s="42" t="n">
        <v>13777</v>
      </c>
    </row>
    <row r="249" spans="1:15">
      <c r="A249" s="37" t="n">
        <v>244</v>
      </c>
      <c r="B249" s="97" t="s">
        <v>1346</v>
      </c>
      <c r="C249" s="121" t="s">
        <v>283</v>
      </c>
      <c r="D249" s="121" t="s">
        <v>20</v>
      </c>
      <c r="E249" s="121" t="s">
        <v>21</v>
      </c>
      <c r="F249" s="121" t="s">
        <v>2383</v>
      </c>
      <c r="G249" s="121" t="s">
        <v>1348</v>
      </c>
      <c r="H249" s="99" t="n">
        <v>14050</v>
      </c>
      <c r="I249" s="99" t="n">
        <v>14050</v>
      </c>
      <c r="J249" s="99" t="n">
        <v>0</v>
      </c>
      <c r="K249" s="99" t="n">
        <v>0</v>
      </c>
      <c r="L249" s="99" t="n">
        <v>0</v>
      </c>
      <c r="M249" s="99" t="n">
        <v>0</v>
      </c>
      <c r="N249" s="99" t="n">
        <v>0</v>
      </c>
      <c r="O249" s="42" t="n">
        <v>14050</v>
      </c>
    </row>
    <row r="250" spans="1:15">
      <c r="A250" s="37" t="n">
        <v>245</v>
      </c>
      <c r="B250" s="97" t="s">
        <v>650</v>
      </c>
      <c r="C250" s="121" t="s">
        <v>283</v>
      </c>
      <c r="D250" s="121" t="s">
        <v>20</v>
      </c>
      <c r="E250" s="121" t="s">
        <v>21</v>
      </c>
      <c r="F250" s="121" t="s">
        <v>2384</v>
      </c>
      <c r="G250" s="121" t="s">
        <v>651</v>
      </c>
      <c r="H250" s="99" t="n">
        <v>14050</v>
      </c>
      <c r="I250" s="99" t="n">
        <v>14050</v>
      </c>
      <c r="J250" s="99" t="n">
        <v>0</v>
      </c>
      <c r="K250" s="99" t="n">
        <v>0</v>
      </c>
      <c r="L250" s="99" t="n">
        <v>0</v>
      </c>
      <c r="M250" s="99" t="n">
        <v>0</v>
      </c>
      <c r="N250" s="99" t="n">
        <v>0</v>
      </c>
      <c r="O250" s="42" t="n">
        <v>14050</v>
      </c>
    </row>
    <row r="251" spans="1:15">
      <c r="A251" s="37" t="n">
        <v>246</v>
      </c>
      <c r="B251" s="97" t="s">
        <v>1332</v>
      </c>
      <c r="C251" s="121" t="s">
        <v>283</v>
      </c>
      <c r="D251" s="121" t="s">
        <v>20</v>
      </c>
      <c r="E251" s="121" t="s">
        <v>21</v>
      </c>
      <c r="F251" s="121" t="s">
        <v>2385</v>
      </c>
      <c r="G251" s="121" t="s">
        <v>1333</v>
      </c>
      <c r="H251" s="99" t="n">
        <v>14050</v>
      </c>
      <c r="I251" s="99" t="n">
        <v>14050</v>
      </c>
      <c r="J251" s="99" t="n">
        <v>0</v>
      </c>
      <c r="K251" s="99" t="n">
        <v>0</v>
      </c>
      <c r="L251" s="99" t="n">
        <v>0</v>
      </c>
      <c r="M251" s="99" t="n">
        <v>0</v>
      </c>
      <c r="N251" s="99" t="n">
        <v>0</v>
      </c>
      <c r="O251" s="42" t="n">
        <v>14050</v>
      </c>
    </row>
    <row r="252" spans="1:15">
      <c r="A252" s="37" t="n">
        <v>247</v>
      </c>
      <c r="B252" s="97" t="s">
        <v>661</v>
      </c>
      <c r="C252" s="121" t="s">
        <v>283</v>
      </c>
      <c r="D252" s="121" t="s">
        <v>20</v>
      </c>
      <c r="E252" s="121" t="s">
        <v>21</v>
      </c>
      <c r="F252" s="121" t="s">
        <v>2386</v>
      </c>
      <c r="G252" s="121" t="s">
        <v>663</v>
      </c>
      <c r="H252" s="99" t="n">
        <v>14050</v>
      </c>
      <c r="I252" s="99" t="n">
        <v>14050</v>
      </c>
      <c r="J252" s="99" t="n">
        <v>0</v>
      </c>
      <c r="K252" s="99" t="n">
        <v>0</v>
      </c>
      <c r="L252" s="99" t="n">
        <v>0</v>
      </c>
      <c r="M252" s="99" t="n">
        <v>0</v>
      </c>
      <c r="N252" s="99" t="n">
        <v>0</v>
      </c>
      <c r="O252" s="42" t="n">
        <v>14050</v>
      </c>
    </row>
    <row r="253" spans="1:15">
      <c r="A253" s="37" t="n">
        <v>248</v>
      </c>
      <c r="B253" s="97" t="s">
        <v>864</v>
      </c>
      <c r="C253" s="121" t="s">
        <v>120</v>
      </c>
      <c r="D253" s="121" t="s">
        <v>278</v>
      </c>
      <c r="E253" s="121" t="s">
        <v>16</v>
      </c>
      <c r="F253" s="98" t="n">
        <v>0</v>
      </c>
      <c r="G253" s="121" t="s">
        <v>865</v>
      </c>
      <c r="H253" s="99" t="n">
        <v>14050</v>
      </c>
      <c r="I253" s="99" t="n">
        <v>14050</v>
      </c>
      <c r="J253" s="99" t="n">
        <v>0</v>
      </c>
      <c r="K253" s="99" t="n">
        <v>0</v>
      </c>
      <c r="L253" s="99" t="n">
        <v>0</v>
      </c>
      <c r="M253" s="99" t="n">
        <v>0</v>
      </c>
      <c r="N253" s="99" t="n">
        <v>0</v>
      </c>
      <c r="O253" s="42" t="n">
        <v>14050</v>
      </c>
    </row>
    <row r="254" spans="1:15">
      <c r="A254" s="37" t="n">
        <v>249</v>
      </c>
      <c r="B254" s="97" t="s">
        <v>675</v>
      </c>
      <c r="C254" s="121" t="s">
        <v>283</v>
      </c>
      <c r="D254" s="121" t="s">
        <v>20</v>
      </c>
      <c r="E254" s="121" t="s">
        <v>21</v>
      </c>
      <c r="F254" s="121" t="s">
        <v>2387</v>
      </c>
      <c r="G254" s="121" t="s">
        <v>676</v>
      </c>
      <c r="H254" s="99" t="n">
        <v>14050</v>
      </c>
      <c r="I254" s="99" t="n">
        <v>14050</v>
      </c>
      <c r="J254" s="99" t="n">
        <v>0</v>
      </c>
      <c r="K254" s="99" t="n">
        <v>0</v>
      </c>
      <c r="L254" s="99" t="n">
        <v>0</v>
      </c>
      <c r="M254" s="99" t="n">
        <v>0</v>
      </c>
      <c r="N254" s="99" t="n">
        <v>0</v>
      </c>
      <c r="O254" s="42" t="n">
        <v>14050</v>
      </c>
    </row>
    <row r="255" spans="1:15">
      <c r="A255" s="37" t="n">
        <v>250</v>
      </c>
      <c r="B255" s="97" t="s">
        <v>666</v>
      </c>
      <c r="C255" s="121" t="s">
        <v>283</v>
      </c>
      <c r="D255" s="121" t="s">
        <v>20</v>
      </c>
      <c r="E255" s="121" t="s">
        <v>21</v>
      </c>
      <c r="F255" s="121" t="s">
        <v>2074</v>
      </c>
      <c r="G255" s="121" t="s">
        <v>667</v>
      </c>
      <c r="H255" s="99" t="n">
        <v>14050</v>
      </c>
      <c r="I255" s="99" t="n">
        <v>14050</v>
      </c>
      <c r="J255" s="99" t="n">
        <v>0</v>
      </c>
      <c r="K255" s="99" t="n">
        <v>0</v>
      </c>
      <c r="L255" s="99" t="n">
        <v>0</v>
      </c>
      <c r="M255" s="99" t="n">
        <v>0</v>
      </c>
      <c r="N255" s="99" t="n">
        <v>0</v>
      </c>
      <c r="O255" s="42" t="n">
        <v>14050</v>
      </c>
    </row>
    <row r="256" spans="1:15">
      <c r="A256" s="37" t="n">
        <v>251</v>
      </c>
      <c r="B256" s="97" t="s">
        <v>1125</v>
      </c>
      <c r="C256" s="121" t="s">
        <v>120</v>
      </c>
      <c r="D256" s="121" t="s">
        <v>128</v>
      </c>
      <c r="E256" s="121" t="s">
        <v>15</v>
      </c>
      <c r="F256" s="98" t="n">
        <v>0</v>
      </c>
      <c r="G256" s="121" t="s">
        <v>1127</v>
      </c>
      <c r="H256" s="99" t="n">
        <v>14050</v>
      </c>
      <c r="I256" s="99" t="n">
        <v>14050</v>
      </c>
      <c r="J256" s="99" t="n">
        <v>0</v>
      </c>
      <c r="K256" s="99" t="n">
        <v>0</v>
      </c>
      <c r="L256" s="99" t="n">
        <v>0</v>
      </c>
      <c r="M256" s="99" t="n">
        <v>0</v>
      </c>
      <c r="N256" s="99" t="n">
        <v>0</v>
      </c>
      <c r="O256" s="42" t="n">
        <v>14050</v>
      </c>
    </row>
    <row r="257" spans="1:15">
      <c r="A257" s="37" t="n">
        <v>252</v>
      </c>
      <c r="B257" s="97" t="s">
        <v>668</v>
      </c>
      <c r="C257" s="121" t="s">
        <v>283</v>
      </c>
      <c r="D257" s="121" t="s">
        <v>20</v>
      </c>
      <c r="E257" s="121" t="s">
        <v>21</v>
      </c>
      <c r="F257" s="121" t="s">
        <v>2074</v>
      </c>
      <c r="G257" s="121" t="s">
        <v>669</v>
      </c>
      <c r="H257" s="99" t="n">
        <v>14050</v>
      </c>
      <c r="I257" s="99" t="n">
        <v>14050</v>
      </c>
      <c r="J257" s="99" t="n">
        <v>0</v>
      </c>
      <c r="K257" s="99" t="n">
        <v>0</v>
      </c>
      <c r="L257" s="99" t="n">
        <v>0</v>
      </c>
      <c r="M257" s="99" t="n">
        <v>0</v>
      </c>
      <c r="N257" s="99" t="n">
        <v>0</v>
      </c>
      <c r="O257" s="42" t="n">
        <v>14050</v>
      </c>
    </row>
    <row r="258" spans="1:15">
      <c r="A258" s="37" t="n">
        <v>253</v>
      </c>
      <c r="B258" s="97" t="s">
        <v>1246</v>
      </c>
      <c r="C258" s="121" t="s">
        <v>58</v>
      </c>
      <c r="D258" s="121" t="s">
        <v>20</v>
      </c>
      <c r="E258" s="121" t="s">
        <v>21</v>
      </c>
      <c r="F258" s="121" t="s">
        <v>1247</v>
      </c>
      <c r="G258" s="121" t="s">
        <v>1249</v>
      </c>
      <c r="H258" s="99" t="n">
        <v>16309</v>
      </c>
      <c r="I258" s="99" t="n">
        <v>16309</v>
      </c>
      <c r="J258" s="99" t="n">
        <v>815</v>
      </c>
      <c r="K258" s="99" t="n">
        <v>0</v>
      </c>
      <c r="L258" s="99" t="n">
        <v>0</v>
      </c>
      <c r="M258" s="99" t="n">
        <v>0</v>
      </c>
      <c r="N258" s="99" t="n">
        <v>0</v>
      </c>
      <c r="O258" s="42" t="n">
        <v>15494</v>
      </c>
    </row>
    <row r="259" spans="1:15">
      <c r="A259" s="37" t="n">
        <v>254</v>
      </c>
      <c r="B259" s="97" t="s">
        <v>847</v>
      </c>
      <c r="C259" s="121" t="s">
        <v>58</v>
      </c>
      <c r="D259" s="121" t="s">
        <v>20</v>
      </c>
      <c r="E259" s="121" t="s">
        <v>21</v>
      </c>
      <c r="F259" s="121" t="s">
        <v>848</v>
      </c>
      <c r="G259" s="121" t="s">
        <v>850</v>
      </c>
      <c r="H259" s="99" t="n">
        <v>15406</v>
      </c>
      <c r="I259" s="99" t="n">
        <v>15406</v>
      </c>
      <c r="J259" s="99" t="n">
        <v>770</v>
      </c>
      <c r="K259" s="99" t="n">
        <v>0</v>
      </c>
      <c r="L259" s="99" t="n">
        <v>0</v>
      </c>
      <c r="M259" s="99" t="n">
        <v>0</v>
      </c>
      <c r="N259" s="99" t="n">
        <v>0</v>
      </c>
      <c r="O259" s="42" t="n">
        <v>14636</v>
      </c>
    </row>
    <row r="260" spans="1:15">
      <c r="A260" s="37" t="n">
        <v>255</v>
      </c>
      <c r="B260" s="97" t="s">
        <v>690</v>
      </c>
      <c r="C260" s="121" t="s">
        <v>58</v>
      </c>
      <c r="D260" s="121" t="s">
        <v>20</v>
      </c>
      <c r="E260" s="121" t="s">
        <v>21</v>
      </c>
      <c r="F260" s="121" t="s">
        <v>691</v>
      </c>
      <c r="G260" s="121" t="s">
        <v>692</v>
      </c>
      <c r="H260" s="99" t="n">
        <v>16309</v>
      </c>
      <c r="I260" s="99" t="n">
        <v>16309</v>
      </c>
      <c r="J260" s="99" t="n">
        <v>815</v>
      </c>
      <c r="K260" s="99" t="n">
        <v>0</v>
      </c>
      <c r="L260" s="99" t="n">
        <v>0</v>
      </c>
      <c r="M260" s="99" t="n">
        <v>0</v>
      </c>
      <c r="N260" s="99" t="n">
        <v>0</v>
      </c>
      <c r="O260" s="42" t="n">
        <v>15494</v>
      </c>
    </row>
    <row r="261" spans="1:15">
      <c r="A261" s="37" t="n">
        <v>256</v>
      </c>
      <c r="B261" s="97" t="s">
        <v>693</v>
      </c>
      <c r="C261" s="121" t="s">
        <v>58</v>
      </c>
      <c r="D261" s="121" t="s">
        <v>20</v>
      </c>
      <c r="E261" s="121" t="s">
        <v>21</v>
      </c>
      <c r="F261" s="121" t="s">
        <v>694</v>
      </c>
      <c r="G261" s="121" t="s">
        <v>695</v>
      </c>
      <c r="H261" s="99" t="n">
        <v>15406</v>
      </c>
      <c r="I261" s="99" t="n">
        <v>15406</v>
      </c>
      <c r="J261" s="99" t="n">
        <v>770</v>
      </c>
      <c r="K261" s="99" t="n">
        <v>0</v>
      </c>
      <c r="L261" s="99" t="n">
        <v>0</v>
      </c>
      <c r="M261" s="99" t="n">
        <v>0</v>
      </c>
      <c r="N261" s="99" t="n">
        <v>0</v>
      </c>
      <c r="O261" s="42" t="n">
        <v>14636</v>
      </c>
    </row>
    <row r="262" spans="1:15">
      <c r="A262" s="37" t="n">
        <v>257</v>
      </c>
      <c r="B262" s="97" t="s">
        <v>1272</v>
      </c>
      <c r="C262" s="121" t="s">
        <v>283</v>
      </c>
      <c r="D262" s="121" t="s">
        <v>20</v>
      </c>
      <c r="E262" s="121" t="s">
        <v>21</v>
      </c>
      <c r="F262" s="121" t="s">
        <v>2074</v>
      </c>
      <c r="G262" s="121" t="s">
        <v>1273</v>
      </c>
      <c r="H262" s="99" t="n">
        <v>15406</v>
      </c>
      <c r="I262" s="99" t="n">
        <v>15406</v>
      </c>
      <c r="J262" s="99" t="n">
        <v>0</v>
      </c>
      <c r="K262" s="99" t="n">
        <v>0</v>
      </c>
      <c r="L262" s="99" t="n">
        <v>0</v>
      </c>
      <c r="M262" s="99" t="n">
        <v>0</v>
      </c>
      <c r="N262" s="99" t="n">
        <v>0</v>
      </c>
      <c r="O262" s="42" t="n">
        <v>15406</v>
      </c>
    </row>
    <row r="263" spans="1:15">
      <c r="A263" s="37" t="n">
        <v>258</v>
      </c>
      <c r="B263" s="97" t="s">
        <v>696</v>
      </c>
      <c r="C263" s="121" t="s">
        <v>283</v>
      </c>
      <c r="D263" s="121" t="s">
        <v>20</v>
      </c>
      <c r="E263" s="121" t="s">
        <v>21</v>
      </c>
      <c r="F263" s="121" t="s">
        <v>2388</v>
      </c>
      <c r="G263" s="121" t="s">
        <v>697</v>
      </c>
      <c r="H263" s="99" t="n">
        <v>15406</v>
      </c>
      <c r="I263" s="99" t="n">
        <v>15406</v>
      </c>
      <c r="J263" s="99" t="n">
        <v>0</v>
      </c>
      <c r="K263" s="99" t="n">
        <v>0</v>
      </c>
      <c r="L263" s="99" t="n">
        <v>0</v>
      </c>
      <c r="M263" s="99" t="n">
        <v>0</v>
      </c>
      <c r="N263" s="99" t="n">
        <v>0</v>
      </c>
      <c r="O263" s="42" t="n">
        <v>15406</v>
      </c>
    </row>
    <row r="264" spans="1:15">
      <c r="A264" s="37" t="n">
        <v>259</v>
      </c>
      <c r="B264" s="97" t="s">
        <v>901</v>
      </c>
      <c r="C264" s="121" t="s">
        <v>111</v>
      </c>
      <c r="D264" s="121" t="s">
        <v>20</v>
      </c>
      <c r="E264" s="121" t="s">
        <v>21</v>
      </c>
      <c r="F264" s="121" t="s">
        <v>902</v>
      </c>
      <c r="G264" s="121" t="s">
        <v>903</v>
      </c>
      <c r="H264" s="99" t="n">
        <v>15406</v>
      </c>
      <c r="I264" s="99" t="n">
        <v>15406</v>
      </c>
      <c r="J264" s="99" t="n">
        <v>0</v>
      </c>
      <c r="K264" s="99" t="n">
        <v>0</v>
      </c>
      <c r="L264" s="99" t="n">
        <v>0</v>
      </c>
      <c r="M264" s="99" t="n">
        <v>0</v>
      </c>
      <c r="N264" s="99" t="n">
        <v>0</v>
      </c>
      <c r="O264" s="42" t="n">
        <v>15406</v>
      </c>
    </row>
    <row r="265" spans="1:15">
      <c r="A265" s="37" t="n">
        <v>260</v>
      </c>
      <c r="B265" s="97" t="s">
        <v>2389</v>
      </c>
      <c r="C265" s="121" t="s">
        <v>95</v>
      </c>
      <c r="D265" s="121" t="s">
        <v>20</v>
      </c>
      <c r="E265" s="121" t="s">
        <v>21</v>
      </c>
      <c r="F265" s="98" t="n">
        <v>0</v>
      </c>
      <c r="G265" s="121" t="s">
        <v>2390</v>
      </c>
      <c r="H265" s="99" t="n">
        <v>15406</v>
      </c>
      <c r="I265" s="99" t="n">
        <v>15406</v>
      </c>
      <c r="J265" s="99" t="n">
        <v>0</v>
      </c>
      <c r="K265" s="99" t="n">
        <v>0</v>
      </c>
      <c r="L265" s="99" t="n">
        <v>0</v>
      </c>
      <c r="M265" s="99" t="n">
        <v>0</v>
      </c>
      <c r="N265" s="99" t="n">
        <v>0</v>
      </c>
      <c r="O265" s="42" t="n">
        <v>15406</v>
      </c>
    </row>
    <row r="266" spans="1:15">
      <c r="A266" s="37" t="n">
        <v>261</v>
      </c>
      <c r="B266" s="97" t="s">
        <v>2391</v>
      </c>
      <c r="C266" s="121" t="s">
        <v>95</v>
      </c>
      <c r="D266" s="121" t="s">
        <v>124</v>
      </c>
      <c r="E266" s="121" t="s">
        <v>15</v>
      </c>
      <c r="F266" s="98" t="n">
        <v>0</v>
      </c>
      <c r="G266" s="121" t="s">
        <v>2392</v>
      </c>
      <c r="H266" s="99" t="n">
        <v>15406</v>
      </c>
      <c r="I266" s="99" t="n">
        <v>15406</v>
      </c>
      <c r="J266" s="99" t="n">
        <v>0</v>
      </c>
      <c r="K266" s="99" t="n">
        <v>0</v>
      </c>
      <c r="L266" s="99" t="n">
        <v>0</v>
      </c>
      <c r="M266" s="99" t="n">
        <v>0</v>
      </c>
      <c r="N266" s="99" t="n">
        <v>0</v>
      </c>
      <c r="O266" s="42" t="n">
        <v>15406</v>
      </c>
    </row>
    <row r="267" spans="1:15">
      <c r="A267" s="37" t="n">
        <v>262</v>
      </c>
      <c r="B267" s="97" t="s">
        <v>687</v>
      </c>
      <c r="C267" s="121" t="s">
        <v>19</v>
      </c>
      <c r="D267" s="121" t="s">
        <v>20</v>
      </c>
      <c r="E267" s="121" t="s">
        <v>21</v>
      </c>
      <c r="F267" s="121" t="s">
        <v>688</v>
      </c>
      <c r="G267" s="121" t="s">
        <v>689</v>
      </c>
      <c r="H267" s="99" t="n">
        <v>15970</v>
      </c>
      <c r="I267" s="99" t="n">
        <v>15970</v>
      </c>
      <c r="J267" s="99" t="n">
        <v>0</v>
      </c>
      <c r="K267" s="99" t="n">
        <v>2396</v>
      </c>
      <c r="L267" s="99" t="n">
        <v>0</v>
      </c>
      <c r="M267" s="99" t="n">
        <v>0</v>
      </c>
      <c r="N267" s="99" t="n">
        <v>0</v>
      </c>
      <c r="O267" s="42" t="n">
        <v>13574</v>
      </c>
    </row>
    <row r="268" spans="1:15">
      <c r="A268" s="37" t="n">
        <v>263</v>
      </c>
      <c r="B268" s="97" t="s">
        <v>958</v>
      </c>
      <c r="C268" s="121" t="s">
        <v>58</v>
      </c>
      <c r="D268" s="121" t="s">
        <v>20</v>
      </c>
      <c r="E268" s="121" t="s">
        <v>21</v>
      </c>
      <c r="F268" s="121" t="s">
        <v>959</v>
      </c>
      <c r="G268" s="121" t="s">
        <v>960</v>
      </c>
      <c r="H268" s="99" t="n">
        <v>15293</v>
      </c>
      <c r="I268" s="99" t="n">
        <v>15293</v>
      </c>
      <c r="J268" s="99" t="n">
        <v>765</v>
      </c>
      <c r="K268" s="99" t="n">
        <v>0</v>
      </c>
      <c r="L268" s="99" t="n">
        <v>0</v>
      </c>
      <c r="M268" s="99" t="n">
        <v>0</v>
      </c>
      <c r="N268" s="99" t="n">
        <v>0</v>
      </c>
      <c r="O268" s="42" t="n">
        <v>14528</v>
      </c>
    </row>
    <row r="269" spans="1:15">
      <c r="A269" s="37" t="n">
        <v>264</v>
      </c>
      <c r="B269" s="97" t="s">
        <v>1430</v>
      </c>
      <c r="C269" s="121" t="s">
        <v>58</v>
      </c>
      <c r="D269" s="121" t="s">
        <v>20</v>
      </c>
      <c r="E269" s="121" t="s">
        <v>21</v>
      </c>
      <c r="F269" s="121" t="s">
        <v>1431</v>
      </c>
      <c r="G269" s="121" t="s">
        <v>1433</v>
      </c>
      <c r="H269" s="99" t="n">
        <v>14389</v>
      </c>
      <c r="I269" s="99" t="n">
        <v>14389</v>
      </c>
      <c r="J269" s="99" t="n">
        <v>719</v>
      </c>
      <c r="K269" s="99" t="n">
        <v>0</v>
      </c>
      <c r="L269" s="99" t="n">
        <v>0</v>
      </c>
      <c r="M269" s="99" t="n">
        <v>0</v>
      </c>
      <c r="N269" s="99" t="n">
        <v>0</v>
      </c>
      <c r="O269" s="42" t="n">
        <v>13670</v>
      </c>
    </row>
    <row r="270" spans="1:15">
      <c r="A270" s="37" t="n">
        <v>265</v>
      </c>
      <c r="B270" s="97" t="s">
        <v>818</v>
      </c>
      <c r="C270" s="121" t="s">
        <v>58</v>
      </c>
      <c r="D270" s="121" t="s">
        <v>20</v>
      </c>
      <c r="E270" s="121" t="s">
        <v>21</v>
      </c>
      <c r="F270" s="121" t="s">
        <v>819</v>
      </c>
      <c r="G270" s="121" t="s">
        <v>820</v>
      </c>
      <c r="H270" s="99" t="n">
        <v>15293</v>
      </c>
      <c r="I270" s="99" t="n">
        <v>15293</v>
      </c>
      <c r="J270" s="99" t="n">
        <v>765</v>
      </c>
      <c r="K270" s="99" t="n">
        <v>0</v>
      </c>
      <c r="L270" s="99" t="n">
        <v>0</v>
      </c>
      <c r="M270" s="99" t="n">
        <v>0</v>
      </c>
      <c r="N270" s="99" t="n">
        <v>0</v>
      </c>
      <c r="O270" s="42" t="n">
        <v>14528</v>
      </c>
    </row>
    <row r="271" spans="1:15">
      <c r="A271" s="37" t="n">
        <v>266</v>
      </c>
      <c r="B271" s="97" t="s">
        <v>897</v>
      </c>
      <c r="C271" s="121" t="s">
        <v>58</v>
      </c>
      <c r="D271" s="121" t="s">
        <v>20</v>
      </c>
      <c r="E271" s="121" t="s">
        <v>21</v>
      </c>
      <c r="F271" s="121" t="s">
        <v>898</v>
      </c>
      <c r="G271" s="121" t="s">
        <v>900</v>
      </c>
      <c r="H271" s="99" t="n">
        <v>14389</v>
      </c>
      <c r="I271" s="99" t="n">
        <v>14389</v>
      </c>
      <c r="J271" s="99" t="n">
        <v>719</v>
      </c>
      <c r="K271" s="99" t="n">
        <v>0</v>
      </c>
      <c r="L271" s="99" t="n">
        <v>0</v>
      </c>
      <c r="M271" s="99" t="n">
        <v>0</v>
      </c>
      <c r="N271" s="99" t="n">
        <v>0</v>
      </c>
      <c r="O271" s="42" t="n">
        <v>13670</v>
      </c>
    </row>
    <row r="272" spans="1:15">
      <c r="A272" s="37" t="n">
        <v>267</v>
      </c>
      <c r="B272" s="97" t="s">
        <v>310</v>
      </c>
      <c r="C272" s="121" t="s">
        <v>58</v>
      </c>
      <c r="D272" s="121" t="s">
        <v>20</v>
      </c>
      <c r="E272" s="121" t="s">
        <v>21</v>
      </c>
      <c r="F272" s="121" t="s">
        <v>311</v>
      </c>
      <c r="G272" s="121" t="s">
        <v>313</v>
      </c>
      <c r="H272" s="99" t="n">
        <v>15067</v>
      </c>
      <c r="I272" s="99" t="n">
        <v>15067</v>
      </c>
      <c r="J272" s="99" t="n">
        <v>753</v>
      </c>
      <c r="K272" s="99" t="n">
        <v>0</v>
      </c>
      <c r="L272" s="99" t="n">
        <v>0</v>
      </c>
      <c r="M272" s="99" t="n">
        <v>0</v>
      </c>
      <c r="N272" s="99" t="n">
        <v>0</v>
      </c>
      <c r="O272" s="42" t="n">
        <v>14314</v>
      </c>
    </row>
    <row r="273" spans="1:15">
      <c r="A273" s="37" t="n">
        <v>268</v>
      </c>
      <c r="B273" s="97" t="s">
        <v>786</v>
      </c>
      <c r="C273" s="121" t="s">
        <v>58</v>
      </c>
      <c r="D273" s="121" t="s">
        <v>20</v>
      </c>
      <c r="E273" s="121" t="s">
        <v>21</v>
      </c>
      <c r="F273" s="121" t="s">
        <v>787</v>
      </c>
      <c r="G273" s="121" t="s">
        <v>788</v>
      </c>
      <c r="H273" s="99" t="n">
        <v>15293</v>
      </c>
      <c r="I273" s="99" t="n">
        <v>15293</v>
      </c>
      <c r="J273" s="99" t="n">
        <v>765</v>
      </c>
      <c r="K273" s="99" t="n">
        <v>0</v>
      </c>
      <c r="L273" s="99" t="n">
        <v>0</v>
      </c>
      <c r="M273" s="99" t="n">
        <v>0</v>
      </c>
      <c r="N273" s="99" t="n">
        <v>0</v>
      </c>
      <c r="O273" s="42" t="n">
        <v>14528</v>
      </c>
    </row>
    <row r="274" spans="1:15">
      <c r="A274" s="37" t="n">
        <v>269</v>
      </c>
      <c r="B274" s="97" t="s">
        <v>1228</v>
      </c>
      <c r="C274" s="121" t="s">
        <v>58</v>
      </c>
      <c r="D274" s="121" t="s">
        <v>20</v>
      </c>
      <c r="E274" s="121" t="s">
        <v>21</v>
      </c>
      <c r="F274" s="121" t="s">
        <v>1229</v>
      </c>
      <c r="G274" s="121" t="s">
        <v>1231</v>
      </c>
      <c r="H274" s="99" t="n">
        <v>15293</v>
      </c>
      <c r="I274" s="99" t="n">
        <v>15293</v>
      </c>
      <c r="J274" s="99" t="n">
        <v>765</v>
      </c>
      <c r="K274" s="99" t="n">
        <v>0</v>
      </c>
      <c r="L274" s="99" t="n">
        <v>0</v>
      </c>
      <c r="M274" s="99" t="n">
        <v>0</v>
      </c>
      <c r="N274" s="99" t="n">
        <v>0</v>
      </c>
      <c r="O274" s="42" t="n">
        <v>14528</v>
      </c>
    </row>
    <row r="275" spans="1:15">
      <c r="A275" s="37" t="n">
        <v>270</v>
      </c>
      <c r="B275" s="97" t="s">
        <v>1110</v>
      </c>
      <c r="C275" s="121" t="s">
        <v>283</v>
      </c>
      <c r="D275" s="121" t="s">
        <v>20</v>
      </c>
      <c r="E275" s="121" t="s">
        <v>21</v>
      </c>
      <c r="F275" s="121" t="s">
        <v>2395</v>
      </c>
      <c r="G275" s="121" t="s">
        <v>1111</v>
      </c>
      <c r="H275" s="99" t="n">
        <v>14389</v>
      </c>
      <c r="I275" s="99" t="n">
        <v>14389</v>
      </c>
      <c r="J275" s="99" t="n">
        <v>0</v>
      </c>
      <c r="K275" s="99" t="n">
        <v>0</v>
      </c>
      <c r="L275" s="99" t="n">
        <v>0</v>
      </c>
      <c r="M275" s="99" t="n">
        <v>0</v>
      </c>
      <c r="N275" s="99" t="n">
        <v>0</v>
      </c>
      <c r="O275" s="42" t="n">
        <v>14389</v>
      </c>
    </row>
    <row r="276" spans="1:15">
      <c r="A276" s="37" t="n">
        <v>271</v>
      </c>
      <c r="B276" s="97" t="s">
        <v>1366</v>
      </c>
      <c r="C276" s="121" t="s">
        <v>19</v>
      </c>
      <c r="D276" s="121" t="s">
        <v>20</v>
      </c>
      <c r="E276" s="121" t="s">
        <v>21</v>
      </c>
      <c r="F276" s="121" t="s">
        <v>1367</v>
      </c>
      <c r="G276" s="121" t="s">
        <v>1368</v>
      </c>
      <c r="H276" s="99" t="n">
        <v>15970</v>
      </c>
      <c r="I276" s="99" t="n">
        <v>15970</v>
      </c>
      <c r="J276" s="99" t="n">
        <v>0</v>
      </c>
      <c r="K276" s="99" t="n">
        <v>2396</v>
      </c>
      <c r="L276" s="99" t="n">
        <v>0</v>
      </c>
      <c r="M276" s="99" t="n">
        <v>0</v>
      </c>
      <c r="N276" s="99" t="n">
        <v>0</v>
      </c>
      <c r="O276" s="42" t="n">
        <v>13574</v>
      </c>
    </row>
    <row r="277" spans="1:15">
      <c r="A277" s="37" t="n">
        <v>272</v>
      </c>
      <c r="B277" s="97" t="s">
        <v>1136</v>
      </c>
      <c r="C277" s="121" t="s">
        <v>58</v>
      </c>
      <c r="D277" s="121" t="s">
        <v>20</v>
      </c>
      <c r="E277" s="121" t="s">
        <v>21</v>
      </c>
      <c r="F277" s="121" t="s">
        <v>1137</v>
      </c>
      <c r="G277" s="121" t="s">
        <v>1138</v>
      </c>
      <c r="H277" s="99" t="n">
        <v>15970</v>
      </c>
      <c r="I277" s="99" t="n">
        <v>15970</v>
      </c>
      <c r="J277" s="99" t="n">
        <v>799</v>
      </c>
      <c r="K277" s="99" t="n">
        <v>0</v>
      </c>
      <c r="L277" s="99" t="n">
        <v>0</v>
      </c>
      <c r="M277" s="99" t="n">
        <v>0</v>
      </c>
      <c r="N277" s="99" t="n">
        <v>0</v>
      </c>
      <c r="O277" s="42" t="n">
        <v>15171</v>
      </c>
    </row>
    <row r="278" spans="1:15">
      <c r="A278" s="37" t="n">
        <v>273</v>
      </c>
      <c r="B278" s="97" t="s">
        <v>1507</v>
      </c>
      <c r="C278" s="121" t="s">
        <v>58</v>
      </c>
      <c r="D278" s="121" t="s">
        <v>20</v>
      </c>
      <c r="E278" s="121" t="s">
        <v>21</v>
      </c>
      <c r="F278" s="121" t="s">
        <v>1508</v>
      </c>
      <c r="G278" s="121" t="s">
        <v>1510</v>
      </c>
      <c r="H278" s="99" t="n">
        <v>14389</v>
      </c>
      <c r="I278" s="99" t="n">
        <v>14389</v>
      </c>
      <c r="J278" s="99" t="n">
        <v>719</v>
      </c>
      <c r="K278" s="99" t="n">
        <v>0</v>
      </c>
      <c r="L278" s="99" t="n">
        <v>0</v>
      </c>
      <c r="M278" s="99" t="n">
        <v>0</v>
      </c>
      <c r="N278" s="99" t="n">
        <v>0</v>
      </c>
      <c r="O278" s="42" t="n">
        <v>13670</v>
      </c>
    </row>
    <row r="279" spans="1:15">
      <c r="A279" s="37" t="n">
        <v>274</v>
      </c>
      <c r="B279" s="97" t="s">
        <v>1096</v>
      </c>
      <c r="C279" s="121" t="s">
        <v>58</v>
      </c>
      <c r="D279" s="121" t="s">
        <v>20</v>
      </c>
      <c r="E279" s="121" t="s">
        <v>21</v>
      </c>
      <c r="F279" s="121" t="s">
        <v>1097</v>
      </c>
      <c r="G279" s="121" t="s">
        <v>1099</v>
      </c>
      <c r="H279" s="99" t="n">
        <v>15293</v>
      </c>
      <c r="I279" s="99" t="n">
        <v>15293</v>
      </c>
      <c r="J279" s="99" t="n">
        <v>765</v>
      </c>
      <c r="K279" s="99" t="n">
        <v>0</v>
      </c>
      <c r="L279" s="99" t="n">
        <v>0</v>
      </c>
      <c r="M279" s="99" t="n">
        <v>0</v>
      </c>
      <c r="N279" s="99" t="n">
        <v>0</v>
      </c>
      <c r="O279" s="42" t="n">
        <v>14528</v>
      </c>
    </row>
    <row r="280" spans="1:15">
      <c r="A280" s="37" t="n">
        <v>275</v>
      </c>
      <c r="B280" s="97" t="s">
        <v>1055</v>
      </c>
      <c r="C280" s="121" t="s">
        <v>111</v>
      </c>
      <c r="D280" s="121" t="s">
        <v>20</v>
      </c>
      <c r="E280" s="121" t="s">
        <v>21</v>
      </c>
      <c r="F280" s="121" t="s">
        <v>1056</v>
      </c>
      <c r="G280" s="121" t="s">
        <v>1058</v>
      </c>
      <c r="H280" s="99" t="n">
        <v>14389</v>
      </c>
      <c r="I280" s="99" t="n">
        <v>14389</v>
      </c>
      <c r="J280" s="99" t="n">
        <v>0</v>
      </c>
      <c r="K280" s="99" t="n">
        <v>0</v>
      </c>
      <c r="L280" s="99" t="n">
        <v>0</v>
      </c>
      <c r="M280" s="99" t="n">
        <v>0</v>
      </c>
      <c r="N280" s="99" t="n">
        <v>0</v>
      </c>
      <c r="O280" s="42" t="n">
        <v>14389</v>
      </c>
    </row>
    <row r="281" spans="1:15">
      <c r="A281" s="37" t="n">
        <v>276</v>
      </c>
      <c r="B281" s="97" t="s">
        <v>904</v>
      </c>
      <c r="C281" s="121" t="s">
        <v>283</v>
      </c>
      <c r="D281" s="121" t="s">
        <v>20</v>
      </c>
      <c r="E281" s="121" t="s">
        <v>21</v>
      </c>
      <c r="F281" s="121" t="s">
        <v>2400</v>
      </c>
      <c r="G281" s="121" t="s">
        <v>905</v>
      </c>
      <c r="H281" s="99" t="n">
        <v>14389</v>
      </c>
      <c r="I281" s="99" t="n">
        <v>14389</v>
      </c>
      <c r="J281" s="99" t="n">
        <v>0</v>
      </c>
      <c r="K281" s="99" t="n">
        <v>0</v>
      </c>
      <c r="L281" s="99" t="n">
        <v>0</v>
      </c>
      <c r="M281" s="99" t="n">
        <v>0</v>
      </c>
      <c r="N281" s="99" t="n">
        <v>0</v>
      </c>
      <c r="O281" s="42" t="n">
        <v>14389</v>
      </c>
    </row>
    <row r="282" spans="1:15">
      <c r="A282" s="37" t="n">
        <v>277</v>
      </c>
      <c r="B282" s="97" t="s">
        <v>1006</v>
      </c>
      <c r="C282" s="121" t="s">
        <v>120</v>
      </c>
      <c r="D282" s="121" t="s">
        <v>128</v>
      </c>
      <c r="E282" s="121" t="s">
        <v>15</v>
      </c>
      <c r="F282" s="98" t="n">
        <v>0</v>
      </c>
      <c r="G282" s="121" t="s">
        <v>1008</v>
      </c>
      <c r="H282" s="99" t="n">
        <v>15293</v>
      </c>
      <c r="I282" s="99" t="n">
        <v>15293</v>
      </c>
      <c r="J282" s="99" t="n">
        <v>0</v>
      </c>
      <c r="K282" s="99" t="n">
        <v>0</v>
      </c>
      <c r="L282" s="99" t="n">
        <v>0</v>
      </c>
      <c r="M282" s="99" t="n">
        <v>0</v>
      </c>
      <c r="N282" s="99" t="n">
        <v>0</v>
      </c>
      <c r="O282" s="42" t="n">
        <v>15293</v>
      </c>
    </row>
    <row r="283" spans="1:15">
      <c r="A283" s="37" t="n">
        <v>278</v>
      </c>
      <c r="B283" s="97" t="s">
        <v>1104</v>
      </c>
      <c r="C283" s="121" t="s">
        <v>283</v>
      </c>
      <c r="D283" s="121" t="s">
        <v>20</v>
      </c>
      <c r="E283" s="121" t="s">
        <v>21</v>
      </c>
      <c r="F283" s="121" t="s">
        <v>2396</v>
      </c>
      <c r="G283" s="121" t="s">
        <v>1105</v>
      </c>
      <c r="H283" s="99" t="n">
        <v>14389</v>
      </c>
      <c r="I283" s="99" t="n">
        <v>14389</v>
      </c>
      <c r="J283" s="99" t="n">
        <v>0</v>
      </c>
      <c r="K283" s="99" t="n">
        <v>0</v>
      </c>
      <c r="L283" s="99" t="n">
        <v>0</v>
      </c>
      <c r="M283" s="99" t="n">
        <v>0</v>
      </c>
      <c r="N283" s="99" t="n">
        <v>0</v>
      </c>
      <c r="O283" s="42" t="n">
        <v>14389</v>
      </c>
    </row>
    <row r="284" spans="1:15">
      <c r="A284" s="37" t="n">
        <v>279</v>
      </c>
      <c r="B284" s="97" t="s">
        <v>963</v>
      </c>
      <c r="C284" s="121" t="s">
        <v>283</v>
      </c>
      <c r="D284" s="121" t="s">
        <v>20</v>
      </c>
      <c r="E284" s="121" t="s">
        <v>21</v>
      </c>
      <c r="F284" s="121" t="s">
        <v>2397</v>
      </c>
      <c r="G284" s="121" t="s">
        <v>964</v>
      </c>
      <c r="H284" s="99" t="n">
        <v>14389</v>
      </c>
      <c r="I284" s="99" t="n">
        <v>14389</v>
      </c>
      <c r="J284" s="99" t="n">
        <v>0</v>
      </c>
      <c r="K284" s="99" t="n">
        <v>0</v>
      </c>
      <c r="L284" s="99" t="n">
        <v>0</v>
      </c>
      <c r="M284" s="99" t="n">
        <v>0</v>
      </c>
      <c r="N284" s="99" t="n">
        <v>0</v>
      </c>
      <c r="O284" s="42" t="n">
        <v>14389</v>
      </c>
    </row>
    <row r="285" spans="1:15">
      <c r="A285" s="37" t="n">
        <v>280</v>
      </c>
      <c r="B285" s="97" t="s">
        <v>769</v>
      </c>
      <c r="C285" s="121" t="s">
        <v>283</v>
      </c>
      <c r="D285" s="121" t="s">
        <v>20</v>
      </c>
      <c r="E285" s="121" t="s">
        <v>21</v>
      </c>
      <c r="F285" s="121" t="s">
        <v>2074</v>
      </c>
      <c r="G285" s="121" t="s">
        <v>770</v>
      </c>
      <c r="H285" s="99" t="n">
        <v>14389</v>
      </c>
      <c r="I285" s="99" t="n">
        <v>14389</v>
      </c>
      <c r="J285" s="99" t="n">
        <v>0</v>
      </c>
      <c r="K285" s="99" t="n">
        <v>0</v>
      </c>
      <c r="L285" s="99" t="n">
        <v>0</v>
      </c>
      <c r="M285" s="99" t="n">
        <v>0</v>
      </c>
      <c r="N285" s="99" t="n">
        <v>0</v>
      </c>
      <c r="O285" s="42" t="n">
        <v>14389</v>
      </c>
    </row>
    <row r="286" spans="1:15">
      <c r="A286" s="37" t="n">
        <v>281</v>
      </c>
      <c r="B286" s="97" t="s">
        <v>1418</v>
      </c>
      <c r="C286" s="121" t="s">
        <v>283</v>
      </c>
      <c r="D286" s="121" t="s">
        <v>20</v>
      </c>
      <c r="E286" s="121" t="s">
        <v>21</v>
      </c>
      <c r="F286" s="121" t="s">
        <v>2399</v>
      </c>
      <c r="G286" s="121" t="s">
        <v>1420</v>
      </c>
      <c r="H286" s="99" t="n">
        <v>14389</v>
      </c>
      <c r="I286" s="99" t="n">
        <v>14389</v>
      </c>
      <c r="J286" s="99" t="n">
        <v>0</v>
      </c>
      <c r="K286" s="99" t="n">
        <v>0</v>
      </c>
      <c r="L286" s="99" t="n">
        <v>0</v>
      </c>
      <c r="M286" s="99" t="n">
        <v>0</v>
      </c>
      <c r="N286" s="99" t="n">
        <v>0</v>
      </c>
      <c r="O286" s="42" t="n">
        <v>14389</v>
      </c>
    </row>
    <row r="287" spans="1:15">
      <c r="A287" s="37" t="n">
        <v>282</v>
      </c>
      <c r="B287" s="97" t="s">
        <v>2401</v>
      </c>
      <c r="C287" s="121" t="s">
        <v>120</v>
      </c>
      <c r="D287" s="121" t="s">
        <v>124</v>
      </c>
      <c r="E287" s="121" t="s">
        <v>15</v>
      </c>
      <c r="F287" s="98" t="n">
        <v>0</v>
      </c>
      <c r="G287" s="121" t="s">
        <v>2402</v>
      </c>
      <c r="H287" s="99" t="n">
        <v>14389</v>
      </c>
      <c r="I287" s="99" t="n">
        <v>14389</v>
      </c>
      <c r="J287" s="99" t="n">
        <v>0</v>
      </c>
      <c r="K287" s="99" t="n">
        <v>0</v>
      </c>
      <c r="L287" s="99" t="n">
        <v>0</v>
      </c>
      <c r="M287" s="99" t="n">
        <v>0</v>
      </c>
      <c r="N287" s="99" t="n">
        <v>0</v>
      </c>
      <c r="O287" s="42" t="n">
        <v>14389</v>
      </c>
    </row>
    <row r="288" spans="1:15">
      <c r="A288" s="37" t="n">
        <v>283</v>
      </c>
      <c r="B288" s="97" t="s">
        <v>2403</v>
      </c>
      <c r="C288" s="121" t="s">
        <v>120</v>
      </c>
      <c r="D288" s="121" t="s">
        <v>2404</v>
      </c>
      <c r="E288" s="121" t="s">
        <v>21</v>
      </c>
      <c r="F288" s="98" t="n">
        <v>0</v>
      </c>
      <c r="G288" s="121" t="s">
        <v>2405</v>
      </c>
      <c r="H288" s="99" t="n">
        <v>14389</v>
      </c>
      <c r="I288" s="99" t="n">
        <v>14389</v>
      </c>
      <c r="J288" s="99" t="n">
        <v>0</v>
      </c>
      <c r="K288" s="99" t="n">
        <v>0</v>
      </c>
      <c r="L288" s="99" t="n">
        <v>0</v>
      </c>
      <c r="M288" s="99" t="n">
        <v>0</v>
      </c>
      <c r="N288" s="99" t="n">
        <v>0</v>
      </c>
      <c r="O288" s="42" t="n">
        <v>14389</v>
      </c>
    </row>
    <row r="289" spans="1:15">
      <c r="A289" s="37" t="n">
        <v>284</v>
      </c>
      <c r="B289" s="97" t="s">
        <v>2406</v>
      </c>
      <c r="C289" s="121" t="s">
        <v>120</v>
      </c>
      <c r="D289" s="121" t="s">
        <v>124</v>
      </c>
      <c r="E289" s="121" t="s">
        <v>15</v>
      </c>
      <c r="F289" s="98" t="n">
        <v>0</v>
      </c>
      <c r="G289" s="121" t="s">
        <v>2407</v>
      </c>
      <c r="H289" s="99" t="n">
        <v>14389</v>
      </c>
      <c r="I289" s="99" t="n">
        <v>14389</v>
      </c>
      <c r="J289" s="99" t="n">
        <v>0</v>
      </c>
      <c r="K289" s="99" t="n">
        <v>0</v>
      </c>
      <c r="L289" s="99" t="n">
        <v>0</v>
      </c>
      <c r="M289" s="99" t="n">
        <v>0</v>
      </c>
      <c r="N289" s="99" t="n">
        <v>0</v>
      </c>
      <c r="O289" s="42" t="n">
        <v>14389</v>
      </c>
    </row>
    <row r="290" spans="1:15">
      <c r="A290" s="37" t="n">
        <v>285</v>
      </c>
      <c r="B290" s="97" t="s">
        <v>1225</v>
      </c>
      <c r="C290" s="121" t="s">
        <v>283</v>
      </c>
      <c r="D290" s="121" t="s">
        <v>20</v>
      </c>
      <c r="E290" s="121" t="s">
        <v>21</v>
      </c>
      <c r="F290" s="121" t="s">
        <v>2074</v>
      </c>
      <c r="G290" s="121" t="s">
        <v>1227</v>
      </c>
      <c r="H290" s="99" t="n">
        <v>14389</v>
      </c>
      <c r="I290" s="99" t="n">
        <v>14389</v>
      </c>
      <c r="J290" s="99" t="n">
        <v>0</v>
      </c>
      <c r="K290" s="99" t="n">
        <v>0</v>
      </c>
      <c r="L290" s="99" t="n">
        <v>0</v>
      </c>
      <c r="M290" s="99" t="n">
        <v>0</v>
      </c>
      <c r="N290" s="99" t="n">
        <v>0</v>
      </c>
      <c r="O290" s="42" t="n">
        <v>14389</v>
      </c>
    </row>
    <row r="291" spans="1:15">
      <c r="A291" s="37" t="n">
        <v>286</v>
      </c>
      <c r="B291" s="97" t="s">
        <v>1052</v>
      </c>
      <c r="C291" s="121" t="s">
        <v>283</v>
      </c>
      <c r="D291" s="121" t="s">
        <v>20</v>
      </c>
      <c r="E291" s="121" t="s">
        <v>21</v>
      </c>
      <c r="F291" s="121" t="s">
        <v>2408</v>
      </c>
      <c r="G291" s="121" t="s">
        <v>1054</v>
      </c>
      <c r="H291" s="99" t="n">
        <v>14389</v>
      </c>
      <c r="I291" s="99" t="n">
        <v>14389</v>
      </c>
      <c r="J291" s="99" t="n">
        <v>0</v>
      </c>
      <c r="K291" s="99" t="n">
        <v>0</v>
      </c>
      <c r="L291" s="99" t="n">
        <v>0</v>
      </c>
      <c r="M291" s="99" t="n">
        <v>0</v>
      </c>
      <c r="N291" s="99" t="n">
        <v>0</v>
      </c>
      <c r="O291" s="42" t="n">
        <v>14389</v>
      </c>
    </row>
    <row r="292" spans="1:15">
      <c r="A292" s="37" t="n">
        <v>287</v>
      </c>
      <c r="B292" s="97" t="s">
        <v>1009</v>
      </c>
      <c r="C292" s="121" t="s">
        <v>111</v>
      </c>
      <c r="D292" s="121" t="s">
        <v>20</v>
      </c>
      <c r="E292" s="121" t="s">
        <v>21</v>
      </c>
      <c r="F292" s="121" t="s">
        <v>1010</v>
      </c>
      <c r="G292" s="121" t="s">
        <v>1012</v>
      </c>
      <c r="H292" s="99" t="n">
        <v>14389</v>
      </c>
      <c r="I292" s="99" t="n">
        <v>14389</v>
      </c>
      <c r="J292" s="99" t="n">
        <v>0</v>
      </c>
      <c r="K292" s="99" t="n">
        <v>0</v>
      </c>
      <c r="L292" s="99" t="n">
        <v>0</v>
      </c>
      <c r="M292" s="99" t="n">
        <v>0</v>
      </c>
      <c r="N292" s="99" t="n">
        <v>0</v>
      </c>
      <c r="O292" s="42" t="n">
        <v>14389</v>
      </c>
    </row>
    <row r="293" spans="1:15">
      <c r="A293" s="37" t="n">
        <v>288</v>
      </c>
      <c r="B293" s="97" t="s">
        <v>2409</v>
      </c>
      <c r="C293" s="121" t="s">
        <v>95</v>
      </c>
      <c r="D293" s="121" t="s">
        <v>278</v>
      </c>
      <c r="E293" s="121" t="s">
        <v>16</v>
      </c>
      <c r="F293" s="98" t="n">
        <v>0</v>
      </c>
      <c r="G293" s="121" t="s">
        <v>2410</v>
      </c>
      <c r="H293" s="99" t="n">
        <v>14389</v>
      </c>
      <c r="I293" s="99" t="n">
        <v>14389</v>
      </c>
      <c r="J293" s="99" t="n">
        <v>0</v>
      </c>
      <c r="K293" s="99" t="n">
        <v>0</v>
      </c>
      <c r="L293" s="99" t="n">
        <v>0</v>
      </c>
      <c r="M293" s="99" t="n">
        <v>0</v>
      </c>
      <c r="N293" s="99" t="n">
        <v>0</v>
      </c>
      <c r="O293" s="42" t="n">
        <v>14389</v>
      </c>
    </row>
    <row r="294" spans="1:15">
      <c r="A294" s="37" t="n">
        <v>289</v>
      </c>
      <c r="B294" s="97" t="s">
        <v>2412</v>
      </c>
      <c r="C294" s="121" t="s">
        <v>58</v>
      </c>
      <c r="D294" s="121" t="s">
        <v>20</v>
      </c>
      <c r="E294" s="121" t="s">
        <v>21</v>
      </c>
      <c r="F294" s="121" t="s">
        <v>2413</v>
      </c>
      <c r="G294" s="121" t="s">
        <v>2414</v>
      </c>
      <c r="H294" s="99" t="n">
        <v>14841</v>
      </c>
      <c r="I294" s="99" t="n">
        <v>14841</v>
      </c>
      <c r="J294" s="99" t="n">
        <v>742</v>
      </c>
      <c r="K294" s="99" t="n">
        <v>0</v>
      </c>
      <c r="L294" s="99" t="n">
        <v>0</v>
      </c>
      <c r="M294" s="99" t="n">
        <v>0</v>
      </c>
      <c r="N294" s="99" t="n">
        <v>0</v>
      </c>
      <c r="O294" s="42" t="n">
        <v>14099</v>
      </c>
    </row>
    <row r="295" spans="1:15">
      <c r="A295" s="37" t="n">
        <v>290</v>
      </c>
      <c r="B295" s="97" t="s">
        <v>2415</v>
      </c>
      <c r="C295" s="121" t="s">
        <v>58</v>
      </c>
      <c r="D295" s="121" t="s">
        <v>20</v>
      </c>
      <c r="E295" s="121" t="s">
        <v>21</v>
      </c>
      <c r="F295" s="121" t="s">
        <v>2416</v>
      </c>
      <c r="G295" s="121" t="s">
        <v>2417</v>
      </c>
      <c r="H295" s="99" t="n">
        <v>14389</v>
      </c>
      <c r="I295" s="99" t="n">
        <v>14389</v>
      </c>
      <c r="J295" s="99" t="n">
        <v>719</v>
      </c>
      <c r="K295" s="99" t="n">
        <v>0</v>
      </c>
      <c r="L295" s="99" t="n">
        <v>0</v>
      </c>
      <c r="M295" s="99" t="n">
        <v>0</v>
      </c>
      <c r="N295" s="99" t="n">
        <v>0</v>
      </c>
      <c r="O295" s="42" t="n">
        <v>13670</v>
      </c>
    </row>
    <row r="296" spans="1:15">
      <c r="A296" s="37" t="n">
        <v>291</v>
      </c>
      <c r="B296" s="97" t="s">
        <v>1488</v>
      </c>
      <c r="C296" s="121" t="s">
        <v>58</v>
      </c>
      <c r="D296" s="121" t="s">
        <v>20</v>
      </c>
      <c r="E296" s="121" t="s">
        <v>21</v>
      </c>
      <c r="F296" s="121" t="s">
        <v>1489</v>
      </c>
      <c r="G296" s="121" t="s">
        <v>1491</v>
      </c>
      <c r="H296" s="99" t="n">
        <v>15293</v>
      </c>
      <c r="I296" s="99" t="n">
        <v>15293</v>
      </c>
      <c r="J296" s="99" t="n">
        <v>765</v>
      </c>
      <c r="K296" s="99" t="n">
        <v>0</v>
      </c>
      <c r="L296" s="99" t="n">
        <v>0</v>
      </c>
      <c r="M296" s="99" t="n">
        <v>0</v>
      </c>
      <c r="N296" s="99" t="n">
        <v>0</v>
      </c>
      <c r="O296" s="42" t="n">
        <v>14528</v>
      </c>
    </row>
    <row r="297" spans="1:15">
      <c r="A297" s="37" t="n">
        <v>292</v>
      </c>
      <c r="B297" s="97" t="s">
        <v>1062</v>
      </c>
      <c r="C297" s="121" t="s">
        <v>58</v>
      </c>
      <c r="D297" s="121" t="s">
        <v>20</v>
      </c>
      <c r="E297" s="121" t="s">
        <v>21</v>
      </c>
      <c r="F297" s="121" t="s">
        <v>1063</v>
      </c>
      <c r="G297" s="121" t="s">
        <v>1065</v>
      </c>
      <c r="H297" s="99" t="n">
        <v>15293</v>
      </c>
      <c r="I297" s="99" t="n">
        <v>15293</v>
      </c>
      <c r="J297" s="99" t="n">
        <v>765</v>
      </c>
      <c r="K297" s="99" t="n">
        <v>0</v>
      </c>
      <c r="L297" s="99" t="n">
        <v>0</v>
      </c>
      <c r="M297" s="99" t="n">
        <v>0</v>
      </c>
      <c r="N297" s="99" t="n">
        <v>0</v>
      </c>
      <c r="O297" s="42" t="n">
        <v>14528</v>
      </c>
    </row>
    <row r="298" spans="1:15">
      <c r="A298" s="37" t="n">
        <v>293</v>
      </c>
      <c r="B298" s="97" t="s">
        <v>789</v>
      </c>
      <c r="C298" s="121" t="s">
        <v>58</v>
      </c>
      <c r="D298" s="121" t="s">
        <v>20</v>
      </c>
      <c r="E298" s="121" t="s">
        <v>21</v>
      </c>
      <c r="F298" s="121" t="s">
        <v>790</v>
      </c>
      <c r="G298" s="121" t="s">
        <v>792</v>
      </c>
      <c r="H298" s="99" t="n">
        <v>15293</v>
      </c>
      <c r="I298" s="99" t="n">
        <v>15293</v>
      </c>
      <c r="J298" s="99" t="n">
        <v>765</v>
      </c>
      <c r="K298" s="99" t="n">
        <v>0</v>
      </c>
      <c r="L298" s="99" t="n">
        <v>0</v>
      </c>
      <c r="M298" s="99" t="n">
        <v>0</v>
      </c>
      <c r="N298" s="99" t="n">
        <v>0</v>
      </c>
      <c r="O298" s="42" t="n">
        <v>14528</v>
      </c>
    </row>
    <row r="299" spans="1:15">
      <c r="A299" s="37" t="n">
        <v>294</v>
      </c>
      <c r="B299" s="97" t="s">
        <v>955</v>
      </c>
      <c r="C299" s="121" t="s">
        <v>58</v>
      </c>
      <c r="D299" s="121" t="s">
        <v>20</v>
      </c>
      <c r="E299" s="121" t="s">
        <v>21</v>
      </c>
      <c r="F299" s="121" t="s">
        <v>956</v>
      </c>
      <c r="G299" s="121" t="s">
        <v>957</v>
      </c>
      <c r="H299" s="99" t="n">
        <v>15970</v>
      </c>
      <c r="I299" s="99" t="n">
        <v>15970</v>
      </c>
      <c r="J299" s="99" t="n">
        <v>799</v>
      </c>
      <c r="K299" s="99" t="n">
        <v>0</v>
      </c>
      <c r="L299" s="99" t="n">
        <v>0</v>
      </c>
      <c r="M299" s="99" t="n">
        <v>0</v>
      </c>
      <c r="N299" s="99" t="n">
        <v>0</v>
      </c>
      <c r="O299" s="42" t="n">
        <v>15171</v>
      </c>
    </row>
    <row r="300" spans="1:15">
      <c r="A300" s="37" t="n">
        <v>295</v>
      </c>
      <c r="B300" s="97" t="s">
        <v>1169</v>
      </c>
      <c r="C300" s="121" t="s">
        <v>58</v>
      </c>
      <c r="D300" s="121" t="s">
        <v>20</v>
      </c>
      <c r="E300" s="121" t="s">
        <v>21</v>
      </c>
      <c r="F300" s="121" t="s">
        <v>1170</v>
      </c>
      <c r="G300" s="121" t="s">
        <v>1171</v>
      </c>
      <c r="H300" s="99" t="n">
        <v>15293</v>
      </c>
      <c r="I300" s="99" t="n">
        <v>15293</v>
      </c>
      <c r="J300" s="99" t="n">
        <v>765</v>
      </c>
      <c r="K300" s="99" t="n">
        <v>0</v>
      </c>
      <c r="L300" s="99" t="n">
        <v>0</v>
      </c>
      <c r="M300" s="99" t="n">
        <v>0</v>
      </c>
      <c r="N300" s="99" t="n">
        <v>0</v>
      </c>
      <c r="O300" s="42" t="n">
        <v>14528</v>
      </c>
    </row>
    <row r="301" spans="1:15">
      <c r="A301" s="37" t="n">
        <v>296</v>
      </c>
      <c r="B301" s="97" t="s">
        <v>1100</v>
      </c>
      <c r="C301" s="121" t="s">
        <v>58</v>
      </c>
      <c r="D301" s="121" t="s">
        <v>20</v>
      </c>
      <c r="E301" s="121" t="s">
        <v>21</v>
      </c>
      <c r="F301" s="121" t="s">
        <v>1101</v>
      </c>
      <c r="G301" s="121" t="s">
        <v>1103</v>
      </c>
      <c r="H301" s="99" t="n">
        <v>15293</v>
      </c>
      <c r="I301" s="99" t="n">
        <v>15293</v>
      </c>
      <c r="J301" s="99" t="n">
        <v>765</v>
      </c>
      <c r="K301" s="99" t="n">
        <v>0</v>
      </c>
      <c r="L301" s="99" t="n">
        <v>0</v>
      </c>
      <c r="M301" s="99" t="n">
        <v>0</v>
      </c>
      <c r="N301" s="99" t="n">
        <v>0</v>
      </c>
      <c r="O301" s="42" t="n">
        <v>14528</v>
      </c>
    </row>
    <row r="302" spans="1:15">
      <c r="A302" s="37" t="n">
        <v>297</v>
      </c>
      <c r="B302" s="97" t="s">
        <v>1166</v>
      </c>
      <c r="C302" s="121" t="s">
        <v>58</v>
      </c>
      <c r="D302" s="121" t="s">
        <v>20</v>
      </c>
      <c r="E302" s="121" t="s">
        <v>21</v>
      </c>
      <c r="F302" s="121" t="s">
        <v>1167</v>
      </c>
      <c r="G302" s="121" t="s">
        <v>1168</v>
      </c>
      <c r="H302" s="99" t="n">
        <v>15293</v>
      </c>
      <c r="I302" s="99" t="n">
        <v>15293</v>
      </c>
      <c r="J302" s="99" t="n">
        <v>765</v>
      </c>
      <c r="K302" s="99" t="n">
        <v>0</v>
      </c>
      <c r="L302" s="99" t="n">
        <v>0</v>
      </c>
      <c r="M302" s="99" t="n">
        <v>0</v>
      </c>
      <c r="N302" s="99" t="n">
        <v>0</v>
      </c>
      <c r="O302" s="42" t="n">
        <v>14528</v>
      </c>
    </row>
    <row r="303" spans="1:15">
      <c r="A303" s="37" t="n">
        <v>298</v>
      </c>
      <c r="B303" s="97" t="s">
        <v>766</v>
      </c>
      <c r="C303" s="121" t="s">
        <v>58</v>
      </c>
      <c r="D303" s="121" t="s">
        <v>20</v>
      </c>
      <c r="E303" s="121" t="s">
        <v>21</v>
      </c>
      <c r="F303" s="121" t="s">
        <v>767</v>
      </c>
      <c r="G303" s="121" t="s">
        <v>768</v>
      </c>
      <c r="H303" s="99" t="n">
        <v>15293</v>
      </c>
      <c r="I303" s="99" t="n">
        <v>15293</v>
      </c>
      <c r="J303" s="99" t="n">
        <v>765</v>
      </c>
      <c r="K303" s="99" t="n">
        <v>0</v>
      </c>
      <c r="L303" s="99" t="n">
        <v>0</v>
      </c>
      <c r="M303" s="99" t="n">
        <v>0</v>
      </c>
      <c r="N303" s="99" t="n">
        <v>0</v>
      </c>
      <c r="O303" s="42" t="n">
        <v>14528</v>
      </c>
    </row>
    <row r="304" spans="1:15">
      <c r="A304" s="37" t="n">
        <v>299</v>
      </c>
      <c r="B304" s="97" t="s">
        <v>803</v>
      </c>
      <c r="C304" s="121" t="s">
        <v>283</v>
      </c>
      <c r="D304" s="121" t="s">
        <v>20</v>
      </c>
      <c r="E304" s="121" t="s">
        <v>21</v>
      </c>
      <c r="F304" s="121" t="s">
        <v>2419</v>
      </c>
      <c r="G304" s="121" t="s">
        <v>804</v>
      </c>
      <c r="H304" s="99" t="n">
        <v>14389</v>
      </c>
      <c r="I304" s="99" t="n">
        <v>14389</v>
      </c>
      <c r="J304" s="99" t="n">
        <v>0</v>
      </c>
      <c r="K304" s="99" t="n">
        <v>0</v>
      </c>
      <c r="L304" s="99" t="n">
        <v>0</v>
      </c>
      <c r="M304" s="99" t="n">
        <v>0</v>
      </c>
      <c r="N304" s="99" t="n">
        <v>0</v>
      </c>
      <c r="O304" s="42" t="n">
        <v>14389</v>
      </c>
    </row>
    <row r="305" spans="1:15">
      <c r="A305" s="37" t="n">
        <v>300</v>
      </c>
      <c r="B305" s="97" t="s">
        <v>1003</v>
      </c>
      <c r="C305" s="121" t="s">
        <v>283</v>
      </c>
      <c r="D305" s="121" t="s">
        <v>20</v>
      </c>
      <c r="E305" s="121" t="s">
        <v>21</v>
      </c>
      <c r="F305" s="121" t="s">
        <v>2418</v>
      </c>
      <c r="G305" s="121" t="s">
        <v>1005</v>
      </c>
      <c r="H305" s="99" t="n">
        <v>14389</v>
      </c>
      <c r="I305" s="99" t="n">
        <v>14389</v>
      </c>
      <c r="J305" s="99" t="n">
        <v>0</v>
      </c>
      <c r="K305" s="99" t="n">
        <v>0</v>
      </c>
      <c r="L305" s="99" t="n">
        <v>0</v>
      </c>
      <c r="M305" s="99" t="n">
        <v>0</v>
      </c>
      <c r="N305" s="99" t="n">
        <v>0</v>
      </c>
      <c r="O305" s="42" t="n">
        <v>14389</v>
      </c>
    </row>
    <row r="306" spans="1:15">
      <c r="A306" s="37" t="n">
        <v>301</v>
      </c>
      <c r="B306" s="97" t="s">
        <v>801</v>
      </c>
      <c r="C306" s="121" t="s">
        <v>120</v>
      </c>
      <c r="D306" s="121" t="s">
        <v>137</v>
      </c>
      <c r="E306" s="121" t="s">
        <v>14</v>
      </c>
      <c r="F306" s="98" t="n">
        <v>0</v>
      </c>
      <c r="G306" s="121" t="s">
        <v>802</v>
      </c>
      <c r="H306" s="99" t="n">
        <v>15293</v>
      </c>
      <c r="I306" s="99" t="n">
        <v>15293</v>
      </c>
      <c r="J306" s="99" t="n">
        <v>0</v>
      </c>
      <c r="K306" s="99" t="n">
        <v>0</v>
      </c>
      <c r="L306" s="99" t="n">
        <v>0</v>
      </c>
      <c r="M306" s="99" t="n">
        <v>0</v>
      </c>
      <c r="N306" s="99" t="n">
        <v>0</v>
      </c>
      <c r="O306" s="42" t="n">
        <v>15293</v>
      </c>
    </row>
    <row r="307" spans="1:15">
      <c r="A307" s="37" t="n">
        <v>302</v>
      </c>
      <c r="B307" s="97" t="s">
        <v>1504</v>
      </c>
      <c r="C307" s="121" t="s">
        <v>120</v>
      </c>
      <c r="D307" s="121" t="s">
        <v>128</v>
      </c>
      <c r="E307" s="121" t="s">
        <v>15</v>
      </c>
      <c r="F307" s="98" t="n">
        <v>0</v>
      </c>
      <c r="G307" s="121" t="s">
        <v>1506</v>
      </c>
      <c r="H307" s="99" t="n">
        <v>14389</v>
      </c>
      <c r="I307" s="99" t="n">
        <v>14389</v>
      </c>
      <c r="J307" s="99" t="n">
        <v>0</v>
      </c>
      <c r="K307" s="99" t="n">
        <v>0</v>
      </c>
      <c r="L307" s="99" t="n">
        <v>0</v>
      </c>
      <c r="M307" s="99" t="n">
        <v>0</v>
      </c>
      <c r="N307" s="99" t="n">
        <v>0</v>
      </c>
      <c r="O307" s="42" t="n">
        <v>14389</v>
      </c>
    </row>
    <row r="308" spans="1:15">
      <c r="A308" s="37" t="n">
        <v>303</v>
      </c>
      <c r="B308" s="97" t="s">
        <v>1270</v>
      </c>
      <c r="C308" s="121" t="s">
        <v>283</v>
      </c>
      <c r="D308" s="121" t="s">
        <v>20</v>
      </c>
      <c r="E308" s="121" t="s">
        <v>21</v>
      </c>
      <c r="F308" s="121" t="s">
        <v>2420</v>
      </c>
      <c r="G308" s="121" t="s">
        <v>1271</v>
      </c>
      <c r="H308" s="99" t="n">
        <v>14389</v>
      </c>
      <c r="I308" s="99" t="n">
        <v>14389</v>
      </c>
      <c r="J308" s="99" t="n">
        <v>0</v>
      </c>
      <c r="K308" s="99" t="n">
        <v>0</v>
      </c>
      <c r="L308" s="99" t="n">
        <v>0</v>
      </c>
      <c r="M308" s="99" t="n">
        <v>0</v>
      </c>
      <c r="N308" s="99" t="n">
        <v>0</v>
      </c>
      <c r="O308" s="42" t="n">
        <v>14389</v>
      </c>
    </row>
    <row r="309" spans="1:15">
      <c r="A309" s="37" t="n">
        <v>304</v>
      </c>
      <c r="B309" s="97" t="s">
        <v>2421</v>
      </c>
      <c r="C309" s="121" t="s">
        <v>120</v>
      </c>
      <c r="D309" s="121" t="s">
        <v>124</v>
      </c>
      <c r="E309" s="121" t="s">
        <v>15</v>
      </c>
      <c r="F309" s="98" t="n">
        <v>0</v>
      </c>
      <c r="G309" s="121" t="s">
        <v>2422</v>
      </c>
      <c r="H309" s="99" t="n">
        <v>14389</v>
      </c>
      <c r="I309" s="99" t="n">
        <v>14389</v>
      </c>
      <c r="J309" s="99" t="n">
        <v>0</v>
      </c>
      <c r="K309" s="99" t="n">
        <v>0</v>
      </c>
      <c r="L309" s="99" t="n">
        <v>0</v>
      </c>
      <c r="M309" s="99" t="n">
        <v>0</v>
      </c>
      <c r="N309" s="99" t="n">
        <v>0</v>
      </c>
      <c r="O309" s="42" t="n">
        <v>14389</v>
      </c>
    </row>
    <row r="310" spans="1:15">
      <c r="A310" s="37" t="n">
        <v>305</v>
      </c>
      <c r="B310" s="97" t="s">
        <v>860</v>
      </c>
      <c r="C310" s="121" t="s">
        <v>283</v>
      </c>
      <c r="D310" s="121" t="s">
        <v>20</v>
      </c>
      <c r="E310" s="121" t="s">
        <v>21</v>
      </c>
      <c r="F310" s="121" t="s">
        <v>2074</v>
      </c>
      <c r="G310" s="121" t="s">
        <v>861</v>
      </c>
      <c r="H310" s="99" t="n">
        <v>14389</v>
      </c>
      <c r="I310" s="99" t="n">
        <v>14389</v>
      </c>
      <c r="J310" s="99" t="n">
        <v>0</v>
      </c>
      <c r="K310" s="99" t="n">
        <v>0</v>
      </c>
      <c r="L310" s="99" t="n">
        <v>0</v>
      </c>
      <c r="M310" s="99" t="n">
        <v>0</v>
      </c>
      <c r="N310" s="99" t="n">
        <v>0</v>
      </c>
      <c r="O310" s="42" t="n">
        <v>14389</v>
      </c>
    </row>
    <row r="311" spans="1:15">
      <c r="A311" s="37" t="n">
        <v>306</v>
      </c>
      <c r="B311" s="97" t="s">
        <v>808</v>
      </c>
      <c r="C311" s="121" t="s">
        <v>283</v>
      </c>
      <c r="D311" s="121" t="s">
        <v>20</v>
      </c>
      <c r="E311" s="121" t="s">
        <v>21</v>
      </c>
      <c r="F311" s="121" t="s">
        <v>2423</v>
      </c>
      <c r="G311" s="121" t="s">
        <v>810</v>
      </c>
      <c r="H311" s="99" t="n">
        <v>14389</v>
      </c>
      <c r="I311" s="99" t="n">
        <v>14389</v>
      </c>
      <c r="J311" s="99" t="n">
        <v>0</v>
      </c>
      <c r="K311" s="99" t="n">
        <v>0</v>
      </c>
      <c r="L311" s="99" t="n">
        <v>0</v>
      </c>
      <c r="M311" s="99" t="n">
        <v>0</v>
      </c>
      <c r="N311" s="99" t="n">
        <v>0</v>
      </c>
      <c r="O311" s="42" t="n">
        <v>14389</v>
      </c>
    </row>
    <row r="312" spans="1:15">
      <c r="A312" s="37" t="n">
        <v>307</v>
      </c>
      <c r="B312" s="97" t="s">
        <v>2424</v>
      </c>
      <c r="C312" s="121" t="s">
        <v>95</v>
      </c>
      <c r="D312" s="121" t="s">
        <v>128</v>
      </c>
      <c r="E312" s="121" t="s">
        <v>15</v>
      </c>
      <c r="F312" s="98" t="n">
        <v>0</v>
      </c>
      <c r="G312" s="121" t="s">
        <v>2425</v>
      </c>
      <c r="H312" s="99" t="n">
        <v>14389</v>
      </c>
      <c r="I312" s="99" t="n">
        <v>14389</v>
      </c>
      <c r="J312" s="99" t="n">
        <v>0</v>
      </c>
      <c r="K312" s="99" t="n">
        <v>0</v>
      </c>
      <c r="L312" s="99" t="n">
        <v>0</v>
      </c>
      <c r="M312" s="99" t="n">
        <v>0</v>
      </c>
      <c r="N312" s="99" t="n">
        <v>0</v>
      </c>
      <c r="O312" s="42" t="n">
        <v>14389</v>
      </c>
    </row>
    <row r="313" spans="1:15">
      <c r="A313" s="37" t="n">
        <v>308</v>
      </c>
      <c r="B313" s="97" t="s">
        <v>840</v>
      </c>
      <c r="C313" s="121" t="s">
        <v>58</v>
      </c>
      <c r="D313" s="121" t="s">
        <v>20</v>
      </c>
      <c r="E313" s="121" t="s">
        <v>21</v>
      </c>
      <c r="F313" s="121" t="s">
        <v>841</v>
      </c>
      <c r="G313" s="121" t="s">
        <v>842</v>
      </c>
      <c r="H313" s="99" t="n">
        <v>15631</v>
      </c>
      <c r="I313" s="99" t="n">
        <v>15631</v>
      </c>
      <c r="J313" s="99" t="n">
        <v>782</v>
      </c>
      <c r="K313" s="99" t="n">
        <v>0</v>
      </c>
      <c r="L313" s="99" t="n">
        <v>0</v>
      </c>
      <c r="M313" s="99" t="n">
        <v>0</v>
      </c>
      <c r="N313" s="99" t="n">
        <v>0</v>
      </c>
      <c r="O313" s="42" t="n">
        <v>14849</v>
      </c>
    </row>
    <row r="314" spans="1:15">
      <c r="A314" s="37" t="n">
        <v>309</v>
      </c>
      <c r="B314" s="97" t="s">
        <v>749</v>
      </c>
      <c r="C314" s="121" t="s">
        <v>58</v>
      </c>
      <c r="D314" s="121" t="s">
        <v>20</v>
      </c>
      <c r="E314" s="121" t="s">
        <v>21</v>
      </c>
      <c r="F314" s="121" t="s">
        <v>750</v>
      </c>
      <c r="G314" s="121" t="s">
        <v>752</v>
      </c>
      <c r="H314" s="99" t="n">
        <v>14954</v>
      </c>
      <c r="I314" s="99" t="n">
        <v>14954</v>
      </c>
      <c r="J314" s="99" t="n">
        <v>748</v>
      </c>
      <c r="K314" s="99" t="n">
        <v>0</v>
      </c>
      <c r="L314" s="99" t="n">
        <v>0</v>
      </c>
      <c r="M314" s="99" t="n">
        <v>0</v>
      </c>
      <c r="N314" s="99" t="n">
        <v>0</v>
      </c>
      <c r="O314" s="42" t="n">
        <v>14206</v>
      </c>
    </row>
    <row r="315" spans="1:15">
      <c r="A315" s="37" t="n">
        <v>310</v>
      </c>
      <c r="B315" s="97" t="s">
        <v>753</v>
      </c>
      <c r="C315" s="121" t="s">
        <v>58</v>
      </c>
      <c r="D315" s="121" t="s">
        <v>20</v>
      </c>
      <c r="E315" s="121" t="s">
        <v>21</v>
      </c>
      <c r="F315" s="121" t="s">
        <v>754</v>
      </c>
      <c r="G315" s="121" t="s">
        <v>756</v>
      </c>
      <c r="H315" s="99" t="n">
        <v>14050</v>
      </c>
      <c r="I315" s="99" t="n">
        <v>14050</v>
      </c>
      <c r="J315" s="99" t="n">
        <v>703</v>
      </c>
      <c r="K315" s="99" t="n">
        <v>0</v>
      </c>
      <c r="L315" s="99" t="n">
        <v>0</v>
      </c>
      <c r="M315" s="99" t="n">
        <v>0</v>
      </c>
      <c r="N315" s="99" t="n">
        <v>0</v>
      </c>
      <c r="O315" s="42" t="n">
        <v>13347</v>
      </c>
    </row>
    <row r="316" spans="1:15">
      <c r="A316" s="37" t="n">
        <v>311</v>
      </c>
      <c r="B316" s="97" t="s">
        <v>999</v>
      </c>
      <c r="C316" s="121" t="s">
        <v>58</v>
      </c>
      <c r="D316" s="121" t="s">
        <v>20</v>
      </c>
      <c r="E316" s="121" t="s">
        <v>21</v>
      </c>
      <c r="F316" s="121" t="s">
        <v>1000</v>
      </c>
      <c r="G316" s="121" t="s">
        <v>1002</v>
      </c>
      <c r="H316" s="99" t="n">
        <v>14954</v>
      </c>
      <c r="I316" s="99" t="n">
        <v>14954</v>
      </c>
      <c r="J316" s="99" t="n">
        <v>748</v>
      </c>
      <c r="K316" s="99" t="n">
        <v>0</v>
      </c>
      <c r="L316" s="99" t="n">
        <v>0</v>
      </c>
      <c r="M316" s="99" t="n">
        <v>0</v>
      </c>
      <c r="N316" s="99" t="n">
        <v>0</v>
      </c>
      <c r="O316" s="42" t="n">
        <v>14206</v>
      </c>
    </row>
    <row r="317" spans="1:15">
      <c r="A317" s="37" t="n">
        <v>312</v>
      </c>
      <c r="B317" s="97" t="s">
        <v>746</v>
      </c>
      <c r="C317" s="121" t="s">
        <v>58</v>
      </c>
      <c r="D317" s="121" t="s">
        <v>20</v>
      </c>
      <c r="E317" s="121" t="s">
        <v>21</v>
      </c>
      <c r="F317" s="121" t="s">
        <v>747</v>
      </c>
      <c r="G317" s="121" t="s">
        <v>748</v>
      </c>
      <c r="H317" s="99" t="n">
        <v>15631</v>
      </c>
      <c r="I317" s="99" t="n">
        <v>15631</v>
      </c>
      <c r="J317" s="99" t="n">
        <v>782</v>
      </c>
      <c r="K317" s="99" t="n">
        <v>0</v>
      </c>
      <c r="L317" s="99" t="n">
        <v>0</v>
      </c>
      <c r="M317" s="99" t="n">
        <v>0</v>
      </c>
      <c r="N317" s="99" t="n">
        <v>0</v>
      </c>
      <c r="O317" s="42" t="n">
        <v>14849</v>
      </c>
    </row>
    <row r="318" spans="1:15">
      <c r="A318" s="37" t="n">
        <v>313</v>
      </c>
      <c r="B318" s="97" t="s">
        <v>760</v>
      </c>
      <c r="C318" s="121" t="s">
        <v>283</v>
      </c>
      <c r="D318" s="121" t="s">
        <v>20</v>
      </c>
      <c r="E318" s="121" t="s">
        <v>21</v>
      </c>
      <c r="F318" s="121" t="s">
        <v>2426</v>
      </c>
      <c r="G318" s="121" t="s">
        <v>762</v>
      </c>
      <c r="H318" s="99" t="n">
        <v>14050</v>
      </c>
      <c r="I318" s="99" t="n">
        <v>14050</v>
      </c>
      <c r="J318" s="99" t="n">
        <v>0</v>
      </c>
      <c r="K318" s="99" t="n">
        <v>0</v>
      </c>
      <c r="L318" s="99" t="n">
        <v>0</v>
      </c>
      <c r="M318" s="99" t="n">
        <v>0</v>
      </c>
      <c r="N318" s="99" t="n">
        <v>0</v>
      </c>
      <c r="O318" s="42" t="n">
        <v>14050</v>
      </c>
    </row>
    <row r="319" spans="1:15">
      <c r="A319" s="37" t="n">
        <v>314</v>
      </c>
      <c r="B319" s="97" t="s">
        <v>757</v>
      </c>
      <c r="C319" s="121" t="s">
        <v>131</v>
      </c>
      <c r="D319" s="121" t="s">
        <v>20</v>
      </c>
      <c r="E319" s="121" t="s">
        <v>21</v>
      </c>
      <c r="F319" s="121" t="s">
        <v>758</v>
      </c>
      <c r="G319" s="121" t="s">
        <v>759</v>
      </c>
      <c r="H319" s="99" t="n">
        <v>14954</v>
      </c>
      <c r="I319" s="99" t="n">
        <v>14954</v>
      </c>
      <c r="J319" s="99" t="n">
        <v>748</v>
      </c>
      <c r="K319" s="99" t="n">
        <v>0</v>
      </c>
      <c r="L319" s="99" t="n">
        <v>0</v>
      </c>
      <c r="M319" s="99" t="n">
        <v>0</v>
      </c>
      <c r="N319" s="99" t="n">
        <v>0</v>
      </c>
      <c r="O319" s="42" t="n">
        <v>14206</v>
      </c>
    </row>
    <row r="320" spans="1:15">
      <c r="A320" s="37" t="n">
        <v>315</v>
      </c>
      <c r="B320" s="97" t="s">
        <v>763</v>
      </c>
      <c r="C320" s="121" t="s">
        <v>283</v>
      </c>
      <c r="D320" s="121" t="s">
        <v>20</v>
      </c>
      <c r="E320" s="121" t="s">
        <v>21</v>
      </c>
      <c r="F320" s="121" t="s">
        <v>2427</v>
      </c>
      <c r="G320" s="121" t="s">
        <v>765</v>
      </c>
      <c r="H320" s="99" t="n">
        <v>14050</v>
      </c>
      <c r="I320" s="99" t="n">
        <v>14050</v>
      </c>
      <c r="J320" s="99" t="n">
        <v>0</v>
      </c>
      <c r="K320" s="99" t="n">
        <v>0</v>
      </c>
      <c r="L320" s="99" t="n">
        <v>0</v>
      </c>
      <c r="M320" s="99" t="n">
        <v>0</v>
      </c>
      <c r="N320" s="99" t="n">
        <v>0</v>
      </c>
      <c r="O320" s="42" t="n">
        <v>14050</v>
      </c>
    </row>
    <row r="321" spans="1:15">
      <c r="A321" s="37" t="n">
        <v>316</v>
      </c>
      <c r="B321" s="97" t="s">
        <v>2428</v>
      </c>
      <c r="C321" s="121" t="s">
        <v>120</v>
      </c>
      <c r="D321" s="121" t="s">
        <v>20</v>
      </c>
      <c r="E321" s="121" t="s">
        <v>21</v>
      </c>
      <c r="F321" s="98" t="n">
        <v>0</v>
      </c>
      <c r="G321" s="121" t="s">
        <v>2429</v>
      </c>
      <c r="H321" s="99" t="n">
        <v>14050</v>
      </c>
      <c r="I321" s="99" t="n">
        <v>14050</v>
      </c>
      <c r="J321" s="99" t="n">
        <v>0</v>
      </c>
      <c r="K321" s="99" t="n">
        <v>0</v>
      </c>
      <c r="L321" s="99" t="n">
        <v>0</v>
      </c>
      <c r="M321" s="99" t="n">
        <v>0</v>
      </c>
      <c r="N321" s="99" t="n">
        <v>0</v>
      </c>
      <c r="O321" s="42" t="n">
        <v>14050</v>
      </c>
    </row>
    <row r="322" spans="1:15">
      <c r="A322" s="37" t="n">
        <v>317</v>
      </c>
      <c r="B322" s="97" t="s">
        <v>777</v>
      </c>
      <c r="C322" s="121" t="s">
        <v>283</v>
      </c>
      <c r="D322" s="121" t="s">
        <v>20</v>
      </c>
      <c r="E322" s="121" t="s">
        <v>21</v>
      </c>
      <c r="F322" s="121" t="s">
        <v>2430</v>
      </c>
      <c r="G322" s="121" t="s">
        <v>778</v>
      </c>
      <c r="H322" s="99" t="n">
        <v>14050</v>
      </c>
      <c r="I322" s="99" t="n">
        <v>14050</v>
      </c>
      <c r="J322" s="99" t="n">
        <v>0</v>
      </c>
      <c r="K322" s="99" t="n">
        <v>0</v>
      </c>
      <c r="L322" s="99" t="n">
        <v>0</v>
      </c>
      <c r="M322" s="99" t="n">
        <v>0</v>
      </c>
      <c r="N322" s="99" t="n">
        <v>0</v>
      </c>
      <c r="O322" s="42" t="n">
        <v>14050</v>
      </c>
    </row>
    <row r="323" spans="1:15">
      <c r="A323" s="37" t="n">
        <v>318</v>
      </c>
      <c r="B323" s="97" t="s">
        <v>2431</v>
      </c>
      <c r="C323" s="121" t="s">
        <v>95</v>
      </c>
      <c r="D323" s="121" t="s">
        <v>20</v>
      </c>
      <c r="E323" s="121" t="s">
        <v>21</v>
      </c>
      <c r="F323" s="98" t="n">
        <v>0</v>
      </c>
      <c r="G323" s="121" t="s">
        <v>2432</v>
      </c>
      <c r="H323" s="99" t="n">
        <v>14050</v>
      </c>
      <c r="I323" s="99" t="n">
        <v>14050</v>
      </c>
      <c r="J323" s="99" t="n">
        <v>0</v>
      </c>
      <c r="K323" s="99" t="n">
        <v>0</v>
      </c>
      <c r="L323" s="99" t="n">
        <v>0</v>
      </c>
      <c r="M323" s="99" t="n">
        <v>0</v>
      </c>
      <c r="N323" s="99" t="n">
        <v>0</v>
      </c>
      <c r="O323" s="42" t="n">
        <v>14050</v>
      </c>
    </row>
    <row r="324" spans="1:15">
      <c r="A324" s="37" t="n">
        <v>319</v>
      </c>
      <c r="B324" s="97" t="s">
        <v>1182</v>
      </c>
      <c r="C324" s="121" t="s">
        <v>283</v>
      </c>
      <c r="D324" s="121" t="s">
        <v>20</v>
      </c>
      <c r="E324" s="121" t="s">
        <v>21</v>
      </c>
      <c r="F324" s="121" t="s">
        <v>2433</v>
      </c>
      <c r="G324" s="121" t="s">
        <v>1183</v>
      </c>
      <c r="H324" s="99" t="n">
        <v>14050</v>
      </c>
      <c r="I324" s="99" t="n">
        <v>14050</v>
      </c>
      <c r="J324" s="99" t="n">
        <v>0</v>
      </c>
      <c r="K324" s="99" t="n">
        <v>0</v>
      </c>
      <c r="L324" s="99" t="n">
        <v>0</v>
      </c>
      <c r="M324" s="99" t="n">
        <v>0</v>
      </c>
      <c r="N324" s="99" t="n">
        <v>0</v>
      </c>
      <c r="O324" s="42" t="n">
        <v>14050</v>
      </c>
    </row>
    <row r="325" spans="1:15">
      <c r="A325" s="37" t="n">
        <v>320</v>
      </c>
      <c r="B325" s="97" t="s">
        <v>1466</v>
      </c>
      <c r="C325" s="121" t="s">
        <v>95</v>
      </c>
      <c r="D325" s="121" t="s">
        <v>278</v>
      </c>
      <c r="E325" s="121" t="s">
        <v>16</v>
      </c>
      <c r="F325" s="98" t="n">
        <v>0</v>
      </c>
      <c r="G325" s="121" t="s">
        <v>1468</v>
      </c>
      <c r="H325" s="99" t="n">
        <v>14050</v>
      </c>
      <c r="I325" s="99" t="n">
        <v>14050</v>
      </c>
      <c r="J325" s="99" t="n">
        <v>0</v>
      </c>
      <c r="K325" s="99" t="n">
        <v>0</v>
      </c>
      <c r="L325" s="99" t="n">
        <v>0</v>
      </c>
      <c r="M325" s="99" t="n">
        <v>0</v>
      </c>
      <c r="N325" s="99" t="n">
        <v>0</v>
      </c>
      <c r="O325" s="42" t="n">
        <v>14050</v>
      </c>
    </row>
    <row r="326" spans="1:15">
      <c r="A326" s="37" t="n">
        <v>321</v>
      </c>
      <c r="B326" s="97" t="s">
        <v>1511</v>
      </c>
      <c r="C326" s="121" t="s">
        <v>58</v>
      </c>
      <c r="D326" s="121" t="s">
        <v>20</v>
      </c>
      <c r="E326" s="121" t="s">
        <v>21</v>
      </c>
      <c r="F326" s="121" t="s">
        <v>1512</v>
      </c>
      <c r="G326" s="121" t="s">
        <v>1513</v>
      </c>
      <c r="H326" s="99" t="n">
        <v>14954</v>
      </c>
      <c r="I326" s="99" t="n">
        <v>14954</v>
      </c>
      <c r="J326" s="99" t="n">
        <v>748</v>
      </c>
      <c r="K326" s="99" t="n">
        <v>0</v>
      </c>
      <c r="L326" s="99" t="n">
        <v>0</v>
      </c>
      <c r="M326" s="99" t="n">
        <v>0</v>
      </c>
      <c r="N326" s="99" t="n">
        <v>0</v>
      </c>
      <c r="O326" s="42" t="n">
        <v>14206</v>
      </c>
    </row>
    <row r="327" spans="1:15">
      <c r="A327" s="37" t="n">
        <v>322</v>
      </c>
      <c r="B327" s="97" t="s">
        <v>1577</v>
      </c>
      <c r="C327" s="121" t="s">
        <v>58</v>
      </c>
      <c r="D327" s="121" t="s">
        <v>20</v>
      </c>
      <c r="E327" s="121" t="s">
        <v>21</v>
      </c>
      <c r="F327" s="121" t="s">
        <v>1578</v>
      </c>
      <c r="G327" s="121" t="s">
        <v>1579</v>
      </c>
      <c r="H327" s="99" t="n">
        <v>14954</v>
      </c>
      <c r="I327" s="99" t="n">
        <v>14954</v>
      </c>
      <c r="J327" s="99" t="n">
        <v>748</v>
      </c>
      <c r="K327" s="99" t="n">
        <v>0</v>
      </c>
      <c r="L327" s="99" t="n">
        <v>0</v>
      </c>
      <c r="M327" s="99" t="n">
        <v>0</v>
      </c>
      <c r="N327" s="99" t="n">
        <v>0</v>
      </c>
      <c r="O327" s="42" t="n">
        <v>14206</v>
      </c>
    </row>
    <row r="328" spans="1:15">
      <c r="A328" s="37" t="n">
        <v>323</v>
      </c>
      <c r="B328" s="97" t="s">
        <v>843</v>
      </c>
      <c r="C328" s="121" t="s">
        <v>58</v>
      </c>
      <c r="D328" s="121" t="s">
        <v>20</v>
      </c>
      <c r="E328" s="121" t="s">
        <v>21</v>
      </c>
      <c r="F328" s="121" t="s">
        <v>844</v>
      </c>
      <c r="G328" s="121" t="s">
        <v>846</v>
      </c>
      <c r="H328" s="99" t="n">
        <v>14050</v>
      </c>
      <c r="I328" s="99" t="n">
        <v>14050</v>
      </c>
      <c r="J328" s="99" t="n">
        <v>703</v>
      </c>
      <c r="K328" s="99" t="n">
        <v>0</v>
      </c>
      <c r="L328" s="99" t="n">
        <v>0</v>
      </c>
      <c r="M328" s="99" t="n">
        <v>0</v>
      </c>
      <c r="N328" s="99" t="n">
        <v>0</v>
      </c>
      <c r="O328" s="42" t="n">
        <v>13347</v>
      </c>
    </row>
    <row r="329" spans="1:15">
      <c r="A329" s="37" t="n">
        <v>324</v>
      </c>
      <c r="B329" s="97" t="s">
        <v>2434</v>
      </c>
      <c r="C329" s="121" t="s">
        <v>120</v>
      </c>
      <c r="D329" s="121" t="s">
        <v>278</v>
      </c>
      <c r="E329" s="121" t="s">
        <v>16</v>
      </c>
      <c r="F329" s="98" t="n">
        <v>0</v>
      </c>
      <c r="G329" s="121" t="s">
        <v>2435</v>
      </c>
      <c r="H329" s="99" t="n">
        <v>14050</v>
      </c>
      <c r="I329" s="99" t="n">
        <v>14050</v>
      </c>
      <c r="J329" s="99" t="n">
        <v>0</v>
      </c>
      <c r="K329" s="99" t="n">
        <v>0</v>
      </c>
      <c r="L329" s="99" t="n">
        <v>0</v>
      </c>
      <c r="M329" s="99" t="n">
        <v>0</v>
      </c>
      <c r="N329" s="99" t="n">
        <v>0</v>
      </c>
      <c r="O329" s="42" t="n">
        <v>14050</v>
      </c>
    </row>
    <row r="330" spans="1:15">
      <c r="A330" s="37" t="n">
        <v>325</v>
      </c>
      <c r="B330" s="97" t="s">
        <v>1567</v>
      </c>
      <c r="C330" s="121" t="s">
        <v>283</v>
      </c>
      <c r="D330" s="121" t="s">
        <v>20</v>
      </c>
      <c r="E330" s="121" t="s">
        <v>21</v>
      </c>
      <c r="F330" s="121" t="s">
        <v>2436</v>
      </c>
      <c r="G330" s="121" t="s">
        <v>1569</v>
      </c>
      <c r="H330" s="99" t="n">
        <v>14050</v>
      </c>
      <c r="I330" s="99" t="n">
        <v>14050</v>
      </c>
      <c r="J330" s="99" t="n">
        <v>0</v>
      </c>
      <c r="K330" s="99" t="n">
        <v>0</v>
      </c>
      <c r="L330" s="99" t="n">
        <v>0</v>
      </c>
      <c r="M330" s="99" t="n">
        <v>0</v>
      </c>
      <c r="N330" s="99" t="n">
        <v>0</v>
      </c>
      <c r="O330" s="42" t="n">
        <v>14050</v>
      </c>
    </row>
    <row r="331" spans="1:15">
      <c r="A331" s="37" t="n">
        <v>326</v>
      </c>
      <c r="B331" s="97" t="s">
        <v>1274</v>
      </c>
      <c r="C331" s="121" t="s">
        <v>283</v>
      </c>
      <c r="D331" s="121" t="s">
        <v>20</v>
      </c>
      <c r="E331" s="121" t="s">
        <v>21</v>
      </c>
      <c r="F331" s="121" t="s">
        <v>2437</v>
      </c>
      <c r="G331" s="121" t="s">
        <v>1275</v>
      </c>
      <c r="H331" s="99" t="n">
        <v>14050</v>
      </c>
      <c r="I331" s="99" t="n">
        <v>14050</v>
      </c>
      <c r="J331" s="99" t="n">
        <v>0</v>
      </c>
      <c r="K331" s="99" t="n">
        <v>0</v>
      </c>
      <c r="L331" s="99" t="n">
        <v>0</v>
      </c>
      <c r="M331" s="99" t="n">
        <v>0</v>
      </c>
      <c r="N331" s="99" t="n">
        <v>0</v>
      </c>
      <c r="O331" s="42" t="n">
        <v>14050</v>
      </c>
    </row>
    <row r="332" spans="1:15">
      <c r="A332" s="37" t="n">
        <v>327</v>
      </c>
      <c r="B332" s="97" t="s">
        <v>655</v>
      </c>
      <c r="C332" s="121" t="s">
        <v>283</v>
      </c>
      <c r="D332" s="121" t="s">
        <v>20</v>
      </c>
      <c r="E332" s="121" t="s">
        <v>21</v>
      </c>
      <c r="F332" s="121" t="s">
        <v>2074</v>
      </c>
      <c r="G332" s="121" t="s">
        <v>656</v>
      </c>
      <c r="H332" s="99" t="n">
        <v>14050</v>
      </c>
      <c r="I332" s="99" t="n">
        <v>14050</v>
      </c>
      <c r="J332" s="99" t="n">
        <v>0</v>
      </c>
      <c r="K332" s="99" t="n">
        <v>0</v>
      </c>
      <c r="L332" s="99" t="n">
        <v>0</v>
      </c>
      <c r="M332" s="99" t="n">
        <v>0</v>
      </c>
      <c r="N332" s="99" t="n">
        <v>0</v>
      </c>
      <c r="O332" s="42" t="n">
        <v>14050</v>
      </c>
    </row>
    <row r="333" spans="1:15">
      <c r="A333" s="37" t="n">
        <v>328</v>
      </c>
      <c r="B333" s="97" t="s">
        <v>857</v>
      </c>
      <c r="C333" s="121" t="s">
        <v>120</v>
      </c>
      <c r="D333" s="121" t="s">
        <v>137</v>
      </c>
      <c r="E333" s="121" t="s">
        <v>14</v>
      </c>
      <c r="F333" s="98" t="n">
        <v>0</v>
      </c>
      <c r="G333" s="121" t="s">
        <v>859</v>
      </c>
      <c r="H333" s="99" t="n">
        <v>14050</v>
      </c>
      <c r="I333" s="99" t="n">
        <v>14050</v>
      </c>
      <c r="J333" s="99" t="n">
        <v>0</v>
      </c>
      <c r="K333" s="99" t="n">
        <v>0</v>
      </c>
      <c r="L333" s="99" t="n">
        <v>0</v>
      </c>
      <c r="M333" s="99" t="n">
        <v>0</v>
      </c>
      <c r="N333" s="99" t="n">
        <v>0</v>
      </c>
      <c r="O333" s="42" t="n">
        <v>14050</v>
      </c>
    </row>
    <row r="334" spans="1:15">
      <c r="A334" s="37" t="n">
        <v>329</v>
      </c>
      <c r="B334" s="97" t="s">
        <v>657</v>
      </c>
      <c r="C334" s="121" t="s">
        <v>283</v>
      </c>
      <c r="D334" s="121" t="s">
        <v>20</v>
      </c>
      <c r="E334" s="121" t="s">
        <v>21</v>
      </c>
      <c r="F334" s="121" t="s">
        <v>2438</v>
      </c>
      <c r="G334" s="121" t="s">
        <v>658</v>
      </c>
      <c r="H334" s="99" t="n">
        <v>14050</v>
      </c>
      <c r="I334" s="99" t="n">
        <v>14050</v>
      </c>
      <c r="J334" s="99" t="n">
        <v>0</v>
      </c>
      <c r="K334" s="99" t="n">
        <v>0</v>
      </c>
      <c r="L334" s="99" t="n">
        <v>0</v>
      </c>
      <c r="M334" s="99" t="n">
        <v>0</v>
      </c>
      <c r="N334" s="99" t="n">
        <v>0</v>
      </c>
      <c r="O334" s="42" t="n">
        <v>14050</v>
      </c>
    </row>
    <row r="335" spans="1:15">
      <c r="A335" s="37" t="n">
        <v>330</v>
      </c>
      <c r="B335" s="97" t="s">
        <v>703</v>
      </c>
      <c r="C335" s="121" t="s">
        <v>283</v>
      </c>
      <c r="D335" s="121" t="s">
        <v>20</v>
      </c>
      <c r="E335" s="121" t="s">
        <v>21</v>
      </c>
      <c r="F335" s="121" t="s">
        <v>2439</v>
      </c>
      <c r="G335" s="121" t="s">
        <v>704</v>
      </c>
      <c r="H335" s="99" t="n">
        <v>14050</v>
      </c>
      <c r="I335" s="99" t="n">
        <v>14050</v>
      </c>
      <c r="J335" s="99" t="n">
        <v>0</v>
      </c>
      <c r="K335" s="99" t="n">
        <v>0</v>
      </c>
      <c r="L335" s="99" t="n">
        <v>0</v>
      </c>
      <c r="M335" s="99" t="n">
        <v>0</v>
      </c>
      <c r="N335" s="99" t="n">
        <v>0</v>
      </c>
      <c r="O335" s="42" t="n">
        <v>14050</v>
      </c>
    </row>
    <row r="336" spans="1:15">
      <c r="A336" s="37" t="n">
        <v>331</v>
      </c>
      <c r="B336" s="97" t="s">
        <v>851</v>
      </c>
      <c r="C336" s="121" t="s">
        <v>283</v>
      </c>
      <c r="D336" s="121" t="s">
        <v>20</v>
      </c>
      <c r="E336" s="121" t="s">
        <v>21</v>
      </c>
      <c r="F336" s="121" t="s">
        <v>2074</v>
      </c>
      <c r="G336" s="121" t="s">
        <v>853</v>
      </c>
      <c r="H336" s="99" t="n">
        <v>14050</v>
      </c>
      <c r="I336" s="99" t="n">
        <v>14050</v>
      </c>
      <c r="J336" s="99" t="n">
        <v>0</v>
      </c>
      <c r="K336" s="99" t="n">
        <v>0</v>
      </c>
      <c r="L336" s="99" t="n">
        <v>0</v>
      </c>
      <c r="M336" s="99" t="n">
        <v>0</v>
      </c>
      <c r="N336" s="99" t="n">
        <v>0</v>
      </c>
      <c r="O336" s="42" t="n">
        <v>14050</v>
      </c>
    </row>
    <row r="337" spans="1:15">
      <c r="A337" s="37" t="n">
        <v>332</v>
      </c>
      <c r="B337" s="97" t="s">
        <v>854</v>
      </c>
      <c r="C337" s="121" t="s">
        <v>283</v>
      </c>
      <c r="D337" s="121" t="s">
        <v>20</v>
      </c>
      <c r="E337" s="121" t="s">
        <v>21</v>
      </c>
      <c r="F337" s="121" t="s">
        <v>2440</v>
      </c>
      <c r="G337" s="121" t="s">
        <v>856</v>
      </c>
      <c r="H337" s="99" t="n">
        <v>14050</v>
      </c>
      <c r="I337" s="99" t="n">
        <v>14050</v>
      </c>
      <c r="J337" s="99" t="n">
        <v>0</v>
      </c>
      <c r="K337" s="99" t="n">
        <v>0</v>
      </c>
      <c r="L337" s="99" t="n">
        <v>0</v>
      </c>
      <c r="M337" s="99" t="n">
        <v>0</v>
      </c>
      <c r="N337" s="99" t="n">
        <v>0</v>
      </c>
      <c r="O337" s="42" t="n">
        <v>14050</v>
      </c>
    </row>
    <row r="338" spans="1:15">
      <c r="A338" s="37" t="n">
        <v>333</v>
      </c>
      <c r="B338" s="97" t="s">
        <v>2441</v>
      </c>
      <c r="C338" s="121" t="s">
        <v>120</v>
      </c>
      <c r="D338" s="121" t="s">
        <v>20</v>
      </c>
      <c r="E338" s="121" t="s">
        <v>21</v>
      </c>
      <c r="F338" s="98" t="n">
        <v>0</v>
      </c>
      <c r="G338" s="121" t="s">
        <v>2442</v>
      </c>
      <c r="H338" s="99" t="n">
        <v>14050</v>
      </c>
      <c r="I338" s="99" t="n">
        <v>14050</v>
      </c>
      <c r="J338" s="99" t="n">
        <v>0</v>
      </c>
      <c r="K338" s="99" t="n">
        <v>0</v>
      </c>
      <c r="L338" s="99" t="n">
        <v>0</v>
      </c>
      <c r="M338" s="99" t="n">
        <v>0</v>
      </c>
      <c r="N338" s="99" t="n">
        <v>0</v>
      </c>
      <c r="O338" s="42" t="n">
        <v>14050</v>
      </c>
    </row>
    <row r="339" spans="1:15">
      <c r="A339" s="37" t="n">
        <v>334</v>
      </c>
      <c r="B339" s="97" t="s">
        <v>659</v>
      </c>
      <c r="C339" s="121" t="s">
        <v>283</v>
      </c>
      <c r="D339" s="121" t="s">
        <v>20</v>
      </c>
      <c r="E339" s="121" t="s">
        <v>21</v>
      </c>
      <c r="F339" s="121" t="s">
        <v>2074</v>
      </c>
      <c r="G339" s="121" t="s">
        <v>660</v>
      </c>
      <c r="H339" s="99" t="n">
        <v>14050</v>
      </c>
      <c r="I339" s="99" t="n">
        <v>14050</v>
      </c>
      <c r="J339" s="99" t="n">
        <v>0</v>
      </c>
      <c r="K339" s="99" t="n">
        <v>0</v>
      </c>
      <c r="L339" s="99" t="n">
        <v>0</v>
      </c>
      <c r="M339" s="99" t="n">
        <v>0</v>
      </c>
      <c r="N339" s="99" t="n">
        <v>0</v>
      </c>
      <c r="O339" s="42" t="n">
        <v>14050</v>
      </c>
    </row>
    <row r="340" spans="1:15">
      <c r="A340" s="37" t="n">
        <v>335</v>
      </c>
      <c r="B340" s="97" t="s">
        <v>664</v>
      </c>
      <c r="C340" s="121" t="s">
        <v>120</v>
      </c>
      <c r="D340" s="121" t="s">
        <v>124</v>
      </c>
      <c r="E340" s="121" t="s">
        <v>15</v>
      </c>
      <c r="F340" s="98" t="n">
        <v>0</v>
      </c>
      <c r="G340" s="121" t="s">
        <v>665</v>
      </c>
      <c r="H340" s="99" t="n">
        <v>14050</v>
      </c>
      <c r="I340" s="99" t="n">
        <v>14050</v>
      </c>
      <c r="J340" s="99" t="n">
        <v>0</v>
      </c>
      <c r="K340" s="99" t="n">
        <v>0</v>
      </c>
      <c r="L340" s="99" t="n">
        <v>0</v>
      </c>
      <c r="M340" s="99" t="n">
        <v>0</v>
      </c>
      <c r="N340" s="99" t="n">
        <v>0</v>
      </c>
      <c r="O340" s="42" t="n">
        <v>14050</v>
      </c>
    </row>
    <row r="341" spans="1:15">
      <c r="A341" s="37" t="n">
        <v>336</v>
      </c>
      <c r="B341" s="97" t="s">
        <v>1344</v>
      </c>
      <c r="C341" s="121" t="s">
        <v>283</v>
      </c>
      <c r="D341" s="121" t="s">
        <v>20</v>
      </c>
      <c r="E341" s="121" t="s">
        <v>21</v>
      </c>
      <c r="F341" s="121" t="s">
        <v>2443</v>
      </c>
      <c r="G341" s="121" t="s">
        <v>1345</v>
      </c>
      <c r="H341" s="99" t="n">
        <v>14050</v>
      </c>
      <c r="I341" s="99" t="n">
        <v>14050</v>
      </c>
      <c r="J341" s="99" t="n">
        <v>0</v>
      </c>
      <c r="K341" s="99" t="n">
        <v>0</v>
      </c>
      <c r="L341" s="99" t="n">
        <v>0</v>
      </c>
      <c r="M341" s="99" t="n">
        <v>0</v>
      </c>
      <c r="N341" s="99" t="n">
        <v>0</v>
      </c>
      <c r="O341" s="42" t="n">
        <v>14050</v>
      </c>
    </row>
    <row r="342" spans="1:15">
      <c r="A342" s="37" t="n">
        <v>337</v>
      </c>
      <c r="B342" s="97" t="s">
        <v>2444</v>
      </c>
      <c r="C342" s="121" t="s">
        <v>58</v>
      </c>
      <c r="D342" s="121" t="s">
        <v>20</v>
      </c>
      <c r="E342" s="121" t="s">
        <v>21</v>
      </c>
      <c r="F342" s="121" t="s">
        <v>2074</v>
      </c>
      <c r="G342" s="121" t="s">
        <v>2445</v>
      </c>
      <c r="H342" s="99" t="n">
        <v>16309</v>
      </c>
      <c r="I342" s="99" t="n">
        <v>16309</v>
      </c>
      <c r="J342" s="99" t="n">
        <v>815</v>
      </c>
      <c r="K342" s="99" t="n">
        <v>0</v>
      </c>
      <c r="L342" s="99" t="n">
        <v>0</v>
      </c>
      <c r="M342" s="99" t="n">
        <v>0</v>
      </c>
      <c r="N342" s="99" t="n">
        <v>0</v>
      </c>
      <c r="O342" s="42" t="n">
        <v>15494</v>
      </c>
    </row>
    <row r="343" spans="1:15">
      <c r="A343" s="37" t="n">
        <v>338</v>
      </c>
      <c r="B343" s="97" t="s">
        <v>1139</v>
      </c>
      <c r="C343" s="121" t="s">
        <v>58</v>
      </c>
      <c r="D343" s="121" t="s">
        <v>20</v>
      </c>
      <c r="E343" s="121" t="s">
        <v>21</v>
      </c>
      <c r="F343" s="121" t="s">
        <v>1140</v>
      </c>
      <c r="G343" s="121" t="s">
        <v>1141</v>
      </c>
      <c r="H343" s="99" t="n">
        <v>16309</v>
      </c>
      <c r="I343" s="99" t="n">
        <v>16309</v>
      </c>
      <c r="J343" s="99" t="n">
        <v>815</v>
      </c>
      <c r="K343" s="99" t="n">
        <v>0</v>
      </c>
      <c r="L343" s="99" t="n">
        <v>0</v>
      </c>
      <c r="M343" s="99" t="n">
        <v>0</v>
      </c>
      <c r="N343" s="99" t="n">
        <v>0</v>
      </c>
      <c r="O343" s="42" t="n">
        <v>15494</v>
      </c>
    </row>
    <row r="344" spans="1:15">
      <c r="A344" s="37" t="n">
        <v>339</v>
      </c>
      <c r="B344" s="97" t="s">
        <v>1201</v>
      </c>
      <c r="C344" s="121" t="s">
        <v>58</v>
      </c>
      <c r="D344" s="121" t="s">
        <v>20</v>
      </c>
      <c r="E344" s="121" t="s">
        <v>21</v>
      </c>
      <c r="F344" s="121" t="s">
        <v>1202</v>
      </c>
      <c r="G344" s="121" t="s">
        <v>1203</v>
      </c>
      <c r="H344" s="99" t="n">
        <v>15406</v>
      </c>
      <c r="I344" s="99" t="n">
        <v>15406</v>
      </c>
      <c r="J344" s="99" t="n">
        <v>770</v>
      </c>
      <c r="K344" s="99" t="n">
        <v>0</v>
      </c>
      <c r="L344" s="99" t="n">
        <v>0</v>
      </c>
      <c r="M344" s="99" t="n">
        <v>0</v>
      </c>
      <c r="N344" s="99" t="n">
        <v>0</v>
      </c>
      <c r="O344" s="42" t="n">
        <v>14636</v>
      </c>
    </row>
    <row r="345" spans="1:15">
      <c r="A345" s="37" t="n">
        <v>340</v>
      </c>
      <c r="B345" s="97" t="s">
        <v>1204</v>
      </c>
      <c r="C345" s="121" t="s">
        <v>58</v>
      </c>
      <c r="D345" s="121" t="s">
        <v>20</v>
      </c>
      <c r="E345" s="121" t="s">
        <v>21</v>
      </c>
      <c r="F345" s="121" t="s">
        <v>1205</v>
      </c>
      <c r="G345" s="121" t="s">
        <v>1206</v>
      </c>
      <c r="H345" s="99" t="n">
        <v>15406</v>
      </c>
      <c r="I345" s="99" t="n">
        <v>15406</v>
      </c>
      <c r="J345" s="99" t="n">
        <v>770</v>
      </c>
      <c r="K345" s="99" t="n">
        <v>0</v>
      </c>
      <c r="L345" s="99" t="n">
        <v>0</v>
      </c>
      <c r="M345" s="99" t="n">
        <v>0</v>
      </c>
      <c r="N345" s="99" t="n">
        <v>0</v>
      </c>
      <c r="O345" s="42" t="n">
        <v>14636</v>
      </c>
    </row>
    <row r="346" spans="1:15">
      <c r="A346" s="37" t="n">
        <v>341</v>
      </c>
      <c r="B346" s="97" t="s">
        <v>1142</v>
      </c>
      <c r="C346" s="121" t="s">
        <v>58</v>
      </c>
      <c r="D346" s="121" t="s">
        <v>20</v>
      </c>
      <c r="E346" s="121" t="s">
        <v>21</v>
      </c>
      <c r="F346" s="121" t="s">
        <v>1143</v>
      </c>
      <c r="G346" s="121" t="s">
        <v>1144</v>
      </c>
      <c r="H346" s="99" t="n">
        <v>15406</v>
      </c>
      <c r="I346" s="99" t="n">
        <v>15406</v>
      </c>
      <c r="J346" s="99" t="n">
        <v>770</v>
      </c>
      <c r="K346" s="99" t="n">
        <v>0</v>
      </c>
      <c r="L346" s="99" t="n">
        <v>0</v>
      </c>
      <c r="M346" s="99" t="n">
        <v>0</v>
      </c>
      <c r="N346" s="99" t="n">
        <v>0</v>
      </c>
      <c r="O346" s="42" t="n">
        <v>14636</v>
      </c>
    </row>
    <row r="347" spans="1:15">
      <c r="A347" s="37" t="n">
        <v>342</v>
      </c>
      <c r="B347" s="97" t="s">
        <v>1160</v>
      </c>
      <c r="C347" s="121" t="s">
        <v>58</v>
      </c>
      <c r="D347" s="121" t="s">
        <v>20</v>
      </c>
      <c r="E347" s="121" t="s">
        <v>21</v>
      </c>
      <c r="F347" s="121" t="s">
        <v>1161</v>
      </c>
      <c r="G347" s="121" t="s">
        <v>1162</v>
      </c>
      <c r="H347" s="99" t="n">
        <v>16309</v>
      </c>
      <c r="I347" s="99" t="n">
        <v>16309</v>
      </c>
      <c r="J347" s="99" t="n">
        <v>815</v>
      </c>
      <c r="K347" s="99" t="n">
        <v>0</v>
      </c>
      <c r="L347" s="99" t="n">
        <v>0</v>
      </c>
      <c r="M347" s="99" t="n">
        <v>0</v>
      </c>
      <c r="N347" s="99" t="n">
        <v>0</v>
      </c>
      <c r="O347" s="42" t="n">
        <v>15494</v>
      </c>
    </row>
    <row r="348" spans="1:15">
      <c r="A348" s="37" t="n">
        <v>343</v>
      </c>
      <c r="B348" s="97" t="s">
        <v>314</v>
      </c>
      <c r="C348" s="121" t="s">
        <v>58</v>
      </c>
      <c r="D348" s="121" t="s">
        <v>20</v>
      </c>
      <c r="E348" s="121" t="s">
        <v>21</v>
      </c>
      <c r="F348" s="121" t="s">
        <v>315</v>
      </c>
      <c r="G348" s="121" t="s">
        <v>316</v>
      </c>
      <c r="H348" s="99" t="n">
        <v>16309</v>
      </c>
      <c r="I348" s="99" t="n">
        <v>16309</v>
      </c>
      <c r="J348" s="99" t="n">
        <v>815</v>
      </c>
      <c r="K348" s="99" t="n">
        <v>0</v>
      </c>
      <c r="L348" s="99" t="n">
        <v>0</v>
      </c>
      <c r="M348" s="99" t="n">
        <v>0</v>
      </c>
      <c r="N348" s="99" t="n">
        <v>0</v>
      </c>
      <c r="O348" s="42" t="n">
        <v>15494</v>
      </c>
    </row>
    <row r="349" spans="1:15">
      <c r="A349" s="37" t="n">
        <v>344</v>
      </c>
      <c r="B349" s="97" t="s">
        <v>1150</v>
      </c>
      <c r="C349" s="121" t="s">
        <v>283</v>
      </c>
      <c r="D349" s="121" t="s">
        <v>20</v>
      </c>
      <c r="E349" s="121" t="s">
        <v>21</v>
      </c>
      <c r="F349" s="121" t="s">
        <v>2446</v>
      </c>
      <c r="G349" s="121" t="s">
        <v>1152</v>
      </c>
      <c r="H349" s="99" t="n">
        <v>15406</v>
      </c>
      <c r="I349" s="99" t="n">
        <v>15406</v>
      </c>
      <c r="J349" s="99" t="n">
        <v>0</v>
      </c>
      <c r="K349" s="99" t="n">
        <v>0</v>
      </c>
      <c r="L349" s="99" t="n">
        <v>0</v>
      </c>
      <c r="M349" s="99" t="n">
        <v>0</v>
      </c>
      <c r="N349" s="99" t="n">
        <v>0</v>
      </c>
      <c r="O349" s="42" t="n">
        <v>15406</v>
      </c>
    </row>
    <row r="350" spans="1:15">
      <c r="A350" s="37" t="n">
        <v>345</v>
      </c>
      <c r="B350" s="97" t="s">
        <v>1148</v>
      </c>
      <c r="C350" s="121" t="s">
        <v>283</v>
      </c>
      <c r="D350" s="121" t="s">
        <v>20</v>
      </c>
      <c r="E350" s="121" t="s">
        <v>21</v>
      </c>
      <c r="F350" s="121" t="s">
        <v>2447</v>
      </c>
      <c r="G350" s="121" t="s">
        <v>1149</v>
      </c>
      <c r="H350" s="99" t="n">
        <v>15406</v>
      </c>
      <c r="I350" s="99" t="n">
        <v>15406</v>
      </c>
      <c r="J350" s="99" t="n">
        <v>0</v>
      </c>
      <c r="K350" s="99" t="n">
        <v>0</v>
      </c>
      <c r="L350" s="99" t="n">
        <v>0</v>
      </c>
      <c r="M350" s="99" t="n">
        <v>0</v>
      </c>
      <c r="N350" s="99" t="n">
        <v>0</v>
      </c>
      <c r="O350" s="42" t="n">
        <v>15406</v>
      </c>
    </row>
    <row r="351" spans="1:15">
      <c r="A351" s="37" t="n">
        <v>346</v>
      </c>
      <c r="B351" s="97" t="s">
        <v>1580</v>
      </c>
      <c r="C351" s="121" t="s">
        <v>131</v>
      </c>
      <c r="D351" s="121" t="s">
        <v>20</v>
      </c>
      <c r="E351" s="121" t="s">
        <v>21</v>
      </c>
      <c r="F351" s="121" t="s">
        <v>1581</v>
      </c>
      <c r="G351" s="121" t="s">
        <v>1582</v>
      </c>
      <c r="H351" s="99" t="n">
        <v>16309</v>
      </c>
      <c r="I351" s="99" t="n">
        <v>16309</v>
      </c>
      <c r="J351" s="99" t="n">
        <v>815</v>
      </c>
      <c r="K351" s="99" t="n">
        <v>0</v>
      </c>
      <c r="L351" s="99" t="n">
        <v>0</v>
      </c>
      <c r="M351" s="99" t="n">
        <v>0</v>
      </c>
      <c r="N351" s="99" t="n">
        <v>0</v>
      </c>
      <c r="O351" s="42" t="n">
        <v>15494</v>
      </c>
    </row>
    <row r="352" spans="1:15">
      <c r="A352" s="37" t="n">
        <v>347</v>
      </c>
      <c r="B352" s="97" t="s">
        <v>1153</v>
      </c>
      <c r="C352" s="121" t="s">
        <v>131</v>
      </c>
      <c r="D352" s="121" t="s">
        <v>20</v>
      </c>
      <c r="E352" s="121" t="s">
        <v>21</v>
      </c>
      <c r="F352" s="121" t="s">
        <v>1154</v>
      </c>
      <c r="G352" s="121" t="s">
        <v>1155</v>
      </c>
      <c r="H352" s="99" t="n">
        <v>16309</v>
      </c>
      <c r="I352" s="99" t="n">
        <v>16309</v>
      </c>
      <c r="J352" s="99" t="n">
        <v>815</v>
      </c>
      <c r="K352" s="99" t="n">
        <v>0</v>
      </c>
      <c r="L352" s="99" t="n">
        <v>0</v>
      </c>
      <c r="M352" s="99" t="n">
        <v>0</v>
      </c>
      <c r="N352" s="99" t="n">
        <v>0</v>
      </c>
      <c r="O352" s="42" t="n">
        <v>15494</v>
      </c>
    </row>
    <row r="353" spans="1:15">
      <c r="A353" s="37" t="n">
        <v>348</v>
      </c>
      <c r="B353" s="97" t="s">
        <v>931</v>
      </c>
      <c r="C353" s="121" t="s">
        <v>120</v>
      </c>
      <c r="D353" s="121" t="s">
        <v>124</v>
      </c>
      <c r="E353" s="121" t="s">
        <v>15</v>
      </c>
      <c r="F353" s="98" t="n">
        <v>0</v>
      </c>
      <c r="G353" s="121" t="s">
        <v>933</v>
      </c>
      <c r="H353" s="99" t="n">
        <v>15857</v>
      </c>
      <c r="I353" s="99" t="n">
        <v>15857</v>
      </c>
      <c r="J353" s="99" t="n">
        <v>0</v>
      </c>
      <c r="K353" s="99" t="n">
        <v>0</v>
      </c>
      <c r="L353" s="99" t="n">
        <v>0</v>
      </c>
      <c r="M353" s="99" t="n">
        <v>0</v>
      </c>
      <c r="N353" s="99" t="n">
        <v>0</v>
      </c>
      <c r="O353" s="42" t="n">
        <v>15857</v>
      </c>
    </row>
    <row r="354" spans="1:15">
      <c r="A354" s="37" t="n">
        <v>349</v>
      </c>
      <c r="B354" s="97" t="s">
        <v>1145</v>
      </c>
      <c r="C354" s="121" t="s">
        <v>131</v>
      </c>
      <c r="D354" s="121" t="s">
        <v>20</v>
      </c>
      <c r="E354" s="121" t="s">
        <v>21</v>
      </c>
      <c r="F354" s="121" t="s">
        <v>1146</v>
      </c>
      <c r="G354" s="121" t="s">
        <v>1147</v>
      </c>
      <c r="H354" s="99" t="n">
        <v>16309</v>
      </c>
      <c r="I354" s="99" t="n">
        <v>16309</v>
      </c>
      <c r="J354" s="99" t="n">
        <v>815</v>
      </c>
      <c r="K354" s="99" t="n">
        <v>0</v>
      </c>
      <c r="L354" s="99" t="n">
        <v>0</v>
      </c>
      <c r="M354" s="99" t="n">
        <v>0</v>
      </c>
      <c r="N354" s="99" t="n">
        <v>0</v>
      </c>
      <c r="O354" s="42" t="n">
        <v>15494</v>
      </c>
    </row>
    <row r="355" spans="1:15">
      <c r="A355" s="37" t="n">
        <v>350</v>
      </c>
      <c r="B355" s="97" t="s">
        <v>922</v>
      </c>
      <c r="C355" s="121" t="s">
        <v>111</v>
      </c>
      <c r="D355" s="121" t="s">
        <v>20</v>
      </c>
      <c r="E355" s="121" t="s">
        <v>21</v>
      </c>
      <c r="F355" s="121" t="s">
        <v>2448</v>
      </c>
      <c r="G355" s="121" t="s">
        <v>924</v>
      </c>
      <c r="H355" s="99" t="n">
        <v>15406</v>
      </c>
      <c r="I355" s="99" t="n">
        <v>15406</v>
      </c>
      <c r="J355" s="99" t="n">
        <v>0</v>
      </c>
      <c r="K355" s="99" t="n">
        <v>0</v>
      </c>
      <c r="L355" s="99" t="n">
        <v>0</v>
      </c>
      <c r="M355" s="99" t="n">
        <v>0</v>
      </c>
      <c r="N355" s="99" t="n">
        <v>0</v>
      </c>
      <c r="O355" s="42" t="n">
        <v>15406</v>
      </c>
    </row>
    <row r="356" spans="1:15">
      <c r="A356" s="37" t="n">
        <v>351</v>
      </c>
      <c r="B356" s="97" t="s">
        <v>2449</v>
      </c>
      <c r="C356" s="121" t="s">
        <v>58</v>
      </c>
      <c r="D356" s="121" t="s">
        <v>20</v>
      </c>
      <c r="E356" s="121" t="s">
        <v>21</v>
      </c>
      <c r="F356" s="121" t="s">
        <v>2450</v>
      </c>
      <c r="G356" s="121" t="s">
        <v>2451</v>
      </c>
      <c r="H356" s="99" t="n">
        <v>455378</v>
      </c>
      <c r="I356" s="99" t="n">
        <v>455378</v>
      </c>
      <c r="J356" s="99" t="n">
        <v>22769</v>
      </c>
      <c r="K356" s="99" t="n">
        <v>0</v>
      </c>
      <c r="L356" s="99" t="n">
        <v>0</v>
      </c>
      <c r="M356" s="99" t="n">
        <v>0</v>
      </c>
      <c r="N356" s="99" t="n">
        <v>0</v>
      </c>
      <c r="O356" s="42" t="n">
        <v>432609</v>
      </c>
    </row>
    <row r="357" spans="1:15">
      <c r="A357" s="37" t="n">
        <v>352</v>
      </c>
      <c r="B357" s="97" t="s">
        <v>2452</v>
      </c>
      <c r="C357" s="121" t="s">
        <v>58</v>
      </c>
      <c r="D357" s="121" t="s">
        <v>20</v>
      </c>
      <c r="E357" s="121" t="s">
        <v>21</v>
      </c>
      <c r="F357" s="121" t="s">
        <v>2074</v>
      </c>
      <c r="G357" s="121" t="s">
        <v>2453</v>
      </c>
      <c r="H357" s="99" t="n">
        <v>367113</v>
      </c>
      <c r="I357" s="99" t="n">
        <v>367113</v>
      </c>
      <c r="J357" s="99" t="n">
        <v>18356</v>
      </c>
      <c r="K357" s="99" t="n">
        <v>0</v>
      </c>
      <c r="L357" s="99" t="n">
        <v>0</v>
      </c>
      <c r="M357" s="99" t="n">
        <v>0</v>
      </c>
      <c r="N357" s="99" t="n">
        <v>0</v>
      </c>
      <c r="O357" s="42" t="n">
        <v>348757</v>
      </c>
    </row>
    <row r="358" spans="1:15">
      <c r="A358" s="37" t="n">
        <v>353</v>
      </c>
      <c r="B358" s="97" t="s">
        <v>890</v>
      </c>
      <c r="C358" s="121" t="s">
        <v>58</v>
      </c>
      <c r="D358" s="121" t="s">
        <v>20</v>
      </c>
      <c r="E358" s="121" t="s">
        <v>21</v>
      </c>
      <c r="F358" s="121" t="s">
        <v>891</v>
      </c>
      <c r="G358" s="121" t="s">
        <v>893</v>
      </c>
      <c r="H358" s="99" t="n">
        <v>323884</v>
      </c>
      <c r="I358" s="99" t="n">
        <v>323884</v>
      </c>
      <c r="J358" s="99" t="n">
        <v>16194</v>
      </c>
      <c r="K358" s="99" t="n">
        <v>0</v>
      </c>
      <c r="L358" s="99" t="n">
        <v>0</v>
      </c>
      <c r="M358" s="99" t="n">
        <v>0</v>
      </c>
      <c r="N358" s="99" t="n">
        <v>0</v>
      </c>
      <c r="O358" s="42" t="n">
        <v>307690</v>
      </c>
    </row>
    <row r="359" spans="1:15">
      <c r="A359" s="37" t="n">
        <v>354</v>
      </c>
      <c r="B359" s="97" t="s">
        <v>1254</v>
      </c>
      <c r="C359" s="121" t="s">
        <v>58</v>
      </c>
      <c r="D359" s="121" t="s">
        <v>20</v>
      </c>
      <c r="E359" s="121" t="s">
        <v>21</v>
      </c>
      <c r="F359" s="121" t="s">
        <v>1255</v>
      </c>
      <c r="G359" s="121" t="s">
        <v>1257</v>
      </c>
      <c r="H359" s="99" t="n">
        <v>322980</v>
      </c>
      <c r="I359" s="99" t="n">
        <v>322980</v>
      </c>
      <c r="J359" s="99" t="n">
        <v>16149</v>
      </c>
      <c r="K359" s="99" t="n">
        <v>0</v>
      </c>
      <c r="L359" s="99" t="n">
        <v>0</v>
      </c>
      <c r="M359" s="99" t="n">
        <v>0</v>
      </c>
      <c r="N359" s="99" t="n">
        <v>0</v>
      </c>
      <c r="O359" s="42" t="n">
        <v>306831</v>
      </c>
    </row>
    <row r="360" spans="1:15">
      <c r="A360" s="37" t="n">
        <v>355</v>
      </c>
      <c r="B360" s="97" t="s">
        <v>906</v>
      </c>
      <c r="C360" s="121" t="s">
        <v>283</v>
      </c>
      <c r="D360" s="121" t="s">
        <v>20</v>
      </c>
      <c r="E360" s="121" t="s">
        <v>21</v>
      </c>
      <c r="F360" s="121" t="s">
        <v>2454</v>
      </c>
      <c r="G360" s="121" t="s">
        <v>907</v>
      </c>
      <c r="H360" s="99" t="n">
        <v>322980</v>
      </c>
      <c r="I360" s="99" t="n">
        <v>322980</v>
      </c>
      <c r="J360" s="99" t="n">
        <v>0</v>
      </c>
      <c r="K360" s="99" t="n">
        <v>0</v>
      </c>
      <c r="L360" s="99" t="n">
        <v>0</v>
      </c>
      <c r="M360" s="99" t="n">
        <v>0</v>
      </c>
      <c r="N360" s="99" t="n">
        <v>0</v>
      </c>
      <c r="O360" s="42" t="n">
        <v>322980</v>
      </c>
    </row>
    <row r="361" spans="1:15">
      <c r="A361" s="37" t="n">
        <v>356</v>
      </c>
      <c r="B361" s="97" t="s">
        <v>908</v>
      </c>
      <c r="C361" s="121" t="s">
        <v>283</v>
      </c>
      <c r="D361" s="121" t="s">
        <v>20</v>
      </c>
      <c r="E361" s="121" t="s">
        <v>21</v>
      </c>
      <c r="F361" s="121" t="s">
        <v>2074</v>
      </c>
      <c r="G361" s="121" t="s">
        <v>910</v>
      </c>
      <c r="H361" s="99" t="n">
        <v>322980</v>
      </c>
      <c r="I361" s="99" t="n">
        <v>322980</v>
      </c>
      <c r="J361" s="99" t="n">
        <v>0</v>
      </c>
      <c r="K361" s="99" t="n">
        <v>0</v>
      </c>
      <c r="L361" s="99" t="n">
        <v>0</v>
      </c>
      <c r="M361" s="99" t="n">
        <v>0</v>
      </c>
      <c r="N361" s="99" t="n">
        <v>0</v>
      </c>
      <c r="O361" s="42" t="n">
        <v>322980</v>
      </c>
    </row>
    <row r="362" spans="1:15">
      <c r="A362" s="37" t="n">
        <v>357</v>
      </c>
      <c r="B362" s="97" t="s">
        <v>1070</v>
      </c>
      <c r="C362" s="121" t="s">
        <v>283</v>
      </c>
      <c r="D362" s="121" t="s">
        <v>20</v>
      </c>
      <c r="E362" s="121" t="s">
        <v>21</v>
      </c>
      <c r="F362" s="121" t="s">
        <v>2455</v>
      </c>
      <c r="G362" s="121" t="s">
        <v>1071</v>
      </c>
      <c r="H362" s="99" t="n">
        <v>234714</v>
      </c>
      <c r="I362" s="99" t="n">
        <v>234714</v>
      </c>
      <c r="J362" s="99" t="n">
        <v>0</v>
      </c>
      <c r="K362" s="99" t="n">
        <v>0</v>
      </c>
      <c r="L362" s="99" t="n">
        <v>0</v>
      </c>
      <c r="M362" s="99" t="n">
        <v>0</v>
      </c>
      <c r="N362" s="99" t="n">
        <v>0</v>
      </c>
      <c r="O362" s="42" t="n">
        <v>234714</v>
      </c>
    </row>
    <row r="363" spans="1:15">
      <c r="A363" s="37" t="n">
        <v>358</v>
      </c>
      <c r="B363" s="97" t="s">
        <v>1469</v>
      </c>
      <c r="C363" s="121" t="s">
        <v>283</v>
      </c>
      <c r="D363" s="121" t="s">
        <v>20</v>
      </c>
      <c r="E363" s="121" t="s">
        <v>21</v>
      </c>
      <c r="F363" s="121" t="s">
        <v>2074</v>
      </c>
      <c r="G363" s="121" t="s">
        <v>1471</v>
      </c>
      <c r="H363" s="99" t="n">
        <v>234714</v>
      </c>
      <c r="I363" s="99" t="n">
        <v>234714</v>
      </c>
      <c r="J363" s="99" t="n">
        <v>0</v>
      </c>
      <c r="K363" s="99" t="n">
        <v>0</v>
      </c>
      <c r="L363" s="99" t="n">
        <v>0</v>
      </c>
      <c r="M363" s="99" t="n">
        <v>0</v>
      </c>
      <c r="N363" s="99" t="n">
        <v>0</v>
      </c>
      <c r="O363" s="42" t="n">
        <v>234714</v>
      </c>
    </row>
    <row r="364" spans="1:15">
      <c r="A364" s="37" t="n">
        <v>359</v>
      </c>
      <c r="B364" s="97" t="s">
        <v>1106</v>
      </c>
      <c r="C364" s="121" t="s">
        <v>283</v>
      </c>
      <c r="D364" s="121" t="s">
        <v>20</v>
      </c>
      <c r="E364" s="121" t="s">
        <v>21</v>
      </c>
      <c r="F364" s="121" t="s">
        <v>2456</v>
      </c>
      <c r="G364" s="121" t="s">
        <v>1107</v>
      </c>
      <c r="H364" s="99" t="n">
        <v>39059</v>
      </c>
      <c r="I364" s="99" t="n">
        <v>39059</v>
      </c>
      <c r="J364" s="99" t="n">
        <v>0</v>
      </c>
      <c r="K364" s="99" t="n">
        <v>0</v>
      </c>
      <c r="L364" s="99" t="n">
        <v>0</v>
      </c>
      <c r="M364" s="99" t="n">
        <v>0</v>
      </c>
      <c r="N364" s="99" t="n">
        <v>0</v>
      </c>
      <c r="O364" s="42" t="n">
        <v>39059</v>
      </c>
    </row>
    <row r="365" spans="1:15">
      <c r="A365" s="37" t="n">
        <v>360</v>
      </c>
      <c r="B365" s="97" t="s">
        <v>995</v>
      </c>
      <c r="C365" s="121" t="s">
        <v>58</v>
      </c>
      <c r="D365" s="121" t="s">
        <v>20</v>
      </c>
      <c r="E365" s="121" t="s">
        <v>21</v>
      </c>
      <c r="F365" s="121" t="s">
        <v>996</v>
      </c>
      <c r="G365" s="121" t="s">
        <v>998</v>
      </c>
      <c r="H365" s="99" t="n">
        <v>617139</v>
      </c>
      <c r="I365" s="99" t="n">
        <v>617139</v>
      </c>
      <c r="J365" s="99" t="n">
        <v>30857</v>
      </c>
      <c r="K365" s="99" t="n">
        <v>0</v>
      </c>
      <c r="L365" s="99" t="n">
        <v>0</v>
      </c>
      <c r="M365" s="99" t="n">
        <v>0</v>
      </c>
      <c r="N365" s="99" t="n">
        <v>0</v>
      </c>
      <c r="O365" s="42" t="n">
        <v>586282</v>
      </c>
    </row>
    <row r="366" spans="1:15">
      <c r="A366" s="37" t="n">
        <v>361</v>
      </c>
      <c r="B366" s="97" t="s">
        <v>1574</v>
      </c>
      <c r="C366" s="121" t="s">
        <v>58</v>
      </c>
      <c r="D366" s="121" t="s">
        <v>20</v>
      </c>
      <c r="E366" s="121" t="s">
        <v>21</v>
      </c>
      <c r="F366" s="121" t="s">
        <v>1575</v>
      </c>
      <c r="G366" s="121" t="s">
        <v>1576</v>
      </c>
      <c r="H366" s="99" t="n">
        <v>14389</v>
      </c>
      <c r="I366" s="99" t="n">
        <v>14389</v>
      </c>
      <c r="J366" s="99" t="n">
        <v>719</v>
      </c>
      <c r="K366" s="99" t="n">
        <v>0</v>
      </c>
      <c r="L366" s="99" t="n">
        <v>0</v>
      </c>
      <c r="M366" s="99" t="n">
        <v>0</v>
      </c>
      <c r="N366" s="99" t="n">
        <v>0</v>
      </c>
      <c r="O366" s="42" t="n">
        <v>13670</v>
      </c>
    </row>
    <row r="367" spans="1:15">
      <c r="A367" s="37" t="n">
        <v>362</v>
      </c>
      <c r="B367" s="97" t="s">
        <v>1536</v>
      </c>
      <c r="C367" s="121" t="s">
        <v>58</v>
      </c>
      <c r="D367" s="121" t="s">
        <v>20</v>
      </c>
      <c r="E367" s="121" t="s">
        <v>21</v>
      </c>
      <c r="F367" s="121" t="s">
        <v>1537</v>
      </c>
      <c r="G367" s="121" t="s">
        <v>1539</v>
      </c>
      <c r="H367" s="99" t="n">
        <v>14389</v>
      </c>
      <c r="I367" s="99" t="n">
        <v>14389</v>
      </c>
      <c r="J367" s="99" t="n">
        <v>719</v>
      </c>
      <c r="K367" s="99" t="n">
        <v>0</v>
      </c>
      <c r="L367" s="99" t="n">
        <v>0</v>
      </c>
      <c r="M367" s="99" t="n">
        <v>0</v>
      </c>
      <c r="N367" s="99" t="n">
        <v>0</v>
      </c>
      <c r="O367" s="42" t="n">
        <v>13670</v>
      </c>
    </row>
    <row r="368" spans="1:15">
      <c r="A368" s="37" t="n">
        <v>363</v>
      </c>
      <c r="B368" s="97" t="s">
        <v>1041</v>
      </c>
      <c r="C368" s="121" t="s">
        <v>58</v>
      </c>
      <c r="D368" s="121" t="s">
        <v>20</v>
      </c>
      <c r="E368" s="121" t="s">
        <v>21</v>
      </c>
      <c r="F368" s="121" t="s">
        <v>1042</v>
      </c>
      <c r="G368" s="121" t="s">
        <v>1044</v>
      </c>
      <c r="H368" s="99" t="n">
        <v>496907</v>
      </c>
      <c r="I368" s="99" t="n">
        <v>496907</v>
      </c>
      <c r="J368" s="99" t="n">
        <v>24845</v>
      </c>
      <c r="K368" s="99" t="n">
        <v>0</v>
      </c>
      <c r="L368" s="99" t="n">
        <v>0</v>
      </c>
      <c r="M368" s="99" t="n">
        <v>0</v>
      </c>
      <c r="N368" s="99" t="n">
        <v>0</v>
      </c>
      <c r="O368" s="42" t="n">
        <v>472062</v>
      </c>
    </row>
    <row r="369" spans="1:15">
      <c r="A369" s="37" t="n">
        <v>364</v>
      </c>
      <c r="B369" s="97" t="s">
        <v>968</v>
      </c>
      <c r="C369" s="121" t="s">
        <v>58</v>
      </c>
      <c r="D369" s="121" t="s">
        <v>20</v>
      </c>
      <c r="E369" s="121" t="s">
        <v>21</v>
      </c>
      <c r="F369" s="121" t="s">
        <v>969</v>
      </c>
      <c r="G369" s="121" t="s">
        <v>970</v>
      </c>
      <c r="H369" s="99" t="n">
        <v>375996</v>
      </c>
      <c r="I369" s="99" t="n">
        <v>375996</v>
      </c>
      <c r="J369" s="99" t="n">
        <v>18800</v>
      </c>
      <c r="K369" s="99" t="n">
        <v>0</v>
      </c>
      <c r="L369" s="99" t="n">
        <v>0</v>
      </c>
      <c r="M369" s="99" t="n">
        <v>0</v>
      </c>
      <c r="N369" s="99" t="n">
        <v>0</v>
      </c>
      <c r="O369" s="42" t="n">
        <v>357196</v>
      </c>
    </row>
    <row r="370" spans="1:15">
      <c r="A370" s="37" t="n">
        <v>365</v>
      </c>
      <c r="B370" s="97" t="s">
        <v>1258</v>
      </c>
      <c r="C370" s="121" t="s">
        <v>111</v>
      </c>
      <c r="D370" s="121" t="s">
        <v>20</v>
      </c>
      <c r="E370" s="121" t="s">
        <v>21</v>
      </c>
      <c r="F370" s="121" t="s">
        <v>1259</v>
      </c>
      <c r="G370" s="121" t="s">
        <v>1261</v>
      </c>
      <c r="H370" s="99" t="n">
        <v>254858</v>
      </c>
      <c r="I370" s="99" t="n">
        <v>254858</v>
      </c>
      <c r="J370" s="99" t="n">
        <v>0</v>
      </c>
      <c r="K370" s="99" t="n">
        <v>0</v>
      </c>
      <c r="L370" s="99" t="n">
        <v>0</v>
      </c>
      <c r="M370" s="99" t="n">
        <v>0</v>
      </c>
      <c r="N370" s="99" t="n">
        <v>0</v>
      </c>
      <c r="O370" s="42" t="n">
        <v>254858</v>
      </c>
    </row>
    <row r="371" spans="1:15">
      <c r="A371" s="37" t="n">
        <v>366</v>
      </c>
      <c r="B371" s="97" t="s">
        <v>1462</v>
      </c>
      <c r="C371" s="121" t="s">
        <v>131</v>
      </c>
      <c r="D371" s="121" t="s">
        <v>20</v>
      </c>
      <c r="E371" s="121" t="s">
        <v>21</v>
      </c>
      <c r="F371" s="121" t="s">
        <v>1463</v>
      </c>
      <c r="G371" s="121" t="s">
        <v>1465</v>
      </c>
      <c r="H371" s="99" t="n">
        <v>375996</v>
      </c>
      <c r="I371" s="99" t="n">
        <v>375996</v>
      </c>
      <c r="J371" s="99" t="n">
        <v>18800</v>
      </c>
      <c r="K371" s="99" t="n">
        <v>0</v>
      </c>
      <c r="L371" s="99" t="n">
        <v>0</v>
      </c>
      <c r="M371" s="99" t="n">
        <v>0</v>
      </c>
      <c r="N371" s="99" t="n">
        <v>0</v>
      </c>
      <c r="O371" s="42" t="n">
        <v>357196</v>
      </c>
    </row>
    <row r="372" spans="1:15">
      <c r="A372" s="37" t="n">
        <v>367</v>
      </c>
      <c r="B372" s="97" t="s">
        <v>1049</v>
      </c>
      <c r="C372" s="121" t="s">
        <v>283</v>
      </c>
      <c r="D372" s="121" t="s">
        <v>20</v>
      </c>
      <c r="E372" s="121" t="s">
        <v>21</v>
      </c>
      <c r="F372" s="121" t="s">
        <v>2457</v>
      </c>
      <c r="G372" s="121" t="s">
        <v>1051</v>
      </c>
      <c r="H372" s="99" t="n">
        <v>254858</v>
      </c>
      <c r="I372" s="99" t="n">
        <v>254858</v>
      </c>
      <c r="J372" s="99" t="n">
        <v>0</v>
      </c>
      <c r="K372" s="99" t="n">
        <v>0</v>
      </c>
      <c r="L372" s="99" t="n">
        <v>0</v>
      </c>
      <c r="M372" s="99" t="n">
        <v>0</v>
      </c>
      <c r="N372" s="99" t="n">
        <v>0</v>
      </c>
      <c r="O372" s="42" t="n">
        <v>254858</v>
      </c>
    </row>
    <row r="373" spans="1:15">
      <c r="A373" s="37" t="n">
        <v>368</v>
      </c>
      <c r="B373" s="97" t="s">
        <v>2458</v>
      </c>
      <c r="C373" s="121" t="s">
        <v>120</v>
      </c>
      <c r="D373" s="121" t="s">
        <v>128</v>
      </c>
      <c r="E373" s="121" t="s">
        <v>15</v>
      </c>
      <c r="F373" s="98" t="n">
        <v>0</v>
      </c>
      <c r="G373" s="121" t="s">
        <v>2459</v>
      </c>
      <c r="H373" s="99" t="n">
        <v>254858</v>
      </c>
      <c r="I373" s="99" t="n">
        <v>254858</v>
      </c>
      <c r="J373" s="99" t="n">
        <v>0</v>
      </c>
      <c r="K373" s="99" t="n">
        <v>0</v>
      </c>
      <c r="L373" s="99" t="n">
        <v>0</v>
      </c>
      <c r="M373" s="99" t="n">
        <v>0</v>
      </c>
      <c r="N373" s="99" t="n">
        <v>0</v>
      </c>
      <c r="O373" s="42" t="n">
        <v>254858</v>
      </c>
    </row>
    <row r="374" spans="1:15">
      <c r="A374" s="37" t="n">
        <v>369</v>
      </c>
      <c r="B374" s="97" t="s">
        <v>1330</v>
      </c>
      <c r="C374" s="121" t="s">
        <v>283</v>
      </c>
      <c r="D374" s="121" t="s">
        <v>20</v>
      </c>
      <c r="E374" s="121" t="s">
        <v>21</v>
      </c>
      <c r="F374" s="121" t="s">
        <v>2460</v>
      </c>
      <c r="G374" s="121" t="s">
        <v>1331</v>
      </c>
      <c r="H374" s="99" t="n">
        <v>254858</v>
      </c>
      <c r="I374" s="99" t="n">
        <v>254858</v>
      </c>
      <c r="J374" s="99" t="n">
        <v>0</v>
      </c>
      <c r="K374" s="99" t="n">
        <v>0</v>
      </c>
      <c r="L374" s="99" t="n">
        <v>0</v>
      </c>
      <c r="M374" s="99" t="n">
        <v>0</v>
      </c>
      <c r="N374" s="99" t="n">
        <v>0</v>
      </c>
      <c r="O374" s="42" t="n">
        <v>254858</v>
      </c>
    </row>
    <row r="375" spans="1:15">
      <c r="A375" s="37" t="n">
        <v>370</v>
      </c>
      <c r="B375" s="97" t="s">
        <v>1216</v>
      </c>
      <c r="C375" s="121" t="s">
        <v>111</v>
      </c>
      <c r="D375" s="121" t="s">
        <v>20</v>
      </c>
      <c r="E375" s="121" t="s">
        <v>21</v>
      </c>
      <c r="F375" s="121" t="s">
        <v>1217</v>
      </c>
      <c r="G375" s="121" t="s">
        <v>1218</v>
      </c>
      <c r="H375" s="99" t="n">
        <v>375092</v>
      </c>
      <c r="I375" s="99" t="n">
        <v>375092</v>
      </c>
      <c r="J375" s="99" t="n">
        <v>0</v>
      </c>
      <c r="K375" s="99" t="n">
        <v>0</v>
      </c>
      <c r="L375" s="99" t="n">
        <v>0</v>
      </c>
      <c r="M375" s="99" t="n">
        <v>0</v>
      </c>
      <c r="N375" s="99" t="n">
        <v>0</v>
      </c>
      <c r="O375" s="42" t="n">
        <v>375092</v>
      </c>
    </row>
    <row r="376" spans="1:15">
      <c r="A376" s="37" t="n">
        <v>371</v>
      </c>
      <c r="B376" s="97" t="s">
        <v>805</v>
      </c>
      <c r="C376" s="121" t="s">
        <v>120</v>
      </c>
      <c r="D376" s="121" t="s">
        <v>278</v>
      </c>
      <c r="E376" s="121" t="s">
        <v>16</v>
      </c>
      <c r="F376" s="98" t="n">
        <v>0</v>
      </c>
      <c r="G376" s="121" t="s">
        <v>807</v>
      </c>
      <c r="H376" s="99" t="n">
        <v>254858</v>
      </c>
      <c r="I376" s="99" t="n">
        <v>254858</v>
      </c>
      <c r="J376" s="99" t="n">
        <v>0</v>
      </c>
      <c r="K376" s="99" t="n">
        <v>0</v>
      </c>
      <c r="L376" s="99" t="n">
        <v>0</v>
      </c>
      <c r="M376" s="99" t="n">
        <v>0</v>
      </c>
      <c r="N376" s="99" t="n">
        <v>0</v>
      </c>
      <c r="O376" s="42" t="n">
        <v>254858</v>
      </c>
    </row>
    <row r="377" spans="1:15">
      <c r="A377" s="37" t="n">
        <v>372</v>
      </c>
      <c r="B377" s="97" t="s">
        <v>961</v>
      </c>
      <c r="C377" s="121" t="s">
        <v>283</v>
      </c>
      <c r="D377" s="121" t="s">
        <v>20</v>
      </c>
      <c r="E377" s="121" t="s">
        <v>21</v>
      </c>
      <c r="F377" s="121" t="s">
        <v>2398</v>
      </c>
      <c r="G377" s="121" t="s">
        <v>962</v>
      </c>
      <c r="H377" s="99" t="n">
        <v>375092</v>
      </c>
      <c r="I377" s="99" t="n">
        <v>375092</v>
      </c>
      <c r="J377" s="99" t="n">
        <v>0</v>
      </c>
      <c r="K377" s="99" t="n">
        <v>0</v>
      </c>
      <c r="L377" s="99" t="n">
        <v>0</v>
      </c>
      <c r="M377" s="99" t="n">
        <v>0</v>
      </c>
      <c r="N377" s="99" t="n">
        <v>0</v>
      </c>
      <c r="O377" s="42" t="n">
        <v>375092</v>
      </c>
    </row>
    <row r="378" spans="1:15">
      <c r="A378" s="37" t="n">
        <v>373</v>
      </c>
      <c r="B378" s="97" t="s">
        <v>1557</v>
      </c>
      <c r="C378" s="121" t="s">
        <v>283</v>
      </c>
      <c r="D378" s="121" t="s">
        <v>20</v>
      </c>
      <c r="E378" s="121" t="s">
        <v>21</v>
      </c>
      <c r="F378" s="121" t="s">
        <v>2472</v>
      </c>
      <c r="G378" s="121" t="s">
        <v>1558</v>
      </c>
      <c r="H378" s="99" t="n">
        <v>14389</v>
      </c>
      <c r="I378" s="99" t="n">
        <v>14389</v>
      </c>
      <c r="J378" s="99" t="n">
        <v>0</v>
      </c>
      <c r="K378" s="99" t="n">
        <v>0</v>
      </c>
      <c r="L378" s="99" t="n">
        <v>0</v>
      </c>
      <c r="M378" s="99" t="n">
        <v>0</v>
      </c>
      <c r="N378" s="99" t="n">
        <v>0</v>
      </c>
      <c r="O378" s="42" t="n">
        <v>14389</v>
      </c>
    </row>
    <row r="379" spans="1:15">
      <c r="A379" s="37" t="n">
        <v>374</v>
      </c>
      <c r="B379" s="97" t="s">
        <v>2461</v>
      </c>
      <c r="C379" s="121" t="s">
        <v>95</v>
      </c>
      <c r="D379" s="121" t="s">
        <v>20</v>
      </c>
      <c r="E379" s="121" t="s">
        <v>21</v>
      </c>
      <c r="F379" s="98" t="n">
        <v>0</v>
      </c>
      <c r="G379" s="121" t="s">
        <v>2462</v>
      </c>
      <c r="H379" s="99" t="n">
        <v>254858</v>
      </c>
      <c r="I379" s="99" t="n">
        <v>254858</v>
      </c>
      <c r="J379" s="99" t="n">
        <v>0</v>
      </c>
      <c r="K379" s="99" t="n">
        <v>0</v>
      </c>
      <c r="L379" s="99" t="n">
        <v>0</v>
      </c>
      <c r="M379" s="99" t="n">
        <v>0</v>
      </c>
      <c r="N379" s="99" t="n">
        <v>0</v>
      </c>
      <c r="O379" s="42" t="n">
        <v>254858</v>
      </c>
    </row>
    <row r="380" spans="1:15">
      <c r="A380" s="37" t="n">
        <v>375</v>
      </c>
      <c r="B380" s="97" t="s">
        <v>919</v>
      </c>
      <c r="C380" s="121" t="s">
        <v>131</v>
      </c>
      <c r="D380" s="121" t="s">
        <v>20</v>
      </c>
      <c r="E380" s="121" t="s">
        <v>21</v>
      </c>
      <c r="F380" s="121" t="s">
        <v>920</v>
      </c>
      <c r="G380" s="121" t="s">
        <v>921</v>
      </c>
      <c r="H380" s="99" t="n">
        <v>255762</v>
      </c>
      <c r="I380" s="99" t="n">
        <v>255762</v>
      </c>
      <c r="J380" s="99" t="n">
        <v>12788</v>
      </c>
      <c r="K380" s="99" t="n">
        <v>0</v>
      </c>
      <c r="L380" s="99" t="n">
        <v>0</v>
      </c>
      <c r="M380" s="99" t="n">
        <v>0</v>
      </c>
      <c r="N380" s="99" t="n">
        <v>0</v>
      </c>
      <c r="O380" s="42" t="n">
        <v>242974</v>
      </c>
    </row>
    <row r="381" spans="1:15">
      <c r="A381" s="37" t="n">
        <v>376</v>
      </c>
      <c r="B381" s="97" t="s">
        <v>1492</v>
      </c>
      <c r="C381" s="121" t="s">
        <v>283</v>
      </c>
      <c r="D381" s="121" t="s">
        <v>20</v>
      </c>
      <c r="E381" s="121" t="s">
        <v>21</v>
      </c>
      <c r="F381" s="121" t="s">
        <v>2411</v>
      </c>
      <c r="G381" s="121" t="s">
        <v>1493</v>
      </c>
      <c r="H381" s="99" t="n">
        <v>254858</v>
      </c>
      <c r="I381" s="99" t="n">
        <v>254858</v>
      </c>
      <c r="J381" s="99" t="n">
        <v>0</v>
      </c>
      <c r="K381" s="99" t="n">
        <v>0</v>
      </c>
      <c r="L381" s="99" t="n">
        <v>0</v>
      </c>
      <c r="M381" s="99" t="n">
        <v>0</v>
      </c>
      <c r="N381" s="99" t="n">
        <v>0</v>
      </c>
      <c r="O381" s="42" t="n">
        <v>254858</v>
      </c>
    </row>
    <row r="382" spans="1:15">
      <c r="A382" s="37" t="n">
        <v>377</v>
      </c>
      <c r="B382" s="97" t="s">
        <v>1198</v>
      </c>
      <c r="C382" s="121" t="s">
        <v>19</v>
      </c>
      <c r="D382" s="121" t="s">
        <v>20</v>
      </c>
      <c r="E382" s="121" t="s">
        <v>21</v>
      </c>
      <c r="F382" s="121" t="s">
        <v>1199</v>
      </c>
      <c r="G382" s="121" t="s">
        <v>1200</v>
      </c>
      <c r="H382" s="99" t="n">
        <v>16987</v>
      </c>
      <c r="I382" s="99" t="n">
        <v>16987</v>
      </c>
      <c r="J382" s="99" t="n">
        <v>0</v>
      </c>
      <c r="K382" s="99" t="n">
        <v>2548</v>
      </c>
      <c r="L382" s="99" t="n">
        <v>0</v>
      </c>
      <c r="M382" s="99" t="n">
        <v>0</v>
      </c>
      <c r="N382" s="99" t="n">
        <v>0</v>
      </c>
      <c r="O382" s="42" t="n">
        <v>14439</v>
      </c>
    </row>
    <row r="383" spans="1:15">
      <c r="A383" s="37" t="n">
        <v>378</v>
      </c>
      <c r="B383" s="97" t="s">
        <v>1283</v>
      </c>
      <c r="C383" s="121" t="s">
        <v>58</v>
      </c>
      <c r="D383" s="121" t="s">
        <v>20</v>
      </c>
      <c r="E383" s="121" t="s">
        <v>21</v>
      </c>
      <c r="F383" s="121" t="s">
        <v>1284</v>
      </c>
      <c r="G383" s="121" t="s">
        <v>1285</v>
      </c>
      <c r="H383" s="99" t="n">
        <v>16309</v>
      </c>
      <c r="I383" s="99" t="n">
        <v>16309</v>
      </c>
      <c r="J383" s="99" t="n">
        <v>815</v>
      </c>
      <c r="K383" s="99" t="n">
        <v>0</v>
      </c>
      <c r="L383" s="99" t="n">
        <v>0</v>
      </c>
      <c r="M383" s="99" t="n">
        <v>0</v>
      </c>
      <c r="N383" s="99" t="n">
        <v>0</v>
      </c>
      <c r="O383" s="42" t="n">
        <v>15494</v>
      </c>
    </row>
    <row r="384" spans="1:15">
      <c r="A384" s="37" t="n">
        <v>379</v>
      </c>
      <c r="B384" s="97" t="s">
        <v>1286</v>
      </c>
      <c r="C384" s="121" t="s">
        <v>58</v>
      </c>
      <c r="D384" s="121" t="s">
        <v>20</v>
      </c>
      <c r="E384" s="121" t="s">
        <v>21</v>
      </c>
      <c r="F384" s="121" t="s">
        <v>1287</v>
      </c>
      <c r="G384" s="121" t="s">
        <v>1288</v>
      </c>
      <c r="H384" s="99" t="n">
        <v>15406</v>
      </c>
      <c r="I384" s="99" t="n">
        <v>15406</v>
      </c>
      <c r="J384" s="99" t="n">
        <v>770</v>
      </c>
      <c r="K384" s="99" t="n">
        <v>0</v>
      </c>
      <c r="L384" s="99" t="n">
        <v>0</v>
      </c>
      <c r="M384" s="99" t="n">
        <v>0</v>
      </c>
      <c r="N384" s="99" t="n">
        <v>0</v>
      </c>
      <c r="O384" s="42" t="n">
        <v>14636</v>
      </c>
    </row>
    <row r="385" spans="1:15">
      <c r="A385" s="37" t="n">
        <v>380</v>
      </c>
      <c r="B385" s="97" t="s">
        <v>1250</v>
      </c>
      <c r="C385" s="121" t="s">
        <v>58</v>
      </c>
      <c r="D385" s="121" t="s">
        <v>20</v>
      </c>
      <c r="E385" s="121" t="s">
        <v>21</v>
      </c>
      <c r="F385" s="121" t="s">
        <v>1251</v>
      </c>
      <c r="G385" s="121" t="s">
        <v>1253</v>
      </c>
      <c r="H385" s="99" t="n">
        <v>15406</v>
      </c>
      <c r="I385" s="99" t="n">
        <v>15406</v>
      </c>
      <c r="J385" s="99" t="n">
        <v>770</v>
      </c>
      <c r="K385" s="99" t="n">
        <v>0</v>
      </c>
      <c r="L385" s="99" t="n">
        <v>0</v>
      </c>
      <c r="M385" s="99" t="n">
        <v>0</v>
      </c>
      <c r="N385" s="99" t="n">
        <v>0</v>
      </c>
      <c r="O385" s="42" t="n">
        <v>14636</v>
      </c>
    </row>
    <row r="386" spans="1:15">
      <c r="A386" s="37" t="n">
        <v>381</v>
      </c>
      <c r="B386" s="97" t="s">
        <v>1276</v>
      </c>
      <c r="C386" s="121" t="s">
        <v>58</v>
      </c>
      <c r="D386" s="121" t="s">
        <v>20</v>
      </c>
      <c r="E386" s="121" t="s">
        <v>21</v>
      </c>
      <c r="F386" s="121" t="s">
        <v>1277</v>
      </c>
      <c r="G386" s="121" t="s">
        <v>1279</v>
      </c>
      <c r="H386" s="99" t="n">
        <v>16309</v>
      </c>
      <c r="I386" s="99" t="n">
        <v>16309</v>
      </c>
      <c r="J386" s="99" t="n">
        <v>815</v>
      </c>
      <c r="K386" s="99" t="n">
        <v>0</v>
      </c>
      <c r="L386" s="99" t="n">
        <v>0</v>
      </c>
      <c r="M386" s="99" t="n">
        <v>0</v>
      </c>
      <c r="N386" s="99" t="n">
        <v>0</v>
      </c>
      <c r="O386" s="42" t="n">
        <v>15494</v>
      </c>
    </row>
    <row r="387" spans="1:15">
      <c r="A387" s="37" t="n">
        <v>382</v>
      </c>
      <c r="B387" s="97" t="s">
        <v>1520</v>
      </c>
      <c r="C387" s="121" t="s">
        <v>58</v>
      </c>
      <c r="D387" s="121" t="s">
        <v>20</v>
      </c>
      <c r="E387" s="121" t="s">
        <v>21</v>
      </c>
      <c r="F387" s="121" t="s">
        <v>1521</v>
      </c>
      <c r="G387" s="121" t="s">
        <v>1523</v>
      </c>
      <c r="H387" s="99" t="n">
        <v>16309</v>
      </c>
      <c r="I387" s="99" t="n">
        <v>16309</v>
      </c>
      <c r="J387" s="99" t="n">
        <v>815</v>
      </c>
      <c r="K387" s="99" t="n">
        <v>0</v>
      </c>
      <c r="L387" s="99" t="n">
        <v>0</v>
      </c>
      <c r="M387" s="99" t="n">
        <v>0</v>
      </c>
      <c r="N387" s="99" t="n">
        <v>0</v>
      </c>
      <c r="O387" s="42" t="n">
        <v>15494</v>
      </c>
    </row>
    <row r="388" spans="1:15">
      <c r="A388" s="37" t="n">
        <v>383</v>
      </c>
      <c r="B388" s="97" t="s">
        <v>2463</v>
      </c>
      <c r="C388" s="121" t="s">
        <v>58</v>
      </c>
      <c r="D388" s="121" t="s">
        <v>20</v>
      </c>
      <c r="E388" s="121" t="s">
        <v>21</v>
      </c>
      <c r="F388" s="121" t="s">
        <v>2464</v>
      </c>
      <c r="G388" s="121" t="s">
        <v>2465</v>
      </c>
      <c r="H388" s="99" t="n">
        <v>15406</v>
      </c>
      <c r="I388" s="99" t="n">
        <v>15406</v>
      </c>
      <c r="J388" s="99" t="n">
        <v>770</v>
      </c>
      <c r="K388" s="99" t="n">
        <v>0</v>
      </c>
      <c r="L388" s="99" t="n">
        <v>0</v>
      </c>
      <c r="M388" s="99" t="n">
        <v>0</v>
      </c>
      <c r="N388" s="99" t="n">
        <v>0</v>
      </c>
      <c r="O388" s="42" t="n">
        <v>14636</v>
      </c>
    </row>
    <row r="389" spans="1:15">
      <c r="A389" s="37" t="n">
        <v>384</v>
      </c>
      <c r="B389" s="97" t="s">
        <v>1289</v>
      </c>
      <c r="C389" s="121" t="s">
        <v>58</v>
      </c>
      <c r="D389" s="121" t="s">
        <v>20</v>
      </c>
      <c r="E389" s="121" t="s">
        <v>21</v>
      </c>
      <c r="F389" s="121" t="s">
        <v>1290</v>
      </c>
      <c r="G389" s="121" t="s">
        <v>1292</v>
      </c>
      <c r="H389" s="99" t="n">
        <v>15406</v>
      </c>
      <c r="I389" s="99" t="n">
        <v>15406</v>
      </c>
      <c r="J389" s="99" t="n">
        <v>770</v>
      </c>
      <c r="K389" s="99" t="n">
        <v>0</v>
      </c>
      <c r="L389" s="99" t="n">
        <v>0</v>
      </c>
      <c r="M389" s="99" t="n">
        <v>0</v>
      </c>
      <c r="N389" s="99" t="n">
        <v>0</v>
      </c>
      <c r="O389" s="42" t="n">
        <v>14636</v>
      </c>
    </row>
    <row r="390" spans="1:15">
      <c r="A390" s="37" t="n">
        <v>385</v>
      </c>
      <c r="B390" s="97" t="s">
        <v>793</v>
      </c>
      <c r="C390" s="121" t="s">
        <v>58</v>
      </c>
      <c r="D390" s="121" t="s">
        <v>20</v>
      </c>
      <c r="E390" s="121" t="s">
        <v>21</v>
      </c>
      <c r="F390" s="121" t="s">
        <v>794</v>
      </c>
      <c r="G390" s="121" t="s">
        <v>796</v>
      </c>
      <c r="H390" s="99" t="n">
        <v>16309</v>
      </c>
      <c r="I390" s="99" t="n">
        <v>16309</v>
      </c>
      <c r="J390" s="99" t="n">
        <v>815</v>
      </c>
      <c r="K390" s="99" t="n">
        <v>0</v>
      </c>
      <c r="L390" s="99" t="n">
        <v>0</v>
      </c>
      <c r="M390" s="99" t="n">
        <v>0</v>
      </c>
      <c r="N390" s="99" t="n">
        <v>0</v>
      </c>
      <c r="O390" s="42" t="n">
        <v>15494</v>
      </c>
    </row>
    <row r="391" spans="1:15">
      <c r="A391" s="37" t="n">
        <v>386</v>
      </c>
      <c r="B391" s="97" t="s">
        <v>623</v>
      </c>
      <c r="C391" s="121" t="s">
        <v>58</v>
      </c>
      <c r="D391" s="121" t="s">
        <v>20</v>
      </c>
      <c r="E391" s="121" t="s">
        <v>21</v>
      </c>
      <c r="F391" s="121" t="s">
        <v>624</v>
      </c>
      <c r="G391" s="121" t="s">
        <v>626</v>
      </c>
      <c r="H391" s="99" t="n">
        <v>15857</v>
      </c>
      <c r="I391" s="99" t="n">
        <v>15857</v>
      </c>
      <c r="J391" s="99" t="n">
        <v>793</v>
      </c>
      <c r="K391" s="99" t="n">
        <v>0</v>
      </c>
      <c r="L391" s="99" t="n">
        <v>0</v>
      </c>
      <c r="M391" s="99" t="n">
        <v>0</v>
      </c>
      <c r="N391" s="99" t="n">
        <v>0</v>
      </c>
      <c r="O391" s="42" t="n">
        <v>15064</v>
      </c>
    </row>
    <row r="392" spans="1:15">
      <c r="A392" s="37" t="n">
        <v>387</v>
      </c>
      <c r="B392" s="97" t="s">
        <v>1559</v>
      </c>
      <c r="C392" s="121" t="s">
        <v>58</v>
      </c>
      <c r="D392" s="121" t="s">
        <v>20</v>
      </c>
      <c r="E392" s="121" t="s">
        <v>21</v>
      </c>
      <c r="F392" s="121" t="s">
        <v>1560</v>
      </c>
      <c r="G392" s="121" t="s">
        <v>1561</v>
      </c>
      <c r="H392" s="99" t="n">
        <v>16309</v>
      </c>
      <c r="I392" s="99" t="n">
        <v>16309</v>
      </c>
      <c r="J392" s="99" t="n">
        <v>815</v>
      </c>
      <c r="K392" s="99" t="n">
        <v>0</v>
      </c>
      <c r="L392" s="99" t="n">
        <v>0</v>
      </c>
      <c r="M392" s="99" t="n">
        <v>0</v>
      </c>
      <c r="N392" s="99" t="n">
        <v>0</v>
      </c>
      <c r="O392" s="42" t="n">
        <v>15494</v>
      </c>
    </row>
    <row r="393" spans="1:15">
      <c r="A393" s="37" t="n">
        <v>388</v>
      </c>
      <c r="B393" s="97" t="s">
        <v>1728</v>
      </c>
      <c r="C393" s="121" t="s">
        <v>120</v>
      </c>
      <c r="D393" s="121" t="s">
        <v>128</v>
      </c>
      <c r="E393" s="121" t="s">
        <v>15</v>
      </c>
      <c r="F393" s="98" t="n">
        <v>0</v>
      </c>
      <c r="G393" s="121" t="s">
        <v>1729</v>
      </c>
      <c r="H393" s="99" t="n">
        <v>15406</v>
      </c>
      <c r="I393" s="99" t="n">
        <v>15406</v>
      </c>
      <c r="J393" s="99" t="n">
        <v>0</v>
      </c>
      <c r="K393" s="99" t="n">
        <v>0</v>
      </c>
      <c r="L393" s="99" t="n">
        <v>0</v>
      </c>
      <c r="M393" s="99" t="n">
        <v>0</v>
      </c>
      <c r="N393" s="99" t="n">
        <v>0</v>
      </c>
      <c r="O393" s="42" t="n">
        <v>15406</v>
      </c>
    </row>
    <row r="394" spans="1:15">
      <c r="A394" s="37" t="n">
        <v>389</v>
      </c>
      <c r="B394" s="97" t="s">
        <v>1460</v>
      </c>
      <c r="C394" s="121" t="s">
        <v>283</v>
      </c>
      <c r="D394" s="121" t="s">
        <v>20</v>
      </c>
      <c r="E394" s="121" t="s">
        <v>21</v>
      </c>
      <c r="F394" s="121" t="s">
        <v>2466</v>
      </c>
      <c r="G394" s="121" t="s">
        <v>1461</v>
      </c>
      <c r="H394" s="99" t="n">
        <v>15406</v>
      </c>
      <c r="I394" s="99" t="n">
        <v>15406</v>
      </c>
      <c r="J394" s="99" t="n">
        <v>0</v>
      </c>
      <c r="K394" s="99" t="n">
        <v>0</v>
      </c>
      <c r="L394" s="99" t="n">
        <v>0</v>
      </c>
      <c r="M394" s="99" t="n">
        <v>0</v>
      </c>
      <c r="N394" s="99" t="n">
        <v>0</v>
      </c>
      <c r="O394" s="42" t="n">
        <v>15406</v>
      </c>
    </row>
    <row r="395" spans="1:15">
      <c r="A395" s="37" t="n">
        <v>390</v>
      </c>
      <c r="B395" s="97" t="s">
        <v>1305</v>
      </c>
      <c r="C395" s="121" t="s">
        <v>283</v>
      </c>
      <c r="D395" s="121" t="s">
        <v>20</v>
      </c>
      <c r="E395" s="121" t="s">
        <v>21</v>
      </c>
      <c r="F395" s="121" t="s">
        <v>2598</v>
      </c>
      <c r="G395" s="121" t="s">
        <v>1307</v>
      </c>
      <c r="H395" s="99" t="n">
        <v>15406</v>
      </c>
      <c r="I395" s="99" t="n">
        <v>15406</v>
      </c>
      <c r="J395" s="99" t="n">
        <v>0</v>
      </c>
      <c r="K395" s="99" t="n">
        <v>0</v>
      </c>
      <c r="L395" s="99" t="n">
        <v>0</v>
      </c>
      <c r="M395" s="99" t="n">
        <v>0</v>
      </c>
      <c r="N395" s="99" t="n">
        <v>0</v>
      </c>
      <c r="O395" s="42" t="n">
        <v>15406</v>
      </c>
    </row>
    <row r="396" spans="1:15">
      <c r="A396" s="37" t="n">
        <v>391</v>
      </c>
      <c r="B396" s="97" t="s">
        <v>1308</v>
      </c>
      <c r="C396" s="121" t="s">
        <v>120</v>
      </c>
      <c r="D396" s="121" t="s">
        <v>278</v>
      </c>
      <c r="E396" s="121" t="s">
        <v>16</v>
      </c>
      <c r="F396" s="98" t="n">
        <v>0</v>
      </c>
      <c r="G396" s="121" t="s">
        <v>1310</v>
      </c>
      <c r="H396" s="99" t="n">
        <v>16309</v>
      </c>
      <c r="I396" s="99" t="n">
        <v>16309</v>
      </c>
      <c r="J396" s="99" t="n">
        <v>0</v>
      </c>
      <c r="K396" s="99" t="n">
        <v>0</v>
      </c>
      <c r="L396" s="99" t="n">
        <v>0</v>
      </c>
      <c r="M396" s="99" t="n">
        <v>0</v>
      </c>
      <c r="N396" s="99" t="n">
        <v>0</v>
      </c>
      <c r="O396" s="42" t="n">
        <v>16309</v>
      </c>
    </row>
    <row r="397" spans="1:15">
      <c r="A397" s="37" t="n">
        <v>392</v>
      </c>
      <c r="B397" s="97" t="s">
        <v>1321</v>
      </c>
      <c r="C397" s="121" t="s">
        <v>283</v>
      </c>
      <c r="D397" s="121" t="s">
        <v>20</v>
      </c>
      <c r="E397" s="121" t="s">
        <v>21</v>
      </c>
      <c r="F397" s="121" t="s">
        <v>2599</v>
      </c>
      <c r="G397" s="121" t="s">
        <v>1323</v>
      </c>
      <c r="H397" s="99" t="n">
        <v>15406</v>
      </c>
      <c r="I397" s="99" t="n">
        <v>15406</v>
      </c>
      <c r="J397" s="99" t="n">
        <v>0</v>
      </c>
      <c r="K397" s="99" t="n">
        <v>0</v>
      </c>
      <c r="L397" s="99" t="n">
        <v>0</v>
      </c>
      <c r="M397" s="99" t="n">
        <v>0</v>
      </c>
      <c r="N397" s="99" t="n">
        <v>0</v>
      </c>
      <c r="O397" s="42" t="n">
        <v>15406</v>
      </c>
    </row>
    <row r="398" spans="1:15">
      <c r="A398" s="37" t="n">
        <v>393</v>
      </c>
      <c r="B398" s="97" t="s">
        <v>2468</v>
      </c>
      <c r="C398" s="121" t="s">
        <v>120</v>
      </c>
      <c r="D398" s="121" t="s">
        <v>2469</v>
      </c>
      <c r="E398" s="121" t="s">
        <v>21</v>
      </c>
      <c r="F398" s="98" t="n">
        <v>0</v>
      </c>
      <c r="G398" s="121" t="s">
        <v>2470</v>
      </c>
      <c r="H398" s="99" t="n">
        <v>15406</v>
      </c>
      <c r="I398" s="99" t="n">
        <v>15406</v>
      </c>
      <c r="J398" s="99" t="n">
        <v>0</v>
      </c>
      <c r="K398" s="99" t="n">
        <v>0</v>
      </c>
      <c r="L398" s="99" t="n">
        <v>0</v>
      </c>
      <c r="M398" s="99" t="n">
        <v>0</v>
      </c>
      <c r="N398" s="99" t="n">
        <v>0</v>
      </c>
      <c r="O398" s="42" t="n">
        <v>15406</v>
      </c>
    </row>
    <row r="399" spans="1:15">
      <c r="A399" s="37" t="n">
        <v>394</v>
      </c>
      <c r="B399" s="97" t="s">
        <v>1403</v>
      </c>
      <c r="C399" s="121" t="s">
        <v>283</v>
      </c>
      <c r="D399" s="121" t="s">
        <v>20</v>
      </c>
      <c r="E399" s="121" t="s">
        <v>21</v>
      </c>
      <c r="F399" s="121" t="s">
        <v>2471</v>
      </c>
      <c r="G399" s="121" t="s">
        <v>1404</v>
      </c>
      <c r="H399" s="99" t="n">
        <v>15406</v>
      </c>
      <c r="I399" s="99" t="n">
        <v>15406</v>
      </c>
      <c r="J399" s="99" t="n">
        <v>0</v>
      </c>
      <c r="K399" s="99" t="n">
        <v>0</v>
      </c>
      <c r="L399" s="99" t="n">
        <v>0</v>
      </c>
      <c r="M399" s="99" t="n">
        <v>0</v>
      </c>
      <c r="N399" s="99" t="n">
        <v>0</v>
      </c>
      <c r="O399" s="42" t="n">
        <v>15406</v>
      </c>
    </row>
    <row r="400" spans="1:15">
      <c r="A400" s="37" t="n">
        <v>395</v>
      </c>
      <c r="B400" s="97" t="s">
        <v>1303</v>
      </c>
      <c r="C400" s="121" t="s">
        <v>120</v>
      </c>
      <c r="D400" s="121" t="s">
        <v>128</v>
      </c>
      <c r="E400" s="121" t="s">
        <v>15</v>
      </c>
      <c r="F400" s="98" t="n">
        <v>0</v>
      </c>
      <c r="G400" s="121" t="s">
        <v>1304</v>
      </c>
      <c r="H400" s="99" t="n">
        <v>16309</v>
      </c>
      <c r="I400" s="99" t="n">
        <v>16309</v>
      </c>
      <c r="J400" s="99" t="n">
        <v>0</v>
      </c>
      <c r="K400" s="99" t="n">
        <v>0</v>
      </c>
      <c r="L400" s="99" t="n">
        <v>0</v>
      </c>
      <c r="M400" s="99" t="n">
        <v>0</v>
      </c>
      <c r="N400" s="99" t="n">
        <v>0</v>
      </c>
      <c r="O400" s="42" t="n">
        <v>16309</v>
      </c>
    </row>
    <row r="401" spans="1:15">
      <c r="A401" s="37" t="n">
        <v>396</v>
      </c>
      <c r="B401" s="97" t="s">
        <v>1213</v>
      </c>
      <c r="C401" s="121" t="s">
        <v>283</v>
      </c>
      <c r="D401" s="121" t="s">
        <v>20</v>
      </c>
      <c r="E401" s="121" t="s">
        <v>21</v>
      </c>
      <c r="F401" s="121" t="s">
        <v>1214</v>
      </c>
      <c r="G401" s="121" t="s">
        <v>1215</v>
      </c>
      <c r="H401" s="99" t="n">
        <v>15406</v>
      </c>
      <c r="I401" s="99" t="n">
        <v>15406</v>
      </c>
      <c r="J401" s="99" t="n">
        <v>0</v>
      </c>
      <c r="K401" s="99" t="n">
        <v>0</v>
      </c>
      <c r="L401" s="99" t="n">
        <v>0</v>
      </c>
      <c r="M401" s="99" t="n">
        <v>0</v>
      </c>
      <c r="N401" s="99" t="n">
        <v>0</v>
      </c>
      <c r="O401" s="42" t="n">
        <v>15406</v>
      </c>
    </row>
    <row r="402" spans="1:15">
      <c r="A402" s="37" t="n">
        <v>397</v>
      </c>
      <c r="B402" s="97" t="s">
        <v>1311</v>
      </c>
      <c r="C402" s="121" t="s">
        <v>283</v>
      </c>
      <c r="D402" s="121" t="s">
        <v>20</v>
      </c>
      <c r="E402" s="121" t="s">
        <v>21</v>
      </c>
      <c r="F402" s="121" t="s">
        <v>2473</v>
      </c>
      <c r="G402" s="121" t="s">
        <v>1313</v>
      </c>
      <c r="H402" s="99" t="n">
        <v>15406</v>
      </c>
      <c r="I402" s="99" t="n">
        <v>15406</v>
      </c>
      <c r="J402" s="99" t="n">
        <v>0</v>
      </c>
      <c r="K402" s="99" t="n">
        <v>0</v>
      </c>
      <c r="L402" s="99" t="n">
        <v>0</v>
      </c>
      <c r="M402" s="99" t="n">
        <v>0</v>
      </c>
      <c r="N402" s="99" t="n">
        <v>0</v>
      </c>
      <c r="O402" s="42" t="n">
        <v>15406</v>
      </c>
    </row>
    <row r="403" spans="1:15">
      <c r="A403" s="37" t="n">
        <v>398</v>
      </c>
      <c r="B403" s="97" t="s">
        <v>646</v>
      </c>
      <c r="C403" s="121" t="s">
        <v>283</v>
      </c>
      <c r="D403" s="121" t="s">
        <v>20</v>
      </c>
      <c r="E403" s="121" t="s">
        <v>21</v>
      </c>
      <c r="F403" s="121" t="s">
        <v>2474</v>
      </c>
      <c r="G403" s="121" t="s">
        <v>647</v>
      </c>
      <c r="H403" s="99" t="n">
        <v>15406</v>
      </c>
      <c r="I403" s="99" t="n">
        <v>15406</v>
      </c>
      <c r="J403" s="99" t="n">
        <v>0</v>
      </c>
      <c r="K403" s="99" t="n">
        <v>0</v>
      </c>
      <c r="L403" s="99" t="n">
        <v>0</v>
      </c>
      <c r="M403" s="99" t="n">
        <v>0</v>
      </c>
      <c r="N403" s="99" t="n">
        <v>0</v>
      </c>
      <c r="O403" s="42" t="n">
        <v>15406</v>
      </c>
    </row>
    <row r="404" spans="1:15">
      <c r="A404" s="37" t="n">
        <v>399</v>
      </c>
      <c r="B404" s="97" t="s">
        <v>2475</v>
      </c>
      <c r="C404" s="121" t="s">
        <v>120</v>
      </c>
      <c r="D404" s="121" t="s">
        <v>20</v>
      </c>
      <c r="E404" s="121" t="s">
        <v>21</v>
      </c>
      <c r="F404" s="98" t="n">
        <v>0</v>
      </c>
      <c r="G404" s="121" t="s">
        <v>2476</v>
      </c>
      <c r="H404" s="99" t="n">
        <v>15406</v>
      </c>
      <c r="I404" s="99" t="n">
        <v>15406</v>
      </c>
      <c r="J404" s="99" t="n">
        <v>0</v>
      </c>
      <c r="K404" s="99" t="n">
        <v>0</v>
      </c>
      <c r="L404" s="99" t="n">
        <v>0</v>
      </c>
      <c r="M404" s="99" t="n">
        <v>0</v>
      </c>
      <c r="N404" s="99" t="n">
        <v>0</v>
      </c>
      <c r="O404" s="42" t="n">
        <v>15406</v>
      </c>
    </row>
    <row r="405" spans="1:15">
      <c r="A405" s="37" t="n">
        <v>400</v>
      </c>
      <c r="B405" s="97" t="s">
        <v>648</v>
      </c>
      <c r="C405" s="121" t="s">
        <v>283</v>
      </c>
      <c r="D405" s="121" t="s">
        <v>20</v>
      </c>
      <c r="E405" s="121" t="s">
        <v>21</v>
      </c>
      <c r="F405" s="121" t="s">
        <v>2477</v>
      </c>
      <c r="G405" s="121" t="s">
        <v>649</v>
      </c>
      <c r="H405" s="99" t="n">
        <v>15406</v>
      </c>
      <c r="I405" s="99" t="n">
        <v>15406</v>
      </c>
      <c r="J405" s="99" t="n">
        <v>0</v>
      </c>
      <c r="K405" s="99" t="n">
        <v>0</v>
      </c>
      <c r="L405" s="99" t="n">
        <v>0</v>
      </c>
      <c r="M405" s="99" t="n">
        <v>0</v>
      </c>
      <c r="N405" s="99" t="n">
        <v>0</v>
      </c>
      <c r="O405" s="42" t="n">
        <v>15406</v>
      </c>
    </row>
    <row r="406" spans="1:15">
      <c r="A406" s="37" t="n">
        <v>401</v>
      </c>
      <c r="B406" s="97" t="s">
        <v>2478</v>
      </c>
      <c r="C406" s="121" t="s">
        <v>120</v>
      </c>
      <c r="D406" s="121" t="s">
        <v>128</v>
      </c>
      <c r="E406" s="121" t="s">
        <v>15</v>
      </c>
      <c r="F406" s="98" t="n">
        <v>0</v>
      </c>
      <c r="G406" s="121" t="s">
        <v>2479</v>
      </c>
      <c r="H406" s="99" t="n">
        <v>15406</v>
      </c>
      <c r="I406" s="99" t="n">
        <v>15406</v>
      </c>
      <c r="J406" s="99" t="n">
        <v>0</v>
      </c>
      <c r="K406" s="99" t="n">
        <v>0</v>
      </c>
      <c r="L406" s="99" t="n">
        <v>0</v>
      </c>
      <c r="M406" s="99" t="n">
        <v>0</v>
      </c>
      <c r="N406" s="99" t="n">
        <v>0</v>
      </c>
      <c r="O406" s="42" t="n">
        <v>15406</v>
      </c>
    </row>
    <row r="407" spans="1:15">
      <c r="A407" s="37" t="n">
        <v>402</v>
      </c>
      <c r="B407" s="97" t="s">
        <v>1336</v>
      </c>
      <c r="C407" s="121" t="s">
        <v>131</v>
      </c>
      <c r="D407" s="121" t="s">
        <v>20</v>
      </c>
      <c r="E407" s="121" t="s">
        <v>21</v>
      </c>
      <c r="F407" s="121" t="s">
        <v>1337</v>
      </c>
      <c r="G407" s="121" t="s">
        <v>1338</v>
      </c>
      <c r="H407" s="99" t="n">
        <v>16309</v>
      </c>
      <c r="I407" s="99" t="n">
        <v>16309</v>
      </c>
      <c r="J407" s="99" t="n">
        <v>815</v>
      </c>
      <c r="K407" s="99" t="n">
        <v>0</v>
      </c>
      <c r="L407" s="99" t="n">
        <v>0</v>
      </c>
      <c r="M407" s="99" t="n">
        <v>0</v>
      </c>
      <c r="N407" s="99" t="n">
        <v>0</v>
      </c>
      <c r="O407" s="42" t="n">
        <v>15494</v>
      </c>
    </row>
    <row r="408" spans="1:15">
      <c r="A408" s="37" t="n">
        <v>403</v>
      </c>
      <c r="B408" s="97" t="s">
        <v>1210</v>
      </c>
      <c r="C408" s="121" t="s">
        <v>131</v>
      </c>
      <c r="D408" s="121" t="s">
        <v>20</v>
      </c>
      <c r="E408" s="121" t="s">
        <v>21</v>
      </c>
      <c r="F408" s="121" t="s">
        <v>1211</v>
      </c>
      <c r="G408" s="121" t="s">
        <v>1212</v>
      </c>
      <c r="H408" s="99" t="n">
        <v>16309</v>
      </c>
      <c r="I408" s="99" t="n">
        <v>16309</v>
      </c>
      <c r="J408" s="99" t="n">
        <v>815</v>
      </c>
      <c r="K408" s="99" t="n">
        <v>0</v>
      </c>
      <c r="L408" s="99" t="n">
        <v>0</v>
      </c>
      <c r="M408" s="99" t="n">
        <v>0</v>
      </c>
      <c r="N408" s="99" t="n">
        <v>0</v>
      </c>
      <c r="O408" s="42" t="n">
        <v>15494</v>
      </c>
    </row>
    <row r="409" spans="1:15">
      <c r="A409" s="37" t="n">
        <v>404</v>
      </c>
      <c r="B409" s="97" t="s">
        <v>1341</v>
      </c>
      <c r="C409" s="121" t="s">
        <v>283</v>
      </c>
      <c r="D409" s="121" t="s">
        <v>20</v>
      </c>
      <c r="E409" s="121" t="s">
        <v>21</v>
      </c>
      <c r="F409" s="121" t="s">
        <v>2481</v>
      </c>
      <c r="G409" s="121" t="s">
        <v>1343</v>
      </c>
      <c r="H409" s="99" t="n">
        <v>15406</v>
      </c>
      <c r="I409" s="99" t="n">
        <v>15406</v>
      </c>
      <c r="J409" s="99" t="n">
        <v>0</v>
      </c>
      <c r="K409" s="99" t="n">
        <v>0</v>
      </c>
      <c r="L409" s="99" t="n">
        <v>0</v>
      </c>
      <c r="M409" s="99" t="n">
        <v>0</v>
      </c>
      <c r="N409" s="99" t="n">
        <v>0</v>
      </c>
      <c r="O409" s="42" t="n">
        <v>15406</v>
      </c>
    </row>
    <row r="410" spans="1:15">
      <c r="A410" s="37" t="n">
        <v>405</v>
      </c>
      <c r="B410" s="97" t="s">
        <v>2482</v>
      </c>
      <c r="C410" s="121" t="s">
        <v>95</v>
      </c>
      <c r="D410" s="121" t="s">
        <v>20</v>
      </c>
      <c r="E410" s="121" t="s">
        <v>21</v>
      </c>
      <c r="F410" s="98" t="n">
        <v>0</v>
      </c>
      <c r="G410" s="121" t="s">
        <v>2483</v>
      </c>
      <c r="H410" s="99" t="n">
        <v>15406</v>
      </c>
      <c r="I410" s="99" t="n">
        <v>15406</v>
      </c>
      <c r="J410" s="99" t="n">
        <v>0</v>
      </c>
      <c r="K410" s="99" t="n">
        <v>0</v>
      </c>
      <c r="L410" s="99" t="n">
        <v>0</v>
      </c>
      <c r="M410" s="99" t="n">
        <v>0</v>
      </c>
      <c r="N410" s="99" t="n">
        <v>0</v>
      </c>
      <c r="O410" s="42" t="n">
        <v>15406</v>
      </c>
    </row>
    <row r="411" spans="1:15">
      <c r="A411" s="37" t="n">
        <v>406</v>
      </c>
      <c r="B411" s="97" t="s">
        <v>620</v>
      </c>
      <c r="C411" s="121" t="s">
        <v>58</v>
      </c>
      <c r="D411" s="121" t="s">
        <v>20</v>
      </c>
      <c r="E411" s="121" t="s">
        <v>21</v>
      </c>
      <c r="F411" s="121" t="s">
        <v>621</v>
      </c>
      <c r="G411" s="121" t="s">
        <v>622</v>
      </c>
      <c r="H411" s="99" t="n">
        <v>15406</v>
      </c>
      <c r="I411" s="99" t="n">
        <v>15406</v>
      </c>
      <c r="J411" s="99" t="n">
        <v>770</v>
      </c>
      <c r="K411" s="99" t="n">
        <v>0</v>
      </c>
      <c r="L411" s="99" t="n">
        <v>0</v>
      </c>
      <c r="M411" s="99" t="n">
        <v>0</v>
      </c>
      <c r="N411" s="99" t="n">
        <v>0</v>
      </c>
      <c r="O411" s="42" t="n">
        <v>14636</v>
      </c>
    </row>
    <row r="412" spans="1:15">
      <c r="A412" s="37" t="n">
        <v>407</v>
      </c>
      <c r="B412" s="97" t="s">
        <v>2484</v>
      </c>
      <c r="C412" s="121" t="s">
        <v>58</v>
      </c>
      <c r="D412" s="121" t="s">
        <v>20</v>
      </c>
      <c r="E412" s="121" t="s">
        <v>21</v>
      </c>
      <c r="F412" s="121" t="s">
        <v>2485</v>
      </c>
      <c r="G412" s="121" t="s">
        <v>2486</v>
      </c>
      <c r="H412" s="99" t="n">
        <v>15406</v>
      </c>
      <c r="I412" s="99" t="n">
        <v>15406</v>
      </c>
      <c r="J412" s="99" t="n">
        <v>770</v>
      </c>
      <c r="K412" s="99" t="n">
        <v>0</v>
      </c>
      <c r="L412" s="99" t="n">
        <v>0</v>
      </c>
      <c r="M412" s="99" t="n">
        <v>0</v>
      </c>
      <c r="N412" s="99" t="n">
        <v>0</v>
      </c>
      <c r="O412" s="42" t="n">
        <v>14636</v>
      </c>
    </row>
    <row r="413" spans="1:15">
      <c r="A413" s="37" t="n">
        <v>408</v>
      </c>
      <c r="B413" s="97" t="s">
        <v>1527</v>
      </c>
      <c r="C413" s="121" t="s">
        <v>283</v>
      </c>
      <c r="D413" s="121" t="s">
        <v>20</v>
      </c>
      <c r="E413" s="121" t="s">
        <v>21</v>
      </c>
      <c r="F413" s="121" t="s">
        <v>2487</v>
      </c>
      <c r="G413" s="121" t="s">
        <v>1528</v>
      </c>
      <c r="H413" s="99" t="n">
        <v>15406</v>
      </c>
      <c r="I413" s="99" t="n">
        <v>15406</v>
      </c>
      <c r="J413" s="99" t="n">
        <v>0</v>
      </c>
      <c r="K413" s="99" t="n">
        <v>0</v>
      </c>
      <c r="L413" s="99" t="n">
        <v>0</v>
      </c>
      <c r="M413" s="99" t="n">
        <v>0</v>
      </c>
      <c r="N413" s="99" t="n">
        <v>0</v>
      </c>
      <c r="O413" s="42" t="n">
        <v>15406</v>
      </c>
    </row>
    <row r="414" spans="1:15">
      <c r="A414" s="37" t="n">
        <v>409</v>
      </c>
      <c r="B414" s="97" t="s">
        <v>681</v>
      </c>
      <c r="C414" s="121" t="s">
        <v>283</v>
      </c>
      <c r="D414" s="121" t="s">
        <v>20</v>
      </c>
      <c r="E414" s="121" t="s">
        <v>21</v>
      </c>
      <c r="F414" s="121" t="s">
        <v>2488</v>
      </c>
      <c r="G414" s="121" t="s">
        <v>683</v>
      </c>
      <c r="H414" s="99" t="n">
        <v>15406</v>
      </c>
      <c r="I414" s="99" t="n">
        <v>15406</v>
      </c>
      <c r="J414" s="99" t="n">
        <v>0</v>
      </c>
      <c r="K414" s="99" t="n">
        <v>0</v>
      </c>
      <c r="L414" s="99" t="n">
        <v>0</v>
      </c>
      <c r="M414" s="99" t="n">
        <v>0</v>
      </c>
      <c r="N414" s="99" t="n">
        <v>0</v>
      </c>
      <c r="O414" s="42" t="n">
        <v>15406</v>
      </c>
    </row>
    <row r="415" spans="1:15">
      <c r="A415" s="37" t="n">
        <v>410</v>
      </c>
      <c r="B415" s="97" t="s">
        <v>1314</v>
      </c>
      <c r="C415" s="121" t="s">
        <v>283</v>
      </c>
      <c r="D415" s="121" t="s">
        <v>20</v>
      </c>
      <c r="E415" s="121" t="s">
        <v>21</v>
      </c>
      <c r="F415" s="121" t="s">
        <v>2493</v>
      </c>
      <c r="G415" s="121" t="s">
        <v>1316</v>
      </c>
      <c r="H415" s="99" t="n">
        <v>15406</v>
      </c>
      <c r="I415" s="99" t="n">
        <v>15406</v>
      </c>
      <c r="J415" s="99" t="n">
        <v>0</v>
      </c>
      <c r="K415" s="99" t="n">
        <v>0</v>
      </c>
      <c r="L415" s="99" t="n">
        <v>0</v>
      </c>
      <c r="M415" s="99" t="n">
        <v>0</v>
      </c>
      <c r="N415" s="99" t="n">
        <v>0</v>
      </c>
      <c r="O415" s="42" t="n">
        <v>15406</v>
      </c>
    </row>
    <row r="416" spans="1:15">
      <c r="A416" s="37" t="n">
        <v>411</v>
      </c>
      <c r="B416" s="97" t="s">
        <v>1299</v>
      </c>
      <c r="C416" s="121" t="s">
        <v>58</v>
      </c>
      <c r="D416" s="121" t="s">
        <v>20</v>
      </c>
      <c r="E416" s="121" t="s">
        <v>21</v>
      </c>
      <c r="F416" s="121" t="s">
        <v>1300</v>
      </c>
      <c r="G416" s="121" t="s">
        <v>1302</v>
      </c>
      <c r="H416" s="99" t="n">
        <v>15857</v>
      </c>
      <c r="I416" s="99" t="n">
        <v>15857</v>
      </c>
      <c r="J416" s="99" t="n">
        <v>793</v>
      </c>
      <c r="K416" s="99" t="n">
        <v>0</v>
      </c>
      <c r="L416" s="99" t="n">
        <v>0</v>
      </c>
      <c r="M416" s="99" t="n">
        <v>0</v>
      </c>
      <c r="N416" s="99" t="n">
        <v>0</v>
      </c>
      <c r="O416" s="42" t="n">
        <v>15064</v>
      </c>
    </row>
    <row r="417" spans="1:15">
      <c r="A417" s="37" t="n">
        <v>412</v>
      </c>
      <c r="B417" s="97" t="s">
        <v>2494</v>
      </c>
      <c r="C417" s="121" t="s">
        <v>19</v>
      </c>
      <c r="D417" s="121" t="s">
        <v>20</v>
      </c>
      <c r="E417" s="121" t="s">
        <v>21</v>
      </c>
      <c r="F417" s="121" t="s">
        <v>2074</v>
      </c>
      <c r="G417" s="121" t="s">
        <v>2495</v>
      </c>
      <c r="H417" s="99" t="n">
        <v>312976</v>
      </c>
      <c r="I417" s="99" t="n">
        <v>312976</v>
      </c>
      <c r="J417" s="99" t="n">
        <v>0</v>
      </c>
      <c r="K417" s="99" t="n">
        <v>46946</v>
      </c>
      <c r="L417" s="99" t="n">
        <v>0</v>
      </c>
      <c r="M417" s="99" t="n">
        <v>0</v>
      </c>
      <c r="N417" s="99" t="n">
        <v>0</v>
      </c>
      <c r="O417" s="42" t="n">
        <v>266030</v>
      </c>
    </row>
    <row r="418" spans="1:15">
      <c r="A418" s="37" t="n">
        <v>413</v>
      </c>
      <c r="B418" s="97" t="s">
        <v>1372</v>
      </c>
      <c r="C418" s="121" t="s">
        <v>58</v>
      </c>
      <c r="D418" s="121" t="s">
        <v>20</v>
      </c>
      <c r="E418" s="121" t="s">
        <v>21</v>
      </c>
      <c r="F418" s="121" t="s">
        <v>1373</v>
      </c>
      <c r="G418" s="121" t="s">
        <v>1374</v>
      </c>
      <c r="H418" s="99" t="n">
        <v>161997</v>
      </c>
      <c r="I418" s="99" t="n">
        <v>161997</v>
      </c>
      <c r="J418" s="99" t="n">
        <v>8100</v>
      </c>
      <c r="K418" s="99" t="n">
        <v>0</v>
      </c>
      <c r="L418" s="99" t="n">
        <v>0</v>
      </c>
      <c r="M418" s="99" t="n">
        <v>0</v>
      </c>
      <c r="N418" s="99" t="n">
        <v>0</v>
      </c>
      <c r="O418" s="42" t="n">
        <v>153897</v>
      </c>
    </row>
    <row r="419" spans="1:15">
      <c r="A419" s="37" t="n">
        <v>414</v>
      </c>
      <c r="B419" s="97" t="s">
        <v>1369</v>
      </c>
      <c r="C419" s="121" t="s">
        <v>58</v>
      </c>
      <c r="D419" s="121" t="s">
        <v>20</v>
      </c>
      <c r="E419" s="121" t="s">
        <v>21</v>
      </c>
      <c r="F419" s="121" t="s">
        <v>1370</v>
      </c>
      <c r="G419" s="121" t="s">
        <v>1371</v>
      </c>
      <c r="H419" s="99" t="n">
        <v>146262</v>
      </c>
      <c r="I419" s="99" t="n">
        <v>146262</v>
      </c>
      <c r="J419" s="99" t="n">
        <v>7313</v>
      </c>
      <c r="K419" s="99" t="n">
        <v>0</v>
      </c>
      <c r="L419" s="99" t="n">
        <v>0</v>
      </c>
      <c r="M419" s="99" t="n">
        <v>0</v>
      </c>
      <c r="N419" s="99" t="n">
        <v>0</v>
      </c>
      <c r="O419" s="42" t="n">
        <v>138949</v>
      </c>
    </row>
    <row r="420" spans="1:15">
      <c r="A420" s="37" t="n">
        <v>415</v>
      </c>
      <c r="B420" s="97" t="s">
        <v>1375</v>
      </c>
      <c r="C420" s="121" t="s">
        <v>58</v>
      </c>
      <c r="D420" s="121" t="s">
        <v>20</v>
      </c>
      <c r="E420" s="121" t="s">
        <v>21</v>
      </c>
      <c r="F420" s="121" t="s">
        <v>1376</v>
      </c>
      <c r="G420" s="121" t="s">
        <v>1378</v>
      </c>
      <c r="H420" s="99" t="n">
        <v>146262</v>
      </c>
      <c r="I420" s="99" t="n">
        <v>146262</v>
      </c>
      <c r="J420" s="99" t="n">
        <v>7313</v>
      </c>
      <c r="K420" s="99" t="n">
        <v>0</v>
      </c>
      <c r="L420" s="99" t="n">
        <v>0</v>
      </c>
      <c r="M420" s="99" t="n">
        <v>0</v>
      </c>
      <c r="N420" s="99" t="n">
        <v>0</v>
      </c>
      <c r="O420" s="42" t="n">
        <v>138949</v>
      </c>
    </row>
    <row r="421" spans="1:15">
      <c r="A421" s="37" t="n">
        <v>416</v>
      </c>
      <c r="B421" s="97" t="s">
        <v>1379</v>
      </c>
      <c r="C421" s="121" t="s">
        <v>58</v>
      </c>
      <c r="D421" s="121" t="s">
        <v>20</v>
      </c>
      <c r="E421" s="121" t="s">
        <v>21</v>
      </c>
      <c r="F421" s="121" t="s">
        <v>1380</v>
      </c>
      <c r="G421" s="121" t="s">
        <v>1381</v>
      </c>
      <c r="H421" s="99" t="n">
        <v>146262</v>
      </c>
      <c r="I421" s="99" t="n">
        <v>146262</v>
      </c>
      <c r="J421" s="99" t="n">
        <v>7313</v>
      </c>
      <c r="K421" s="99" t="n">
        <v>0</v>
      </c>
      <c r="L421" s="99" t="n">
        <v>0</v>
      </c>
      <c r="M421" s="99" t="n">
        <v>0</v>
      </c>
      <c r="N421" s="99" t="n">
        <v>0</v>
      </c>
      <c r="O421" s="42" t="n">
        <v>138949</v>
      </c>
    </row>
    <row r="422" spans="1:15">
      <c r="A422" s="37" t="n">
        <v>417</v>
      </c>
      <c r="B422" s="97" t="s">
        <v>1405</v>
      </c>
      <c r="C422" s="121" t="s">
        <v>58</v>
      </c>
      <c r="D422" s="121" t="s">
        <v>20</v>
      </c>
      <c r="E422" s="121" t="s">
        <v>21</v>
      </c>
      <c r="F422" s="121" t="s">
        <v>1406</v>
      </c>
      <c r="G422" s="121" t="s">
        <v>1408</v>
      </c>
      <c r="H422" s="99" t="n">
        <v>138394</v>
      </c>
      <c r="I422" s="99" t="n">
        <v>138394</v>
      </c>
      <c r="J422" s="99" t="n">
        <v>6920</v>
      </c>
      <c r="K422" s="99" t="n">
        <v>0</v>
      </c>
      <c r="L422" s="99" t="n">
        <v>0</v>
      </c>
      <c r="M422" s="99" t="n">
        <v>0</v>
      </c>
      <c r="N422" s="99" t="n">
        <v>0</v>
      </c>
      <c r="O422" s="42" t="n">
        <v>131474</v>
      </c>
    </row>
    <row r="423" spans="1:15">
      <c r="A423" s="37" t="n">
        <v>418</v>
      </c>
      <c r="B423" s="97" t="s">
        <v>1386</v>
      </c>
      <c r="C423" s="121" t="s">
        <v>283</v>
      </c>
      <c r="D423" s="121" t="s">
        <v>20</v>
      </c>
      <c r="E423" s="121" t="s">
        <v>21</v>
      </c>
      <c r="F423" s="121" t="s">
        <v>2600</v>
      </c>
      <c r="G423" s="121" t="s">
        <v>1388</v>
      </c>
      <c r="H423" s="99" t="n">
        <v>145358</v>
      </c>
      <c r="I423" s="99" t="n">
        <v>145358</v>
      </c>
      <c r="J423" s="99" t="n">
        <v>0</v>
      </c>
      <c r="K423" s="99" t="n">
        <v>0</v>
      </c>
      <c r="L423" s="99" t="n">
        <v>0</v>
      </c>
      <c r="M423" s="99" t="n">
        <v>0</v>
      </c>
      <c r="N423" s="99" t="n">
        <v>0</v>
      </c>
      <c r="O423" s="42" t="n">
        <v>145358</v>
      </c>
    </row>
    <row r="424" spans="1:15">
      <c r="A424" s="37" t="n">
        <v>419</v>
      </c>
      <c r="B424" s="97" t="s">
        <v>2601</v>
      </c>
      <c r="C424" s="121" t="s">
        <v>120</v>
      </c>
      <c r="D424" s="121" t="s">
        <v>2074</v>
      </c>
      <c r="E424" s="121" t="s">
        <v>21</v>
      </c>
      <c r="F424" s="98" t="n">
        <v>0</v>
      </c>
      <c r="G424" s="121" t="s">
        <v>2602</v>
      </c>
      <c r="H424" s="99" t="n">
        <v>138394</v>
      </c>
      <c r="I424" s="99" t="n">
        <v>138394</v>
      </c>
      <c r="J424" s="99" t="n">
        <v>0</v>
      </c>
      <c r="K424" s="99" t="n">
        <v>0</v>
      </c>
      <c r="L424" s="99" t="n">
        <v>0</v>
      </c>
      <c r="M424" s="99" t="n">
        <v>0</v>
      </c>
      <c r="N424" s="99" t="n">
        <v>0</v>
      </c>
      <c r="O424" s="42" t="n">
        <v>138394</v>
      </c>
    </row>
    <row r="425" spans="1:15">
      <c r="A425" s="37" t="n">
        <v>420</v>
      </c>
      <c r="B425" s="97" t="s">
        <v>1412</v>
      </c>
      <c r="C425" s="121" t="s">
        <v>131</v>
      </c>
      <c r="D425" s="121" t="s">
        <v>20</v>
      </c>
      <c r="E425" s="121" t="s">
        <v>21</v>
      </c>
      <c r="F425" s="121" t="s">
        <v>1413</v>
      </c>
      <c r="G425" s="121" t="s">
        <v>1415</v>
      </c>
      <c r="H425" s="99" t="n">
        <v>130526</v>
      </c>
      <c r="I425" s="99" t="n">
        <v>130526</v>
      </c>
      <c r="J425" s="99" t="n">
        <v>6526</v>
      </c>
      <c r="K425" s="99" t="n">
        <v>0</v>
      </c>
      <c r="L425" s="99" t="n">
        <v>0</v>
      </c>
      <c r="M425" s="99" t="n">
        <v>0</v>
      </c>
      <c r="N425" s="99" t="n">
        <v>0</v>
      </c>
      <c r="O425" s="42" t="n">
        <v>124000</v>
      </c>
    </row>
    <row r="426" spans="1:15">
      <c r="A426" s="37" t="n">
        <v>421</v>
      </c>
      <c r="B426" s="97" t="s">
        <v>1389</v>
      </c>
      <c r="C426" s="121" t="s">
        <v>283</v>
      </c>
      <c r="D426" s="121" t="s">
        <v>20</v>
      </c>
      <c r="E426" s="121" t="s">
        <v>21</v>
      </c>
      <c r="F426" s="121" t="s">
        <v>2603</v>
      </c>
      <c r="G426" s="121" t="s">
        <v>1391</v>
      </c>
      <c r="H426" s="99" t="n">
        <v>129622</v>
      </c>
      <c r="I426" s="99" t="n">
        <v>129622</v>
      </c>
      <c r="J426" s="99" t="n">
        <v>0</v>
      </c>
      <c r="K426" s="99" t="n">
        <v>0</v>
      </c>
      <c r="L426" s="99" t="n">
        <v>0</v>
      </c>
      <c r="M426" s="99" t="n">
        <v>0</v>
      </c>
      <c r="N426" s="99" t="n">
        <v>0</v>
      </c>
      <c r="O426" s="42" t="n">
        <v>129622</v>
      </c>
    </row>
    <row r="427" spans="1:15">
      <c r="A427" s="37" t="n">
        <v>422</v>
      </c>
      <c r="B427" s="97" t="s">
        <v>1416</v>
      </c>
      <c r="C427" s="121" t="s">
        <v>283</v>
      </c>
      <c r="D427" s="121" t="s">
        <v>20</v>
      </c>
      <c r="E427" s="121" t="s">
        <v>21</v>
      </c>
      <c r="F427" s="121" t="s">
        <v>2604</v>
      </c>
      <c r="G427" s="121" t="s">
        <v>1417</v>
      </c>
      <c r="H427" s="99" t="n">
        <v>129622</v>
      </c>
      <c r="I427" s="99" t="n">
        <v>129622</v>
      </c>
      <c r="J427" s="99" t="n">
        <v>0</v>
      </c>
      <c r="K427" s="99" t="n">
        <v>0</v>
      </c>
      <c r="L427" s="99" t="n">
        <v>0</v>
      </c>
      <c r="M427" s="99" t="n">
        <v>0</v>
      </c>
      <c r="N427" s="99" t="n">
        <v>0</v>
      </c>
      <c r="O427" s="42" t="n">
        <v>129622</v>
      </c>
    </row>
    <row r="428" spans="1:15">
      <c r="A428" s="37" t="n">
        <v>423</v>
      </c>
      <c r="B428" s="97" t="s">
        <v>1421</v>
      </c>
      <c r="C428" s="121" t="s">
        <v>283</v>
      </c>
      <c r="D428" s="121" t="s">
        <v>20</v>
      </c>
      <c r="E428" s="121" t="s">
        <v>21</v>
      </c>
      <c r="F428" s="121" t="s">
        <v>2605</v>
      </c>
      <c r="G428" s="121" t="s">
        <v>1423</v>
      </c>
      <c r="H428" s="99" t="n">
        <v>129622</v>
      </c>
      <c r="I428" s="99" t="n">
        <v>129622</v>
      </c>
      <c r="J428" s="99" t="n">
        <v>0</v>
      </c>
      <c r="K428" s="99" t="n">
        <v>0</v>
      </c>
      <c r="L428" s="99" t="n">
        <v>0</v>
      </c>
      <c r="M428" s="99" t="n">
        <v>0</v>
      </c>
      <c r="N428" s="99" t="n">
        <v>0</v>
      </c>
      <c r="O428" s="42" t="n">
        <v>129622</v>
      </c>
    </row>
    <row r="429" spans="1:15">
      <c r="A429" s="37" t="n">
        <v>424</v>
      </c>
      <c r="B429" s="97" t="s">
        <v>1409</v>
      </c>
      <c r="C429" s="121" t="s">
        <v>283</v>
      </c>
      <c r="D429" s="121" t="s">
        <v>20</v>
      </c>
      <c r="E429" s="121" t="s">
        <v>21</v>
      </c>
      <c r="F429" s="121" t="s">
        <v>2606</v>
      </c>
      <c r="G429" s="121" t="s">
        <v>1411</v>
      </c>
      <c r="H429" s="99" t="n">
        <v>129622</v>
      </c>
      <c r="I429" s="99" t="n">
        <v>129622</v>
      </c>
      <c r="J429" s="99" t="n">
        <v>0</v>
      </c>
      <c r="K429" s="99" t="n">
        <v>0</v>
      </c>
      <c r="L429" s="99" t="n">
        <v>0</v>
      </c>
      <c r="M429" s="99" t="n">
        <v>0</v>
      </c>
      <c r="N429" s="99" t="n">
        <v>0</v>
      </c>
      <c r="O429" s="42" t="n">
        <v>129622</v>
      </c>
    </row>
    <row r="430" spans="1:15">
      <c r="A430" s="37" t="n">
        <v>425</v>
      </c>
      <c r="B430" s="97" t="s">
        <v>1382</v>
      </c>
      <c r="C430" s="121" t="s">
        <v>111</v>
      </c>
      <c r="D430" s="121" t="s">
        <v>20</v>
      </c>
      <c r="E430" s="121" t="s">
        <v>21</v>
      </c>
      <c r="F430" s="121" t="s">
        <v>1383</v>
      </c>
      <c r="G430" s="121" t="s">
        <v>1385</v>
      </c>
      <c r="H430" s="99" t="n">
        <v>137490</v>
      </c>
      <c r="I430" s="99" t="n">
        <v>137490</v>
      </c>
      <c r="J430" s="99" t="n">
        <v>0</v>
      </c>
      <c r="K430" s="99" t="n">
        <v>0</v>
      </c>
      <c r="L430" s="99" t="n">
        <v>0</v>
      </c>
      <c r="M430" s="99" t="n">
        <v>0</v>
      </c>
      <c r="N430" s="99" t="n">
        <v>0</v>
      </c>
      <c r="O430" s="42" t="n">
        <v>137490</v>
      </c>
    </row>
    <row r="431" spans="1:15">
      <c r="A431" s="37" t="n">
        <v>426</v>
      </c>
      <c r="B431" s="97" t="s">
        <v>1457</v>
      </c>
      <c r="C431" s="121" t="s">
        <v>111</v>
      </c>
      <c r="D431" s="121" t="s">
        <v>20</v>
      </c>
      <c r="E431" s="121" t="s">
        <v>21</v>
      </c>
      <c r="F431" s="121" t="s">
        <v>1458</v>
      </c>
      <c r="G431" s="121" t="s">
        <v>1459</v>
      </c>
      <c r="H431" s="99" t="n">
        <v>129622</v>
      </c>
      <c r="I431" s="99" t="n">
        <v>129622</v>
      </c>
      <c r="J431" s="99" t="n">
        <v>0</v>
      </c>
      <c r="K431" s="99" t="n">
        <v>0</v>
      </c>
      <c r="L431" s="99" t="n">
        <v>0</v>
      </c>
      <c r="M431" s="99" t="n">
        <v>0</v>
      </c>
      <c r="N431" s="99" t="n">
        <v>0</v>
      </c>
      <c r="O431" s="42" t="n">
        <v>129622</v>
      </c>
    </row>
    <row r="432" spans="1:15">
      <c r="A432" s="37" t="n">
        <v>427</v>
      </c>
      <c r="B432" s="97" t="s">
        <v>2607</v>
      </c>
      <c r="C432" s="121" t="s">
        <v>95</v>
      </c>
      <c r="D432" s="121" t="s">
        <v>128</v>
      </c>
      <c r="E432" s="121" t="s">
        <v>15</v>
      </c>
      <c r="F432" s="98" t="n">
        <v>0</v>
      </c>
      <c r="G432" s="121" t="s">
        <v>2608</v>
      </c>
      <c r="H432" s="99" t="n">
        <v>129622</v>
      </c>
      <c r="I432" s="99" t="n">
        <v>129622</v>
      </c>
      <c r="J432" s="99" t="n">
        <v>0</v>
      </c>
      <c r="K432" s="99" t="n">
        <v>0</v>
      </c>
      <c r="L432" s="99" t="n">
        <v>0</v>
      </c>
      <c r="M432" s="99" t="n">
        <v>0</v>
      </c>
      <c r="N432" s="99" t="n">
        <v>0</v>
      </c>
      <c r="O432" s="42" t="n">
        <v>129622</v>
      </c>
    </row>
    <row r="433" spans="1:15">
      <c r="A433" s="37" t="n">
        <v>428</v>
      </c>
      <c r="B433" s="97" t="s">
        <v>2496</v>
      </c>
      <c r="C433" s="121" t="s">
        <v>58</v>
      </c>
      <c r="D433" s="121" t="s">
        <v>20</v>
      </c>
      <c r="E433" s="121" t="s">
        <v>21</v>
      </c>
      <c r="F433" s="121" t="s">
        <v>2074</v>
      </c>
      <c r="G433" s="121" t="s">
        <v>2497</v>
      </c>
      <c r="H433" s="99" t="n">
        <v>129622</v>
      </c>
      <c r="I433" s="99" t="n">
        <v>129622</v>
      </c>
      <c r="J433" s="99" t="n">
        <v>6481</v>
      </c>
      <c r="K433" s="99" t="n">
        <v>0</v>
      </c>
      <c r="L433" s="99" t="n">
        <v>0</v>
      </c>
      <c r="M433" s="99" t="n">
        <v>0</v>
      </c>
      <c r="N433" s="99" t="n">
        <v>0</v>
      </c>
      <c r="O433" s="42" t="n">
        <v>123141</v>
      </c>
    </row>
    <row r="434" spans="1:15">
      <c r="A434" s="37" t="n">
        <v>429</v>
      </c>
      <c r="B434" s="97" t="s">
        <v>2498</v>
      </c>
      <c r="C434" s="121" t="s">
        <v>120</v>
      </c>
      <c r="D434" s="121" t="s">
        <v>20</v>
      </c>
      <c r="E434" s="121" t="s">
        <v>21</v>
      </c>
      <c r="F434" s="98" t="n">
        <v>0</v>
      </c>
      <c r="G434" s="121" t="s">
        <v>2499</v>
      </c>
      <c r="H434" s="99" t="n">
        <v>129622</v>
      </c>
      <c r="I434" s="99" t="n">
        <v>129622</v>
      </c>
      <c r="J434" s="99" t="n">
        <v>0</v>
      </c>
      <c r="K434" s="99" t="n">
        <v>0</v>
      </c>
      <c r="L434" s="99" t="n">
        <v>0</v>
      </c>
      <c r="M434" s="99" t="n">
        <v>0</v>
      </c>
      <c r="N434" s="99" t="n">
        <v>0</v>
      </c>
      <c r="O434" s="42" t="n">
        <v>129622</v>
      </c>
    </row>
    <row r="435" spans="1:15">
      <c r="A435" s="37" t="n">
        <v>430</v>
      </c>
      <c r="B435" s="97" t="s">
        <v>1445</v>
      </c>
      <c r="C435" s="121" t="s">
        <v>58</v>
      </c>
      <c r="D435" s="121" t="s">
        <v>20</v>
      </c>
      <c r="E435" s="121" t="s">
        <v>21</v>
      </c>
      <c r="F435" s="121" t="s">
        <v>1446</v>
      </c>
      <c r="G435" s="121" t="s">
        <v>1448</v>
      </c>
      <c r="H435" s="99" t="n">
        <v>130526</v>
      </c>
      <c r="I435" s="99" t="n">
        <v>130526</v>
      </c>
      <c r="J435" s="99" t="n">
        <v>6526</v>
      </c>
      <c r="K435" s="99" t="n">
        <v>0</v>
      </c>
      <c r="L435" s="99" t="n">
        <v>0</v>
      </c>
      <c r="M435" s="99" t="n">
        <v>0</v>
      </c>
      <c r="N435" s="99" t="n">
        <v>0</v>
      </c>
      <c r="O435" s="42" t="n">
        <v>124000</v>
      </c>
    </row>
    <row r="436" spans="1:15">
      <c r="A436" s="37" t="n">
        <v>431</v>
      </c>
      <c r="B436" s="97" t="s">
        <v>1442</v>
      </c>
      <c r="C436" s="121" t="s">
        <v>58</v>
      </c>
      <c r="D436" s="121" t="s">
        <v>20</v>
      </c>
      <c r="E436" s="121" t="s">
        <v>21</v>
      </c>
      <c r="F436" s="121" t="s">
        <v>1443</v>
      </c>
      <c r="G436" s="121" t="s">
        <v>1444</v>
      </c>
      <c r="H436" s="99" t="n">
        <v>130526</v>
      </c>
      <c r="I436" s="99" t="n">
        <v>130526</v>
      </c>
      <c r="J436" s="99" t="n">
        <v>6526</v>
      </c>
      <c r="K436" s="99" t="n">
        <v>0</v>
      </c>
      <c r="L436" s="99" t="n">
        <v>0</v>
      </c>
      <c r="M436" s="99" t="n">
        <v>0</v>
      </c>
      <c r="N436" s="99" t="n">
        <v>0</v>
      </c>
      <c r="O436" s="42" t="n">
        <v>124000</v>
      </c>
    </row>
    <row r="437" spans="1:15">
      <c r="A437" s="37" t="n">
        <v>432</v>
      </c>
      <c r="B437" s="97" t="s">
        <v>1449</v>
      </c>
      <c r="C437" s="121" t="s">
        <v>58</v>
      </c>
      <c r="D437" s="121" t="s">
        <v>20</v>
      </c>
      <c r="E437" s="121" t="s">
        <v>21</v>
      </c>
      <c r="F437" s="121" t="s">
        <v>1450</v>
      </c>
      <c r="G437" s="121" t="s">
        <v>1452</v>
      </c>
      <c r="H437" s="99" t="n">
        <v>130526</v>
      </c>
      <c r="I437" s="99" t="n">
        <v>130526</v>
      </c>
      <c r="J437" s="99" t="n">
        <v>6526</v>
      </c>
      <c r="K437" s="99" t="n">
        <v>0</v>
      </c>
      <c r="L437" s="99" t="n">
        <v>0</v>
      </c>
      <c r="M437" s="99" t="n">
        <v>0</v>
      </c>
      <c r="N437" s="99" t="n">
        <v>0</v>
      </c>
      <c r="O437" s="42" t="n">
        <v>124000</v>
      </c>
    </row>
    <row r="438" spans="1:15">
      <c r="A438" s="37" t="n">
        <v>433</v>
      </c>
      <c r="B438" s="97" t="s">
        <v>1453</v>
      </c>
      <c r="C438" s="121" t="s">
        <v>58</v>
      </c>
      <c r="D438" s="121" t="s">
        <v>20</v>
      </c>
      <c r="E438" s="121" t="s">
        <v>21</v>
      </c>
      <c r="F438" s="121" t="s">
        <v>1454</v>
      </c>
      <c r="G438" s="121" t="s">
        <v>1456</v>
      </c>
      <c r="H438" s="99" t="n">
        <v>129622</v>
      </c>
      <c r="I438" s="99" t="n">
        <v>129622</v>
      </c>
      <c r="J438" s="99" t="n">
        <v>6481</v>
      </c>
      <c r="K438" s="99" t="n">
        <v>0</v>
      </c>
      <c r="L438" s="99" t="n">
        <v>0</v>
      </c>
      <c r="M438" s="99" t="n">
        <v>0</v>
      </c>
      <c r="N438" s="99" t="n">
        <v>0</v>
      </c>
      <c r="O438" s="42" t="n">
        <v>123141</v>
      </c>
    </row>
    <row r="439" spans="1:15">
      <c r="A439" s="37" t="n">
        <v>434</v>
      </c>
      <c r="B439" s="97" t="s">
        <v>2500</v>
      </c>
      <c r="C439" s="121" t="s">
        <v>120</v>
      </c>
      <c r="D439" s="121" t="s">
        <v>20</v>
      </c>
      <c r="E439" s="121" t="s">
        <v>21</v>
      </c>
      <c r="F439" s="98" t="n">
        <v>0</v>
      </c>
      <c r="G439" s="121" t="s">
        <v>2501</v>
      </c>
      <c r="H439" s="99" t="n">
        <v>129622</v>
      </c>
      <c r="I439" s="99" t="n">
        <v>129622</v>
      </c>
      <c r="J439" s="99" t="n">
        <v>0</v>
      </c>
      <c r="K439" s="99" t="n">
        <v>0</v>
      </c>
      <c r="L439" s="99" t="n">
        <v>0</v>
      </c>
      <c r="M439" s="99" t="n">
        <v>0</v>
      </c>
      <c r="N439" s="99" t="n">
        <v>0</v>
      </c>
      <c r="O439" s="42" t="n">
        <v>129622</v>
      </c>
    </row>
    <row r="440" spans="1:15">
      <c r="A440" s="37" t="n">
        <v>435</v>
      </c>
      <c r="B440" s="97" t="s">
        <v>1474</v>
      </c>
      <c r="C440" s="121" t="s">
        <v>58</v>
      </c>
      <c r="D440" s="121" t="s">
        <v>20</v>
      </c>
      <c r="E440" s="121" t="s">
        <v>21</v>
      </c>
      <c r="F440" s="121" t="s">
        <v>1475</v>
      </c>
      <c r="G440" s="121" t="s">
        <v>1477</v>
      </c>
      <c r="H440" s="99" t="n">
        <v>125556</v>
      </c>
      <c r="I440" s="99" t="n">
        <v>125556</v>
      </c>
      <c r="J440" s="99" t="n">
        <v>6278</v>
      </c>
      <c r="K440" s="99" t="n">
        <v>0</v>
      </c>
      <c r="L440" s="99" t="n">
        <v>0</v>
      </c>
      <c r="M440" s="99" t="n">
        <v>0</v>
      </c>
      <c r="N440" s="99" t="n">
        <v>0</v>
      </c>
      <c r="O440" s="42" t="n">
        <v>119278</v>
      </c>
    </row>
    <row r="441" spans="1:15">
      <c r="A441" s="37" t="n">
        <v>436</v>
      </c>
      <c r="B441" s="97" t="s">
        <v>2502</v>
      </c>
      <c r="C441" s="121" t="s">
        <v>120</v>
      </c>
      <c r="D441" s="121" t="s">
        <v>124</v>
      </c>
      <c r="E441" s="121" t="s">
        <v>15</v>
      </c>
      <c r="F441" s="98" t="n">
        <v>0</v>
      </c>
      <c r="G441" s="121" t="s">
        <v>2503</v>
      </c>
      <c r="H441" s="99" t="n">
        <v>125556</v>
      </c>
      <c r="I441" s="99" t="n">
        <v>125556</v>
      </c>
      <c r="J441" s="99" t="n">
        <v>0</v>
      </c>
      <c r="K441" s="99" t="n">
        <v>0</v>
      </c>
      <c r="L441" s="99" t="n">
        <v>0</v>
      </c>
      <c r="M441" s="99" t="n">
        <v>0</v>
      </c>
      <c r="N441" s="99" t="n">
        <v>0</v>
      </c>
      <c r="O441" s="42" t="n">
        <v>125556</v>
      </c>
    </row>
    <row r="442" spans="1:15">
      <c r="A442" s="37" t="n">
        <v>437</v>
      </c>
      <c r="B442" s="97" t="s">
        <v>1478</v>
      </c>
      <c r="C442" s="121" t="s">
        <v>58</v>
      </c>
      <c r="D442" s="121" t="s">
        <v>20</v>
      </c>
      <c r="E442" s="121" t="s">
        <v>21</v>
      </c>
      <c r="F442" s="121" t="s">
        <v>1479</v>
      </c>
      <c r="G442" s="121" t="s">
        <v>1480</v>
      </c>
      <c r="H442" s="99" t="n">
        <v>126459</v>
      </c>
      <c r="I442" s="99" t="n">
        <v>126459</v>
      </c>
      <c r="J442" s="99" t="n">
        <v>6323</v>
      </c>
      <c r="K442" s="99" t="n">
        <v>0</v>
      </c>
      <c r="L442" s="99" t="n">
        <v>0</v>
      </c>
      <c r="M442" s="99" t="n">
        <v>0</v>
      </c>
      <c r="N442" s="99" t="n">
        <v>0</v>
      </c>
      <c r="O442" s="42" t="n">
        <v>120136</v>
      </c>
    </row>
    <row r="443" spans="1:15">
      <c r="A443" s="37" t="n">
        <v>438</v>
      </c>
      <c r="B443" s="97" t="s">
        <v>965</v>
      </c>
      <c r="C443" s="121" t="s">
        <v>58</v>
      </c>
      <c r="D443" s="121" t="s">
        <v>20</v>
      </c>
      <c r="E443" s="121" t="s">
        <v>21</v>
      </c>
      <c r="F443" s="121" t="s">
        <v>966</v>
      </c>
      <c r="G443" s="121" t="s">
        <v>967</v>
      </c>
      <c r="H443" s="99" t="n">
        <v>126459</v>
      </c>
      <c r="I443" s="99" t="n">
        <v>126459</v>
      </c>
      <c r="J443" s="99" t="n">
        <v>6323</v>
      </c>
      <c r="K443" s="99" t="n">
        <v>0</v>
      </c>
      <c r="L443" s="99" t="n">
        <v>0</v>
      </c>
      <c r="M443" s="99" t="n">
        <v>0</v>
      </c>
      <c r="N443" s="99" t="n">
        <v>0</v>
      </c>
      <c r="O443" s="42" t="n">
        <v>120136</v>
      </c>
    </row>
    <row r="444" spans="1:15">
      <c r="A444" s="37" t="n">
        <v>439</v>
      </c>
      <c r="B444" s="97" t="s">
        <v>1484</v>
      </c>
      <c r="C444" s="121" t="s">
        <v>58</v>
      </c>
      <c r="D444" s="121" t="s">
        <v>20</v>
      </c>
      <c r="E444" s="121" t="s">
        <v>21</v>
      </c>
      <c r="F444" s="121" t="s">
        <v>1485</v>
      </c>
      <c r="G444" s="121" t="s">
        <v>1487</v>
      </c>
      <c r="H444" s="99" t="n">
        <v>125556</v>
      </c>
      <c r="I444" s="99" t="n">
        <v>125556</v>
      </c>
      <c r="J444" s="99" t="n">
        <v>6278</v>
      </c>
      <c r="K444" s="99" t="n">
        <v>0</v>
      </c>
      <c r="L444" s="99" t="n">
        <v>0</v>
      </c>
      <c r="M444" s="99" t="n">
        <v>0</v>
      </c>
      <c r="N444" s="99" t="n">
        <v>0</v>
      </c>
      <c r="O444" s="42" t="n">
        <v>119278</v>
      </c>
    </row>
    <row r="445" spans="1:15">
      <c r="A445" s="37" t="n">
        <v>440</v>
      </c>
      <c r="B445" s="97" t="s">
        <v>1481</v>
      </c>
      <c r="C445" s="121" t="s">
        <v>58</v>
      </c>
      <c r="D445" s="121" t="s">
        <v>20</v>
      </c>
      <c r="E445" s="121" t="s">
        <v>21</v>
      </c>
      <c r="F445" s="121" t="s">
        <v>1482</v>
      </c>
      <c r="G445" s="121" t="s">
        <v>1483</v>
      </c>
      <c r="H445" s="99" t="n">
        <v>126459</v>
      </c>
      <c r="I445" s="99" t="n">
        <v>126459</v>
      </c>
      <c r="J445" s="99" t="n">
        <v>6323</v>
      </c>
      <c r="K445" s="99" t="n">
        <v>0</v>
      </c>
      <c r="L445" s="99" t="n">
        <v>0</v>
      </c>
      <c r="M445" s="99" t="n">
        <v>0</v>
      </c>
      <c r="N445" s="99" t="n">
        <v>0</v>
      </c>
      <c r="O445" s="42" t="n">
        <v>120136</v>
      </c>
    </row>
    <row r="446" spans="1:15">
      <c r="A446" s="37" t="n">
        <v>441</v>
      </c>
      <c r="B446" s="97" t="s">
        <v>1122</v>
      </c>
      <c r="C446" s="121" t="s">
        <v>283</v>
      </c>
      <c r="D446" s="121" t="s">
        <v>20</v>
      </c>
      <c r="E446" s="121" t="s">
        <v>21</v>
      </c>
      <c r="F446" s="121" t="s">
        <v>2504</v>
      </c>
      <c r="G446" s="121" t="s">
        <v>1124</v>
      </c>
      <c r="H446" s="99" t="n">
        <v>125556</v>
      </c>
      <c r="I446" s="99" t="n">
        <v>125556</v>
      </c>
      <c r="J446" s="99" t="n">
        <v>0</v>
      </c>
      <c r="K446" s="99" t="n">
        <v>0</v>
      </c>
      <c r="L446" s="99" t="n">
        <v>0</v>
      </c>
      <c r="M446" s="99" t="n">
        <v>0</v>
      </c>
      <c r="N446" s="99" t="n">
        <v>0</v>
      </c>
      <c r="O446" s="42" t="n">
        <v>125556</v>
      </c>
    </row>
    <row r="447" spans="1:15">
      <c r="A447" s="37" t="n">
        <v>442</v>
      </c>
      <c r="B447" s="97" t="s">
        <v>911</v>
      </c>
      <c r="C447" s="121" t="s">
        <v>283</v>
      </c>
      <c r="D447" s="121" t="s">
        <v>20</v>
      </c>
      <c r="E447" s="121" t="s">
        <v>21</v>
      </c>
      <c r="F447" s="121" t="s">
        <v>2505</v>
      </c>
      <c r="G447" s="121" t="s">
        <v>912</v>
      </c>
      <c r="H447" s="99" t="n">
        <v>125556</v>
      </c>
      <c r="I447" s="99" t="n">
        <v>125556</v>
      </c>
      <c r="J447" s="99" t="n">
        <v>0</v>
      </c>
      <c r="K447" s="99" t="n">
        <v>0</v>
      </c>
      <c r="L447" s="99" t="n">
        <v>0</v>
      </c>
      <c r="M447" s="99" t="n">
        <v>0</v>
      </c>
      <c r="N447" s="99" t="n">
        <v>0</v>
      </c>
      <c r="O447" s="42" t="n">
        <v>125556</v>
      </c>
    </row>
    <row r="448" spans="1:15">
      <c r="A448" s="37" t="n">
        <v>443</v>
      </c>
      <c r="B448" s="97" t="s">
        <v>1529</v>
      </c>
      <c r="C448" s="121" t="s">
        <v>58</v>
      </c>
      <c r="D448" s="121" t="s">
        <v>20</v>
      </c>
      <c r="E448" s="121" t="s">
        <v>21</v>
      </c>
      <c r="F448" s="121" t="s">
        <v>1530</v>
      </c>
      <c r="G448" s="121" t="s">
        <v>1532</v>
      </c>
      <c r="H448" s="99" t="n">
        <v>13598</v>
      </c>
      <c r="I448" s="99" t="n">
        <v>13598</v>
      </c>
      <c r="J448" s="99" t="n">
        <v>680</v>
      </c>
      <c r="K448" s="99" t="n">
        <v>0</v>
      </c>
      <c r="L448" s="99" t="n">
        <v>0</v>
      </c>
      <c r="M448" s="99" t="n">
        <v>0</v>
      </c>
      <c r="N448" s="99" t="n">
        <v>0</v>
      </c>
      <c r="O448" s="42" t="n">
        <v>12918</v>
      </c>
    </row>
    <row r="449" spans="1:15">
      <c r="A449" s="37" t="n">
        <v>444</v>
      </c>
      <c r="B449" s="97" t="s">
        <v>2506</v>
      </c>
      <c r="C449" s="121" t="s">
        <v>58</v>
      </c>
      <c r="D449" s="121" t="s">
        <v>20</v>
      </c>
      <c r="E449" s="121" t="s">
        <v>21</v>
      </c>
      <c r="F449" s="121" t="s">
        <v>2507</v>
      </c>
      <c r="G449" s="121" t="s">
        <v>2508</v>
      </c>
      <c r="H449" s="99" t="n">
        <v>11791</v>
      </c>
      <c r="I449" s="99" t="n">
        <v>11791</v>
      </c>
      <c r="J449" s="99" t="n">
        <v>590</v>
      </c>
      <c r="K449" s="99" t="n">
        <v>0</v>
      </c>
      <c r="L449" s="99" t="n">
        <v>0</v>
      </c>
      <c r="M449" s="99" t="n">
        <v>0</v>
      </c>
      <c r="N449" s="99" t="n">
        <v>0</v>
      </c>
      <c r="O449" s="42" t="n">
        <v>11201</v>
      </c>
    </row>
    <row r="450" spans="1:15">
      <c r="A450" s="37" t="n">
        <v>445</v>
      </c>
      <c r="B450" s="97" t="s">
        <v>2509</v>
      </c>
      <c r="C450" s="121" t="s">
        <v>58</v>
      </c>
      <c r="D450" s="121" t="s">
        <v>20</v>
      </c>
      <c r="E450" s="121" t="s">
        <v>21</v>
      </c>
      <c r="F450" s="121" t="s">
        <v>2074</v>
      </c>
      <c r="G450" s="121" t="s">
        <v>2510</v>
      </c>
      <c r="H450" s="99" t="n">
        <v>12695</v>
      </c>
      <c r="I450" s="99" t="n">
        <v>12695</v>
      </c>
      <c r="J450" s="99" t="n">
        <v>635</v>
      </c>
      <c r="K450" s="99" t="n">
        <v>0</v>
      </c>
      <c r="L450" s="99" t="n">
        <v>0</v>
      </c>
      <c r="M450" s="99" t="n">
        <v>0</v>
      </c>
      <c r="N450" s="99" t="n">
        <v>0</v>
      </c>
      <c r="O450" s="42" t="n">
        <v>12060</v>
      </c>
    </row>
    <row r="451" spans="1:15">
      <c r="A451" s="37" t="n">
        <v>446</v>
      </c>
      <c r="B451" s="97" t="s">
        <v>1524</v>
      </c>
      <c r="C451" s="121" t="s">
        <v>19</v>
      </c>
      <c r="D451" s="121" t="s">
        <v>20</v>
      </c>
      <c r="E451" s="121" t="s">
        <v>21</v>
      </c>
      <c r="F451" s="121" t="s">
        <v>1525</v>
      </c>
      <c r="G451" s="121" t="s">
        <v>1526</v>
      </c>
      <c r="H451" s="99" t="n">
        <v>13146</v>
      </c>
      <c r="I451" s="99" t="n">
        <v>13146</v>
      </c>
      <c r="J451" s="99" t="n">
        <v>0</v>
      </c>
      <c r="K451" s="99" t="n">
        <v>1972</v>
      </c>
      <c r="L451" s="99" t="n">
        <v>0</v>
      </c>
      <c r="M451" s="99" t="n">
        <v>0</v>
      </c>
      <c r="N451" s="99" t="n">
        <v>0</v>
      </c>
      <c r="O451" s="42" t="n">
        <v>11174</v>
      </c>
    </row>
    <row r="452" spans="1:15">
      <c r="A452" s="37" t="n">
        <v>447</v>
      </c>
      <c r="B452" s="97" t="s">
        <v>2511</v>
      </c>
      <c r="C452" s="121" t="s">
        <v>58</v>
      </c>
      <c r="D452" s="121" t="s">
        <v>20</v>
      </c>
      <c r="E452" s="121" t="s">
        <v>21</v>
      </c>
      <c r="F452" s="121" t="s">
        <v>2512</v>
      </c>
      <c r="G452" s="121" t="s">
        <v>2513</v>
      </c>
      <c r="H452" s="99" t="n">
        <v>11791</v>
      </c>
      <c r="I452" s="99" t="n">
        <v>11791</v>
      </c>
      <c r="J452" s="99" t="n">
        <v>590</v>
      </c>
      <c r="K452" s="99" t="n">
        <v>0</v>
      </c>
      <c r="L452" s="99" t="n">
        <v>0</v>
      </c>
      <c r="M452" s="99" t="n">
        <v>0</v>
      </c>
      <c r="N452" s="99" t="n">
        <v>0</v>
      </c>
      <c r="O452" s="42" t="n">
        <v>11201</v>
      </c>
    </row>
    <row r="453" spans="1:15">
      <c r="A453" s="37" t="n">
        <v>448</v>
      </c>
      <c r="B453" s="97" t="s">
        <v>894</v>
      </c>
      <c r="C453" s="121" t="s">
        <v>58</v>
      </c>
      <c r="D453" s="121" t="s">
        <v>20</v>
      </c>
      <c r="E453" s="121" t="s">
        <v>21</v>
      </c>
      <c r="F453" s="121" t="s">
        <v>895</v>
      </c>
      <c r="G453" s="121" t="s">
        <v>896</v>
      </c>
      <c r="H453" s="99" t="n">
        <v>13372</v>
      </c>
      <c r="I453" s="99" t="n">
        <v>13372</v>
      </c>
      <c r="J453" s="99" t="n">
        <v>669</v>
      </c>
      <c r="K453" s="99" t="n">
        <v>0</v>
      </c>
      <c r="L453" s="99" t="n">
        <v>0</v>
      </c>
      <c r="M453" s="99" t="n">
        <v>0</v>
      </c>
      <c r="N453" s="99" t="n">
        <v>0</v>
      </c>
      <c r="O453" s="42" t="n">
        <v>12703</v>
      </c>
    </row>
    <row r="454" spans="1:15">
      <c r="A454" s="37" t="n">
        <v>449</v>
      </c>
      <c r="B454" s="97" t="s">
        <v>1570</v>
      </c>
      <c r="C454" s="121" t="s">
        <v>58</v>
      </c>
      <c r="D454" s="121" t="s">
        <v>20</v>
      </c>
      <c r="E454" s="121" t="s">
        <v>21</v>
      </c>
      <c r="F454" s="121" t="s">
        <v>1571</v>
      </c>
      <c r="G454" s="121" t="s">
        <v>1573</v>
      </c>
      <c r="H454" s="99" t="n">
        <v>13598</v>
      </c>
      <c r="I454" s="99" t="n">
        <v>13598</v>
      </c>
      <c r="J454" s="99" t="n">
        <v>680</v>
      </c>
      <c r="K454" s="99" t="n">
        <v>0</v>
      </c>
      <c r="L454" s="99" t="n">
        <v>0</v>
      </c>
      <c r="M454" s="99" t="n">
        <v>0</v>
      </c>
      <c r="N454" s="99" t="n">
        <v>0</v>
      </c>
      <c r="O454" s="42" t="n">
        <v>12918</v>
      </c>
    </row>
    <row r="455" spans="1:15">
      <c r="A455" s="37" t="n">
        <v>450</v>
      </c>
      <c r="B455" s="97" t="s">
        <v>1494</v>
      </c>
      <c r="C455" s="121" t="s">
        <v>58</v>
      </c>
      <c r="D455" s="121" t="s">
        <v>20</v>
      </c>
      <c r="E455" s="121" t="s">
        <v>21</v>
      </c>
      <c r="F455" s="121" t="s">
        <v>1495</v>
      </c>
      <c r="G455" s="121" t="s">
        <v>1496</v>
      </c>
      <c r="H455" s="99" t="n">
        <v>14276</v>
      </c>
      <c r="I455" s="99" t="n">
        <v>14276</v>
      </c>
      <c r="J455" s="99" t="n">
        <v>714</v>
      </c>
      <c r="K455" s="99" t="n">
        <v>0</v>
      </c>
      <c r="L455" s="99" t="n">
        <v>0</v>
      </c>
      <c r="M455" s="99" t="n">
        <v>0</v>
      </c>
      <c r="N455" s="99" t="n">
        <v>0</v>
      </c>
      <c r="O455" s="42" t="n">
        <v>13562</v>
      </c>
    </row>
    <row r="456" spans="1:15">
      <c r="A456" s="37" t="n">
        <v>451</v>
      </c>
      <c r="B456" s="97" t="s">
        <v>1517</v>
      </c>
      <c r="C456" s="121" t="s">
        <v>58</v>
      </c>
      <c r="D456" s="121" t="s">
        <v>20</v>
      </c>
      <c r="E456" s="121" t="s">
        <v>21</v>
      </c>
      <c r="F456" s="121" t="s">
        <v>1518</v>
      </c>
      <c r="G456" s="121" t="s">
        <v>1519</v>
      </c>
      <c r="H456" s="99" t="n">
        <v>13598</v>
      </c>
      <c r="I456" s="99" t="n">
        <v>13598</v>
      </c>
      <c r="J456" s="99" t="n">
        <v>680</v>
      </c>
      <c r="K456" s="99" t="n">
        <v>0</v>
      </c>
      <c r="L456" s="99" t="n">
        <v>0</v>
      </c>
      <c r="M456" s="99" t="n">
        <v>0</v>
      </c>
      <c r="N456" s="99" t="n">
        <v>0</v>
      </c>
      <c r="O456" s="42" t="n">
        <v>12918</v>
      </c>
    </row>
    <row r="457" spans="1:15">
      <c r="A457" s="37" t="n">
        <v>452</v>
      </c>
      <c r="B457" s="97" t="s">
        <v>1501</v>
      </c>
      <c r="C457" s="121" t="s">
        <v>58</v>
      </c>
      <c r="D457" s="121" t="s">
        <v>20</v>
      </c>
      <c r="E457" s="121" t="s">
        <v>21</v>
      </c>
      <c r="F457" s="121" t="s">
        <v>1502</v>
      </c>
      <c r="G457" s="121" t="s">
        <v>1503</v>
      </c>
      <c r="H457" s="99" t="n">
        <v>13146</v>
      </c>
      <c r="I457" s="99" t="n">
        <v>13146</v>
      </c>
      <c r="J457" s="99" t="n">
        <v>657</v>
      </c>
      <c r="K457" s="99" t="n">
        <v>0</v>
      </c>
      <c r="L457" s="99" t="n">
        <v>0</v>
      </c>
      <c r="M457" s="99" t="n">
        <v>0</v>
      </c>
      <c r="N457" s="99" t="n">
        <v>0</v>
      </c>
      <c r="O457" s="42" t="n">
        <v>12489</v>
      </c>
    </row>
    <row r="458" spans="1:15">
      <c r="A458" s="37" t="n">
        <v>453</v>
      </c>
      <c r="B458" s="97" t="s">
        <v>1554</v>
      </c>
      <c r="C458" s="121" t="s">
        <v>58</v>
      </c>
      <c r="D458" s="121" t="s">
        <v>20</v>
      </c>
      <c r="E458" s="121" t="s">
        <v>21</v>
      </c>
      <c r="F458" s="121" t="s">
        <v>1555</v>
      </c>
      <c r="G458" s="121" t="s">
        <v>1556</v>
      </c>
      <c r="H458" s="99" t="n">
        <v>12695</v>
      </c>
      <c r="I458" s="99" t="n">
        <v>12695</v>
      </c>
      <c r="J458" s="99" t="n">
        <v>635</v>
      </c>
      <c r="K458" s="99" t="n">
        <v>0</v>
      </c>
      <c r="L458" s="99" t="n">
        <v>0</v>
      </c>
      <c r="M458" s="99" t="n">
        <v>0</v>
      </c>
      <c r="N458" s="99" t="n">
        <v>0</v>
      </c>
      <c r="O458" s="42" t="n">
        <v>12060</v>
      </c>
    </row>
    <row r="459" spans="1:15">
      <c r="A459" s="37" t="n">
        <v>454</v>
      </c>
      <c r="B459" s="97" t="s">
        <v>1497</v>
      </c>
      <c r="C459" s="121" t="s">
        <v>58</v>
      </c>
      <c r="D459" s="121" t="s">
        <v>20</v>
      </c>
      <c r="E459" s="121" t="s">
        <v>21</v>
      </c>
      <c r="F459" s="121" t="s">
        <v>1498</v>
      </c>
      <c r="G459" s="121" t="s">
        <v>1500</v>
      </c>
      <c r="H459" s="99" t="n">
        <v>13598</v>
      </c>
      <c r="I459" s="99" t="n">
        <v>13598</v>
      </c>
      <c r="J459" s="99" t="n">
        <v>680</v>
      </c>
      <c r="K459" s="99" t="n">
        <v>0</v>
      </c>
      <c r="L459" s="99" t="n">
        <v>0</v>
      </c>
      <c r="M459" s="99" t="n">
        <v>0</v>
      </c>
      <c r="N459" s="99" t="n">
        <v>0</v>
      </c>
      <c r="O459" s="42" t="n">
        <v>12918</v>
      </c>
    </row>
    <row r="460" spans="1:15">
      <c r="A460" s="37" t="n">
        <v>455</v>
      </c>
      <c r="B460" s="97" t="s">
        <v>1045</v>
      </c>
      <c r="C460" s="121" t="s">
        <v>58</v>
      </c>
      <c r="D460" s="121" t="s">
        <v>20</v>
      </c>
      <c r="E460" s="121" t="s">
        <v>21</v>
      </c>
      <c r="F460" s="121" t="s">
        <v>1046</v>
      </c>
      <c r="G460" s="121" t="s">
        <v>1048</v>
      </c>
      <c r="H460" s="99" t="n">
        <v>13146</v>
      </c>
      <c r="I460" s="99" t="n">
        <v>13146</v>
      </c>
      <c r="J460" s="99" t="n">
        <v>657</v>
      </c>
      <c r="K460" s="99" t="n">
        <v>0</v>
      </c>
      <c r="L460" s="99" t="n">
        <v>0</v>
      </c>
      <c r="M460" s="99" t="n">
        <v>0</v>
      </c>
      <c r="N460" s="99" t="n">
        <v>0</v>
      </c>
      <c r="O460" s="42" t="n">
        <v>12489</v>
      </c>
    </row>
    <row r="461" spans="1:15">
      <c r="A461" s="37" t="n">
        <v>456</v>
      </c>
      <c r="B461" s="97" t="s">
        <v>1540</v>
      </c>
      <c r="C461" s="121" t="s">
        <v>58</v>
      </c>
      <c r="D461" s="121" t="s">
        <v>20</v>
      </c>
      <c r="E461" s="121" t="s">
        <v>21</v>
      </c>
      <c r="F461" s="121" t="s">
        <v>1541</v>
      </c>
      <c r="G461" s="121" t="s">
        <v>1543</v>
      </c>
      <c r="H461" s="99" t="n">
        <v>12695</v>
      </c>
      <c r="I461" s="99" t="n">
        <v>12695</v>
      </c>
      <c r="J461" s="99" t="n">
        <v>635</v>
      </c>
      <c r="K461" s="99" t="n">
        <v>0</v>
      </c>
      <c r="L461" s="99" t="n">
        <v>0</v>
      </c>
      <c r="M461" s="99" t="n">
        <v>0</v>
      </c>
      <c r="N461" s="99" t="n">
        <v>0</v>
      </c>
      <c r="O461" s="42" t="n">
        <v>12060</v>
      </c>
    </row>
    <row r="462" spans="1:15">
      <c r="A462" s="37" t="n">
        <v>457</v>
      </c>
      <c r="B462" s="97" t="s">
        <v>1514</v>
      </c>
      <c r="C462" s="121" t="s">
        <v>58</v>
      </c>
      <c r="D462" s="121" t="s">
        <v>20</v>
      </c>
      <c r="E462" s="121" t="s">
        <v>21</v>
      </c>
      <c r="F462" s="121" t="s">
        <v>1515</v>
      </c>
      <c r="G462" s="121" t="s">
        <v>1516</v>
      </c>
      <c r="H462" s="99" t="n">
        <v>12695</v>
      </c>
      <c r="I462" s="99" t="n">
        <v>12695</v>
      </c>
      <c r="J462" s="99" t="n">
        <v>635</v>
      </c>
      <c r="K462" s="99" t="n">
        <v>0</v>
      </c>
      <c r="L462" s="99" t="n">
        <v>0</v>
      </c>
      <c r="M462" s="99" t="n">
        <v>0</v>
      </c>
      <c r="N462" s="99" t="n">
        <v>0</v>
      </c>
      <c r="O462" s="42" t="n">
        <v>12060</v>
      </c>
    </row>
    <row r="463" spans="1:15">
      <c r="A463" s="37" t="n">
        <v>458</v>
      </c>
      <c r="B463" s="97" t="s">
        <v>2514</v>
      </c>
      <c r="C463" s="121" t="s">
        <v>58</v>
      </c>
      <c r="D463" s="121" t="s">
        <v>20</v>
      </c>
      <c r="E463" s="121" t="s">
        <v>21</v>
      </c>
      <c r="F463" s="121" t="s">
        <v>2515</v>
      </c>
      <c r="G463" s="121" t="s">
        <v>2516</v>
      </c>
      <c r="H463" s="99" t="n">
        <v>12695</v>
      </c>
      <c r="I463" s="99" t="n">
        <v>12695</v>
      </c>
      <c r="J463" s="99" t="n">
        <v>635</v>
      </c>
      <c r="K463" s="99" t="n">
        <v>0</v>
      </c>
      <c r="L463" s="99" t="n">
        <v>0</v>
      </c>
      <c r="M463" s="99" t="n">
        <v>0</v>
      </c>
      <c r="N463" s="99" t="n">
        <v>0</v>
      </c>
      <c r="O463" s="42" t="n">
        <v>12060</v>
      </c>
    </row>
    <row r="464" spans="1:15">
      <c r="A464" s="37" t="n">
        <v>459</v>
      </c>
      <c r="B464" s="97" t="s">
        <v>1551</v>
      </c>
      <c r="C464" s="121" t="s">
        <v>283</v>
      </c>
      <c r="D464" s="121" t="s">
        <v>20</v>
      </c>
      <c r="E464" s="121" t="s">
        <v>21</v>
      </c>
      <c r="F464" s="121" t="s">
        <v>2467</v>
      </c>
      <c r="G464" s="121" t="s">
        <v>1553</v>
      </c>
      <c r="H464" s="99" t="n">
        <v>15406</v>
      </c>
      <c r="I464" s="99" t="n">
        <v>15406</v>
      </c>
      <c r="J464" s="99" t="n">
        <v>0</v>
      </c>
      <c r="K464" s="99" t="n">
        <v>0</v>
      </c>
      <c r="L464" s="99" t="n">
        <v>0</v>
      </c>
      <c r="M464" s="99" t="n">
        <v>0</v>
      </c>
      <c r="N464" s="99" t="n">
        <v>0</v>
      </c>
      <c r="O464" s="42" t="n">
        <v>15406</v>
      </c>
    </row>
    <row r="465" spans="1:15">
      <c r="A465" s="37" t="n">
        <v>460</v>
      </c>
      <c r="B465" s="97" t="s">
        <v>2480</v>
      </c>
      <c r="C465" s="121" t="s">
        <v>120</v>
      </c>
      <c r="D465" s="121" t="s">
        <v>20</v>
      </c>
      <c r="E465" s="121" t="s">
        <v>21</v>
      </c>
      <c r="F465" s="98" t="n">
        <v>0</v>
      </c>
      <c r="G465" s="98" t="n">
        <v>1612007744</v>
      </c>
      <c r="H465" s="99" t="n">
        <v>15406</v>
      </c>
      <c r="I465" s="99" t="n">
        <v>15406</v>
      </c>
      <c r="J465" s="99" t="n">
        <v>0</v>
      </c>
      <c r="K465" s="99" t="n">
        <v>0</v>
      </c>
      <c r="L465" s="99" t="n">
        <v>0</v>
      </c>
      <c r="M465" s="99" t="n">
        <v>0</v>
      </c>
      <c r="N465" s="99" t="n">
        <v>0</v>
      </c>
      <c r="O465" s="42" t="n">
        <v>15406</v>
      </c>
    </row>
    <row r="466" spans="1:15">
      <c r="A466" s="37" t="n">
        <v>461</v>
      </c>
      <c r="B466" s="97" t="s">
        <v>2269</v>
      </c>
      <c r="C466" s="121" t="s">
        <v>95</v>
      </c>
      <c r="D466" s="121" t="s">
        <v>128</v>
      </c>
      <c r="E466" s="121" t="s">
        <v>15</v>
      </c>
      <c r="F466" s="98" t="n">
        <v>0</v>
      </c>
      <c r="G466" s="121" t="s">
        <v>2270</v>
      </c>
      <c r="H466" s="99" t="n">
        <v>14389</v>
      </c>
      <c r="I466" s="99" t="n">
        <v>14389</v>
      </c>
      <c r="J466" s="99" t="n">
        <v>0</v>
      </c>
      <c r="K466" s="99" t="n">
        <v>0</v>
      </c>
      <c r="L466" s="99" t="n">
        <v>0</v>
      </c>
      <c r="M466" s="99" t="n">
        <v>0</v>
      </c>
      <c r="N466" s="99" t="n">
        <v>0</v>
      </c>
      <c r="O466" s="42" t="n">
        <v>14389</v>
      </c>
    </row>
    <row r="467" spans="1:15">
      <c r="A467" s="37" t="n">
        <v>462</v>
      </c>
      <c r="B467" s="97" t="s">
        <v>465</v>
      </c>
      <c r="C467" s="121" t="s">
        <v>111</v>
      </c>
      <c r="D467" s="121" t="s">
        <v>20</v>
      </c>
      <c r="E467" s="121" t="s">
        <v>21</v>
      </c>
      <c r="F467" s="121" t="s">
        <v>466</v>
      </c>
      <c r="G467" s="121" t="s">
        <v>467</v>
      </c>
      <c r="H467" s="99" t="n">
        <v>57571</v>
      </c>
      <c r="I467" s="99" t="n">
        <v>57571</v>
      </c>
      <c r="J467" s="99" t="n">
        <v>0</v>
      </c>
      <c r="K467" s="99" t="n">
        <v>0</v>
      </c>
      <c r="L467" s="99" t="n">
        <v>0</v>
      </c>
      <c r="M467" s="99" t="n">
        <v>0</v>
      </c>
      <c r="N467" s="99" t="n">
        <v>0</v>
      </c>
      <c r="O467" s="42" t="n">
        <v>57571</v>
      </c>
    </row>
    <row r="468" spans="1:15">
      <c r="A468" s="37" t="n">
        <v>463</v>
      </c>
      <c r="B468" s="97" t="s">
        <v>1583</v>
      </c>
      <c r="C468" s="121" t="s">
        <v>1584</v>
      </c>
      <c r="D468" s="121" t="s">
        <v>20</v>
      </c>
      <c r="E468" s="121" t="s">
        <v>21</v>
      </c>
      <c r="F468" s="121" t="s">
        <v>1585</v>
      </c>
      <c r="G468" s="121" t="s">
        <v>1586</v>
      </c>
      <c r="H468" s="99" t="n">
        <v>12597</v>
      </c>
      <c r="I468" s="99" t="n">
        <v>12597</v>
      </c>
      <c r="J468" s="99" t="n">
        <v>0</v>
      </c>
      <c r="K468" s="99" t="n">
        <v>0</v>
      </c>
      <c r="L468" s="99" t="n">
        <v>0</v>
      </c>
      <c r="M468" s="99" t="n">
        <v>0</v>
      </c>
      <c r="N468" s="99" t="n">
        <v>0</v>
      </c>
      <c r="O468" s="42" t="n">
        <v>12597</v>
      </c>
    </row>
    <row r="469" spans="1:15">
      <c r="A469" s="37" t="n">
        <v>464</v>
      </c>
      <c r="B469" s="97" t="s">
        <v>1587</v>
      </c>
      <c r="C469" s="121" t="s">
        <v>95</v>
      </c>
      <c r="D469" s="121" t="s">
        <v>278</v>
      </c>
      <c r="E469" s="121" t="s">
        <v>16</v>
      </c>
      <c r="F469" s="98" t="n">
        <v>0</v>
      </c>
      <c r="G469" s="121" t="s">
        <v>1588</v>
      </c>
      <c r="H469" s="99" t="n">
        <v>13501</v>
      </c>
      <c r="I469" s="99" t="n">
        <v>13501</v>
      </c>
      <c r="J469" s="99" t="n">
        <v>0</v>
      </c>
      <c r="K469" s="99" t="n">
        <v>0</v>
      </c>
      <c r="L469" s="99" t="n">
        <v>0</v>
      </c>
      <c r="M469" s="99" t="n">
        <v>0</v>
      </c>
      <c r="N469" s="99" t="n">
        <v>0</v>
      </c>
      <c r="O469" s="42" t="n">
        <v>13501</v>
      </c>
    </row>
    <row r="470" spans="1:15">
      <c r="A470" s="37" t="n">
        <v>465</v>
      </c>
      <c r="B470" s="97" t="s">
        <v>1589</v>
      </c>
      <c r="C470" s="121" t="s">
        <v>95</v>
      </c>
      <c r="D470" s="121" t="s">
        <v>124</v>
      </c>
      <c r="E470" s="121" t="s">
        <v>15</v>
      </c>
      <c r="F470" s="98" t="n">
        <v>0</v>
      </c>
      <c r="G470" s="121" t="s">
        <v>1590</v>
      </c>
      <c r="H470" s="99" t="n">
        <v>13501</v>
      </c>
      <c r="I470" s="99" t="n">
        <v>13501</v>
      </c>
      <c r="J470" s="99" t="n">
        <v>0</v>
      </c>
      <c r="K470" s="99" t="n">
        <v>0</v>
      </c>
      <c r="L470" s="99" t="n">
        <v>0</v>
      </c>
      <c r="M470" s="99" t="n">
        <v>0</v>
      </c>
      <c r="N470" s="99" t="n">
        <v>0</v>
      </c>
      <c r="O470" s="42" t="n">
        <v>13501</v>
      </c>
    </row>
    <row r="471" spans="1:15">
      <c r="A471" s="37" t="n">
        <v>466</v>
      </c>
      <c r="B471" s="97" t="s">
        <v>468</v>
      </c>
      <c r="C471" s="121" t="s">
        <v>58</v>
      </c>
      <c r="D471" s="121" t="s">
        <v>20</v>
      </c>
      <c r="E471" s="121" t="s">
        <v>21</v>
      </c>
      <c r="F471" s="121" t="s">
        <v>469</v>
      </c>
      <c r="G471" s="121" t="s">
        <v>470</v>
      </c>
      <c r="H471" s="99" t="n">
        <v>56631</v>
      </c>
      <c r="I471" s="99" t="n">
        <v>56631</v>
      </c>
      <c r="J471" s="99" t="n">
        <v>2832</v>
      </c>
      <c r="K471" s="99" t="n">
        <v>0</v>
      </c>
      <c r="L471" s="99" t="n">
        <v>0</v>
      </c>
      <c r="M471" s="99" t="n">
        <v>0</v>
      </c>
      <c r="N471" s="99" t="n">
        <v>0</v>
      </c>
      <c r="O471" s="42" t="n">
        <v>53799</v>
      </c>
    </row>
    <row r="472" spans="1:15">
      <c r="A472" s="37" t="n">
        <v>467</v>
      </c>
      <c r="B472" s="97" t="s">
        <v>1594</v>
      </c>
      <c r="C472" s="121" t="s">
        <v>58</v>
      </c>
      <c r="D472" s="121" t="s">
        <v>20</v>
      </c>
      <c r="E472" s="121" t="s">
        <v>21</v>
      </c>
      <c r="F472" s="121" t="s">
        <v>1595</v>
      </c>
      <c r="G472" s="121" t="s">
        <v>1596</v>
      </c>
      <c r="H472" s="99" t="n">
        <v>37145</v>
      </c>
      <c r="I472" s="99" t="n">
        <v>37145</v>
      </c>
      <c r="J472" s="99" t="n">
        <v>1857</v>
      </c>
      <c r="K472" s="99" t="n">
        <v>0</v>
      </c>
      <c r="L472" s="99" t="n">
        <v>0</v>
      </c>
      <c r="M472" s="99" t="n">
        <v>0</v>
      </c>
      <c r="N472" s="99" t="n">
        <v>0</v>
      </c>
      <c r="O472" s="42" t="n">
        <v>35288</v>
      </c>
    </row>
    <row r="473" spans="1:15">
      <c r="A473" s="37" t="n">
        <v>468</v>
      </c>
      <c r="B473" s="97" t="s">
        <v>614</v>
      </c>
      <c r="C473" s="121" t="s">
        <v>58</v>
      </c>
      <c r="D473" s="121" t="s">
        <v>20</v>
      </c>
      <c r="E473" s="121" t="s">
        <v>21</v>
      </c>
      <c r="F473" s="121" t="s">
        <v>615</v>
      </c>
      <c r="G473" s="121" t="s">
        <v>616</v>
      </c>
      <c r="H473" s="99" t="n">
        <v>36693</v>
      </c>
      <c r="I473" s="99" t="n">
        <v>36693</v>
      </c>
      <c r="J473" s="99" t="n">
        <v>1835</v>
      </c>
      <c r="K473" s="99" t="n">
        <v>0</v>
      </c>
      <c r="L473" s="99" t="n">
        <v>0</v>
      </c>
      <c r="M473" s="99" t="n">
        <v>0</v>
      </c>
      <c r="N473" s="99" t="n">
        <v>0</v>
      </c>
      <c r="O473" s="42" t="n">
        <v>34858</v>
      </c>
    </row>
    <row r="474" spans="1:15">
      <c r="A474" s="37" t="n">
        <v>469</v>
      </c>
      <c r="B474" s="97" t="s">
        <v>1597</v>
      </c>
      <c r="C474" s="121" t="s">
        <v>111</v>
      </c>
      <c r="D474" s="121" t="s">
        <v>20</v>
      </c>
      <c r="E474" s="121" t="s">
        <v>21</v>
      </c>
      <c r="F474" s="121" t="s">
        <v>1598</v>
      </c>
      <c r="G474" s="121" t="s">
        <v>1599</v>
      </c>
      <c r="H474" s="99" t="n">
        <v>35789</v>
      </c>
      <c r="I474" s="99" t="n">
        <v>35789</v>
      </c>
      <c r="J474" s="99" t="n">
        <v>0</v>
      </c>
      <c r="K474" s="99" t="n">
        <v>0</v>
      </c>
      <c r="L474" s="99" t="n">
        <v>0</v>
      </c>
      <c r="M474" s="99" t="n">
        <v>0</v>
      </c>
      <c r="N474" s="99" t="n">
        <v>0</v>
      </c>
      <c r="O474" s="42" t="n">
        <v>35789</v>
      </c>
    </row>
    <row r="475" spans="1:15">
      <c r="A475" s="37" t="n">
        <v>470</v>
      </c>
      <c r="B475" s="97" t="s">
        <v>1600</v>
      </c>
      <c r="C475" s="121" t="s">
        <v>111</v>
      </c>
      <c r="D475" s="121" t="s">
        <v>20</v>
      </c>
      <c r="E475" s="121" t="s">
        <v>21</v>
      </c>
      <c r="F475" s="121" t="s">
        <v>1601</v>
      </c>
      <c r="G475" s="121" t="s">
        <v>1602</v>
      </c>
      <c r="H475" s="99" t="n">
        <v>35338</v>
      </c>
      <c r="I475" s="99" t="n">
        <v>35338</v>
      </c>
      <c r="J475" s="99" t="n">
        <v>0</v>
      </c>
      <c r="K475" s="99" t="n">
        <v>0</v>
      </c>
      <c r="L475" s="99" t="n">
        <v>0</v>
      </c>
      <c r="M475" s="99" t="n">
        <v>0</v>
      </c>
      <c r="N475" s="99" t="n">
        <v>0</v>
      </c>
      <c r="O475" s="42" t="n">
        <v>35338</v>
      </c>
    </row>
    <row r="476" spans="1:15">
      <c r="A476" s="37" t="n">
        <v>471</v>
      </c>
      <c r="B476" s="97" t="s">
        <v>1603</v>
      </c>
      <c r="C476" s="121" t="s">
        <v>111</v>
      </c>
      <c r="D476" s="121" t="s">
        <v>20</v>
      </c>
      <c r="E476" s="121" t="s">
        <v>21</v>
      </c>
      <c r="F476" s="121" t="s">
        <v>1604</v>
      </c>
      <c r="G476" s="121" t="s">
        <v>1605</v>
      </c>
      <c r="H476" s="99" t="n">
        <v>30714</v>
      </c>
      <c r="I476" s="99" t="n">
        <v>30714</v>
      </c>
      <c r="J476" s="99" t="n">
        <v>0</v>
      </c>
      <c r="K476" s="99" t="n">
        <v>0</v>
      </c>
      <c r="L476" s="99" t="n">
        <v>0</v>
      </c>
      <c r="M476" s="99" t="n">
        <v>0</v>
      </c>
      <c r="N476" s="99" t="n">
        <v>0</v>
      </c>
      <c r="O476" s="42" t="n">
        <v>30714</v>
      </c>
    </row>
    <row r="477" spans="1:15">
      <c r="A477" s="37" t="n">
        <v>472</v>
      </c>
      <c r="B477" s="97" t="s">
        <v>2517</v>
      </c>
      <c r="C477" s="121" t="s">
        <v>111</v>
      </c>
      <c r="D477" s="121" t="s">
        <v>20</v>
      </c>
      <c r="E477" s="121" t="s">
        <v>21</v>
      </c>
      <c r="F477" s="121" t="s">
        <v>2518</v>
      </c>
      <c r="G477" s="121" t="s">
        <v>2519</v>
      </c>
      <c r="H477" s="99" t="n">
        <v>30714</v>
      </c>
      <c r="I477" s="99" t="n">
        <v>30714</v>
      </c>
      <c r="J477" s="99" t="n">
        <v>0</v>
      </c>
      <c r="K477" s="99" t="n">
        <v>0</v>
      </c>
      <c r="L477" s="99" t="n">
        <v>0</v>
      </c>
      <c r="M477" s="99" t="n">
        <v>0</v>
      </c>
      <c r="N477" s="99" t="n">
        <v>0</v>
      </c>
      <c r="O477" s="42" t="n">
        <v>30714</v>
      </c>
    </row>
    <row r="478" spans="1:15">
      <c r="A478" s="37" t="n">
        <v>473</v>
      </c>
      <c r="B478" s="97" t="s">
        <v>1606</v>
      </c>
      <c r="C478" s="121" t="s">
        <v>120</v>
      </c>
      <c r="D478" s="121" t="s">
        <v>128</v>
      </c>
      <c r="E478" s="121" t="s">
        <v>15</v>
      </c>
      <c r="F478" s="98" t="n">
        <v>0</v>
      </c>
      <c r="G478" s="121" t="s">
        <v>1607</v>
      </c>
      <c r="H478" s="99" t="n">
        <v>29445</v>
      </c>
      <c r="I478" s="99" t="n">
        <v>29445</v>
      </c>
      <c r="J478" s="99" t="n">
        <v>0</v>
      </c>
      <c r="K478" s="99" t="n">
        <v>0</v>
      </c>
      <c r="L478" s="99" t="n">
        <v>0</v>
      </c>
      <c r="M478" s="99" t="n">
        <v>0</v>
      </c>
      <c r="N478" s="99" t="n">
        <v>0</v>
      </c>
      <c r="O478" s="42" t="n">
        <v>29445</v>
      </c>
    </row>
    <row r="479" spans="1:15">
      <c r="A479" s="37" t="n">
        <v>474</v>
      </c>
      <c r="B479" s="97" t="s">
        <v>1610</v>
      </c>
      <c r="C479" s="121" t="s">
        <v>95</v>
      </c>
      <c r="D479" s="121" t="s">
        <v>124</v>
      </c>
      <c r="E479" s="121" t="s">
        <v>15</v>
      </c>
      <c r="F479" s="98" t="n">
        <v>0</v>
      </c>
      <c r="G479" s="121" t="s">
        <v>1611</v>
      </c>
      <c r="H479" s="99" t="n">
        <v>29445</v>
      </c>
      <c r="I479" s="99" t="n">
        <v>29445</v>
      </c>
      <c r="J479" s="99" t="n">
        <v>0</v>
      </c>
      <c r="K479" s="99" t="n">
        <v>0</v>
      </c>
      <c r="L479" s="99" t="n">
        <v>0</v>
      </c>
      <c r="M479" s="99" t="n">
        <v>0</v>
      </c>
      <c r="N479" s="99" t="n">
        <v>0</v>
      </c>
      <c r="O479" s="42" t="n">
        <v>29445</v>
      </c>
    </row>
    <row r="480" spans="1:15">
      <c r="A480" s="37" t="n">
        <v>475</v>
      </c>
      <c r="B480" s="97" t="s">
        <v>1612</v>
      </c>
      <c r="C480" s="121" t="s">
        <v>95</v>
      </c>
      <c r="D480" s="121" t="s">
        <v>278</v>
      </c>
      <c r="E480" s="121" t="s">
        <v>16</v>
      </c>
      <c r="F480" s="98" t="n">
        <v>0</v>
      </c>
      <c r="G480" s="121" t="s">
        <v>1613</v>
      </c>
      <c r="H480" s="99" t="n">
        <v>29445</v>
      </c>
      <c r="I480" s="99" t="n">
        <v>29445</v>
      </c>
      <c r="J480" s="99" t="n">
        <v>0</v>
      </c>
      <c r="K480" s="99" t="n">
        <v>0</v>
      </c>
      <c r="L480" s="99" t="n">
        <v>0</v>
      </c>
      <c r="M480" s="99" t="n">
        <v>0</v>
      </c>
      <c r="N480" s="99" t="n">
        <v>0</v>
      </c>
      <c r="O480" s="42" t="n">
        <v>29445</v>
      </c>
    </row>
    <row r="481" spans="1:15">
      <c r="A481" s="37" t="n">
        <v>476</v>
      </c>
      <c r="B481" s="97" t="s">
        <v>1614</v>
      </c>
      <c r="C481" s="121" t="s">
        <v>95</v>
      </c>
      <c r="D481" s="121" t="s">
        <v>278</v>
      </c>
      <c r="E481" s="121" t="s">
        <v>16</v>
      </c>
      <c r="F481" s="98" t="n">
        <v>0</v>
      </c>
      <c r="G481" s="121" t="s">
        <v>1615</v>
      </c>
      <c r="H481" s="99" t="n">
        <v>29445</v>
      </c>
      <c r="I481" s="99" t="n">
        <v>29445</v>
      </c>
      <c r="J481" s="99" t="n">
        <v>0</v>
      </c>
      <c r="K481" s="99" t="n">
        <v>0</v>
      </c>
      <c r="L481" s="99" t="n">
        <v>0</v>
      </c>
      <c r="M481" s="99" t="n">
        <v>0</v>
      </c>
      <c r="N481" s="99" t="n">
        <v>0</v>
      </c>
      <c r="O481" s="42" t="n">
        <v>29445</v>
      </c>
    </row>
    <row r="482" spans="1:15">
      <c r="A482" s="37" t="n">
        <v>477</v>
      </c>
      <c r="B482" s="97" t="s">
        <v>1616</v>
      </c>
      <c r="C482" s="121" t="s">
        <v>95</v>
      </c>
      <c r="D482" s="121" t="s">
        <v>124</v>
      </c>
      <c r="E482" s="121" t="s">
        <v>15</v>
      </c>
      <c r="F482" s="98" t="n">
        <v>0</v>
      </c>
      <c r="G482" s="121" t="s">
        <v>1617</v>
      </c>
      <c r="H482" s="99" t="n">
        <v>29445</v>
      </c>
      <c r="I482" s="99" t="n">
        <v>29445</v>
      </c>
      <c r="J482" s="99" t="n">
        <v>0</v>
      </c>
      <c r="K482" s="99" t="n">
        <v>0</v>
      </c>
      <c r="L482" s="99" t="n">
        <v>0</v>
      </c>
      <c r="M482" s="99" t="n">
        <v>0</v>
      </c>
      <c r="N482" s="99" t="n">
        <v>0</v>
      </c>
      <c r="O482" s="42" t="n">
        <v>29445</v>
      </c>
    </row>
    <row r="483" spans="1:15">
      <c r="A483" s="37" t="n">
        <v>478</v>
      </c>
      <c r="B483" s="97" t="s">
        <v>1627</v>
      </c>
      <c r="C483" s="121" t="s">
        <v>58</v>
      </c>
      <c r="D483" s="121" t="s">
        <v>20</v>
      </c>
      <c r="E483" s="121" t="s">
        <v>21</v>
      </c>
      <c r="F483" s="121" t="s">
        <v>1628</v>
      </c>
      <c r="G483" s="121" t="s">
        <v>1629</v>
      </c>
      <c r="H483" s="99" t="n">
        <v>39820</v>
      </c>
      <c r="I483" s="99" t="n">
        <v>39820</v>
      </c>
      <c r="J483" s="99" t="n">
        <v>1991</v>
      </c>
      <c r="K483" s="99" t="n">
        <v>0</v>
      </c>
      <c r="L483" s="99" t="n">
        <v>0</v>
      </c>
      <c r="M483" s="99" t="n">
        <v>0</v>
      </c>
      <c r="N483" s="99" t="n">
        <v>0</v>
      </c>
      <c r="O483" s="42" t="n">
        <v>37829</v>
      </c>
    </row>
    <row r="484" spans="1:15">
      <c r="A484" s="37" t="n">
        <v>479</v>
      </c>
      <c r="B484" s="97" t="s">
        <v>1630</v>
      </c>
      <c r="C484" s="121" t="s">
        <v>58</v>
      </c>
      <c r="D484" s="121" t="s">
        <v>20</v>
      </c>
      <c r="E484" s="121" t="s">
        <v>21</v>
      </c>
      <c r="F484" s="121" t="s">
        <v>1631</v>
      </c>
      <c r="G484" s="121" t="s">
        <v>1633</v>
      </c>
      <c r="H484" s="99" t="n">
        <v>34121</v>
      </c>
      <c r="I484" s="99" t="n">
        <v>34121</v>
      </c>
      <c r="J484" s="99" t="n">
        <v>1706</v>
      </c>
      <c r="K484" s="99" t="n">
        <v>0</v>
      </c>
      <c r="L484" s="99" t="n">
        <v>0</v>
      </c>
      <c r="M484" s="99" t="n">
        <v>0</v>
      </c>
      <c r="N484" s="99" t="n">
        <v>0</v>
      </c>
      <c r="O484" s="42" t="n">
        <v>32415</v>
      </c>
    </row>
    <row r="485" spans="1:15">
      <c r="A485" s="37" t="n">
        <v>480</v>
      </c>
      <c r="B485" s="97" t="s">
        <v>1637</v>
      </c>
      <c r="C485" s="121" t="s">
        <v>58</v>
      </c>
      <c r="D485" s="121" t="s">
        <v>20</v>
      </c>
      <c r="E485" s="121" t="s">
        <v>21</v>
      </c>
      <c r="F485" s="121" t="s">
        <v>1638</v>
      </c>
      <c r="G485" s="121" t="s">
        <v>1640</v>
      </c>
      <c r="H485" s="99" t="n">
        <v>39235</v>
      </c>
      <c r="I485" s="99" t="n">
        <v>39235</v>
      </c>
      <c r="J485" s="99" t="n">
        <v>1962</v>
      </c>
      <c r="K485" s="99" t="n">
        <v>0</v>
      </c>
      <c r="L485" s="99" t="n">
        <v>0</v>
      </c>
      <c r="M485" s="99" t="n">
        <v>0</v>
      </c>
      <c r="N485" s="99" t="n">
        <v>0</v>
      </c>
      <c r="O485" s="42" t="n">
        <v>37273</v>
      </c>
    </row>
    <row r="486" spans="1:15">
      <c r="A486" s="37" t="n">
        <v>481</v>
      </c>
      <c r="B486" s="97" t="s">
        <v>1641</v>
      </c>
      <c r="C486" s="121" t="s">
        <v>58</v>
      </c>
      <c r="D486" s="121" t="s">
        <v>20</v>
      </c>
      <c r="E486" s="121" t="s">
        <v>21</v>
      </c>
      <c r="F486" s="121" t="s">
        <v>1642</v>
      </c>
      <c r="G486" s="121" t="s">
        <v>1644</v>
      </c>
      <c r="H486" s="99" t="n">
        <v>40663</v>
      </c>
      <c r="I486" s="99" t="n">
        <v>40663</v>
      </c>
      <c r="J486" s="99" t="n">
        <v>2033</v>
      </c>
      <c r="K486" s="99" t="n">
        <v>0</v>
      </c>
      <c r="L486" s="99" t="n">
        <v>0</v>
      </c>
      <c r="M486" s="99" t="n">
        <v>0</v>
      </c>
      <c r="N486" s="99" t="n">
        <v>0</v>
      </c>
      <c r="O486" s="42" t="n">
        <v>38630</v>
      </c>
    </row>
    <row r="487" spans="1:15">
      <c r="A487" s="37" t="n">
        <v>482</v>
      </c>
      <c r="B487" s="97" t="s">
        <v>1645</v>
      </c>
      <c r="C487" s="121" t="s">
        <v>58</v>
      </c>
      <c r="D487" s="121" t="s">
        <v>20</v>
      </c>
      <c r="E487" s="121" t="s">
        <v>21</v>
      </c>
      <c r="F487" s="121" t="s">
        <v>1646</v>
      </c>
      <c r="G487" s="121" t="s">
        <v>1648</v>
      </c>
      <c r="H487" s="99" t="n">
        <v>40663</v>
      </c>
      <c r="I487" s="99" t="n">
        <v>40663</v>
      </c>
      <c r="J487" s="99" t="n">
        <v>2033</v>
      </c>
      <c r="K487" s="99" t="n">
        <v>0</v>
      </c>
      <c r="L487" s="99" t="n">
        <v>0</v>
      </c>
      <c r="M487" s="99" t="n">
        <v>0</v>
      </c>
      <c r="N487" s="99" t="n">
        <v>0</v>
      </c>
      <c r="O487" s="42" t="n">
        <v>38630</v>
      </c>
    </row>
    <row r="488" spans="1:15">
      <c r="A488" s="37" t="n">
        <v>483</v>
      </c>
      <c r="B488" s="97" t="s">
        <v>1649</v>
      </c>
      <c r="C488" s="121" t="s">
        <v>58</v>
      </c>
      <c r="D488" s="121" t="s">
        <v>20</v>
      </c>
      <c r="E488" s="121" t="s">
        <v>21</v>
      </c>
      <c r="F488" s="121" t="s">
        <v>1650</v>
      </c>
      <c r="G488" s="121" t="s">
        <v>1652</v>
      </c>
      <c r="H488" s="99" t="n">
        <v>33646</v>
      </c>
      <c r="I488" s="99" t="n">
        <v>33646</v>
      </c>
      <c r="J488" s="99" t="n">
        <v>1682</v>
      </c>
      <c r="K488" s="99" t="n">
        <v>0</v>
      </c>
      <c r="L488" s="99" t="n">
        <v>0</v>
      </c>
      <c r="M488" s="99" t="n">
        <v>0</v>
      </c>
      <c r="N488" s="99" t="n">
        <v>0</v>
      </c>
      <c r="O488" s="42" t="n">
        <v>31964</v>
      </c>
    </row>
    <row r="489" spans="1:15">
      <c r="A489" s="37" t="n">
        <v>484</v>
      </c>
      <c r="B489" s="97" t="s">
        <v>2520</v>
      </c>
      <c r="C489" s="121" t="s">
        <v>120</v>
      </c>
      <c r="D489" s="121" t="s">
        <v>124</v>
      </c>
      <c r="E489" s="121" t="s">
        <v>15</v>
      </c>
      <c r="F489" s="98" t="n">
        <v>0</v>
      </c>
      <c r="G489" s="121" t="s">
        <v>2521</v>
      </c>
      <c r="H489" s="99" t="n">
        <v>31440</v>
      </c>
      <c r="I489" s="99" t="n">
        <v>31440</v>
      </c>
      <c r="J489" s="99" t="n">
        <v>0</v>
      </c>
      <c r="K489" s="99" t="n">
        <v>0</v>
      </c>
      <c r="L489" s="99" t="n">
        <v>0</v>
      </c>
      <c r="M489" s="99" t="n">
        <v>0</v>
      </c>
      <c r="N489" s="99" t="n">
        <v>0</v>
      </c>
      <c r="O489" s="42" t="n">
        <v>31440</v>
      </c>
    </row>
    <row r="490" spans="1:15">
      <c r="A490" s="37" t="n">
        <v>485</v>
      </c>
      <c r="B490" s="97" t="s">
        <v>2522</v>
      </c>
      <c r="C490" s="121" t="s">
        <v>120</v>
      </c>
      <c r="D490" s="121" t="s">
        <v>124</v>
      </c>
      <c r="E490" s="121" t="s">
        <v>15</v>
      </c>
      <c r="F490" s="98" t="n">
        <v>0</v>
      </c>
      <c r="G490" s="121" t="s">
        <v>2523</v>
      </c>
      <c r="H490" s="99" t="n">
        <v>33664</v>
      </c>
      <c r="I490" s="99" t="n">
        <v>33664</v>
      </c>
      <c r="J490" s="99" t="n">
        <v>0</v>
      </c>
      <c r="K490" s="99" t="n">
        <v>0</v>
      </c>
      <c r="L490" s="99" t="n">
        <v>0</v>
      </c>
      <c r="M490" s="99" t="n">
        <v>0</v>
      </c>
      <c r="N490" s="99" t="n">
        <v>0</v>
      </c>
      <c r="O490" s="42" t="n">
        <v>33664</v>
      </c>
    </row>
    <row r="491" spans="1:15">
      <c r="A491" s="37" t="n">
        <v>486</v>
      </c>
      <c r="B491" s="97" t="s">
        <v>2524</v>
      </c>
      <c r="C491" s="121" t="s">
        <v>120</v>
      </c>
      <c r="D491" s="121" t="s">
        <v>124</v>
      </c>
      <c r="E491" s="121" t="s">
        <v>15</v>
      </c>
      <c r="F491" s="98" t="n">
        <v>0</v>
      </c>
      <c r="G491" s="121" t="s">
        <v>2525</v>
      </c>
      <c r="H491" s="99" t="n">
        <v>24862</v>
      </c>
      <c r="I491" s="99" t="n">
        <v>24862</v>
      </c>
      <c r="J491" s="99" t="n">
        <v>0</v>
      </c>
      <c r="K491" s="99" t="n">
        <v>0</v>
      </c>
      <c r="L491" s="99" t="n">
        <v>0</v>
      </c>
      <c r="M491" s="99" t="n">
        <v>0</v>
      </c>
      <c r="N491" s="99" t="n">
        <v>0</v>
      </c>
      <c r="O491" s="42" t="n">
        <v>24862</v>
      </c>
    </row>
    <row r="492" spans="1:15">
      <c r="A492" s="37" t="n">
        <v>487</v>
      </c>
      <c r="B492" s="97" t="s">
        <v>2526</v>
      </c>
      <c r="C492" s="121" t="s">
        <v>95</v>
      </c>
      <c r="D492" s="121" t="s">
        <v>124</v>
      </c>
      <c r="E492" s="121" t="s">
        <v>15</v>
      </c>
      <c r="F492" s="98" t="n">
        <v>0</v>
      </c>
      <c r="G492" s="121" t="s">
        <v>2527</v>
      </c>
      <c r="H492" s="99" t="n">
        <v>24862</v>
      </c>
      <c r="I492" s="99" t="n">
        <v>24862</v>
      </c>
      <c r="J492" s="99" t="n">
        <v>0</v>
      </c>
      <c r="K492" s="99" t="n">
        <v>0</v>
      </c>
      <c r="L492" s="99" t="n">
        <v>0</v>
      </c>
      <c r="M492" s="99" t="n">
        <v>0</v>
      </c>
      <c r="N492" s="99" t="n">
        <v>0</v>
      </c>
      <c r="O492" s="42" t="n">
        <v>24862</v>
      </c>
    </row>
    <row r="493" spans="1:15">
      <c r="A493" s="37" t="n">
        <v>494</v>
      </c>
      <c r="B493" s="97" t="s">
        <v>1681</v>
      </c>
      <c r="C493" s="121" t="s">
        <v>58</v>
      </c>
      <c r="D493" s="121" t="s">
        <v>20</v>
      </c>
      <c r="E493" s="121" t="s">
        <v>21</v>
      </c>
      <c r="F493" s="121" t="s">
        <v>1682</v>
      </c>
      <c r="G493" s="121" t="s">
        <v>1684</v>
      </c>
      <c r="H493" s="99" t="n">
        <v>20893</v>
      </c>
      <c r="I493" s="99" t="n">
        <v>20893</v>
      </c>
      <c r="J493" s="99" t="n">
        <v>1045</v>
      </c>
      <c r="K493" s="99" t="n">
        <v>0</v>
      </c>
      <c r="L493" s="99" t="n">
        <v>0</v>
      </c>
      <c r="M493" s="99" t="n">
        <v>0</v>
      </c>
      <c r="N493" s="99" t="n">
        <v>0</v>
      </c>
      <c r="O493" s="42" t="n">
        <v>19848</v>
      </c>
    </row>
    <row r="494" spans="1:15">
      <c r="A494" s="37" t="n">
        <v>495</v>
      </c>
      <c r="B494" s="97" t="s">
        <v>1685</v>
      </c>
      <c r="C494" s="121" t="s">
        <v>283</v>
      </c>
      <c r="D494" s="121" t="s">
        <v>20</v>
      </c>
      <c r="E494" s="121" t="s">
        <v>21</v>
      </c>
      <c r="F494" s="121" t="s">
        <v>2528</v>
      </c>
      <c r="G494" s="121" t="s">
        <v>1687</v>
      </c>
      <c r="H494" s="99" t="n">
        <v>16827</v>
      </c>
      <c r="I494" s="99" t="n">
        <v>16827</v>
      </c>
      <c r="J494" s="99" t="n">
        <v>0</v>
      </c>
      <c r="K494" s="99" t="n">
        <v>0</v>
      </c>
      <c r="L494" s="99" t="n">
        <v>0</v>
      </c>
      <c r="M494" s="99" t="n">
        <v>0</v>
      </c>
      <c r="N494" s="99" t="n">
        <v>0</v>
      </c>
      <c r="O494" s="42" t="n">
        <v>16827</v>
      </c>
    </row>
    <row r="495" spans="1:15">
      <c r="A495" s="37" t="n">
        <v>498</v>
      </c>
      <c r="B495" s="97" t="s">
        <v>2609</v>
      </c>
      <c r="C495" s="121" t="s">
        <v>58</v>
      </c>
      <c r="D495" s="121" t="s">
        <v>20</v>
      </c>
      <c r="E495" s="121" t="s">
        <v>21</v>
      </c>
      <c r="F495" s="121" t="s">
        <v>2074</v>
      </c>
      <c r="G495" s="121" t="s">
        <v>2610</v>
      </c>
      <c r="H495" s="99" t="n">
        <v>38646</v>
      </c>
      <c r="I495" s="99" t="n">
        <v>38646</v>
      </c>
      <c r="J495" s="99" t="n">
        <v>1932</v>
      </c>
      <c r="K495" s="99" t="n">
        <v>0</v>
      </c>
      <c r="L495" s="99" t="n">
        <v>0</v>
      </c>
      <c r="M495" s="99" t="n">
        <v>0</v>
      </c>
      <c r="N495" s="99" t="n">
        <v>0</v>
      </c>
      <c r="O495" s="42" t="n">
        <v>36714</v>
      </c>
    </row>
    <row r="496" spans="1:15">
      <c r="A496" s="37" t="n">
        <v>499</v>
      </c>
      <c r="B496" s="97" t="s">
        <v>2611</v>
      </c>
      <c r="C496" s="121" t="s">
        <v>95</v>
      </c>
      <c r="D496" s="121" t="s">
        <v>137</v>
      </c>
      <c r="E496" s="121" t="s">
        <v>14</v>
      </c>
      <c r="F496" s="98" t="n">
        <v>0</v>
      </c>
      <c r="G496" s="121" t="s">
        <v>2612</v>
      </c>
      <c r="H496" s="99" t="n">
        <v>31440</v>
      </c>
      <c r="I496" s="99" t="n">
        <v>31440</v>
      </c>
      <c r="J496" s="99" t="n">
        <v>0</v>
      </c>
      <c r="K496" s="99" t="n">
        <v>0</v>
      </c>
      <c r="L496" s="99" t="n">
        <v>0</v>
      </c>
      <c r="M496" s="99" t="n">
        <v>0</v>
      </c>
      <c r="N496" s="99" t="n">
        <v>0</v>
      </c>
      <c r="O496" s="42" t="n">
        <v>31440</v>
      </c>
    </row>
    <row r="497" spans="1:15">
      <c r="A497" s="37" t="n">
        <v>500</v>
      </c>
      <c r="B497" s="97" t="s">
        <v>2613</v>
      </c>
      <c r="C497" s="121" t="s">
        <v>95</v>
      </c>
      <c r="D497" s="121" t="s">
        <v>137</v>
      </c>
      <c r="E497" s="121" t="s">
        <v>14</v>
      </c>
      <c r="F497" s="98" t="n">
        <v>0</v>
      </c>
      <c r="G497" s="121" t="s">
        <v>2614</v>
      </c>
      <c r="H497" s="99" t="n">
        <v>33664</v>
      </c>
      <c r="I497" s="99" t="n">
        <v>33664</v>
      </c>
      <c r="J497" s="99" t="n">
        <v>0</v>
      </c>
      <c r="K497" s="99" t="n">
        <v>0</v>
      </c>
      <c r="L497" s="99" t="n">
        <v>0</v>
      </c>
      <c r="M497" s="99" t="n">
        <v>0</v>
      </c>
      <c r="N497" s="99" t="n">
        <v>0</v>
      </c>
      <c r="O497" s="42" t="n">
        <v>33664</v>
      </c>
    </row>
    <row r="498" spans="1:15">
      <c r="A498" s="37" t="n">
        <v>502</v>
      </c>
      <c r="B498" s="97" t="s">
        <v>1698</v>
      </c>
      <c r="C498" s="121" t="s">
        <v>19</v>
      </c>
      <c r="D498" s="121" t="s">
        <v>20</v>
      </c>
      <c r="E498" s="121" t="s">
        <v>21</v>
      </c>
      <c r="F498" s="121" t="s">
        <v>1699</v>
      </c>
      <c r="G498" s="121" t="s">
        <v>1701</v>
      </c>
      <c r="H498" s="99" t="n">
        <v>41737</v>
      </c>
      <c r="I498" s="99" t="n">
        <v>41737</v>
      </c>
      <c r="J498" s="99" t="n">
        <v>0</v>
      </c>
      <c r="K498" s="99" t="n">
        <v>6261</v>
      </c>
      <c r="L498" s="99" t="n">
        <v>0</v>
      </c>
      <c r="M498" s="99" t="n">
        <v>0</v>
      </c>
      <c r="N498" s="99" t="n">
        <v>0</v>
      </c>
      <c r="O498" s="42" t="n">
        <v>35476</v>
      </c>
    </row>
    <row r="499" spans="1:15">
      <c r="A499" s="37" t="n">
        <v>503</v>
      </c>
      <c r="B499" s="97" t="s">
        <v>1702</v>
      </c>
      <c r="C499" s="121" t="s">
        <v>58</v>
      </c>
      <c r="D499" s="121" t="s">
        <v>20</v>
      </c>
      <c r="E499" s="121" t="s">
        <v>21</v>
      </c>
      <c r="F499" s="121" t="s">
        <v>1703</v>
      </c>
      <c r="G499" s="121" t="s">
        <v>1705</v>
      </c>
      <c r="H499" s="99" t="n">
        <v>35379</v>
      </c>
      <c r="I499" s="99" t="n">
        <v>35379</v>
      </c>
      <c r="J499" s="99" t="n">
        <v>1769</v>
      </c>
      <c r="K499" s="99" t="n">
        <v>0</v>
      </c>
      <c r="L499" s="99" t="n">
        <v>0</v>
      </c>
      <c r="M499" s="99" t="n">
        <v>0</v>
      </c>
      <c r="N499" s="99" t="n">
        <v>0</v>
      </c>
      <c r="O499" s="42" t="n">
        <v>33610</v>
      </c>
    </row>
    <row r="500" spans="1:15">
      <c r="A500" s="37" t="n">
        <v>504</v>
      </c>
      <c r="B500" s="97" t="s">
        <v>1706</v>
      </c>
      <c r="C500" s="121" t="s">
        <v>58</v>
      </c>
      <c r="D500" s="121" t="s">
        <v>20</v>
      </c>
      <c r="E500" s="121" t="s">
        <v>21</v>
      </c>
      <c r="F500" s="121" t="s">
        <v>1707</v>
      </c>
      <c r="G500" s="121" t="s">
        <v>1709</v>
      </c>
      <c r="H500" s="99" t="n">
        <v>35379</v>
      </c>
      <c r="I500" s="99" t="n">
        <v>35379</v>
      </c>
      <c r="J500" s="99" t="n">
        <v>1769</v>
      </c>
      <c r="K500" s="99" t="n">
        <v>0</v>
      </c>
      <c r="L500" s="99" t="n">
        <v>0</v>
      </c>
      <c r="M500" s="99" t="n">
        <v>0</v>
      </c>
      <c r="N500" s="99" t="n">
        <v>0</v>
      </c>
      <c r="O500" s="42" t="n">
        <v>33610</v>
      </c>
    </row>
    <row r="501" spans="1:15">
      <c r="A501" s="37" t="n">
        <v>505</v>
      </c>
      <c r="B501" s="97" t="s">
        <v>1710</v>
      </c>
      <c r="C501" s="121" t="s">
        <v>58</v>
      </c>
      <c r="D501" s="121" t="s">
        <v>20</v>
      </c>
      <c r="E501" s="121" t="s">
        <v>21</v>
      </c>
      <c r="F501" s="121" t="s">
        <v>1711</v>
      </c>
      <c r="G501" s="121" t="s">
        <v>1713</v>
      </c>
      <c r="H501" s="99" t="n">
        <v>35379</v>
      </c>
      <c r="I501" s="99" t="n">
        <v>35379</v>
      </c>
      <c r="J501" s="99" t="n">
        <v>1769</v>
      </c>
      <c r="K501" s="99" t="n">
        <v>0</v>
      </c>
      <c r="L501" s="99" t="n">
        <v>0</v>
      </c>
      <c r="M501" s="99" t="n">
        <v>0</v>
      </c>
      <c r="N501" s="99" t="n">
        <v>0</v>
      </c>
      <c r="O501" s="42" t="n">
        <v>33610</v>
      </c>
    </row>
    <row r="502" spans="1:15">
      <c r="A502" s="37" t="n">
        <v>506</v>
      </c>
      <c r="B502" s="97" t="s">
        <v>1714</v>
      </c>
      <c r="C502" s="121" t="s">
        <v>58</v>
      </c>
      <c r="D502" s="121" t="s">
        <v>20</v>
      </c>
      <c r="E502" s="121" t="s">
        <v>21</v>
      </c>
      <c r="F502" s="121" t="s">
        <v>1715</v>
      </c>
      <c r="G502" s="121" t="s">
        <v>1717</v>
      </c>
      <c r="H502" s="99" t="n">
        <v>35379</v>
      </c>
      <c r="I502" s="99" t="n">
        <v>35379</v>
      </c>
      <c r="J502" s="99" t="n">
        <v>1769</v>
      </c>
      <c r="K502" s="99" t="n">
        <v>0</v>
      </c>
      <c r="L502" s="99" t="n">
        <v>0</v>
      </c>
      <c r="M502" s="99" t="n">
        <v>0</v>
      </c>
      <c r="N502" s="99" t="n">
        <v>0</v>
      </c>
      <c r="O502" s="42" t="n">
        <v>33610</v>
      </c>
    </row>
    <row r="503" spans="1:15">
      <c r="A503" s="37" t="n">
        <v>507</v>
      </c>
      <c r="B503" s="97" t="s">
        <v>1718</v>
      </c>
      <c r="C503" s="121" t="s">
        <v>58</v>
      </c>
      <c r="D503" s="121" t="s">
        <v>20</v>
      </c>
      <c r="E503" s="121" t="s">
        <v>21</v>
      </c>
      <c r="F503" s="121" t="s">
        <v>1719</v>
      </c>
      <c r="G503" s="121" t="s">
        <v>1720</v>
      </c>
      <c r="H503" s="99" t="n">
        <v>35379</v>
      </c>
      <c r="I503" s="99" t="n">
        <v>35379</v>
      </c>
      <c r="J503" s="99" t="n">
        <v>1769</v>
      </c>
      <c r="K503" s="99" t="n">
        <v>0</v>
      </c>
      <c r="L503" s="99" t="n">
        <v>0</v>
      </c>
      <c r="M503" s="99" t="n">
        <v>0</v>
      </c>
      <c r="N503" s="99" t="n">
        <v>0</v>
      </c>
      <c r="O503" s="42" t="n">
        <v>33610</v>
      </c>
    </row>
    <row r="504" spans="1:15">
      <c r="A504" s="37" t="n">
        <v>508</v>
      </c>
      <c r="B504" s="97" t="s">
        <v>1721</v>
      </c>
      <c r="C504" s="121" t="s">
        <v>58</v>
      </c>
      <c r="D504" s="121" t="s">
        <v>20</v>
      </c>
      <c r="E504" s="121" t="s">
        <v>21</v>
      </c>
      <c r="F504" s="121" t="s">
        <v>1722</v>
      </c>
      <c r="G504" s="121" t="s">
        <v>1723</v>
      </c>
      <c r="H504" s="99" t="n">
        <v>35379</v>
      </c>
      <c r="I504" s="99" t="n">
        <v>35379</v>
      </c>
      <c r="J504" s="99" t="n">
        <v>1769</v>
      </c>
      <c r="K504" s="99" t="n">
        <v>0</v>
      </c>
      <c r="L504" s="99" t="n">
        <v>0</v>
      </c>
      <c r="M504" s="99" t="n">
        <v>0</v>
      </c>
      <c r="N504" s="99" t="n">
        <v>0</v>
      </c>
      <c r="O504" s="42" t="n">
        <v>33610</v>
      </c>
    </row>
    <row r="505" spans="1:15">
      <c r="A505" s="37" t="n">
        <v>511</v>
      </c>
      <c r="B505" s="97" t="s">
        <v>1730</v>
      </c>
      <c r="C505" s="121" t="s">
        <v>58</v>
      </c>
      <c r="D505" s="121" t="s">
        <v>20</v>
      </c>
      <c r="E505" s="121" t="s">
        <v>21</v>
      </c>
      <c r="F505" s="121" t="s">
        <v>1731</v>
      </c>
      <c r="G505" s="121" t="s">
        <v>1732</v>
      </c>
      <c r="H505" s="99" t="n">
        <v>26893</v>
      </c>
      <c r="I505" s="99" t="n">
        <v>26893</v>
      </c>
      <c r="J505" s="99" t="n">
        <v>1345</v>
      </c>
      <c r="K505" s="99" t="n">
        <v>0</v>
      </c>
      <c r="L505" s="99" t="n">
        <v>0</v>
      </c>
      <c r="M505" s="99" t="n">
        <v>0</v>
      </c>
      <c r="N505" s="99" t="n">
        <v>0</v>
      </c>
      <c r="O505" s="42" t="n">
        <v>25548</v>
      </c>
    </row>
    <row r="506" spans="1:15">
      <c r="A506" s="37" t="n">
        <v>512</v>
      </c>
      <c r="B506" s="97" t="s">
        <v>1733</v>
      </c>
      <c r="C506" s="121" t="s">
        <v>58</v>
      </c>
      <c r="D506" s="121" t="s">
        <v>20</v>
      </c>
      <c r="E506" s="121" t="s">
        <v>21</v>
      </c>
      <c r="F506" s="121" t="s">
        <v>1734</v>
      </c>
      <c r="G506" s="121" t="s">
        <v>1735</v>
      </c>
      <c r="H506" s="99" t="n">
        <v>35078</v>
      </c>
      <c r="I506" s="99" t="n">
        <v>35078</v>
      </c>
      <c r="J506" s="99" t="n">
        <v>1754</v>
      </c>
      <c r="K506" s="99" t="n">
        <v>0</v>
      </c>
      <c r="L506" s="99" t="n">
        <v>0</v>
      </c>
      <c r="M506" s="99" t="n">
        <v>0</v>
      </c>
      <c r="N506" s="99" t="n">
        <v>0</v>
      </c>
      <c r="O506" s="42" t="n">
        <v>33324</v>
      </c>
    </row>
    <row r="507" spans="1:15">
      <c r="A507" s="37" t="n">
        <v>513</v>
      </c>
      <c r="B507" s="97" t="s">
        <v>1736</v>
      </c>
      <c r="C507" s="121" t="s">
        <v>283</v>
      </c>
      <c r="D507" s="121" t="s">
        <v>20</v>
      </c>
      <c r="E507" s="121" t="s">
        <v>21</v>
      </c>
      <c r="F507" s="121" t="s">
        <v>2529</v>
      </c>
      <c r="G507" s="121" t="s">
        <v>1737</v>
      </c>
      <c r="H507" s="99" t="n">
        <v>35078</v>
      </c>
      <c r="I507" s="99" t="n">
        <v>35078</v>
      </c>
      <c r="J507" s="99" t="n">
        <v>0</v>
      </c>
      <c r="K507" s="99" t="n">
        <v>0</v>
      </c>
      <c r="L507" s="99" t="n">
        <v>0</v>
      </c>
      <c r="M507" s="99" t="n">
        <v>0</v>
      </c>
      <c r="N507" s="99" t="n">
        <v>0</v>
      </c>
      <c r="O507" s="42" t="n">
        <v>35078</v>
      </c>
    </row>
    <row r="508" spans="1:15">
      <c r="A508" s="37" t="n">
        <v>515</v>
      </c>
      <c r="B508" s="97" t="s">
        <v>458</v>
      </c>
      <c r="C508" s="121" t="s">
        <v>58</v>
      </c>
      <c r="D508" s="121" t="s">
        <v>20</v>
      </c>
      <c r="E508" s="121" t="s">
        <v>21</v>
      </c>
      <c r="F508" s="121" t="s">
        <v>459</v>
      </c>
      <c r="G508" s="121" t="s">
        <v>460</v>
      </c>
      <c r="H508" s="99" t="n">
        <v>29959</v>
      </c>
      <c r="I508" s="99" t="n">
        <v>29959</v>
      </c>
      <c r="J508" s="99" t="n">
        <v>1498</v>
      </c>
      <c r="K508" s="99" t="n">
        <v>0</v>
      </c>
      <c r="L508" s="99" t="n">
        <v>0</v>
      </c>
      <c r="M508" s="99" t="n">
        <v>0</v>
      </c>
      <c r="N508" s="99" t="n">
        <v>0</v>
      </c>
      <c r="O508" s="42" t="n">
        <v>28461</v>
      </c>
    </row>
    <row r="509" spans="1:15">
      <c r="A509" s="37" t="n">
        <v>516</v>
      </c>
      <c r="B509" s="97" t="s">
        <v>1740</v>
      </c>
      <c r="C509" s="121" t="s">
        <v>19</v>
      </c>
      <c r="D509" s="121" t="s">
        <v>20</v>
      </c>
      <c r="E509" s="121" t="s">
        <v>21</v>
      </c>
      <c r="F509" s="121" t="s">
        <v>1741</v>
      </c>
      <c r="G509" s="121" t="s">
        <v>1742</v>
      </c>
      <c r="H509" s="99" t="n">
        <v>25840</v>
      </c>
      <c r="I509" s="99" t="n">
        <v>25840</v>
      </c>
      <c r="J509" s="99" t="n">
        <v>0</v>
      </c>
      <c r="K509" s="99" t="n">
        <v>3876</v>
      </c>
      <c r="L509" s="99" t="n">
        <v>0</v>
      </c>
      <c r="M509" s="99" t="n">
        <v>0</v>
      </c>
      <c r="N509" s="99" t="n">
        <v>0</v>
      </c>
      <c r="O509" s="42" t="n">
        <v>21964</v>
      </c>
    </row>
    <row r="510" spans="1:15">
      <c r="A510" s="37" t="n">
        <v>517</v>
      </c>
      <c r="B510" s="97" t="s">
        <v>1743</v>
      </c>
      <c r="C510" s="121" t="s">
        <v>58</v>
      </c>
      <c r="D510" s="121" t="s">
        <v>20</v>
      </c>
      <c r="E510" s="121" t="s">
        <v>21</v>
      </c>
      <c r="F510" s="121" t="s">
        <v>1744</v>
      </c>
      <c r="G510" s="121" t="s">
        <v>1745</v>
      </c>
      <c r="H510" s="99" t="n">
        <v>22617</v>
      </c>
      <c r="I510" s="99" t="n">
        <v>22617</v>
      </c>
      <c r="J510" s="99" t="n">
        <v>1131</v>
      </c>
      <c r="K510" s="99" t="n">
        <v>0</v>
      </c>
      <c r="L510" s="99" t="n">
        <v>0</v>
      </c>
      <c r="M510" s="99" t="n">
        <v>0</v>
      </c>
      <c r="N510" s="99" t="n">
        <v>0</v>
      </c>
      <c r="O510" s="42" t="n">
        <v>21486</v>
      </c>
    </row>
    <row r="511" spans="1:15">
      <c r="A511" s="37" t="n">
        <v>518</v>
      </c>
      <c r="B511" s="97" t="s">
        <v>2530</v>
      </c>
      <c r="C511" s="121" t="s">
        <v>58</v>
      </c>
      <c r="D511" s="121" t="s">
        <v>20</v>
      </c>
      <c r="E511" s="121" t="s">
        <v>21</v>
      </c>
      <c r="F511" s="121" t="s">
        <v>2531</v>
      </c>
      <c r="G511" s="121" t="s">
        <v>2532</v>
      </c>
      <c r="H511" s="99" t="n">
        <v>22617</v>
      </c>
      <c r="I511" s="99" t="n">
        <v>22617</v>
      </c>
      <c r="J511" s="99" t="n">
        <v>1131</v>
      </c>
      <c r="K511" s="99" t="n">
        <v>0</v>
      </c>
      <c r="L511" s="99" t="n">
        <v>0</v>
      </c>
      <c r="M511" s="99" t="n">
        <v>0</v>
      </c>
      <c r="N511" s="99" t="n">
        <v>0</v>
      </c>
      <c r="O511" s="42" t="n">
        <v>21486</v>
      </c>
    </row>
    <row r="512" spans="1:15">
      <c r="A512" s="37" t="n">
        <v>519</v>
      </c>
      <c r="B512" s="97" t="s">
        <v>2533</v>
      </c>
      <c r="C512" s="121" t="s">
        <v>58</v>
      </c>
      <c r="D512" s="121" t="s">
        <v>20</v>
      </c>
      <c r="E512" s="121" t="s">
        <v>21</v>
      </c>
      <c r="F512" s="121" t="s">
        <v>2534</v>
      </c>
      <c r="G512" s="121" t="s">
        <v>2535</v>
      </c>
      <c r="H512" s="99" t="n">
        <v>22166</v>
      </c>
      <c r="I512" s="99" t="n">
        <v>22166</v>
      </c>
      <c r="J512" s="99" t="n">
        <v>1108</v>
      </c>
      <c r="K512" s="99" t="n">
        <v>0</v>
      </c>
      <c r="L512" s="99" t="n">
        <v>0</v>
      </c>
      <c r="M512" s="99" t="n">
        <v>0</v>
      </c>
      <c r="N512" s="99" t="n">
        <v>0</v>
      </c>
      <c r="O512" s="42" t="n">
        <v>21058</v>
      </c>
    </row>
    <row r="513" spans="1:15">
      <c r="A513" s="37" t="n">
        <v>520</v>
      </c>
      <c r="B513" s="97" t="s">
        <v>2536</v>
      </c>
      <c r="C513" s="121" t="s">
        <v>58</v>
      </c>
      <c r="D513" s="121" t="s">
        <v>20</v>
      </c>
      <c r="E513" s="121" t="s">
        <v>21</v>
      </c>
      <c r="F513" s="121" t="s">
        <v>2537</v>
      </c>
      <c r="G513" s="121" t="s">
        <v>2538</v>
      </c>
      <c r="H513" s="99" t="n">
        <v>20298</v>
      </c>
      <c r="I513" s="99" t="n">
        <v>20298</v>
      </c>
      <c r="J513" s="99" t="n">
        <v>1015</v>
      </c>
      <c r="K513" s="99" t="n">
        <v>0</v>
      </c>
      <c r="L513" s="99" t="n">
        <v>0</v>
      </c>
      <c r="M513" s="99" t="n">
        <v>0</v>
      </c>
      <c r="N513" s="99" t="n">
        <v>0</v>
      </c>
      <c r="O513" s="42" t="n">
        <v>19283</v>
      </c>
    </row>
    <row r="514" spans="1:15">
      <c r="A514" s="37" t="n">
        <v>521</v>
      </c>
      <c r="B514" s="97" t="s">
        <v>1746</v>
      </c>
      <c r="C514" s="121" t="s">
        <v>58</v>
      </c>
      <c r="D514" s="121" t="s">
        <v>20</v>
      </c>
      <c r="E514" s="121" t="s">
        <v>21</v>
      </c>
      <c r="F514" s="121" t="s">
        <v>1747</v>
      </c>
      <c r="G514" s="121" t="s">
        <v>1748</v>
      </c>
      <c r="H514" s="99" t="n">
        <v>20298</v>
      </c>
      <c r="I514" s="99" t="n">
        <v>20298</v>
      </c>
      <c r="J514" s="99" t="n">
        <v>1015</v>
      </c>
      <c r="K514" s="99" t="n">
        <v>0</v>
      </c>
      <c r="L514" s="99" t="n">
        <v>0</v>
      </c>
      <c r="M514" s="99" t="n">
        <v>0</v>
      </c>
      <c r="N514" s="99" t="n">
        <v>0</v>
      </c>
      <c r="O514" s="42" t="n">
        <v>19283</v>
      </c>
    </row>
    <row r="515" spans="1:15">
      <c r="A515" s="37" t="n">
        <v>522</v>
      </c>
      <c r="B515" s="97" t="s">
        <v>1749</v>
      </c>
      <c r="C515" s="121" t="s">
        <v>58</v>
      </c>
      <c r="D515" s="121" t="s">
        <v>20</v>
      </c>
      <c r="E515" s="121" t="s">
        <v>21</v>
      </c>
      <c r="F515" s="121" t="s">
        <v>1750</v>
      </c>
      <c r="G515" s="121" t="s">
        <v>1752</v>
      </c>
      <c r="H515" s="99" t="n">
        <v>19847</v>
      </c>
      <c r="I515" s="99" t="n">
        <v>19847</v>
      </c>
      <c r="J515" s="99" t="n">
        <v>992</v>
      </c>
      <c r="K515" s="99" t="n">
        <v>0</v>
      </c>
      <c r="L515" s="99" t="n">
        <v>0</v>
      </c>
      <c r="M515" s="99" t="n">
        <v>0</v>
      </c>
      <c r="N515" s="99" t="n">
        <v>0</v>
      </c>
      <c r="O515" s="42" t="n">
        <v>18855</v>
      </c>
    </row>
    <row r="516" spans="1:15">
      <c r="A516" s="37" t="n">
        <v>523</v>
      </c>
      <c r="B516" s="97" t="s">
        <v>2539</v>
      </c>
      <c r="C516" s="121" t="s">
        <v>120</v>
      </c>
      <c r="D516" s="121" t="s">
        <v>128</v>
      </c>
      <c r="E516" s="121" t="s">
        <v>15</v>
      </c>
      <c r="F516" s="98" t="n">
        <v>0</v>
      </c>
      <c r="G516" s="121" t="s">
        <v>2540</v>
      </c>
      <c r="H516" s="99" t="n">
        <v>19847</v>
      </c>
      <c r="I516" s="99" t="n">
        <v>19847</v>
      </c>
      <c r="J516" s="99" t="n">
        <v>0</v>
      </c>
      <c r="K516" s="99" t="n">
        <v>0</v>
      </c>
      <c r="L516" s="99" t="n">
        <v>0</v>
      </c>
      <c r="M516" s="99" t="n">
        <v>0</v>
      </c>
      <c r="N516" s="99" t="n">
        <v>0</v>
      </c>
      <c r="O516" s="42" t="n">
        <v>19847</v>
      </c>
    </row>
    <row r="517" spans="1:15">
      <c r="A517" s="37" t="n">
        <v>524</v>
      </c>
      <c r="B517" s="97" t="s">
        <v>2541</v>
      </c>
      <c r="C517" s="121" t="s">
        <v>120</v>
      </c>
      <c r="D517" s="121" t="s">
        <v>128</v>
      </c>
      <c r="E517" s="121" t="s">
        <v>15</v>
      </c>
      <c r="F517" s="98" t="n">
        <v>0</v>
      </c>
      <c r="G517" s="121" t="s">
        <v>2542</v>
      </c>
      <c r="H517" s="99" t="n">
        <v>19847</v>
      </c>
      <c r="I517" s="99" t="n">
        <v>19847</v>
      </c>
      <c r="J517" s="99" t="n">
        <v>0</v>
      </c>
      <c r="K517" s="99" t="n">
        <v>0</v>
      </c>
      <c r="L517" s="99" t="n">
        <v>0</v>
      </c>
      <c r="M517" s="99" t="n">
        <v>0</v>
      </c>
      <c r="N517" s="99" t="n">
        <v>0</v>
      </c>
      <c r="O517" s="42" t="n">
        <v>19847</v>
      </c>
    </row>
    <row r="518" spans="1:15">
      <c r="A518" s="37" t="n">
        <v>525</v>
      </c>
      <c r="B518" s="97" t="s">
        <v>1761</v>
      </c>
      <c r="C518" s="121" t="s">
        <v>95</v>
      </c>
      <c r="D518" s="121" t="s">
        <v>128</v>
      </c>
      <c r="E518" s="121" t="s">
        <v>15</v>
      </c>
      <c r="F518" s="98" t="n">
        <v>0</v>
      </c>
      <c r="G518" s="121" t="s">
        <v>1763</v>
      </c>
      <c r="H518" s="99" t="n">
        <v>20298</v>
      </c>
      <c r="I518" s="99" t="n">
        <v>20298</v>
      </c>
      <c r="J518" s="99" t="n">
        <v>0</v>
      </c>
      <c r="K518" s="99" t="n">
        <v>0</v>
      </c>
      <c r="L518" s="99" t="n">
        <v>0</v>
      </c>
      <c r="M518" s="99" t="n">
        <v>0</v>
      </c>
      <c r="N518" s="99" t="n">
        <v>0</v>
      </c>
      <c r="O518" s="42" t="n">
        <v>20298</v>
      </c>
    </row>
    <row r="519" spans="1:15">
      <c r="A519" s="37" t="n">
        <v>526</v>
      </c>
      <c r="B519" s="97" t="s">
        <v>1774</v>
      </c>
      <c r="C519" s="121" t="s">
        <v>58</v>
      </c>
      <c r="D519" s="121" t="s">
        <v>20</v>
      </c>
      <c r="E519" s="121" t="s">
        <v>21</v>
      </c>
      <c r="F519" s="121" t="s">
        <v>1775</v>
      </c>
      <c r="G519" s="121" t="s">
        <v>1777</v>
      </c>
      <c r="H519" s="99" t="n">
        <v>16588</v>
      </c>
      <c r="I519" s="99" t="n">
        <v>16588</v>
      </c>
      <c r="J519" s="99" t="n">
        <v>829</v>
      </c>
      <c r="K519" s="99" t="n">
        <v>0</v>
      </c>
      <c r="L519" s="99" t="n">
        <v>0</v>
      </c>
      <c r="M519" s="99" t="n">
        <v>0</v>
      </c>
      <c r="N519" s="99" t="n">
        <v>0</v>
      </c>
      <c r="O519" s="42" t="n">
        <v>15759</v>
      </c>
    </row>
    <row r="520" spans="1:15">
      <c r="A520" s="37" t="n">
        <v>527</v>
      </c>
      <c r="B520" s="97" t="s">
        <v>1778</v>
      </c>
      <c r="C520" s="121" t="s">
        <v>111</v>
      </c>
      <c r="D520" s="121" t="s">
        <v>20</v>
      </c>
      <c r="E520" s="121" t="s">
        <v>21</v>
      </c>
      <c r="F520" s="121" t="s">
        <v>1779</v>
      </c>
      <c r="G520" s="121" t="s">
        <v>1781</v>
      </c>
      <c r="H520" s="99" t="n">
        <v>15233</v>
      </c>
      <c r="I520" s="99" t="n">
        <v>15233</v>
      </c>
      <c r="J520" s="99" t="n">
        <v>0</v>
      </c>
      <c r="K520" s="99" t="n">
        <v>0</v>
      </c>
      <c r="L520" s="99" t="n">
        <v>0</v>
      </c>
      <c r="M520" s="99" t="n">
        <v>0</v>
      </c>
      <c r="N520" s="99" t="n">
        <v>0</v>
      </c>
      <c r="O520" s="42" t="n">
        <v>15233</v>
      </c>
    </row>
    <row r="521" spans="1:15">
      <c r="A521" s="37" t="n">
        <v>528</v>
      </c>
      <c r="B521" s="97" t="s">
        <v>1782</v>
      </c>
      <c r="C521" s="121" t="s">
        <v>111</v>
      </c>
      <c r="D521" s="121" t="s">
        <v>20</v>
      </c>
      <c r="E521" s="121" t="s">
        <v>21</v>
      </c>
      <c r="F521" s="121" t="s">
        <v>1783</v>
      </c>
      <c r="G521" s="121" t="s">
        <v>1784</v>
      </c>
      <c r="H521" s="99" t="n">
        <v>14769</v>
      </c>
      <c r="I521" s="99" t="n">
        <v>14769</v>
      </c>
      <c r="J521" s="99" t="n">
        <v>0</v>
      </c>
      <c r="K521" s="99" t="n">
        <v>0</v>
      </c>
      <c r="L521" s="99" t="n">
        <v>0</v>
      </c>
      <c r="M521" s="99" t="n">
        <v>0</v>
      </c>
      <c r="N521" s="99" t="n">
        <v>0</v>
      </c>
      <c r="O521" s="42" t="n">
        <v>14769</v>
      </c>
    </row>
    <row r="522" spans="1:15">
      <c r="A522" s="37" t="n">
        <v>529</v>
      </c>
      <c r="B522" s="97" t="s">
        <v>2543</v>
      </c>
      <c r="C522" s="121" t="s">
        <v>111</v>
      </c>
      <c r="D522" s="121" t="s">
        <v>20</v>
      </c>
      <c r="E522" s="121" t="s">
        <v>21</v>
      </c>
      <c r="F522" s="121" t="s">
        <v>2544</v>
      </c>
      <c r="G522" s="121" t="s">
        <v>2545</v>
      </c>
      <c r="H522" s="99" t="n">
        <v>14769</v>
      </c>
      <c r="I522" s="99" t="n">
        <v>14769</v>
      </c>
      <c r="J522" s="99" t="n">
        <v>0</v>
      </c>
      <c r="K522" s="99" t="n">
        <v>0</v>
      </c>
      <c r="L522" s="99" t="n">
        <v>0</v>
      </c>
      <c r="M522" s="99" t="n">
        <v>0</v>
      </c>
      <c r="N522" s="99" t="n">
        <v>0</v>
      </c>
      <c r="O522" s="42" t="n">
        <v>14769</v>
      </c>
    </row>
    <row r="523" spans="1:15">
      <c r="A523" s="37" t="n">
        <v>530</v>
      </c>
      <c r="B523" s="97" t="s">
        <v>585</v>
      </c>
      <c r="C523" s="121" t="s">
        <v>111</v>
      </c>
      <c r="D523" s="121" t="s">
        <v>20</v>
      </c>
      <c r="E523" s="121" t="s">
        <v>21</v>
      </c>
      <c r="F523" s="121" t="s">
        <v>586</v>
      </c>
      <c r="G523" s="121" t="s">
        <v>588</v>
      </c>
      <c r="H523" s="99" t="n">
        <v>14769</v>
      </c>
      <c r="I523" s="99" t="n">
        <v>14769</v>
      </c>
      <c r="J523" s="99" t="n">
        <v>0</v>
      </c>
      <c r="K523" s="99" t="n">
        <v>0</v>
      </c>
      <c r="L523" s="99" t="n">
        <v>0</v>
      </c>
      <c r="M523" s="99" t="n">
        <v>0</v>
      </c>
      <c r="N523" s="99" t="n">
        <v>0</v>
      </c>
      <c r="O523" s="42" t="n">
        <v>14769</v>
      </c>
    </row>
    <row r="524" spans="1:15">
      <c r="A524" s="37" t="n">
        <v>531</v>
      </c>
      <c r="B524" s="97" t="s">
        <v>2546</v>
      </c>
      <c r="C524" s="121" t="s">
        <v>120</v>
      </c>
      <c r="D524" s="121" t="s">
        <v>128</v>
      </c>
      <c r="E524" s="121" t="s">
        <v>15</v>
      </c>
      <c r="F524" s="98" t="n">
        <v>0</v>
      </c>
      <c r="G524" s="121" t="s">
        <v>2547</v>
      </c>
      <c r="H524" s="99" t="n">
        <v>12926</v>
      </c>
      <c r="I524" s="99" t="n">
        <v>12926</v>
      </c>
      <c r="J524" s="99" t="n">
        <v>0</v>
      </c>
      <c r="K524" s="99" t="n">
        <v>0</v>
      </c>
      <c r="L524" s="99" t="n">
        <v>0</v>
      </c>
      <c r="M524" s="99" t="n">
        <v>0</v>
      </c>
      <c r="N524" s="99" t="n">
        <v>0</v>
      </c>
      <c r="O524" s="42" t="n">
        <v>12926</v>
      </c>
    </row>
    <row r="525" spans="1:15">
      <c r="A525" s="37" t="n">
        <v>532</v>
      </c>
      <c r="B525" s="97" t="s">
        <v>1785</v>
      </c>
      <c r="C525" s="121" t="s">
        <v>120</v>
      </c>
      <c r="D525" s="121" t="s">
        <v>128</v>
      </c>
      <c r="E525" s="121" t="s">
        <v>15</v>
      </c>
      <c r="F525" s="98" t="n">
        <v>0</v>
      </c>
      <c r="G525" s="121" t="s">
        <v>1787</v>
      </c>
      <c r="H525" s="99" t="n">
        <v>12474</v>
      </c>
      <c r="I525" s="99" t="n">
        <v>12474</v>
      </c>
      <c r="J525" s="99" t="n">
        <v>0</v>
      </c>
      <c r="K525" s="99" t="n">
        <v>0</v>
      </c>
      <c r="L525" s="99" t="n">
        <v>0</v>
      </c>
      <c r="M525" s="99" t="n">
        <v>0</v>
      </c>
      <c r="N525" s="99" t="n">
        <v>0</v>
      </c>
      <c r="O525" s="42" t="n">
        <v>12474</v>
      </c>
    </row>
    <row r="526" spans="1:15">
      <c r="A526" s="37" t="n">
        <v>533</v>
      </c>
      <c r="B526" s="97" t="s">
        <v>1788</v>
      </c>
      <c r="C526" s="121" t="s">
        <v>120</v>
      </c>
      <c r="D526" s="121" t="s">
        <v>128</v>
      </c>
      <c r="E526" s="121" t="s">
        <v>15</v>
      </c>
      <c r="F526" s="98" t="n">
        <v>0</v>
      </c>
      <c r="G526" s="121" t="s">
        <v>1789</v>
      </c>
      <c r="H526" s="99" t="n">
        <v>13378</v>
      </c>
      <c r="I526" s="99" t="n">
        <v>13378</v>
      </c>
      <c r="J526" s="99" t="n">
        <v>0</v>
      </c>
      <c r="K526" s="99" t="n">
        <v>0</v>
      </c>
      <c r="L526" s="99" t="n">
        <v>0</v>
      </c>
      <c r="M526" s="99" t="n">
        <v>0</v>
      </c>
      <c r="N526" s="99" t="n">
        <v>0</v>
      </c>
      <c r="O526" s="42" t="n">
        <v>13378</v>
      </c>
    </row>
    <row r="527" spans="1:15">
      <c r="A527" s="37" t="n">
        <v>534</v>
      </c>
      <c r="B527" s="97" t="s">
        <v>1790</v>
      </c>
      <c r="C527" s="121" t="s">
        <v>120</v>
      </c>
      <c r="D527" s="121" t="s">
        <v>278</v>
      </c>
      <c r="E527" s="121" t="s">
        <v>16</v>
      </c>
      <c r="F527" s="98" t="n">
        <v>0</v>
      </c>
      <c r="G527" s="121" t="s">
        <v>1792</v>
      </c>
      <c r="H527" s="99" t="n">
        <v>12926</v>
      </c>
      <c r="I527" s="99" t="n">
        <v>12926</v>
      </c>
      <c r="J527" s="99" t="n">
        <v>0</v>
      </c>
      <c r="K527" s="99" t="n">
        <v>0</v>
      </c>
      <c r="L527" s="99" t="n">
        <v>0</v>
      </c>
      <c r="M527" s="99" t="n">
        <v>0</v>
      </c>
      <c r="N527" s="99" t="n">
        <v>0</v>
      </c>
      <c r="O527" s="42" t="n">
        <v>12926</v>
      </c>
    </row>
    <row r="528" spans="1:15">
      <c r="A528" s="37" t="n">
        <v>535</v>
      </c>
      <c r="B528" s="97" t="s">
        <v>1795</v>
      </c>
      <c r="C528" s="121" t="s">
        <v>120</v>
      </c>
      <c r="D528" s="121" t="s">
        <v>128</v>
      </c>
      <c r="E528" s="121" t="s">
        <v>15</v>
      </c>
      <c r="F528" s="98" t="n">
        <v>0</v>
      </c>
      <c r="G528" s="121" t="s">
        <v>1796</v>
      </c>
      <c r="H528" s="99" t="n">
        <v>13378</v>
      </c>
      <c r="I528" s="99" t="n">
        <v>13378</v>
      </c>
      <c r="J528" s="99" t="n">
        <v>0</v>
      </c>
      <c r="K528" s="99" t="n">
        <v>0</v>
      </c>
      <c r="L528" s="99" t="n">
        <v>0</v>
      </c>
      <c r="M528" s="99" t="n">
        <v>0</v>
      </c>
      <c r="N528" s="99" t="n">
        <v>0</v>
      </c>
      <c r="O528" s="42" t="n">
        <v>13378</v>
      </c>
    </row>
    <row r="529" spans="1:15">
      <c r="A529" s="37" t="n">
        <v>536</v>
      </c>
      <c r="B529" s="97" t="s">
        <v>1799</v>
      </c>
      <c r="C529" s="121" t="s">
        <v>120</v>
      </c>
      <c r="D529" s="121" t="s">
        <v>278</v>
      </c>
      <c r="E529" s="121" t="s">
        <v>16</v>
      </c>
      <c r="F529" s="98" t="n">
        <v>0</v>
      </c>
      <c r="G529" s="121" t="s">
        <v>1800</v>
      </c>
      <c r="H529" s="99" t="n">
        <v>12926</v>
      </c>
      <c r="I529" s="99" t="n">
        <v>12926</v>
      </c>
      <c r="J529" s="99" t="n">
        <v>0</v>
      </c>
      <c r="K529" s="99" t="n">
        <v>0</v>
      </c>
      <c r="L529" s="99" t="n">
        <v>0</v>
      </c>
      <c r="M529" s="99" t="n">
        <v>0</v>
      </c>
      <c r="N529" s="99" t="n">
        <v>0</v>
      </c>
      <c r="O529" s="42" t="n">
        <v>12926</v>
      </c>
    </row>
    <row r="530" spans="1:15">
      <c r="A530" s="37" t="n">
        <v>537</v>
      </c>
      <c r="B530" s="97" t="s">
        <v>1793</v>
      </c>
      <c r="C530" s="121" t="s">
        <v>120</v>
      </c>
      <c r="D530" s="121" t="s">
        <v>128</v>
      </c>
      <c r="E530" s="121" t="s">
        <v>15</v>
      </c>
      <c r="F530" s="98" t="n">
        <v>0</v>
      </c>
      <c r="G530" s="121" t="s">
        <v>1794</v>
      </c>
      <c r="H530" s="99" t="n">
        <v>13378</v>
      </c>
      <c r="I530" s="99" t="n">
        <v>13378</v>
      </c>
      <c r="J530" s="99" t="n">
        <v>0</v>
      </c>
      <c r="K530" s="99" t="n">
        <v>0</v>
      </c>
      <c r="L530" s="99" t="n">
        <v>0</v>
      </c>
      <c r="M530" s="99" t="n">
        <v>0</v>
      </c>
      <c r="N530" s="99" t="n">
        <v>0</v>
      </c>
      <c r="O530" s="42" t="n">
        <v>13378</v>
      </c>
    </row>
    <row r="531" spans="1:15">
      <c r="A531" s="37" t="n">
        <v>538</v>
      </c>
      <c r="B531" s="97" t="s">
        <v>1806</v>
      </c>
      <c r="C531" s="121" t="s">
        <v>95</v>
      </c>
      <c r="D531" s="121" t="s">
        <v>278</v>
      </c>
      <c r="E531" s="121" t="s">
        <v>16</v>
      </c>
      <c r="F531" s="98" t="n">
        <v>0</v>
      </c>
      <c r="G531" s="121" t="s">
        <v>1807</v>
      </c>
      <c r="H531" s="99" t="n">
        <v>13378</v>
      </c>
      <c r="I531" s="99" t="n">
        <v>13378</v>
      </c>
      <c r="J531" s="99" t="n">
        <v>0</v>
      </c>
      <c r="K531" s="99" t="n">
        <v>0</v>
      </c>
      <c r="L531" s="99" t="n">
        <v>0</v>
      </c>
      <c r="M531" s="99" t="n">
        <v>0</v>
      </c>
      <c r="N531" s="99" t="n">
        <v>0</v>
      </c>
      <c r="O531" s="42" t="n">
        <v>13378</v>
      </c>
    </row>
    <row r="532" spans="1:15">
      <c r="A532" s="37" t="n">
        <v>539</v>
      </c>
      <c r="B532" s="97" t="s">
        <v>1797</v>
      </c>
      <c r="C532" s="121" t="s">
        <v>120</v>
      </c>
      <c r="D532" s="121" t="s">
        <v>278</v>
      </c>
      <c r="E532" s="121" t="s">
        <v>16</v>
      </c>
      <c r="F532" s="98" t="n">
        <v>0</v>
      </c>
      <c r="G532" s="121" t="s">
        <v>1798</v>
      </c>
      <c r="H532" s="99" t="n">
        <v>13378</v>
      </c>
      <c r="I532" s="99" t="n">
        <v>13378</v>
      </c>
      <c r="J532" s="99" t="n">
        <v>0</v>
      </c>
      <c r="K532" s="99" t="n">
        <v>0</v>
      </c>
      <c r="L532" s="99" t="n">
        <v>0</v>
      </c>
      <c r="M532" s="99" t="n">
        <v>0</v>
      </c>
      <c r="N532" s="99" t="n">
        <v>0</v>
      </c>
      <c r="O532" s="42" t="n">
        <v>13378</v>
      </c>
    </row>
    <row r="533" spans="1:15">
      <c r="A533" s="37" t="n">
        <v>540</v>
      </c>
      <c r="B533" s="97" t="s">
        <v>1803</v>
      </c>
      <c r="C533" s="121" t="s">
        <v>120</v>
      </c>
      <c r="D533" s="121" t="s">
        <v>128</v>
      </c>
      <c r="E533" s="121" t="s">
        <v>15</v>
      </c>
      <c r="F533" s="98" t="n">
        <v>0</v>
      </c>
      <c r="G533" s="121" t="s">
        <v>1805</v>
      </c>
      <c r="H533" s="99" t="n">
        <v>13378</v>
      </c>
      <c r="I533" s="99" t="n">
        <v>13378</v>
      </c>
      <c r="J533" s="99" t="n">
        <v>0</v>
      </c>
      <c r="K533" s="99" t="n">
        <v>0</v>
      </c>
      <c r="L533" s="99" t="n">
        <v>0</v>
      </c>
      <c r="M533" s="99" t="n">
        <v>0</v>
      </c>
      <c r="N533" s="99" t="n">
        <v>0</v>
      </c>
      <c r="O533" s="42" t="n">
        <v>13378</v>
      </c>
    </row>
    <row r="534" spans="1:15">
      <c r="A534" s="37" t="n">
        <v>541</v>
      </c>
      <c r="B534" s="97" t="s">
        <v>1808</v>
      </c>
      <c r="C534" s="121" t="s">
        <v>95</v>
      </c>
      <c r="D534" s="121" t="s">
        <v>124</v>
      </c>
      <c r="E534" s="121" t="s">
        <v>15</v>
      </c>
      <c r="F534" s="98" t="n">
        <v>0</v>
      </c>
      <c r="G534" s="121" t="s">
        <v>1809</v>
      </c>
      <c r="H534" s="99" t="n">
        <v>13378</v>
      </c>
      <c r="I534" s="99" t="n">
        <v>13378</v>
      </c>
      <c r="J534" s="99" t="n">
        <v>0</v>
      </c>
      <c r="K534" s="99" t="n">
        <v>0</v>
      </c>
      <c r="L534" s="99" t="n">
        <v>0</v>
      </c>
      <c r="M534" s="99" t="n">
        <v>0</v>
      </c>
      <c r="N534" s="99" t="n">
        <v>0</v>
      </c>
      <c r="O534" s="42" t="n">
        <v>13378</v>
      </c>
    </row>
    <row r="535" spans="1:15">
      <c r="A535" s="37" t="n">
        <v>542</v>
      </c>
      <c r="B535" s="97" t="s">
        <v>1810</v>
      </c>
      <c r="C535" s="121" t="s">
        <v>95</v>
      </c>
      <c r="D535" s="121" t="s">
        <v>124</v>
      </c>
      <c r="E535" s="121" t="s">
        <v>15</v>
      </c>
      <c r="F535" s="98" t="n">
        <v>0</v>
      </c>
      <c r="G535" s="121" t="s">
        <v>1811</v>
      </c>
      <c r="H535" s="99" t="n">
        <v>13378</v>
      </c>
      <c r="I535" s="99" t="n">
        <v>13378</v>
      </c>
      <c r="J535" s="99" t="n">
        <v>0</v>
      </c>
      <c r="K535" s="99" t="n">
        <v>0</v>
      </c>
      <c r="L535" s="99" t="n">
        <v>0</v>
      </c>
      <c r="M535" s="99" t="n">
        <v>0</v>
      </c>
      <c r="N535" s="99" t="n">
        <v>0</v>
      </c>
      <c r="O535" s="42" t="n">
        <v>13378</v>
      </c>
    </row>
    <row r="536" spans="1:15">
      <c r="A536" s="37" t="n">
        <v>543</v>
      </c>
      <c r="B536" s="97" t="s">
        <v>1812</v>
      </c>
      <c r="C536" s="121" t="s">
        <v>95</v>
      </c>
      <c r="D536" s="121" t="s">
        <v>128</v>
      </c>
      <c r="E536" s="121" t="s">
        <v>15</v>
      </c>
      <c r="F536" s="98" t="n">
        <v>0</v>
      </c>
      <c r="G536" s="121" t="s">
        <v>1813</v>
      </c>
      <c r="H536" s="99" t="n">
        <v>13378</v>
      </c>
      <c r="I536" s="99" t="n">
        <v>13378</v>
      </c>
      <c r="J536" s="99" t="n">
        <v>0</v>
      </c>
      <c r="K536" s="99" t="n">
        <v>0</v>
      </c>
      <c r="L536" s="99" t="n">
        <v>0</v>
      </c>
      <c r="M536" s="99" t="n">
        <v>0</v>
      </c>
      <c r="N536" s="99" t="n">
        <v>0</v>
      </c>
      <c r="O536" s="42" t="n">
        <v>13378</v>
      </c>
    </row>
    <row r="537" spans="1:15">
      <c r="A537" s="37" t="n">
        <v>544</v>
      </c>
      <c r="B537" s="97" t="s">
        <v>1801</v>
      </c>
      <c r="C537" s="121" t="s">
        <v>95</v>
      </c>
      <c r="D537" s="121" t="s">
        <v>128</v>
      </c>
      <c r="E537" s="121" t="s">
        <v>15</v>
      </c>
      <c r="F537" s="98" t="n">
        <v>0</v>
      </c>
      <c r="G537" s="121" t="s">
        <v>1802</v>
      </c>
      <c r="H537" s="99" t="n">
        <v>13378</v>
      </c>
      <c r="I537" s="99" t="n">
        <v>13378</v>
      </c>
      <c r="J537" s="99" t="n">
        <v>0</v>
      </c>
      <c r="K537" s="99" t="n">
        <v>0</v>
      </c>
      <c r="L537" s="99" t="n">
        <v>0</v>
      </c>
      <c r="M537" s="99" t="n">
        <v>0</v>
      </c>
      <c r="N537" s="99" t="n">
        <v>0</v>
      </c>
      <c r="O537" s="42" t="n">
        <v>13378</v>
      </c>
    </row>
    <row r="538" spans="1:15">
      <c r="A538" s="37" t="n">
        <v>545</v>
      </c>
      <c r="B538" s="97" t="s">
        <v>1814</v>
      </c>
      <c r="C538" s="121" t="s">
        <v>95</v>
      </c>
      <c r="D538" s="121" t="s">
        <v>278</v>
      </c>
      <c r="E538" s="121" t="s">
        <v>16</v>
      </c>
      <c r="F538" s="98" t="n">
        <v>0</v>
      </c>
      <c r="G538" s="121" t="s">
        <v>1816</v>
      </c>
      <c r="H538" s="99" t="n">
        <v>13378</v>
      </c>
      <c r="I538" s="99" t="n">
        <v>13378</v>
      </c>
      <c r="J538" s="99" t="n">
        <v>0</v>
      </c>
      <c r="K538" s="99" t="n">
        <v>0</v>
      </c>
      <c r="L538" s="99" t="n">
        <v>0</v>
      </c>
      <c r="M538" s="99" t="n">
        <v>0</v>
      </c>
      <c r="N538" s="99" t="n">
        <v>0</v>
      </c>
      <c r="O538" s="42" t="n">
        <v>13378</v>
      </c>
    </row>
    <row r="539" spans="1:15">
      <c r="A539" s="37" t="n">
        <v>546</v>
      </c>
      <c r="B539" s="97" t="s">
        <v>2548</v>
      </c>
      <c r="C539" s="121" t="s">
        <v>58</v>
      </c>
      <c r="D539" s="121" t="s">
        <v>128</v>
      </c>
      <c r="E539" s="121" t="s">
        <v>15</v>
      </c>
      <c r="F539" s="121" t="s">
        <v>2549</v>
      </c>
      <c r="G539" s="121" t="s">
        <v>2550</v>
      </c>
      <c r="H539" s="99" t="n">
        <v>54122</v>
      </c>
      <c r="I539" s="99" t="n">
        <v>54122</v>
      </c>
      <c r="J539" s="99" t="n">
        <v>2706</v>
      </c>
      <c r="K539" s="99" t="n">
        <v>0</v>
      </c>
      <c r="L539" s="99" t="n">
        <v>0</v>
      </c>
      <c r="M539" s="99" t="n">
        <v>0</v>
      </c>
      <c r="N539" s="99" t="n">
        <v>0</v>
      </c>
      <c r="O539" s="42" t="n">
        <v>51416</v>
      </c>
    </row>
    <row r="540" spans="1:15">
      <c r="A540" s="37" t="n">
        <v>547</v>
      </c>
      <c r="B540" s="97" t="s">
        <v>1820</v>
      </c>
      <c r="C540" s="121" t="s">
        <v>19</v>
      </c>
      <c r="D540" s="121" t="s">
        <v>20</v>
      </c>
      <c r="E540" s="121" t="s">
        <v>21</v>
      </c>
      <c r="F540" s="121" t="s">
        <v>1821</v>
      </c>
      <c r="G540" s="121" t="s">
        <v>1823</v>
      </c>
      <c r="H540" s="99" t="n">
        <v>47034</v>
      </c>
      <c r="I540" s="99" t="n">
        <v>47034</v>
      </c>
      <c r="J540" s="99" t="n">
        <v>0</v>
      </c>
      <c r="K540" s="99" t="n">
        <v>7055</v>
      </c>
      <c r="L540" s="99" t="n">
        <v>0</v>
      </c>
      <c r="M540" s="99" t="n">
        <v>0</v>
      </c>
      <c r="N540" s="99" t="n">
        <v>0</v>
      </c>
      <c r="O540" s="42" t="n">
        <v>39979</v>
      </c>
    </row>
    <row r="541" spans="1:15">
      <c r="A541" s="37" t="n">
        <v>548</v>
      </c>
      <c r="B541" s="97" t="s">
        <v>452</v>
      </c>
      <c r="C541" s="121" t="s">
        <v>19</v>
      </c>
      <c r="D541" s="121" t="s">
        <v>20</v>
      </c>
      <c r="E541" s="121" t="s">
        <v>21</v>
      </c>
      <c r="F541" s="121" t="s">
        <v>453</v>
      </c>
      <c r="G541" s="121" t="s">
        <v>454</v>
      </c>
      <c r="H541" s="99" t="n">
        <v>44672</v>
      </c>
      <c r="I541" s="99" t="n">
        <v>44672</v>
      </c>
      <c r="J541" s="99" t="n">
        <v>0</v>
      </c>
      <c r="K541" s="99" t="n">
        <v>6701</v>
      </c>
      <c r="L541" s="99" t="n">
        <v>0</v>
      </c>
      <c r="M541" s="99" t="n">
        <v>0</v>
      </c>
      <c r="N541" s="99" t="n">
        <v>0</v>
      </c>
      <c r="O541" s="42" t="n">
        <v>37971</v>
      </c>
    </row>
    <row r="542" spans="1:15">
      <c r="A542" s="37" t="n">
        <v>549</v>
      </c>
      <c r="B542" s="97" t="s">
        <v>2551</v>
      </c>
      <c r="C542" s="121" t="s">
        <v>95</v>
      </c>
      <c r="D542" s="121" t="s">
        <v>128</v>
      </c>
      <c r="E542" s="121" t="s">
        <v>15</v>
      </c>
      <c r="F542" s="98" t="n">
        <v>0</v>
      </c>
      <c r="G542" s="121" t="s">
        <v>2552</v>
      </c>
      <c r="H542" s="99" t="n">
        <v>42310</v>
      </c>
      <c r="I542" s="99" t="n">
        <v>42310</v>
      </c>
      <c r="J542" s="99" t="n">
        <v>0</v>
      </c>
      <c r="K542" s="99" t="n">
        <v>0</v>
      </c>
      <c r="L542" s="99" t="n">
        <v>0</v>
      </c>
      <c r="M542" s="99" t="n">
        <v>0</v>
      </c>
      <c r="N542" s="99" t="n">
        <v>0</v>
      </c>
      <c r="O542" s="42" t="n">
        <v>42310</v>
      </c>
    </row>
    <row r="543" spans="1:15">
      <c r="A543" s="37" t="n">
        <v>550</v>
      </c>
      <c r="B543" s="97" t="s">
        <v>1835</v>
      </c>
      <c r="C543" s="121" t="s">
        <v>131</v>
      </c>
      <c r="D543" s="121" t="s">
        <v>20</v>
      </c>
      <c r="E543" s="121" t="s">
        <v>21</v>
      </c>
      <c r="F543" s="121" t="s">
        <v>1836</v>
      </c>
      <c r="G543" s="121" t="s">
        <v>1838</v>
      </c>
      <c r="H543" s="99" t="n">
        <v>39948</v>
      </c>
      <c r="I543" s="99" t="n">
        <v>39948</v>
      </c>
      <c r="J543" s="99" t="n">
        <v>1997</v>
      </c>
      <c r="K543" s="99" t="n">
        <v>0</v>
      </c>
      <c r="L543" s="99" t="n">
        <v>0</v>
      </c>
      <c r="M543" s="99" t="n">
        <v>0</v>
      </c>
      <c r="N543" s="99" t="n">
        <v>0</v>
      </c>
      <c r="O543" s="42" t="n">
        <v>37951</v>
      </c>
    </row>
    <row r="544" spans="1:15">
      <c r="A544" s="37" t="n">
        <v>551</v>
      </c>
      <c r="B544" s="97" t="s">
        <v>2553</v>
      </c>
      <c r="C544" s="121" t="s">
        <v>95</v>
      </c>
      <c r="D544" s="121" t="s">
        <v>128</v>
      </c>
      <c r="E544" s="121" t="s">
        <v>15</v>
      </c>
      <c r="F544" s="98" t="n">
        <v>0</v>
      </c>
      <c r="G544" s="121" t="s">
        <v>2554</v>
      </c>
      <c r="H544" s="99" t="n">
        <v>39948</v>
      </c>
      <c r="I544" s="99" t="n">
        <v>39948</v>
      </c>
      <c r="J544" s="99" t="n">
        <v>0</v>
      </c>
      <c r="K544" s="99" t="n">
        <v>0</v>
      </c>
      <c r="L544" s="99" t="n">
        <v>0</v>
      </c>
      <c r="M544" s="99" t="n">
        <v>0</v>
      </c>
      <c r="N544" s="99" t="n">
        <v>0</v>
      </c>
      <c r="O544" s="42" t="n">
        <v>39948</v>
      </c>
    </row>
    <row r="545" spans="1:15">
      <c r="A545" s="37" t="n">
        <v>552</v>
      </c>
      <c r="B545" s="97" t="s">
        <v>1839</v>
      </c>
      <c r="C545" s="121" t="s">
        <v>131</v>
      </c>
      <c r="D545" s="121" t="s">
        <v>20</v>
      </c>
      <c r="E545" s="121" t="s">
        <v>21</v>
      </c>
      <c r="F545" s="121" t="s">
        <v>1840</v>
      </c>
      <c r="G545" s="121" t="s">
        <v>1842</v>
      </c>
      <c r="H545" s="99" t="n">
        <v>38059</v>
      </c>
      <c r="I545" s="99" t="n">
        <v>38059</v>
      </c>
      <c r="J545" s="99" t="n">
        <v>1903</v>
      </c>
      <c r="K545" s="99" t="n">
        <v>0</v>
      </c>
      <c r="L545" s="99" t="n">
        <v>0</v>
      </c>
      <c r="M545" s="99" t="n">
        <v>0</v>
      </c>
      <c r="N545" s="99" t="n">
        <v>0</v>
      </c>
      <c r="O545" s="42" t="n">
        <v>36156</v>
      </c>
    </row>
    <row r="546" spans="1:15">
      <c r="A546" s="37" t="n">
        <v>553</v>
      </c>
      <c r="B546" s="97" t="s">
        <v>2555</v>
      </c>
      <c r="C546" s="121" t="s">
        <v>95</v>
      </c>
      <c r="D546" s="121" t="s">
        <v>128</v>
      </c>
      <c r="E546" s="121" t="s">
        <v>15</v>
      </c>
      <c r="F546" s="98" t="n">
        <v>0</v>
      </c>
      <c r="G546" s="121" t="s">
        <v>2556</v>
      </c>
      <c r="H546" s="99" t="n">
        <v>38059</v>
      </c>
      <c r="I546" s="99" t="n">
        <v>38059</v>
      </c>
      <c r="J546" s="99" t="n">
        <v>0</v>
      </c>
      <c r="K546" s="99" t="n">
        <v>0</v>
      </c>
      <c r="L546" s="99" t="n">
        <v>0</v>
      </c>
      <c r="M546" s="99" t="n">
        <v>0</v>
      </c>
      <c r="N546" s="99" t="n">
        <v>0</v>
      </c>
      <c r="O546" s="42" t="n">
        <v>38059</v>
      </c>
    </row>
    <row r="547" spans="1:15">
      <c r="A547" s="37" t="n">
        <v>554</v>
      </c>
      <c r="B547" s="97" t="s">
        <v>2557</v>
      </c>
      <c r="C547" s="121" t="s">
        <v>95</v>
      </c>
      <c r="D547" s="121" t="s">
        <v>128</v>
      </c>
      <c r="E547" s="121" t="s">
        <v>15</v>
      </c>
      <c r="F547" s="98" t="n">
        <v>0</v>
      </c>
      <c r="G547" s="121" t="s">
        <v>2558</v>
      </c>
      <c r="H547" s="99" t="n">
        <v>38059</v>
      </c>
      <c r="I547" s="99" t="n">
        <v>38059</v>
      </c>
      <c r="J547" s="99" t="n">
        <v>0</v>
      </c>
      <c r="K547" s="99" t="n">
        <v>0</v>
      </c>
      <c r="L547" s="99" t="n">
        <v>0</v>
      </c>
      <c r="M547" s="99" t="n">
        <v>0</v>
      </c>
      <c r="N547" s="99" t="n">
        <v>0</v>
      </c>
      <c r="O547" s="42" t="n">
        <v>38059</v>
      </c>
    </row>
    <row r="548" spans="1:15">
      <c r="A548" s="37" t="n">
        <v>555</v>
      </c>
      <c r="B548" s="97" t="s">
        <v>2559</v>
      </c>
      <c r="C548" s="121" t="s">
        <v>95</v>
      </c>
      <c r="D548" s="121" t="s">
        <v>128</v>
      </c>
      <c r="E548" s="121" t="s">
        <v>15</v>
      </c>
      <c r="F548" s="98" t="n">
        <v>0</v>
      </c>
      <c r="G548" s="121" t="s">
        <v>2560</v>
      </c>
      <c r="H548" s="99" t="n">
        <v>38059</v>
      </c>
      <c r="I548" s="99" t="n">
        <v>38059</v>
      </c>
      <c r="J548" s="99" t="n">
        <v>0</v>
      </c>
      <c r="K548" s="99" t="n">
        <v>0</v>
      </c>
      <c r="L548" s="99" t="n">
        <v>0</v>
      </c>
      <c r="M548" s="99" t="n">
        <v>0</v>
      </c>
      <c r="N548" s="99" t="n">
        <v>0</v>
      </c>
      <c r="O548" s="42" t="n">
        <v>38059</v>
      </c>
    </row>
    <row r="549" spans="1:15">
      <c r="A549" s="37" t="n">
        <v>556</v>
      </c>
      <c r="B549" s="97" t="s">
        <v>1853</v>
      </c>
      <c r="C549" s="121" t="s">
        <v>58</v>
      </c>
      <c r="D549" s="121" t="s">
        <v>20</v>
      </c>
      <c r="E549" s="121" t="s">
        <v>21</v>
      </c>
      <c r="F549" s="121" t="s">
        <v>1854</v>
      </c>
      <c r="G549" s="121" t="s">
        <v>1855</v>
      </c>
      <c r="H549" s="99" t="n">
        <v>32410</v>
      </c>
      <c r="I549" s="99" t="n">
        <v>32410</v>
      </c>
      <c r="J549" s="99" t="n">
        <v>1621</v>
      </c>
      <c r="K549" s="99" t="n">
        <v>0</v>
      </c>
      <c r="L549" s="99" t="n">
        <v>0</v>
      </c>
      <c r="M549" s="99" t="n">
        <v>0</v>
      </c>
      <c r="N549" s="99" t="n">
        <v>0</v>
      </c>
      <c r="O549" s="42" t="n">
        <v>30789</v>
      </c>
    </row>
    <row r="550" spans="1:15">
      <c r="A550" s="37" t="n">
        <v>557</v>
      </c>
      <c r="B550" s="97" t="s">
        <v>2561</v>
      </c>
      <c r="C550" s="121" t="s">
        <v>58</v>
      </c>
      <c r="D550" s="121" t="s">
        <v>20</v>
      </c>
      <c r="E550" s="121" t="s">
        <v>21</v>
      </c>
      <c r="F550" s="121" t="s">
        <v>2562</v>
      </c>
      <c r="G550" s="121" t="s">
        <v>2563</v>
      </c>
      <c r="H550" s="99" t="n">
        <v>31465</v>
      </c>
      <c r="I550" s="99" t="n">
        <v>31465</v>
      </c>
      <c r="J550" s="99" t="n">
        <v>1573</v>
      </c>
      <c r="K550" s="99" t="n">
        <v>0</v>
      </c>
      <c r="L550" s="99" t="n">
        <v>0</v>
      </c>
      <c r="M550" s="99" t="n">
        <v>0</v>
      </c>
      <c r="N550" s="99" t="n">
        <v>0</v>
      </c>
      <c r="O550" s="42" t="n">
        <v>29892</v>
      </c>
    </row>
    <row r="551" spans="1:15">
      <c r="A551" s="37" t="n">
        <v>558</v>
      </c>
      <c r="B551" s="97" t="s">
        <v>1856</v>
      </c>
      <c r="C551" s="121" t="s">
        <v>58</v>
      </c>
      <c r="D551" s="121" t="s">
        <v>20</v>
      </c>
      <c r="E551" s="121" t="s">
        <v>21</v>
      </c>
      <c r="F551" s="121" t="s">
        <v>1857</v>
      </c>
      <c r="G551" s="121" t="s">
        <v>1858</v>
      </c>
      <c r="H551" s="99" t="n">
        <v>31014</v>
      </c>
      <c r="I551" s="99" t="n">
        <v>31014</v>
      </c>
      <c r="J551" s="99" t="n">
        <v>1551</v>
      </c>
      <c r="K551" s="99" t="n">
        <v>0</v>
      </c>
      <c r="L551" s="99" t="n">
        <v>0</v>
      </c>
      <c r="M551" s="99" t="n">
        <v>0</v>
      </c>
      <c r="N551" s="99" t="n">
        <v>0</v>
      </c>
      <c r="O551" s="42" t="n">
        <v>29463</v>
      </c>
    </row>
    <row r="552" spans="1:15">
      <c r="A552" s="37" t="n">
        <v>559</v>
      </c>
      <c r="B552" s="97" t="s">
        <v>1859</v>
      </c>
      <c r="C552" s="121" t="s">
        <v>58</v>
      </c>
      <c r="D552" s="121" t="s">
        <v>20</v>
      </c>
      <c r="E552" s="121" t="s">
        <v>21</v>
      </c>
      <c r="F552" s="121" t="s">
        <v>1860</v>
      </c>
      <c r="G552" s="121" t="s">
        <v>1861</v>
      </c>
      <c r="H552" s="99" t="n">
        <v>31014</v>
      </c>
      <c r="I552" s="99" t="n">
        <v>31014</v>
      </c>
      <c r="J552" s="99" t="n">
        <v>1551</v>
      </c>
      <c r="K552" s="99" t="n">
        <v>0</v>
      </c>
      <c r="L552" s="99" t="n">
        <v>0</v>
      </c>
      <c r="M552" s="99" t="n">
        <v>0</v>
      </c>
      <c r="N552" s="99" t="n">
        <v>0</v>
      </c>
      <c r="O552" s="42" t="n">
        <v>29463</v>
      </c>
    </row>
    <row r="553" spans="1:15">
      <c r="A553" s="37" t="n">
        <v>560</v>
      </c>
      <c r="B553" s="97" t="s">
        <v>1862</v>
      </c>
      <c r="C553" s="121" t="s">
        <v>58</v>
      </c>
      <c r="D553" s="121" t="s">
        <v>20</v>
      </c>
      <c r="E553" s="121" t="s">
        <v>21</v>
      </c>
      <c r="F553" s="121" t="s">
        <v>1863</v>
      </c>
      <c r="G553" s="121" t="s">
        <v>1865</v>
      </c>
      <c r="H553" s="99" t="n">
        <v>31014</v>
      </c>
      <c r="I553" s="99" t="n">
        <v>31014</v>
      </c>
      <c r="J553" s="99" t="n">
        <v>1551</v>
      </c>
      <c r="K553" s="99" t="n">
        <v>0</v>
      </c>
      <c r="L553" s="99" t="n">
        <v>0</v>
      </c>
      <c r="M553" s="99" t="n">
        <v>0</v>
      </c>
      <c r="N553" s="99" t="n">
        <v>0</v>
      </c>
      <c r="O553" s="42" t="n">
        <v>29463</v>
      </c>
    </row>
    <row r="554" spans="1:15">
      <c r="A554" s="37" t="n">
        <v>561</v>
      </c>
      <c r="B554" s="97" t="s">
        <v>1866</v>
      </c>
      <c r="C554" s="121" t="s">
        <v>58</v>
      </c>
      <c r="D554" s="121" t="s">
        <v>20</v>
      </c>
      <c r="E554" s="121" t="s">
        <v>21</v>
      </c>
      <c r="F554" s="121" t="s">
        <v>1867</v>
      </c>
      <c r="G554" s="121" t="s">
        <v>1869</v>
      </c>
      <c r="H554" s="99" t="n">
        <v>29125</v>
      </c>
      <c r="I554" s="99" t="n">
        <v>29125</v>
      </c>
      <c r="J554" s="99" t="n">
        <v>1456</v>
      </c>
      <c r="K554" s="99" t="n">
        <v>0</v>
      </c>
      <c r="L554" s="99" t="n">
        <v>0</v>
      </c>
      <c r="M554" s="99" t="n">
        <v>0</v>
      </c>
      <c r="N554" s="99" t="n">
        <v>0</v>
      </c>
      <c r="O554" s="42" t="n">
        <v>27669</v>
      </c>
    </row>
    <row r="555" spans="1:15">
      <c r="A555" s="37" t="n">
        <v>562</v>
      </c>
      <c r="B555" s="97" t="s">
        <v>1888</v>
      </c>
      <c r="C555" s="121" t="s">
        <v>283</v>
      </c>
      <c r="D555" s="121" t="s">
        <v>20</v>
      </c>
      <c r="E555" s="121" t="s">
        <v>21</v>
      </c>
      <c r="F555" s="121" t="s">
        <v>2074</v>
      </c>
      <c r="G555" s="121" t="s">
        <v>1889</v>
      </c>
      <c r="H555" s="99" t="n">
        <v>29125</v>
      </c>
      <c r="I555" s="99" t="n">
        <v>29125</v>
      </c>
      <c r="J555" s="99" t="n">
        <v>0</v>
      </c>
      <c r="K555" s="99" t="n">
        <v>0</v>
      </c>
      <c r="L555" s="99" t="n">
        <v>0</v>
      </c>
      <c r="M555" s="99" t="n">
        <v>0</v>
      </c>
      <c r="N555" s="99" t="n">
        <v>0</v>
      </c>
      <c r="O555" s="42" t="n">
        <v>29125</v>
      </c>
    </row>
    <row r="556" spans="1:15">
      <c r="A556" s="37" t="n">
        <v>563</v>
      </c>
      <c r="B556" s="97" t="s">
        <v>1890</v>
      </c>
      <c r="C556" s="121" t="s">
        <v>283</v>
      </c>
      <c r="D556" s="121" t="s">
        <v>20</v>
      </c>
      <c r="E556" s="121" t="s">
        <v>21</v>
      </c>
      <c r="F556" s="121" t="s">
        <v>2564</v>
      </c>
      <c r="G556" s="121" t="s">
        <v>1891</v>
      </c>
      <c r="H556" s="99" t="n">
        <v>29125</v>
      </c>
      <c r="I556" s="99" t="n">
        <v>29125</v>
      </c>
      <c r="J556" s="99" t="n">
        <v>0</v>
      </c>
      <c r="K556" s="99" t="n">
        <v>0</v>
      </c>
      <c r="L556" s="99" t="n">
        <v>0</v>
      </c>
      <c r="M556" s="99" t="n">
        <v>0</v>
      </c>
      <c r="N556" s="99" t="n">
        <v>0</v>
      </c>
      <c r="O556" s="42" t="n">
        <v>29125</v>
      </c>
    </row>
    <row r="557" spans="1:15">
      <c r="A557" s="37" t="n">
        <v>564</v>
      </c>
      <c r="B557" s="97" t="s">
        <v>2565</v>
      </c>
      <c r="C557" s="121" t="s">
        <v>120</v>
      </c>
      <c r="D557" s="121" t="s">
        <v>128</v>
      </c>
      <c r="E557" s="121" t="s">
        <v>15</v>
      </c>
      <c r="F557" s="98" t="n">
        <v>0</v>
      </c>
      <c r="G557" s="121" t="s">
        <v>2566</v>
      </c>
      <c r="H557" s="99" t="n">
        <v>30070</v>
      </c>
      <c r="I557" s="99" t="n">
        <v>30070</v>
      </c>
      <c r="J557" s="99" t="n">
        <v>0</v>
      </c>
      <c r="K557" s="99" t="n">
        <v>0</v>
      </c>
      <c r="L557" s="99" t="n">
        <v>0</v>
      </c>
      <c r="M557" s="99" t="n">
        <v>0</v>
      </c>
      <c r="N557" s="99" t="n">
        <v>0</v>
      </c>
      <c r="O557" s="42" t="n">
        <v>30070</v>
      </c>
    </row>
    <row r="558" spans="1:15">
      <c r="A558" s="37" t="n">
        <v>565</v>
      </c>
      <c r="B558" s="97" t="s">
        <v>1892</v>
      </c>
      <c r="C558" s="121" t="s">
        <v>283</v>
      </c>
      <c r="D558" s="121" t="s">
        <v>20</v>
      </c>
      <c r="E558" s="121" t="s">
        <v>21</v>
      </c>
      <c r="F558" s="121" t="s">
        <v>2567</v>
      </c>
      <c r="G558" s="121" t="s">
        <v>1893</v>
      </c>
      <c r="H558" s="99" t="n">
        <v>30070</v>
      </c>
      <c r="I558" s="99" t="n">
        <v>30070</v>
      </c>
      <c r="J558" s="99" t="n">
        <v>0</v>
      </c>
      <c r="K558" s="99" t="n">
        <v>0</v>
      </c>
      <c r="L558" s="99" t="n">
        <v>0</v>
      </c>
      <c r="M558" s="99" t="n">
        <v>0</v>
      </c>
      <c r="N558" s="99" t="n">
        <v>0</v>
      </c>
      <c r="O558" s="42" t="n">
        <v>30070</v>
      </c>
    </row>
    <row r="559" spans="1:15">
      <c r="A559" s="37" t="n">
        <v>566</v>
      </c>
      <c r="B559" s="97" t="s">
        <v>1894</v>
      </c>
      <c r="C559" s="121" t="s">
        <v>283</v>
      </c>
      <c r="D559" s="121" t="s">
        <v>20</v>
      </c>
      <c r="E559" s="121" t="s">
        <v>21</v>
      </c>
      <c r="F559" s="121" t="s">
        <v>2074</v>
      </c>
      <c r="G559" s="121" t="s">
        <v>1895</v>
      </c>
      <c r="H559" s="99" t="n">
        <v>29125</v>
      </c>
      <c r="I559" s="99" t="n">
        <v>29125</v>
      </c>
      <c r="J559" s="99" t="n">
        <v>0</v>
      </c>
      <c r="K559" s="99" t="n">
        <v>0</v>
      </c>
      <c r="L559" s="99" t="n">
        <v>0</v>
      </c>
      <c r="M559" s="99" t="n">
        <v>0</v>
      </c>
      <c r="N559" s="99" t="n">
        <v>0</v>
      </c>
      <c r="O559" s="42" t="n">
        <v>29125</v>
      </c>
    </row>
    <row r="560" spans="1:15">
      <c r="A560" s="37" t="n">
        <v>567</v>
      </c>
      <c r="B560" s="97" t="s">
        <v>461</v>
      </c>
      <c r="C560" s="121" t="s">
        <v>58</v>
      </c>
      <c r="D560" s="121" t="s">
        <v>20</v>
      </c>
      <c r="E560" s="121" t="s">
        <v>21</v>
      </c>
      <c r="F560" s="121" t="s">
        <v>462</v>
      </c>
      <c r="G560" s="121" t="s">
        <v>464</v>
      </c>
      <c r="H560" s="99" t="n">
        <v>63700</v>
      </c>
      <c r="I560" s="99" t="n">
        <v>63700</v>
      </c>
      <c r="J560" s="99" t="n">
        <v>3185</v>
      </c>
      <c r="K560" s="99" t="n">
        <v>0</v>
      </c>
      <c r="L560" s="99" t="n">
        <v>0</v>
      </c>
      <c r="M560" s="99" t="n">
        <v>0</v>
      </c>
      <c r="N560" s="99" t="n">
        <v>0</v>
      </c>
      <c r="O560" s="42" t="n">
        <v>60515</v>
      </c>
    </row>
    <row r="561" spans="1:15">
      <c r="A561" s="37" t="n">
        <v>568</v>
      </c>
      <c r="B561" s="97" t="s">
        <v>1896</v>
      </c>
      <c r="C561" s="121" t="s">
        <v>58</v>
      </c>
      <c r="D561" s="121" t="s">
        <v>20</v>
      </c>
      <c r="E561" s="121" t="s">
        <v>21</v>
      </c>
      <c r="F561" s="121" t="s">
        <v>1897</v>
      </c>
      <c r="G561" s="121" t="s">
        <v>1898</v>
      </c>
      <c r="H561" s="99" t="n">
        <v>48170</v>
      </c>
      <c r="I561" s="99" t="n">
        <v>48170</v>
      </c>
      <c r="J561" s="99" t="n">
        <v>2409</v>
      </c>
      <c r="K561" s="99" t="n">
        <v>0</v>
      </c>
      <c r="L561" s="99" t="n">
        <v>0</v>
      </c>
      <c r="M561" s="99" t="n">
        <v>0</v>
      </c>
      <c r="N561" s="99" t="n">
        <v>0</v>
      </c>
      <c r="O561" s="42" t="n">
        <v>45761</v>
      </c>
    </row>
    <row r="562" spans="1:15">
      <c r="A562" s="37" t="n">
        <v>569</v>
      </c>
      <c r="B562" s="97" t="s">
        <v>1899</v>
      </c>
      <c r="C562" s="121" t="s">
        <v>58</v>
      </c>
      <c r="D562" s="121" t="s">
        <v>20</v>
      </c>
      <c r="E562" s="121" t="s">
        <v>21</v>
      </c>
      <c r="F562" s="121" t="s">
        <v>1900</v>
      </c>
      <c r="G562" s="121" t="s">
        <v>1901</v>
      </c>
      <c r="H562" s="99" t="n">
        <v>47018</v>
      </c>
      <c r="I562" s="99" t="n">
        <v>47018</v>
      </c>
      <c r="J562" s="99" t="n">
        <v>2351</v>
      </c>
      <c r="K562" s="99" t="n">
        <v>0</v>
      </c>
      <c r="L562" s="99" t="n">
        <v>0</v>
      </c>
      <c r="M562" s="99" t="n">
        <v>0</v>
      </c>
      <c r="N562" s="99" t="n">
        <v>0</v>
      </c>
      <c r="O562" s="42" t="n">
        <v>44667</v>
      </c>
    </row>
    <row r="563" spans="1:15">
      <c r="A563" s="37" t="n">
        <v>570</v>
      </c>
      <c r="B563" s="97" t="s">
        <v>1902</v>
      </c>
      <c r="C563" s="121" t="s">
        <v>58</v>
      </c>
      <c r="D563" s="121" t="s">
        <v>20</v>
      </c>
      <c r="E563" s="121" t="s">
        <v>21</v>
      </c>
      <c r="F563" s="121" t="s">
        <v>1903</v>
      </c>
      <c r="G563" s="121" t="s">
        <v>1904</v>
      </c>
      <c r="H563" s="99" t="n">
        <v>47018</v>
      </c>
      <c r="I563" s="99" t="n">
        <v>47018</v>
      </c>
      <c r="J563" s="99" t="n">
        <v>2351</v>
      </c>
      <c r="K563" s="99" t="n">
        <v>0</v>
      </c>
      <c r="L563" s="99" t="n">
        <v>0</v>
      </c>
      <c r="M563" s="99" t="n">
        <v>0</v>
      </c>
      <c r="N563" s="99" t="n">
        <v>0</v>
      </c>
      <c r="O563" s="42" t="n">
        <v>44667</v>
      </c>
    </row>
    <row r="564" spans="1:15">
      <c r="A564" s="37" t="n">
        <v>571</v>
      </c>
      <c r="B564" s="97" t="s">
        <v>1907</v>
      </c>
      <c r="C564" s="121" t="s">
        <v>120</v>
      </c>
      <c r="D564" s="121" t="s">
        <v>124</v>
      </c>
      <c r="E564" s="121" t="s">
        <v>15</v>
      </c>
      <c r="F564" s="98" t="n">
        <v>0</v>
      </c>
      <c r="G564" s="121" t="s">
        <v>1908</v>
      </c>
      <c r="H564" s="99" t="n">
        <v>38423</v>
      </c>
      <c r="I564" s="99" t="n">
        <v>38423</v>
      </c>
      <c r="J564" s="99" t="n">
        <v>0</v>
      </c>
      <c r="K564" s="99" t="n">
        <v>0</v>
      </c>
      <c r="L564" s="99" t="n">
        <v>0</v>
      </c>
      <c r="M564" s="99" t="n">
        <v>0</v>
      </c>
      <c r="N564" s="99" t="n">
        <v>0</v>
      </c>
      <c r="O564" s="42" t="n">
        <v>38423</v>
      </c>
    </row>
    <row r="565" spans="1:15">
      <c r="A565" s="37" t="n">
        <v>572</v>
      </c>
      <c r="B565" s="97" t="s">
        <v>2568</v>
      </c>
      <c r="C565" s="121" t="s">
        <v>120</v>
      </c>
      <c r="D565" s="121" t="s">
        <v>128</v>
      </c>
      <c r="E565" s="121" t="s">
        <v>15</v>
      </c>
      <c r="F565" s="98" t="n">
        <v>0</v>
      </c>
      <c r="G565" s="121" t="s">
        <v>2569</v>
      </c>
      <c r="H565" s="99" t="n">
        <v>35543</v>
      </c>
      <c r="I565" s="99" t="n">
        <v>35543</v>
      </c>
      <c r="J565" s="99" t="n">
        <v>0</v>
      </c>
      <c r="K565" s="99" t="n">
        <v>0</v>
      </c>
      <c r="L565" s="99" t="n">
        <v>0</v>
      </c>
      <c r="M565" s="99" t="n">
        <v>0</v>
      </c>
      <c r="N565" s="99" t="n">
        <v>0</v>
      </c>
      <c r="O565" s="42" t="n">
        <v>35543</v>
      </c>
    </row>
    <row r="566" spans="1:15">
      <c r="A566" s="37" t="n">
        <v>573</v>
      </c>
      <c r="B566" s="97" t="s">
        <v>1905</v>
      </c>
      <c r="C566" s="121" t="s">
        <v>120</v>
      </c>
      <c r="D566" s="121" t="s">
        <v>128</v>
      </c>
      <c r="E566" s="121" t="s">
        <v>15</v>
      </c>
      <c r="F566" s="98" t="n">
        <v>0</v>
      </c>
      <c r="G566" s="121" t="s">
        <v>1906</v>
      </c>
      <c r="H566" s="99" t="n">
        <v>36898</v>
      </c>
      <c r="I566" s="99" t="n">
        <v>36898</v>
      </c>
      <c r="J566" s="99" t="n">
        <v>0</v>
      </c>
      <c r="K566" s="99" t="n">
        <v>0</v>
      </c>
      <c r="L566" s="99" t="n">
        <v>0</v>
      </c>
      <c r="M566" s="99" t="n">
        <v>0</v>
      </c>
      <c r="N566" s="99" t="n">
        <v>0</v>
      </c>
      <c r="O566" s="42" t="n">
        <v>36898</v>
      </c>
    </row>
    <row r="567" spans="1:15">
      <c r="A567" s="37" t="n">
        <v>574</v>
      </c>
      <c r="B567" s="97" t="s">
        <v>1909</v>
      </c>
      <c r="C567" s="121" t="s">
        <v>95</v>
      </c>
      <c r="D567" s="121" t="s">
        <v>124</v>
      </c>
      <c r="E567" s="121" t="s">
        <v>15</v>
      </c>
      <c r="F567" s="98" t="n">
        <v>0</v>
      </c>
      <c r="G567" s="121" t="s">
        <v>1910</v>
      </c>
      <c r="H567" s="99" t="n">
        <v>35543</v>
      </c>
      <c r="I567" s="99" t="n">
        <v>35543</v>
      </c>
      <c r="J567" s="99" t="n">
        <v>0</v>
      </c>
      <c r="K567" s="99" t="n">
        <v>0</v>
      </c>
      <c r="L567" s="99" t="n">
        <v>0</v>
      </c>
      <c r="M567" s="99" t="n">
        <v>0</v>
      </c>
      <c r="N567" s="99" t="n">
        <v>0</v>
      </c>
      <c r="O567" s="42" t="n">
        <v>35543</v>
      </c>
    </row>
    <row r="568" spans="1:15">
      <c r="A568" s="37" t="n">
        <v>575</v>
      </c>
      <c r="B568" s="97" t="s">
        <v>2570</v>
      </c>
      <c r="C568" s="121" t="s">
        <v>95</v>
      </c>
      <c r="D568" s="121" t="s">
        <v>128</v>
      </c>
      <c r="E568" s="121" t="s">
        <v>15</v>
      </c>
      <c r="F568" s="98" t="n">
        <v>0</v>
      </c>
      <c r="G568" s="121" t="s">
        <v>2571</v>
      </c>
      <c r="H568" s="99" t="n">
        <v>36447</v>
      </c>
      <c r="I568" s="99" t="n">
        <v>36447</v>
      </c>
      <c r="J568" s="99" t="n">
        <v>0</v>
      </c>
      <c r="K568" s="99" t="n">
        <v>0</v>
      </c>
      <c r="L568" s="99" t="n">
        <v>0</v>
      </c>
      <c r="M568" s="99" t="n">
        <v>0</v>
      </c>
      <c r="N568" s="99" t="n">
        <v>0</v>
      </c>
      <c r="O568" s="42" t="n">
        <v>36447</v>
      </c>
    </row>
    <row r="569" spans="1:15">
      <c r="A569" s="37" t="n">
        <v>576</v>
      </c>
      <c r="B569" s="97" t="s">
        <v>1911</v>
      </c>
      <c r="C569" s="121" t="s">
        <v>95</v>
      </c>
      <c r="D569" s="121" t="s">
        <v>124</v>
      </c>
      <c r="E569" s="121" t="s">
        <v>15</v>
      </c>
      <c r="F569" s="98" t="n">
        <v>0</v>
      </c>
      <c r="G569" s="121" t="s">
        <v>1912</v>
      </c>
      <c r="H569" s="99" t="n">
        <v>33815</v>
      </c>
      <c r="I569" s="99" t="n">
        <v>33815</v>
      </c>
      <c r="J569" s="99" t="n">
        <v>0</v>
      </c>
      <c r="K569" s="99" t="n">
        <v>0</v>
      </c>
      <c r="L569" s="99" t="n">
        <v>0</v>
      </c>
      <c r="M569" s="99" t="n">
        <v>0</v>
      </c>
      <c r="N569" s="99" t="n">
        <v>0</v>
      </c>
      <c r="O569" s="42" t="n">
        <v>33815</v>
      </c>
    </row>
    <row r="570" spans="1:15">
      <c r="A570" s="37" t="n">
        <v>577</v>
      </c>
      <c r="B570" s="97" t="s">
        <v>1924</v>
      </c>
      <c r="C570" s="121" t="s">
        <v>120</v>
      </c>
      <c r="D570" s="121" t="s">
        <v>278</v>
      </c>
      <c r="E570" s="121" t="s">
        <v>16</v>
      </c>
      <c r="F570" s="98" t="n">
        <v>0</v>
      </c>
      <c r="G570" s="121" t="s">
        <v>1925</v>
      </c>
      <c r="H570" s="99" t="n">
        <v>9827</v>
      </c>
      <c r="I570" s="99" t="n">
        <v>9827</v>
      </c>
      <c r="J570" s="99" t="n">
        <v>0</v>
      </c>
      <c r="K570" s="99" t="n">
        <v>0</v>
      </c>
      <c r="L570" s="99" t="n">
        <v>0</v>
      </c>
      <c r="M570" s="99" t="n">
        <v>0</v>
      </c>
      <c r="N570" s="99" t="n">
        <v>0</v>
      </c>
      <c r="O570" s="42" t="n">
        <v>9827</v>
      </c>
    </row>
    <row r="571" spans="1:15">
      <c r="A571" s="37" t="n">
        <v>578</v>
      </c>
      <c r="B571" s="97" t="s">
        <v>1926</v>
      </c>
      <c r="C571" s="121" t="s">
        <v>120</v>
      </c>
      <c r="D571" s="121" t="s">
        <v>128</v>
      </c>
      <c r="E571" s="121" t="s">
        <v>15</v>
      </c>
      <c r="F571" s="98" t="n">
        <v>0</v>
      </c>
      <c r="G571" s="121" t="s">
        <v>1927</v>
      </c>
      <c r="H571" s="99" t="n">
        <v>9375</v>
      </c>
      <c r="I571" s="99" t="n">
        <v>9375</v>
      </c>
      <c r="J571" s="99" t="n">
        <v>0</v>
      </c>
      <c r="K571" s="99" t="n">
        <v>0</v>
      </c>
      <c r="L571" s="99" t="n">
        <v>0</v>
      </c>
      <c r="M571" s="99" t="n">
        <v>0</v>
      </c>
      <c r="N571" s="99" t="n">
        <v>0</v>
      </c>
      <c r="O571" s="42" t="n">
        <v>9375</v>
      </c>
    </row>
    <row r="572" spans="1:15">
      <c r="A572" s="37" t="n">
        <v>579</v>
      </c>
      <c r="B572" s="97" t="s">
        <v>2572</v>
      </c>
      <c r="C572" s="121" t="s">
        <v>120</v>
      </c>
      <c r="D572" s="121" t="s">
        <v>128</v>
      </c>
      <c r="E572" s="121" t="s">
        <v>15</v>
      </c>
      <c r="F572" s="98" t="n">
        <v>0</v>
      </c>
      <c r="G572" s="121" t="s">
        <v>2573</v>
      </c>
      <c r="H572" s="99" t="n">
        <v>9375</v>
      </c>
      <c r="I572" s="99" t="n">
        <v>9375</v>
      </c>
      <c r="J572" s="99" t="n">
        <v>0</v>
      </c>
      <c r="K572" s="99" t="n">
        <v>0</v>
      </c>
      <c r="L572" s="99" t="n">
        <v>0</v>
      </c>
      <c r="M572" s="99" t="n">
        <v>0</v>
      </c>
      <c r="N572" s="99" t="n">
        <v>0</v>
      </c>
      <c r="O572" s="42" t="n">
        <v>9375</v>
      </c>
    </row>
    <row r="573" spans="1:15">
      <c r="A573" s="37" t="n">
        <v>580</v>
      </c>
      <c r="B573" s="97" t="s">
        <v>1928</v>
      </c>
      <c r="C573" s="121" t="s">
        <v>120</v>
      </c>
      <c r="D573" s="121" t="s">
        <v>128</v>
      </c>
      <c r="E573" s="121" t="s">
        <v>15</v>
      </c>
      <c r="F573" s="98" t="n">
        <v>0</v>
      </c>
      <c r="G573" s="121" t="s">
        <v>1929</v>
      </c>
      <c r="H573" s="99" t="n">
        <v>9375</v>
      </c>
      <c r="I573" s="99" t="n">
        <v>9375</v>
      </c>
      <c r="J573" s="99" t="n">
        <v>0</v>
      </c>
      <c r="K573" s="99" t="n">
        <v>0</v>
      </c>
      <c r="L573" s="99" t="n">
        <v>0</v>
      </c>
      <c r="M573" s="99" t="n">
        <v>0</v>
      </c>
      <c r="N573" s="99" t="n">
        <v>0</v>
      </c>
      <c r="O573" s="42" t="n">
        <v>9375</v>
      </c>
    </row>
    <row r="574" spans="1:15">
      <c r="A574" s="37" t="n">
        <v>581</v>
      </c>
      <c r="B574" s="97" t="s">
        <v>1930</v>
      </c>
      <c r="C574" s="121" t="s">
        <v>120</v>
      </c>
      <c r="D574" s="121" t="s">
        <v>128</v>
      </c>
      <c r="E574" s="121" t="s">
        <v>15</v>
      </c>
      <c r="F574" s="98" t="n">
        <v>0</v>
      </c>
      <c r="G574" s="121" t="s">
        <v>1931</v>
      </c>
      <c r="H574" s="99" t="n">
        <v>9827</v>
      </c>
      <c r="I574" s="99" t="n">
        <v>9827</v>
      </c>
      <c r="J574" s="99" t="n">
        <v>0</v>
      </c>
      <c r="K574" s="99" t="n">
        <v>0</v>
      </c>
      <c r="L574" s="99" t="n">
        <v>0</v>
      </c>
      <c r="M574" s="99" t="n">
        <v>0</v>
      </c>
      <c r="N574" s="99" t="n">
        <v>0</v>
      </c>
      <c r="O574" s="42" t="n">
        <v>9827</v>
      </c>
    </row>
    <row r="575" spans="1:15">
      <c r="A575" s="37" t="n">
        <v>582</v>
      </c>
      <c r="B575" s="97" t="s">
        <v>1932</v>
      </c>
      <c r="C575" s="121" t="s">
        <v>120</v>
      </c>
      <c r="D575" s="121" t="s">
        <v>128</v>
      </c>
      <c r="E575" s="121" t="s">
        <v>15</v>
      </c>
      <c r="F575" s="98" t="n">
        <v>0</v>
      </c>
      <c r="G575" s="121" t="s">
        <v>1933</v>
      </c>
      <c r="H575" s="99" t="n">
        <v>9827</v>
      </c>
      <c r="I575" s="99" t="n">
        <v>9827</v>
      </c>
      <c r="J575" s="99" t="n">
        <v>0</v>
      </c>
      <c r="K575" s="99" t="n">
        <v>0</v>
      </c>
      <c r="L575" s="99" t="n">
        <v>0</v>
      </c>
      <c r="M575" s="99" t="n">
        <v>0</v>
      </c>
      <c r="N575" s="99" t="n">
        <v>0</v>
      </c>
      <c r="O575" s="42" t="n">
        <v>9827</v>
      </c>
    </row>
    <row r="576" spans="1:15">
      <c r="A576" s="37" t="n">
        <v>583</v>
      </c>
      <c r="B576" s="97" t="s">
        <v>2574</v>
      </c>
      <c r="C576" s="121" t="s">
        <v>58</v>
      </c>
      <c r="D576" s="121" t="s">
        <v>128</v>
      </c>
      <c r="E576" s="121" t="s">
        <v>15</v>
      </c>
      <c r="F576" s="98" t="n">
        <v>0</v>
      </c>
      <c r="G576" s="121" t="s">
        <v>2575</v>
      </c>
      <c r="H576" s="99" t="n">
        <v>7529021</v>
      </c>
      <c r="I576" s="99" t="n">
        <v>7529021</v>
      </c>
      <c r="J576" s="99" t="n">
        <v>376451</v>
      </c>
      <c r="K576" s="99" t="n">
        <v>0</v>
      </c>
      <c r="L576" s="99" t="n">
        <v>0</v>
      </c>
      <c r="M576" s="99" t="n">
        <v>0</v>
      </c>
      <c r="N576" s="99" t="n">
        <v>0</v>
      </c>
      <c r="O576" s="42" t="n">
        <v>7152570</v>
      </c>
    </row>
    <row r="577" spans="1:15">
      <c r="A577" s="37" t="n">
        <v>584</v>
      </c>
      <c r="B577" s="97" t="s">
        <v>426</v>
      </c>
      <c r="C577" s="121" t="s">
        <v>58</v>
      </c>
      <c r="D577" s="121" t="s">
        <v>20</v>
      </c>
      <c r="E577" s="121" t="s">
        <v>21</v>
      </c>
      <c r="F577" s="121" t="s">
        <v>427</v>
      </c>
      <c r="G577" s="121" t="s">
        <v>429</v>
      </c>
      <c r="H577" s="99" t="n">
        <v>18525</v>
      </c>
      <c r="I577" s="99" t="n">
        <v>18525</v>
      </c>
      <c r="J577" s="99" t="n">
        <v>926</v>
      </c>
      <c r="K577" s="99" t="n">
        <v>0</v>
      </c>
      <c r="L577" s="99" t="n">
        <v>0</v>
      </c>
      <c r="M577" s="99" t="n">
        <v>0</v>
      </c>
      <c r="N577" s="99" t="n">
        <v>0</v>
      </c>
      <c r="O577" s="42" t="n">
        <v>17599</v>
      </c>
    </row>
    <row r="578" spans="1:15">
      <c r="A578" s="37" t="n">
        <v>585</v>
      </c>
      <c r="B578" s="97" t="s">
        <v>2003</v>
      </c>
      <c r="C578" s="121" t="s">
        <v>58</v>
      </c>
      <c r="D578" s="121" t="s">
        <v>20</v>
      </c>
      <c r="E578" s="121" t="s">
        <v>21</v>
      </c>
      <c r="F578" s="121" t="s">
        <v>22</v>
      </c>
      <c r="G578" s="121" t="s">
        <v>2005</v>
      </c>
      <c r="H578" s="99" t="n">
        <v>17621</v>
      </c>
      <c r="I578" s="99" t="n">
        <v>17621</v>
      </c>
      <c r="J578" s="99" t="n">
        <v>881</v>
      </c>
      <c r="K578" s="99" t="n">
        <v>0</v>
      </c>
      <c r="L578" s="99" t="n">
        <v>0</v>
      </c>
      <c r="M578" s="99" t="n">
        <v>0</v>
      </c>
      <c r="N578" s="99" t="n">
        <v>0</v>
      </c>
      <c r="O578" s="42" t="n">
        <v>16740</v>
      </c>
    </row>
    <row r="579" spans="1:15">
      <c r="A579" s="37" t="n">
        <v>586</v>
      </c>
      <c r="B579" s="97" t="s">
        <v>1952</v>
      </c>
      <c r="C579" s="121" t="s">
        <v>58</v>
      </c>
      <c r="D579" s="121" t="s">
        <v>20</v>
      </c>
      <c r="E579" s="121" t="s">
        <v>21</v>
      </c>
      <c r="F579" s="121" t="s">
        <v>1953</v>
      </c>
      <c r="G579" s="121" t="s">
        <v>1954</v>
      </c>
      <c r="H579" s="99" t="n">
        <v>17621</v>
      </c>
      <c r="I579" s="99" t="n">
        <v>17621</v>
      </c>
      <c r="J579" s="99" t="n">
        <v>881</v>
      </c>
      <c r="K579" s="99" t="n">
        <v>0</v>
      </c>
      <c r="L579" s="99" t="n">
        <v>0</v>
      </c>
      <c r="M579" s="99" t="n">
        <v>0</v>
      </c>
      <c r="N579" s="99" t="n">
        <v>0</v>
      </c>
      <c r="O579" s="42" t="n">
        <v>16740</v>
      </c>
    </row>
    <row r="580" spans="1:15">
      <c r="A580" s="37" t="n">
        <v>587</v>
      </c>
      <c r="B580" s="97" t="s">
        <v>1937</v>
      </c>
      <c r="C580" s="121" t="s">
        <v>19</v>
      </c>
      <c r="D580" s="121" t="s">
        <v>20</v>
      </c>
      <c r="E580" s="121" t="s">
        <v>21</v>
      </c>
      <c r="F580" s="121" t="s">
        <v>1938</v>
      </c>
      <c r="G580" s="121" t="s">
        <v>1939</v>
      </c>
      <c r="H580" s="99" t="n">
        <v>17621</v>
      </c>
      <c r="I580" s="99" t="n">
        <v>17621</v>
      </c>
      <c r="J580" s="99" t="n">
        <v>0</v>
      </c>
      <c r="K580" s="99" t="n">
        <v>2643</v>
      </c>
      <c r="L580" s="99" t="n">
        <v>0</v>
      </c>
      <c r="M580" s="99" t="n">
        <v>0</v>
      </c>
      <c r="N580" s="99" t="n">
        <v>0</v>
      </c>
      <c r="O580" s="42" t="n">
        <v>14978</v>
      </c>
    </row>
    <row r="581" spans="1:15">
      <c r="A581" s="37" t="n">
        <v>588</v>
      </c>
      <c r="B581" s="97" t="s">
        <v>18</v>
      </c>
      <c r="C581" s="121" t="s">
        <v>19</v>
      </c>
      <c r="D581" s="121" t="s">
        <v>20</v>
      </c>
      <c r="E581" s="121" t="s">
        <v>21</v>
      </c>
      <c r="F581" s="121" t="s">
        <v>22</v>
      </c>
      <c r="G581" s="121" t="s">
        <v>24</v>
      </c>
      <c r="H581" s="99" t="n">
        <v>18525</v>
      </c>
      <c r="I581" s="99" t="n">
        <v>18525</v>
      </c>
      <c r="J581" s="99" t="n">
        <v>0</v>
      </c>
      <c r="K581" s="99" t="n">
        <v>2779</v>
      </c>
      <c r="L581" s="99" t="n">
        <v>0</v>
      </c>
      <c r="M581" s="99" t="n">
        <v>0</v>
      </c>
      <c r="N581" s="99" t="n">
        <v>0</v>
      </c>
      <c r="O581" s="42" t="n">
        <v>15746</v>
      </c>
    </row>
    <row r="582" spans="1:15">
      <c r="A582" s="37" t="n">
        <v>589</v>
      </c>
      <c r="B582" s="97" t="s">
        <v>430</v>
      </c>
      <c r="C582" s="121" t="s">
        <v>58</v>
      </c>
      <c r="D582" s="121" t="s">
        <v>20</v>
      </c>
      <c r="E582" s="121" t="s">
        <v>21</v>
      </c>
      <c r="F582" s="121" t="s">
        <v>431</v>
      </c>
      <c r="G582" s="121" t="s">
        <v>433</v>
      </c>
      <c r="H582" s="99" t="n">
        <v>17621</v>
      </c>
      <c r="I582" s="99" t="n">
        <v>17621</v>
      </c>
      <c r="J582" s="99" t="n">
        <v>881</v>
      </c>
      <c r="K582" s="99" t="n">
        <v>0</v>
      </c>
      <c r="L582" s="99" t="n">
        <v>0</v>
      </c>
      <c r="M582" s="99" t="n">
        <v>0</v>
      </c>
      <c r="N582" s="99" t="n">
        <v>0</v>
      </c>
      <c r="O582" s="42" t="n">
        <v>16740</v>
      </c>
    </row>
    <row r="583" spans="1:15">
      <c r="A583" s="37" t="n">
        <v>590</v>
      </c>
      <c r="B583" s="97" t="s">
        <v>1978</v>
      </c>
      <c r="C583" s="121" t="s">
        <v>58</v>
      </c>
      <c r="D583" s="121" t="s">
        <v>20</v>
      </c>
      <c r="E583" s="121" t="s">
        <v>21</v>
      </c>
      <c r="F583" s="121" t="s">
        <v>1979</v>
      </c>
      <c r="G583" s="121" t="s">
        <v>1981</v>
      </c>
      <c r="H583" s="99" t="n">
        <v>18525</v>
      </c>
      <c r="I583" s="99" t="n">
        <v>18525</v>
      </c>
      <c r="J583" s="99" t="n">
        <v>926</v>
      </c>
      <c r="K583" s="99" t="n">
        <v>0</v>
      </c>
      <c r="L583" s="99" t="n">
        <v>0</v>
      </c>
      <c r="M583" s="99" t="n">
        <v>0</v>
      </c>
      <c r="N583" s="99" t="n">
        <v>0</v>
      </c>
      <c r="O583" s="42" t="n">
        <v>17599</v>
      </c>
    </row>
    <row r="584" spans="1:15">
      <c r="A584" s="37" t="n">
        <v>591</v>
      </c>
      <c r="B584" s="97" t="s">
        <v>2576</v>
      </c>
      <c r="C584" s="121" t="s">
        <v>19</v>
      </c>
      <c r="D584" s="121" t="s">
        <v>20</v>
      </c>
      <c r="E584" s="121" t="s">
        <v>21</v>
      </c>
      <c r="F584" s="121" t="s">
        <v>2577</v>
      </c>
      <c r="G584" s="121" t="s">
        <v>2578</v>
      </c>
      <c r="H584" s="99" t="n">
        <v>18525</v>
      </c>
      <c r="I584" s="99" t="n">
        <v>18525</v>
      </c>
      <c r="J584" s="99" t="n">
        <v>0</v>
      </c>
      <c r="K584" s="99" t="n">
        <v>2779</v>
      </c>
      <c r="L584" s="99" t="n">
        <v>0</v>
      </c>
      <c r="M584" s="99" t="n">
        <v>0</v>
      </c>
      <c r="N584" s="99" t="n">
        <v>0</v>
      </c>
      <c r="O584" s="42" t="n">
        <v>15746</v>
      </c>
    </row>
    <row r="585" spans="1:15">
      <c r="A585" s="37" t="n">
        <v>592</v>
      </c>
      <c r="B585" s="97" t="s">
        <v>446</v>
      </c>
      <c r="C585" s="121" t="s">
        <v>58</v>
      </c>
      <c r="D585" s="121" t="s">
        <v>20</v>
      </c>
      <c r="E585" s="121" t="s">
        <v>21</v>
      </c>
      <c r="F585" s="121" t="s">
        <v>447</v>
      </c>
      <c r="G585" s="121" t="s">
        <v>449</v>
      </c>
      <c r="H585" s="99" t="n">
        <v>17621</v>
      </c>
      <c r="I585" s="99" t="n">
        <v>17621</v>
      </c>
      <c r="J585" s="99" t="n">
        <v>881</v>
      </c>
      <c r="K585" s="99" t="n">
        <v>0</v>
      </c>
      <c r="L585" s="99" t="n">
        <v>0</v>
      </c>
      <c r="M585" s="99" t="n">
        <v>0</v>
      </c>
      <c r="N585" s="99" t="n">
        <v>0</v>
      </c>
      <c r="O585" s="42" t="n">
        <v>16740</v>
      </c>
    </row>
    <row r="586" spans="1:15">
      <c r="A586" s="37" t="n">
        <v>593</v>
      </c>
      <c r="B586" s="97" t="s">
        <v>1967</v>
      </c>
      <c r="C586" s="121" t="s">
        <v>131</v>
      </c>
      <c r="D586" s="121" t="s">
        <v>20</v>
      </c>
      <c r="E586" s="121" t="s">
        <v>21</v>
      </c>
      <c r="F586" s="121" t="s">
        <v>1968</v>
      </c>
      <c r="G586" s="121" t="s">
        <v>1970</v>
      </c>
      <c r="H586" s="99" t="n">
        <v>17621</v>
      </c>
      <c r="I586" s="99" t="n">
        <v>17621</v>
      </c>
      <c r="J586" s="99" t="n">
        <v>881</v>
      </c>
      <c r="K586" s="99" t="n">
        <v>0</v>
      </c>
      <c r="L586" s="99" t="n">
        <v>0</v>
      </c>
      <c r="M586" s="99" t="n">
        <v>0</v>
      </c>
      <c r="N586" s="99" t="n">
        <v>0</v>
      </c>
      <c r="O586" s="42" t="n">
        <v>16740</v>
      </c>
    </row>
    <row r="587" spans="1:15">
      <c r="A587" s="37" t="n">
        <v>594</v>
      </c>
      <c r="B587" s="97" t="s">
        <v>1955</v>
      </c>
      <c r="C587" s="121" t="s">
        <v>19</v>
      </c>
      <c r="D587" s="121" t="s">
        <v>20</v>
      </c>
      <c r="E587" s="121" t="s">
        <v>21</v>
      </c>
      <c r="F587" s="121" t="s">
        <v>1956</v>
      </c>
      <c r="G587" s="121" t="s">
        <v>1957</v>
      </c>
      <c r="H587" s="99" t="n">
        <v>3860621</v>
      </c>
      <c r="I587" s="99" t="n">
        <v>3860621</v>
      </c>
      <c r="J587" s="99" t="n">
        <v>0</v>
      </c>
      <c r="K587" s="99" t="n">
        <v>579093</v>
      </c>
      <c r="L587" s="99" t="n">
        <v>0</v>
      </c>
      <c r="M587" s="99" t="n">
        <v>0</v>
      </c>
      <c r="N587" s="99" t="n">
        <v>0</v>
      </c>
      <c r="O587" s="42" t="n">
        <v>3281528</v>
      </c>
    </row>
    <row r="588" spans="1:15">
      <c r="A588" s="37" t="n">
        <v>595</v>
      </c>
      <c r="B588" s="97" t="s">
        <v>420</v>
      </c>
      <c r="C588" s="121" t="s">
        <v>58</v>
      </c>
      <c r="D588" s="121" t="s">
        <v>20</v>
      </c>
      <c r="E588" s="121" t="s">
        <v>21</v>
      </c>
      <c r="F588" s="121" t="s">
        <v>421</v>
      </c>
      <c r="G588" s="121" t="s">
        <v>422</v>
      </c>
      <c r="H588" s="99" t="n">
        <v>17621</v>
      </c>
      <c r="I588" s="99" t="n">
        <v>17621</v>
      </c>
      <c r="J588" s="99" t="n">
        <v>881</v>
      </c>
      <c r="K588" s="99" t="n">
        <v>0</v>
      </c>
      <c r="L588" s="99" t="n">
        <v>0</v>
      </c>
      <c r="M588" s="99" t="n">
        <v>0</v>
      </c>
      <c r="N588" s="99" t="n">
        <v>0</v>
      </c>
      <c r="O588" s="42" t="n">
        <v>16740</v>
      </c>
    </row>
    <row r="589" spans="1:15">
      <c r="A589" s="37" t="n">
        <v>596</v>
      </c>
      <c r="B589" s="97" t="s">
        <v>423</v>
      </c>
      <c r="C589" s="121" t="s">
        <v>58</v>
      </c>
      <c r="D589" s="121" t="s">
        <v>20</v>
      </c>
      <c r="E589" s="121" t="s">
        <v>21</v>
      </c>
      <c r="F589" s="121" t="s">
        <v>424</v>
      </c>
      <c r="G589" s="121" t="s">
        <v>425</v>
      </c>
      <c r="H589" s="99" t="n">
        <v>18525</v>
      </c>
      <c r="I589" s="99" t="n">
        <v>18525</v>
      </c>
      <c r="J589" s="99" t="n">
        <v>926</v>
      </c>
      <c r="K589" s="99" t="n">
        <v>0</v>
      </c>
      <c r="L589" s="99" t="n">
        <v>0</v>
      </c>
      <c r="M589" s="99" t="n">
        <v>0</v>
      </c>
      <c r="N589" s="99" t="n">
        <v>0</v>
      </c>
      <c r="O589" s="42" t="n">
        <v>17599</v>
      </c>
    </row>
    <row r="590" spans="1:15">
      <c r="A590" s="37" t="n">
        <v>597</v>
      </c>
      <c r="B590" s="97" t="s">
        <v>417</v>
      </c>
      <c r="C590" s="121" t="s">
        <v>19</v>
      </c>
      <c r="D590" s="121" t="s">
        <v>20</v>
      </c>
      <c r="E590" s="121" t="s">
        <v>21</v>
      </c>
      <c r="F590" s="121" t="s">
        <v>418</v>
      </c>
      <c r="G590" s="121" t="s">
        <v>419</v>
      </c>
      <c r="H590" s="99" t="n">
        <v>99329</v>
      </c>
      <c r="I590" s="99" t="n">
        <v>99329</v>
      </c>
      <c r="J590" s="99" t="n">
        <v>0</v>
      </c>
      <c r="K590" s="99" t="n">
        <v>14899</v>
      </c>
      <c r="L590" s="99" t="n">
        <v>0</v>
      </c>
      <c r="M590" s="99" t="n">
        <v>0</v>
      </c>
      <c r="N590" s="99" t="n">
        <v>0</v>
      </c>
      <c r="O590" s="42" t="n">
        <v>84430</v>
      </c>
    </row>
    <row r="591" spans="1:15">
      <c r="A591" s="37" t="n">
        <v>598</v>
      </c>
      <c r="B591" s="97" t="s">
        <v>434</v>
      </c>
      <c r="C591" s="121" t="s">
        <v>58</v>
      </c>
      <c r="D591" s="121" t="s">
        <v>20</v>
      </c>
      <c r="E591" s="121" t="s">
        <v>21</v>
      </c>
      <c r="F591" s="121" t="s">
        <v>435</v>
      </c>
      <c r="G591" s="121" t="s">
        <v>437</v>
      </c>
      <c r="H591" s="99" t="n">
        <v>274701</v>
      </c>
      <c r="I591" s="99" t="n">
        <v>274701</v>
      </c>
      <c r="J591" s="99" t="n">
        <v>13735</v>
      </c>
      <c r="K591" s="99" t="n">
        <v>0</v>
      </c>
      <c r="L591" s="99" t="n">
        <v>0</v>
      </c>
      <c r="M591" s="99" t="n">
        <v>0</v>
      </c>
      <c r="N591" s="99" t="n">
        <v>0</v>
      </c>
      <c r="O591" s="42" t="n">
        <v>260966</v>
      </c>
    </row>
    <row r="592" spans="1:15">
      <c r="A592" s="37" t="n">
        <v>599</v>
      </c>
      <c r="B592" s="97" t="s">
        <v>1943</v>
      </c>
      <c r="C592" s="121" t="s">
        <v>131</v>
      </c>
      <c r="D592" s="121" t="s">
        <v>20</v>
      </c>
      <c r="E592" s="121" t="s">
        <v>21</v>
      </c>
      <c r="F592" s="121" t="s">
        <v>1944</v>
      </c>
      <c r="G592" s="121" t="s">
        <v>1945</v>
      </c>
      <c r="H592" s="99" t="n">
        <v>84023</v>
      </c>
      <c r="I592" s="99" t="n">
        <v>84023</v>
      </c>
      <c r="J592" s="99" t="n">
        <v>4201</v>
      </c>
      <c r="K592" s="99" t="n">
        <v>0</v>
      </c>
      <c r="L592" s="99" t="n">
        <v>0</v>
      </c>
      <c r="M592" s="99" t="n">
        <v>0</v>
      </c>
      <c r="N592" s="99" t="n">
        <v>0</v>
      </c>
      <c r="O592" s="42" t="n">
        <v>79822</v>
      </c>
    </row>
    <row r="593" spans="1:15">
      <c r="A593" s="37" t="n">
        <v>600</v>
      </c>
      <c r="B593" s="97" t="s">
        <v>442</v>
      </c>
      <c r="C593" s="121" t="s">
        <v>131</v>
      </c>
      <c r="D593" s="121" t="s">
        <v>20</v>
      </c>
      <c r="E593" s="121" t="s">
        <v>21</v>
      </c>
      <c r="F593" s="121" t="s">
        <v>443</v>
      </c>
      <c r="G593" s="121" t="s">
        <v>445</v>
      </c>
      <c r="H593" s="99" t="n">
        <v>337301</v>
      </c>
      <c r="I593" s="99" t="n">
        <v>337301</v>
      </c>
      <c r="J593" s="99" t="n">
        <v>16865</v>
      </c>
      <c r="K593" s="99" t="n">
        <v>0</v>
      </c>
      <c r="L593" s="99" t="n">
        <v>0</v>
      </c>
      <c r="M593" s="99" t="n">
        <v>0</v>
      </c>
      <c r="N593" s="99" t="n">
        <v>0</v>
      </c>
      <c r="O593" s="42" t="n">
        <v>320436</v>
      </c>
    </row>
    <row r="594" spans="1:15">
      <c r="A594" s="37" t="n">
        <v>601</v>
      </c>
      <c r="B594" s="97" t="s">
        <v>82</v>
      </c>
      <c r="C594" s="121" t="s">
        <v>19</v>
      </c>
      <c r="D594" s="121" t="s">
        <v>20</v>
      </c>
      <c r="E594" s="121" t="s">
        <v>21</v>
      </c>
      <c r="F594" s="121" t="s">
        <v>83</v>
      </c>
      <c r="G594" s="121" t="s">
        <v>85</v>
      </c>
      <c r="H594" s="99" t="n">
        <v>11747</v>
      </c>
      <c r="I594" s="99" t="n">
        <v>11747</v>
      </c>
      <c r="J594" s="99" t="n">
        <v>0</v>
      </c>
      <c r="K594" s="99" t="n">
        <v>1762</v>
      </c>
      <c r="L594" s="99" t="n">
        <v>0</v>
      </c>
      <c r="M594" s="99" t="n">
        <v>0</v>
      </c>
      <c r="N594" s="99" t="n">
        <v>0</v>
      </c>
      <c r="O594" s="42" t="n">
        <v>9985</v>
      </c>
    </row>
    <row r="595" spans="1:15">
      <c r="A595" s="37" t="n">
        <v>602</v>
      </c>
      <c r="B595" s="97" t="s">
        <v>1994</v>
      </c>
      <c r="C595" s="121" t="s">
        <v>19</v>
      </c>
      <c r="D595" s="121" t="s">
        <v>20</v>
      </c>
      <c r="E595" s="121" t="s">
        <v>21</v>
      </c>
      <c r="F595" s="121" t="s">
        <v>1995</v>
      </c>
      <c r="G595" s="121" t="s">
        <v>1997</v>
      </c>
      <c r="H595" s="99" t="n">
        <v>1452651</v>
      </c>
      <c r="I595" s="99" t="n">
        <v>1452651</v>
      </c>
      <c r="J595" s="99" t="n">
        <v>0</v>
      </c>
      <c r="K595" s="99" t="n">
        <v>217898</v>
      </c>
      <c r="L595" s="99" t="n">
        <v>0</v>
      </c>
      <c r="M595" s="99" t="n">
        <v>0</v>
      </c>
      <c r="N595" s="99" t="n">
        <v>0</v>
      </c>
      <c r="O595" s="42" t="n">
        <v>1234753</v>
      </c>
    </row>
    <row r="596" spans="1:15">
      <c r="A596" s="37" t="n">
        <v>603</v>
      </c>
      <c r="B596" s="97" t="s">
        <v>90</v>
      </c>
      <c r="C596" s="121" t="s">
        <v>58</v>
      </c>
      <c r="D596" s="121" t="s">
        <v>20</v>
      </c>
      <c r="E596" s="121" t="s">
        <v>21</v>
      </c>
      <c r="F596" s="121" t="s">
        <v>91</v>
      </c>
      <c r="G596" s="121" t="s">
        <v>93</v>
      </c>
      <c r="H596" s="99" t="n">
        <v>11747</v>
      </c>
      <c r="I596" s="99" t="n">
        <v>11747</v>
      </c>
      <c r="J596" s="99" t="n">
        <v>587</v>
      </c>
      <c r="K596" s="99" t="n">
        <v>0</v>
      </c>
      <c r="L596" s="99" t="n">
        <v>0</v>
      </c>
      <c r="M596" s="99" t="n">
        <v>0</v>
      </c>
      <c r="N596" s="99" t="n">
        <v>0</v>
      </c>
      <c r="O596" s="42" t="n">
        <v>11160</v>
      </c>
    </row>
    <row r="597" spans="1:15">
      <c r="A597" s="37" t="n">
        <v>604</v>
      </c>
      <c r="B597" s="97" t="s">
        <v>2579</v>
      </c>
      <c r="C597" s="121" t="s">
        <v>58</v>
      </c>
      <c r="D597" s="121" t="s">
        <v>20</v>
      </c>
      <c r="E597" s="121" t="s">
        <v>21</v>
      </c>
      <c r="F597" s="121" t="s">
        <v>2580</v>
      </c>
      <c r="G597" s="121" t="s">
        <v>2581</v>
      </c>
      <c r="H597" s="99" t="n">
        <v>11747</v>
      </c>
      <c r="I597" s="99" t="n">
        <v>11747</v>
      </c>
      <c r="J597" s="99" t="n">
        <v>587</v>
      </c>
      <c r="K597" s="99" t="n">
        <v>0</v>
      </c>
      <c r="L597" s="99" t="n">
        <v>0</v>
      </c>
      <c r="M597" s="99" t="n">
        <v>0</v>
      </c>
      <c r="N597" s="99" t="n">
        <v>0</v>
      </c>
      <c r="O597" s="42" t="n">
        <v>11160</v>
      </c>
    </row>
    <row r="598" spans="1:15">
      <c r="A598" s="37" t="n">
        <v>605</v>
      </c>
      <c r="B598" s="97" t="s">
        <v>86</v>
      </c>
      <c r="C598" s="121" t="s">
        <v>58</v>
      </c>
      <c r="D598" s="121" t="s">
        <v>20</v>
      </c>
      <c r="E598" s="121" t="s">
        <v>21</v>
      </c>
      <c r="F598" s="121" t="s">
        <v>87</v>
      </c>
      <c r="G598" s="121" t="s">
        <v>89</v>
      </c>
      <c r="H598" s="99" t="n">
        <v>11747</v>
      </c>
      <c r="I598" s="99" t="n">
        <v>11747</v>
      </c>
      <c r="J598" s="99" t="n">
        <v>587</v>
      </c>
      <c r="K598" s="99" t="n">
        <v>0</v>
      </c>
      <c r="L598" s="99" t="n">
        <v>0</v>
      </c>
      <c r="M598" s="99" t="n">
        <v>0</v>
      </c>
      <c r="N598" s="99" t="n">
        <v>0</v>
      </c>
      <c r="O598" s="42" t="n">
        <v>11160</v>
      </c>
    </row>
    <row r="599" spans="1:15">
      <c r="A599" s="37" t="n">
        <v>606</v>
      </c>
      <c r="B599" s="97" t="s">
        <v>2582</v>
      </c>
      <c r="C599" s="121" t="s">
        <v>58</v>
      </c>
      <c r="D599" s="121" t="s">
        <v>128</v>
      </c>
      <c r="E599" s="121" t="s">
        <v>15</v>
      </c>
      <c r="F599" s="121" t="s">
        <v>2074</v>
      </c>
      <c r="G599" s="121" t="s">
        <v>2583</v>
      </c>
      <c r="H599" s="99" t="n">
        <v>11747</v>
      </c>
      <c r="I599" s="99" t="n">
        <v>11747</v>
      </c>
      <c r="J599" s="99" t="n">
        <v>587</v>
      </c>
      <c r="K599" s="99" t="n">
        <v>0</v>
      </c>
      <c r="L599" s="99" t="n">
        <v>0</v>
      </c>
      <c r="M599" s="99" t="n">
        <v>0</v>
      </c>
      <c r="N599" s="99" t="n">
        <v>0</v>
      </c>
      <c r="O599" s="42" t="n">
        <v>11160</v>
      </c>
    </row>
    <row r="600" spans="1:15">
      <c r="A600" s="37" t="n">
        <v>607</v>
      </c>
      <c r="B600" s="97" t="s">
        <v>2006</v>
      </c>
      <c r="C600" s="121" t="s">
        <v>19</v>
      </c>
      <c r="D600" s="121" t="s">
        <v>20</v>
      </c>
      <c r="E600" s="121" t="s">
        <v>21</v>
      </c>
      <c r="F600" s="121" t="s">
        <v>22</v>
      </c>
      <c r="G600" s="121" t="s">
        <v>2007</v>
      </c>
      <c r="H600" s="99" t="n">
        <v>11747</v>
      </c>
      <c r="I600" s="99" t="n">
        <v>11747</v>
      </c>
      <c r="J600" s="99" t="n">
        <v>0</v>
      </c>
      <c r="K600" s="99" t="n">
        <v>1762</v>
      </c>
      <c r="L600" s="99" t="n">
        <v>0</v>
      </c>
      <c r="M600" s="99" t="n">
        <v>0</v>
      </c>
      <c r="N600" s="99" t="n">
        <v>0</v>
      </c>
      <c r="O600" s="42" t="n">
        <v>9985</v>
      </c>
    </row>
    <row r="601" spans="1:15">
      <c r="A601" s="37" t="n">
        <v>608</v>
      </c>
      <c r="B601" s="97" t="s">
        <v>2008</v>
      </c>
      <c r="C601" s="121" t="s">
        <v>19</v>
      </c>
      <c r="D601" s="121" t="s">
        <v>20</v>
      </c>
      <c r="E601" s="121" t="s">
        <v>21</v>
      </c>
      <c r="F601" s="121" t="s">
        <v>22</v>
      </c>
      <c r="G601" s="121" t="s">
        <v>2010</v>
      </c>
      <c r="H601" s="99" t="n">
        <v>18525</v>
      </c>
      <c r="I601" s="99" t="n">
        <v>18525</v>
      </c>
      <c r="J601" s="99" t="n">
        <v>0</v>
      </c>
      <c r="K601" s="99" t="n">
        <v>2779</v>
      </c>
      <c r="L601" s="99" t="n">
        <v>0</v>
      </c>
      <c r="M601" s="99" t="n">
        <v>0</v>
      </c>
      <c r="N601" s="99" t="n">
        <v>0</v>
      </c>
      <c r="O601" s="42" t="n">
        <v>15746</v>
      </c>
    </row>
    <row r="602" spans="1:15">
      <c r="A602" s="37" t="n">
        <v>609</v>
      </c>
      <c r="B602" s="97" t="s">
        <v>1940</v>
      </c>
      <c r="C602" s="121" t="s">
        <v>58</v>
      </c>
      <c r="D602" s="121" t="s">
        <v>20</v>
      </c>
      <c r="E602" s="121" t="s">
        <v>21</v>
      </c>
      <c r="F602" s="121" t="s">
        <v>1941</v>
      </c>
      <c r="G602" s="121" t="s">
        <v>1942</v>
      </c>
      <c r="H602" s="99" t="n">
        <v>11747</v>
      </c>
      <c r="I602" s="99" t="n">
        <v>11747</v>
      </c>
      <c r="J602" s="99" t="n">
        <v>587</v>
      </c>
      <c r="K602" s="99" t="n">
        <v>0</v>
      </c>
      <c r="L602" s="99" t="n">
        <v>0</v>
      </c>
      <c r="M602" s="99" t="n">
        <v>0</v>
      </c>
      <c r="N602" s="99" t="n">
        <v>0</v>
      </c>
      <c r="O602" s="42" t="n">
        <v>11160</v>
      </c>
    </row>
    <row r="603" spans="1:15">
      <c r="A603" s="66"/>
      <c r="B603" s="63"/>
      <c r="C603" s="100"/>
      <c r="D603" s="100"/>
      <c r="E603" s="100"/>
      <c r="F603" s="100"/>
      <c r="G603" s="100"/>
      <c r="H603" s="101"/>
      <c r="I603" s="101"/>
      <c r="J603" s="101"/>
      <c r="K603" s="101"/>
      <c r="L603" s="101"/>
      <c r="M603" s="101"/>
      <c r="N603" s="101"/>
      <c r="O603" s="42"/>
    </row>
    <row r="604" spans="1:15">
      <c r="A604" s="102"/>
      <c r="B604" s="103"/>
      <c r="C604" s="104"/>
      <c r="D604" s="104"/>
      <c r="E604" s="104"/>
      <c r="F604" s="104"/>
      <c r="G604" s="104"/>
      <c r="H604" s="105" t="n">
        <v>40223306</v>
      </c>
      <c r="I604" s="105" t="n">
        <v>40223306</v>
      </c>
      <c r="J604" s="105" t="n">
        <v>969612</v>
      </c>
      <c r="K604" s="105" t="n">
        <v>1327257</v>
      </c>
      <c r="L604" s="105" t="n">
        <v>0</v>
      </c>
      <c r="M604" s="105" t="n">
        <v>0</v>
      </c>
      <c r="N604" s="105" t="n">
        <v>0</v>
      </c>
      <c r="O604" s="105" t="n">
        <v>37926437</v>
      </c>
    </row>
    <row r="605" spans="1:15">
      <c r="A605" s="37"/>
      <c r="B605" s="97"/>
      <c r="C605" s="98"/>
      <c r="D605" s="98"/>
      <c r="E605" s="98"/>
      <c r="F605" s="98"/>
      <c r="G605" s="98"/>
      <c r="H605" s="99"/>
      <c r="I605" s="99"/>
      <c r="J605" s="99"/>
      <c r="K605" s="99"/>
      <c r="L605" s="99"/>
      <c r="M605" s="99"/>
      <c r="N605" s="99"/>
      <c r="O605" s="42"/>
    </row>
    <row r="606" spans="1:15">
      <c r="A606" s="37"/>
      <c r="B606" s="59" t="s">
        <v>2013</v>
      </c>
      <c r="C606" s="98"/>
      <c r="D606" s="98"/>
      <c r="E606" s="98"/>
      <c r="F606" s="98"/>
      <c r="G606" s="98"/>
      <c r="H606" s="99"/>
      <c r="I606" s="99"/>
      <c r="J606" s="99"/>
      <c r="K606" s="99"/>
      <c r="L606" s="99"/>
      <c r="M606" s="99"/>
      <c r="N606" s="99"/>
      <c r="O606" s="42"/>
    </row>
    <row r="607" spans="1:15">
      <c r="A607" s="37" t="n">
        <v>614</v>
      </c>
      <c r="B607" s="97" t="s">
        <v>2584</v>
      </c>
      <c r="C607" s="121" t="s">
        <v>95</v>
      </c>
      <c r="D607" s="121" t="s">
        <v>128</v>
      </c>
      <c r="E607" s="121" t="s">
        <v>15</v>
      </c>
      <c r="F607" s="98" t="n">
        <v>0</v>
      </c>
      <c r="G607" s="121" t="s">
        <v>2585</v>
      </c>
      <c r="H607" s="99" t="n">
        <v>1659221</v>
      </c>
      <c r="I607" s="99" t="n">
        <v>829610.5</v>
      </c>
      <c r="J607" s="99" t="n">
        <v>41481</v>
      </c>
      <c r="K607" s="99" t="n">
        <v>0</v>
      </c>
      <c r="L607" s="99" t="n">
        <v>0</v>
      </c>
      <c r="M607" s="99" t="n">
        <v>0</v>
      </c>
      <c r="N607" s="99" t="n">
        <v>0</v>
      </c>
      <c r="O607" s="42" t="n">
        <v>1617740</v>
      </c>
    </row>
    <row r="608" spans="1:15">
      <c r="A608" s="37" t="n">
        <v>615</v>
      </c>
      <c r="B608" s="97" t="s">
        <v>2586</v>
      </c>
      <c r="C608" s="121" t="s">
        <v>120</v>
      </c>
      <c r="D608" s="121" t="s">
        <v>128</v>
      </c>
      <c r="E608" s="121" t="s">
        <v>15</v>
      </c>
      <c r="F608" s="98" t="n">
        <v>0</v>
      </c>
      <c r="G608" s="121" t="s">
        <v>2587</v>
      </c>
      <c r="H608" s="99" t="n">
        <v>17621</v>
      </c>
      <c r="I608" s="99" t="n">
        <v>8810.5</v>
      </c>
      <c r="J608" s="99" t="n">
        <v>441</v>
      </c>
      <c r="K608" s="99" t="n">
        <v>0</v>
      </c>
      <c r="L608" s="99" t="n">
        <v>0</v>
      </c>
      <c r="M608" s="99" t="n">
        <v>0</v>
      </c>
      <c r="N608" s="99" t="n">
        <v>0</v>
      </c>
      <c r="O608" s="42" t="n">
        <v>17180</v>
      </c>
    </row>
    <row r="609" spans="1:15">
      <c r="A609" s="37" t="n">
        <v>616</v>
      </c>
      <c r="B609" s="97" t="s">
        <v>2024</v>
      </c>
      <c r="C609" s="121" t="s">
        <v>120</v>
      </c>
      <c r="D609" s="98" t="n">
        <v>0</v>
      </c>
      <c r="E609" s="121" t="s">
        <v>21</v>
      </c>
      <c r="F609" s="121" t="s">
        <v>2025</v>
      </c>
      <c r="G609" s="121" t="s">
        <v>2027</v>
      </c>
      <c r="H609" s="99" t="n">
        <v>17621</v>
      </c>
      <c r="I609" s="99" t="n">
        <v>8810.5</v>
      </c>
      <c r="J609" s="99" t="n">
        <v>0</v>
      </c>
      <c r="K609" s="99" t="n">
        <v>1322</v>
      </c>
      <c r="L609" s="99" t="n">
        <v>0</v>
      </c>
      <c r="M609" s="99" t="n">
        <v>0</v>
      </c>
      <c r="N609" s="99" t="n">
        <v>0</v>
      </c>
      <c r="O609" s="42" t="n">
        <v>16299</v>
      </c>
    </row>
    <row r="610" spans="1:15">
      <c r="A610" s="37" t="n">
        <v>617</v>
      </c>
      <c r="B610" s="97" t="s">
        <v>2588</v>
      </c>
      <c r="C610" s="121" t="s">
        <v>120</v>
      </c>
      <c r="D610" s="121" t="s">
        <v>128</v>
      </c>
      <c r="E610" s="121" t="s">
        <v>15</v>
      </c>
      <c r="F610" s="98" t="n">
        <v>0</v>
      </c>
      <c r="G610" s="121" t="s">
        <v>2589</v>
      </c>
      <c r="H610" s="99" t="n">
        <v>17621</v>
      </c>
      <c r="I610" s="99" t="n">
        <v>8810.5</v>
      </c>
      <c r="J610" s="99" t="n">
        <v>441</v>
      </c>
      <c r="K610" s="99" t="n">
        <v>0</v>
      </c>
      <c r="L610" s="99" t="n">
        <v>0</v>
      </c>
      <c r="M610" s="99" t="n">
        <v>0</v>
      </c>
      <c r="N610" s="99" t="n">
        <v>0</v>
      </c>
      <c r="O610" s="42" t="n">
        <v>17180</v>
      </c>
    </row>
    <row r="611" spans="1:15">
      <c r="A611" s="37" t="n">
        <v>618</v>
      </c>
      <c r="B611" s="97" t="s">
        <v>2040</v>
      </c>
      <c r="C611" s="121" t="s">
        <v>120</v>
      </c>
      <c r="D611" s="98" t="n">
        <v>0</v>
      </c>
      <c r="E611" s="121" t="s">
        <v>21</v>
      </c>
      <c r="F611" s="121" t="s">
        <v>2041</v>
      </c>
      <c r="G611" s="121" t="s">
        <v>2042</v>
      </c>
      <c r="H611" s="99" t="n">
        <v>17621</v>
      </c>
      <c r="I611" s="99" t="n">
        <v>8810.5</v>
      </c>
      <c r="J611" s="99" t="n">
        <v>441</v>
      </c>
      <c r="K611" s="99" t="n">
        <v>0</v>
      </c>
      <c r="L611" s="99" t="n">
        <v>0</v>
      </c>
      <c r="M611" s="99" t="n">
        <v>0</v>
      </c>
      <c r="N611" s="99" t="n">
        <v>0</v>
      </c>
      <c r="O611" s="42" t="n">
        <v>17180</v>
      </c>
    </row>
    <row r="612" spans="1:15">
      <c r="A612" s="37" t="n">
        <v>619</v>
      </c>
      <c r="B612" s="97" t="s">
        <v>2590</v>
      </c>
      <c r="C612" s="121" t="s">
        <v>120</v>
      </c>
      <c r="D612" s="121" t="s">
        <v>128</v>
      </c>
      <c r="E612" s="121" t="s">
        <v>15</v>
      </c>
      <c r="F612" s="98" t="n">
        <v>0</v>
      </c>
      <c r="G612" s="121" t="s">
        <v>2591</v>
      </c>
      <c r="H612" s="99" t="n">
        <v>17621</v>
      </c>
      <c r="I612" s="99" t="n">
        <v>8810.5</v>
      </c>
      <c r="J612" s="99" t="n">
        <v>441</v>
      </c>
      <c r="K612" s="99" t="n">
        <v>0</v>
      </c>
      <c r="L612" s="99" t="n">
        <v>0</v>
      </c>
      <c r="M612" s="99" t="n">
        <v>0</v>
      </c>
      <c r="N612" s="99" t="n">
        <v>0</v>
      </c>
      <c r="O612" s="42" t="n">
        <v>17180</v>
      </c>
    </row>
    <row r="613" spans="1:15">
      <c r="A613" s="37" t="n">
        <v>620</v>
      </c>
      <c r="B613" s="97" t="s">
        <v>2034</v>
      </c>
      <c r="C613" s="121" t="s">
        <v>120</v>
      </c>
      <c r="D613" s="98" t="n">
        <v>0</v>
      </c>
      <c r="E613" s="121" t="s">
        <v>21</v>
      </c>
      <c r="F613" s="121" t="s">
        <v>2035</v>
      </c>
      <c r="G613" s="121" t="s">
        <v>2036</v>
      </c>
      <c r="H613" s="99" t="n">
        <v>17621</v>
      </c>
      <c r="I613" s="99" t="n">
        <v>8810.5</v>
      </c>
      <c r="J613" s="99" t="n">
        <v>441</v>
      </c>
      <c r="K613" s="99" t="n">
        <v>0</v>
      </c>
      <c r="L613" s="99" t="n">
        <v>0</v>
      </c>
      <c r="M613" s="99" t="n">
        <v>0</v>
      </c>
      <c r="N613" s="99" t="n">
        <v>0</v>
      </c>
      <c r="O613" s="42" t="n">
        <v>17180</v>
      </c>
    </row>
    <row r="614" spans="1:15">
      <c r="A614" s="37" t="n">
        <v>621</v>
      </c>
      <c r="B614" s="97" t="s">
        <v>2592</v>
      </c>
      <c r="C614" s="121" t="s">
        <v>120</v>
      </c>
      <c r="D614" s="121" t="s">
        <v>128</v>
      </c>
      <c r="E614" s="121" t="s">
        <v>15</v>
      </c>
      <c r="F614" s="98" t="n">
        <v>0</v>
      </c>
      <c r="G614" s="121" t="s">
        <v>2593</v>
      </c>
      <c r="H614" s="99" t="n">
        <v>11747</v>
      </c>
      <c r="I614" s="99" t="n">
        <v>5873.5</v>
      </c>
      <c r="J614" s="99" t="n">
        <v>294</v>
      </c>
      <c r="K614" s="99" t="n">
        <v>0</v>
      </c>
      <c r="L614" s="99" t="n">
        <v>0</v>
      </c>
      <c r="M614" s="99" t="n">
        <v>0</v>
      </c>
      <c r="N614" s="99" t="n">
        <v>0</v>
      </c>
      <c r="O614" s="42" t="n">
        <v>11453</v>
      </c>
    </row>
    <row r="615" spans="1:15">
      <c r="A615" s="66"/>
      <c r="B615" s="63"/>
      <c r="C615" s="106"/>
      <c r="D615" s="106"/>
      <c r="E615" s="106"/>
      <c r="F615" s="106"/>
      <c r="G615" s="106"/>
      <c r="H615" s="101"/>
      <c r="I615" s="101"/>
      <c r="J615" s="101"/>
      <c r="K615" s="101"/>
      <c r="L615" s="101"/>
      <c r="M615" s="101"/>
      <c r="N615" s="101"/>
      <c r="O615" s="107"/>
    </row>
    <row r="616" spans="1:15">
      <c r="A616" s="102"/>
      <c r="B616" s="103"/>
      <c r="C616" s="104"/>
      <c r="D616" s="104"/>
      <c r="E616" s="104"/>
      <c r="F616" s="104"/>
      <c r="G616" s="104"/>
      <c r="H616" s="105" t="n">
        <v>1776694</v>
      </c>
      <c r="I616" s="105" t="n">
        <v>888347</v>
      </c>
      <c r="J616" s="105" t="n">
        <v>43980</v>
      </c>
      <c r="K616" s="105" t="n">
        <v>1322</v>
      </c>
      <c r="L616" s="105" t="n">
        <v>0</v>
      </c>
      <c r="M616" s="105" t="n">
        <v>0</v>
      </c>
      <c r="N616" s="105" t="n">
        <v>0</v>
      </c>
      <c r="O616" s="110" t="n">
        <v>1731392</v>
      </c>
    </row>
    <row r="617" spans="1:15">
      <c r="A617" s="66"/>
      <c r="B617" s="63"/>
      <c r="C617" s="106"/>
      <c r="D617" s="106"/>
      <c r="E617" s="106"/>
      <c r="F617" s="106"/>
      <c r="G617" s="106"/>
      <c r="H617" s="101"/>
      <c r="I617" s="101"/>
      <c r="J617" s="101"/>
      <c r="K617" s="101"/>
      <c r="L617" s="101"/>
      <c r="M617" s="101"/>
      <c r="N617" s="101"/>
      <c r="O617" s="107"/>
    </row>
    <row r="618" spans="1:15">
      <c r="A618" s="102"/>
      <c r="B618" s="103"/>
      <c r="C618" s="104"/>
      <c r="D618" s="104"/>
      <c r="E618" s="104"/>
      <c r="F618" s="104"/>
      <c r="G618" s="104"/>
      <c r="H618" s="105" t="n">
        <v>42000000</v>
      </c>
      <c r="I618" s="105" t="n">
        <v>41111653</v>
      </c>
      <c r="J618" s="105" t="n">
        <v>1013592</v>
      </c>
      <c r="K618" s="105" t="n">
        <v>1328579</v>
      </c>
      <c r="L618" s="105" t="n">
        <v>0</v>
      </c>
      <c r="M618" s="105" t="n">
        <v>0</v>
      </c>
      <c r="N618" s="105" t="n">
        <v>0</v>
      </c>
      <c r="O618" s="110" t="n">
        <v>39657829</v>
      </c>
    </row>
  </sheetData>
  <mergeCells count="1">
    <mergeCell ref="D5:E5"/>
  </mergeCells>
  <conditionalFormatting sqref="G607:G614">
    <cfRule type="duplicateValues" dxfId="114" priority="1"/>
  </conditionalFormatting>
  <conditionalFormatting sqref="B607:B614">
    <cfRule type="duplicateValues" dxfId="115" priority="2"/>
  </conditionalFormatting>
  <conditionalFormatting sqref="F607:F614">
    <cfRule type="duplicateValues" dxfId="116" priority="3"/>
  </conditionalFormatting>
  <conditionalFormatting sqref="F615:F616">
    <cfRule type="duplicateValues" dxfId="117" priority="4"/>
  </conditionalFormatting>
  <conditionalFormatting sqref="G615:G616">
    <cfRule type="duplicateValues" dxfId="118" priority="5"/>
  </conditionalFormatting>
  <conditionalFormatting sqref="F604">
    <cfRule type="duplicateValues" dxfId="119" priority="6"/>
  </conditionalFormatting>
  <conditionalFormatting sqref="G604">
    <cfRule type="duplicateValues" dxfId="120" priority="7"/>
  </conditionalFormatting>
  <conditionalFormatting sqref="G597:G601">
    <cfRule type="duplicateValues" dxfId="121" priority="8"/>
  </conditionalFormatting>
  <conditionalFormatting sqref="B597:B601">
    <cfRule type="duplicateValues" dxfId="122" priority="9"/>
  </conditionalFormatting>
  <conditionalFormatting sqref="F597:F601">
    <cfRule type="duplicateValues" dxfId="123" priority="10"/>
  </conditionalFormatting>
  <conditionalFormatting sqref="G495:G497">
    <cfRule type="duplicateValues" dxfId="124" priority="11"/>
  </conditionalFormatting>
  <conditionalFormatting sqref="B495:B497">
    <cfRule type="duplicateValues" dxfId="125" priority="12"/>
  </conditionalFormatting>
  <conditionalFormatting sqref="F495:F497">
    <cfRule type="duplicateValues" dxfId="126" priority="13"/>
  </conditionalFormatting>
  <conditionalFormatting sqref="G451:G464">
    <cfRule type="duplicateValues" dxfId="127" priority="14"/>
  </conditionalFormatting>
  <conditionalFormatting sqref="B451:B464">
    <cfRule type="duplicateValues" dxfId="128" priority="15"/>
  </conditionalFormatting>
  <conditionalFormatting sqref="F451:F464">
    <cfRule type="duplicateValues" dxfId="129" priority="16"/>
  </conditionalFormatting>
  <conditionalFormatting sqref="G479:G480">
    <cfRule type="duplicateValues" dxfId="130" priority="17"/>
  </conditionalFormatting>
  <conditionalFormatting sqref="B479:B480">
    <cfRule type="duplicateValues" dxfId="131" priority="18"/>
  </conditionalFormatting>
  <conditionalFormatting sqref="F479:F480">
    <cfRule type="duplicateValues" dxfId="132" priority="19"/>
  </conditionalFormatting>
  <conditionalFormatting sqref="G467">
    <cfRule type="duplicateValues" dxfId="133" priority="20"/>
  </conditionalFormatting>
  <conditionalFormatting sqref="B467">
    <cfRule type="duplicateValues" dxfId="134" priority="21"/>
  </conditionalFormatting>
  <conditionalFormatting sqref="F467">
    <cfRule type="duplicateValues" dxfId="135" priority="22"/>
  </conditionalFormatting>
  <conditionalFormatting sqref="B198:B227">
    <cfRule type="duplicateValues" dxfId="136" priority="23"/>
  </conditionalFormatting>
  <conditionalFormatting sqref="F198:F227">
    <cfRule type="duplicateValues" dxfId="137" priority="24"/>
  </conditionalFormatting>
  <conditionalFormatting sqref="G198:G227">
    <cfRule type="duplicateValues" dxfId="138" priority="25"/>
  </conditionalFormatting>
  <conditionalFormatting sqref="G198:G227">
    <cfRule type="duplicateValues" dxfId="139" priority="26"/>
  </conditionalFormatting>
  <conditionalFormatting sqref="B198:B227">
    <cfRule type="duplicateValues" dxfId="140" priority="27"/>
  </conditionalFormatting>
  <conditionalFormatting sqref="B198:B227">
    <cfRule type="duplicateValues" dxfId="141" priority="28"/>
  </conditionalFormatting>
  <conditionalFormatting sqref="F198:F227">
    <cfRule type="duplicateValues" dxfId="142" priority="29"/>
  </conditionalFormatting>
  <conditionalFormatting sqref="F198:F227">
    <cfRule type="duplicateValues" dxfId="143" priority="30"/>
  </conditionalFormatting>
  <conditionalFormatting sqref="F137">
    <cfRule type="duplicateValues" dxfId="144" priority="31"/>
  </conditionalFormatting>
  <conditionalFormatting sqref="G137">
    <cfRule type="duplicateValues" dxfId="145" priority="32"/>
  </conditionalFormatting>
  <conditionalFormatting sqref="B137">
    <cfRule type="duplicateValues" dxfId="146" priority="33"/>
  </conditionalFormatting>
  <conditionalFormatting sqref="G158:G197">
    <cfRule type="duplicateValues" dxfId="147" priority="34"/>
  </conditionalFormatting>
  <conditionalFormatting sqref="B158:B197">
    <cfRule type="duplicateValues" dxfId="148" priority="35"/>
  </conditionalFormatting>
  <conditionalFormatting sqref="F158:F197">
    <cfRule type="duplicateValues" dxfId="149" priority="36"/>
  </conditionalFormatting>
  <conditionalFormatting sqref="G421:G450 G465:G466 G468:G478 G481:G494 G498:G596 G602">
    <cfRule type="duplicateValues" dxfId="150" priority="37"/>
  </conditionalFormatting>
  <conditionalFormatting sqref="B421:B450 B465:B466 B468:B478 B481:B494 B498:B596 B602">
    <cfRule type="duplicateValues" dxfId="151" priority="38"/>
  </conditionalFormatting>
  <conditionalFormatting sqref="F421:F450 F465:F466 F468:F478 F481:F494 F498:F596 F602">
    <cfRule type="duplicateValues" dxfId="152" priority="39"/>
  </conditionalFormatting>
  <conditionalFormatting sqref="F137 F143:F197">
    <cfRule type="duplicateValues" dxfId="153" priority="40"/>
  </conditionalFormatting>
  <conditionalFormatting sqref="G420 G603 G605:G606">
    <cfRule type="duplicateValues" dxfId="154" priority="41"/>
  </conditionalFormatting>
  <conditionalFormatting sqref="B420 B603 B605:B606">
    <cfRule type="duplicateValues" dxfId="155" priority="42"/>
  </conditionalFormatting>
  <conditionalFormatting sqref="F420 F603 F605:F606">
    <cfRule type="duplicateValues" dxfId="156" priority="43"/>
  </conditionalFormatting>
  <conditionalFormatting sqref="G228:G419">
    <cfRule type="duplicateValues" dxfId="157" priority="44"/>
  </conditionalFormatting>
  <conditionalFormatting sqref="B228:B419">
    <cfRule type="duplicateValues" dxfId="158" priority="45"/>
  </conditionalFormatting>
  <conditionalFormatting sqref="F228:F419">
    <cfRule type="duplicateValues" dxfId="159" priority="46"/>
  </conditionalFormatting>
  <conditionalFormatting sqref="G138:G142">
    <cfRule type="duplicateValues" dxfId="160" priority="47"/>
  </conditionalFormatting>
  <conditionalFormatting sqref="B138:B142">
    <cfRule type="duplicateValues" dxfId="161" priority="48"/>
  </conditionalFormatting>
  <conditionalFormatting sqref="F138:F142">
    <cfRule type="duplicateValues" dxfId="162" priority="49"/>
  </conditionalFormatting>
  <conditionalFormatting sqref="B1:B197 B420 B603:B606 B615:B618">
    <cfRule type="duplicateValues" dxfId="163" priority="50"/>
  </conditionalFormatting>
  <conditionalFormatting sqref="F26">
    <cfRule type="duplicateValues" dxfId="164" priority="51"/>
  </conditionalFormatting>
  <conditionalFormatting sqref="G26">
    <cfRule type="duplicateValues" dxfId="165" priority="52"/>
  </conditionalFormatting>
  <conditionalFormatting sqref="B26">
    <cfRule type="duplicateValues" dxfId="166" priority="53"/>
  </conditionalFormatting>
  <conditionalFormatting sqref="F98:F136">
    <cfRule type="duplicateValues" dxfId="167" priority="54"/>
  </conditionalFormatting>
  <conditionalFormatting sqref="F98:F136">
    <cfRule type="duplicateValues" dxfId="168" priority="55"/>
  </conditionalFormatting>
  <conditionalFormatting sqref="G98:G136">
    <cfRule type="duplicateValues" dxfId="169" priority="56"/>
  </conditionalFormatting>
  <conditionalFormatting sqref="B98:B136">
    <cfRule type="duplicateValues" dxfId="170" priority="57"/>
  </conditionalFormatting>
  <conditionalFormatting sqref="F1:F6 F137 F143:F197 F617:F618">
    <cfRule type="duplicateValues" dxfId="171" priority="58"/>
  </conditionalFormatting>
  <conditionalFormatting sqref="G1:G197 G617:G618">
    <cfRule type="duplicateValues" dxfId="172" priority="59"/>
  </conditionalFormatting>
  <conditionalFormatting sqref="B7:B197">
    <cfRule type="duplicateValues" dxfId="173" priority="60"/>
  </conditionalFormatting>
  <conditionalFormatting sqref="F7:F142">
    <cfRule type="duplicateValues" dxfId="174" priority="61"/>
  </conditionalFormatting>
  <printOptions>
    <extLst>
      <ext uri="smNativeData">
        <pm:pageFlags xmlns:pm="smNativeData" id="175973252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9732528" l="56" r="56" t="56" b="56" borderId="0" fillId="0" vertical="0"/>
        <pm:footer xmlns:pm="smNativeData" id="1759732528" l="56" r="56" t="56" b="56" borderId="0" fillId="0" vertical="2"/>
      </ext>
    </extLst>
  </headerFooter>
  <extLst>
    <ext uri="smNativeData">
      <pm:sheetPrefs xmlns:pm="smNativeData" day="175973252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O618"/>
  <sheetViews>
    <sheetView view="normal" zoomScale="90" workbookViewId="0">
      <selection activeCell="R5" sqref="A1:XFD1048576"/>
    </sheetView>
  </sheetViews>
  <sheetFormatPr defaultRowHeight="15.40"/>
  <cols>
    <col min="1" max="1" width="4.241071" customWidth="1"/>
    <col min="2" max="2" width="69.669643" customWidth="1"/>
    <col min="3" max="3" width="7.348214" customWidth="1"/>
    <col min="4" max="4" width="5.330357" customWidth="1"/>
    <col min="5" max="5" width="5.214286" customWidth="1"/>
    <col min="6" max="6" width="17.946429" customWidth="1"/>
    <col min="7" max="7" width="11.517857" customWidth="1"/>
    <col min="8" max="9" width="15.982143" customWidth="1"/>
    <col min="10" max="10" width="14.928571" customWidth="1"/>
    <col min="11" max="11" width="14.375000" customWidth="1"/>
    <col min="12" max="14" width="7.589286" customWidth="1"/>
    <col min="15" max="15" width="15.982143" customWidth="1"/>
    <col min="16" max="16384" width="10.000000" customWidth="1"/>
  </cols>
  <sheetData>
    <row r="1" spans="1:15">
      <c r="A1" s="73"/>
      <c r="B1" s="8" t="s">
        <v>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</row>
    <row r="2" spans="1:15">
      <c r="A2" s="73"/>
      <c r="B2" s="13" t="s">
        <v>2207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16"/>
      <c r="B3" s="88" t="s">
        <v>2615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>
      <c r="A4" s="19"/>
      <c r="B4" s="20"/>
      <c r="C4" s="22"/>
      <c r="D4" s="22"/>
      <c r="E4" s="22"/>
      <c r="F4" s="22"/>
      <c r="G4" s="22"/>
      <c r="H4" s="24"/>
      <c r="I4" s="24"/>
      <c r="J4" s="24"/>
      <c r="K4" s="24"/>
      <c r="L4" s="24"/>
      <c r="M4" s="24"/>
      <c r="N4" s="24"/>
      <c r="O4" s="24"/>
    </row>
    <row r="5" spans="1:15">
      <c r="A5" s="89" t="s">
        <v>3</v>
      </c>
      <c r="B5" s="90" t="s">
        <v>4</v>
      </c>
      <c r="C5" s="27" t="s">
        <v>5</v>
      </c>
      <c r="D5" s="27" t="s">
        <v>6</v>
      </c>
      <c r="E5" s="27"/>
      <c r="F5" s="27" t="s">
        <v>7</v>
      </c>
      <c r="G5" s="27" t="s">
        <v>9</v>
      </c>
      <c r="H5" s="91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30" t="s">
        <v>17</v>
      </c>
    </row>
    <row r="6" spans="1:15">
      <c r="A6" s="92"/>
      <c r="B6" s="93"/>
      <c r="C6" s="94"/>
      <c r="D6" s="94"/>
      <c r="E6" s="94"/>
      <c r="F6" s="94"/>
      <c r="G6" s="94"/>
      <c r="H6" s="95"/>
      <c r="I6" s="95"/>
      <c r="J6" s="95"/>
      <c r="K6" s="95"/>
      <c r="L6" s="95"/>
      <c r="M6" s="95"/>
      <c r="N6" s="95"/>
      <c r="O6" s="96"/>
    </row>
    <row r="7" spans="1:15">
      <c r="A7" s="37" t="n">
        <v>1</v>
      </c>
      <c r="B7" s="97" t="s">
        <v>2209</v>
      </c>
      <c r="C7" s="121" t="s">
        <v>19</v>
      </c>
      <c r="D7" s="121" t="s">
        <v>20</v>
      </c>
      <c r="E7" s="121" t="s">
        <v>21</v>
      </c>
      <c r="F7" s="98" t="n">
        <v>0</v>
      </c>
      <c r="G7" s="121" t="s">
        <v>2210</v>
      </c>
      <c r="H7" s="99" t="n">
        <v>677243</v>
      </c>
      <c r="I7" s="99" t="n">
        <v>677243</v>
      </c>
      <c r="J7" s="99" t="n">
        <v>0</v>
      </c>
      <c r="K7" s="99" t="n">
        <v>101586</v>
      </c>
      <c r="L7" s="99" t="n">
        <v>0</v>
      </c>
      <c r="M7" s="99" t="n">
        <v>0</v>
      </c>
      <c r="N7" s="99" t="n">
        <v>0</v>
      </c>
      <c r="O7" s="42" t="n">
        <v>575657</v>
      </c>
    </row>
    <row r="8" spans="1:15">
      <c r="A8" s="37" t="n">
        <v>2</v>
      </c>
      <c r="B8" s="97" t="s">
        <v>2211</v>
      </c>
      <c r="C8" s="121" t="s">
        <v>19</v>
      </c>
      <c r="D8" s="121" t="s">
        <v>20</v>
      </c>
      <c r="E8" s="121" t="s">
        <v>21</v>
      </c>
      <c r="F8" s="121" t="s">
        <v>2074</v>
      </c>
      <c r="G8" s="121" t="s">
        <v>2212</v>
      </c>
      <c r="H8" s="99" t="n">
        <v>471676</v>
      </c>
      <c r="I8" s="99" t="n">
        <v>471676</v>
      </c>
      <c r="J8" s="99" t="n">
        <v>0</v>
      </c>
      <c r="K8" s="99" t="n">
        <v>70751</v>
      </c>
      <c r="L8" s="99" t="n">
        <v>0</v>
      </c>
      <c r="M8" s="99" t="n">
        <v>0</v>
      </c>
      <c r="N8" s="99" t="n">
        <v>0</v>
      </c>
      <c r="O8" s="42" t="n">
        <v>400925</v>
      </c>
    </row>
    <row r="9" spans="1:15">
      <c r="A9" s="37" t="n">
        <v>3</v>
      </c>
      <c r="B9" s="97" t="s">
        <v>2213</v>
      </c>
      <c r="C9" s="121" t="s">
        <v>19</v>
      </c>
      <c r="D9" s="121" t="s">
        <v>20</v>
      </c>
      <c r="E9" s="121" t="s">
        <v>21</v>
      </c>
      <c r="F9" s="121" t="s">
        <v>2074</v>
      </c>
      <c r="G9" s="121" t="s">
        <v>2214</v>
      </c>
      <c r="H9" s="99" t="n">
        <v>269529</v>
      </c>
      <c r="I9" s="99" t="n">
        <v>269529</v>
      </c>
      <c r="J9" s="99" t="n">
        <v>0</v>
      </c>
      <c r="K9" s="99" t="n">
        <v>40429</v>
      </c>
      <c r="L9" s="99" t="n">
        <v>0</v>
      </c>
      <c r="M9" s="99" t="n">
        <v>0</v>
      </c>
      <c r="N9" s="99" t="n">
        <v>0</v>
      </c>
      <c r="O9" s="42" t="n">
        <v>229100</v>
      </c>
    </row>
    <row r="10" spans="1:15">
      <c r="A10" s="37" t="n">
        <v>4</v>
      </c>
      <c r="B10" s="97" t="s">
        <v>2215</v>
      </c>
      <c r="C10" s="121" t="s">
        <v>19</v>
      </c>
      <c r="D10" s="121" t="s">
        <v>20</v>
      </c>
      <c r="E10" s="121" t="s">
        <v>21</v>
      </c>
      <c r="F10" s="121" t="s">
        <v>2074</v>
      </c>
      <c r="G10" s="121" t="s">
        <v>2216</v>
      </c>
      <c r="H10" s="99" t="n">
        <v>269529</v>
      </c>
      <c r="I10" s="99" t="n">
        <v>269529</v>
      </c>
      <c r="J10" s="99" t="n">
        <v>0</v>
      </c>
      <c r="K10" s="99" t="n">
        <v>40429</v>
      </c>
      <c r="L10" s="99" t="n">
        <v>0</v>
      </c>
      <c r="M10" s="99" t="n">
        <v>0</v>
      </c>
      <c r="N10" s="99" t="n">
        <v>0</v>
      </c>
      <c r="O10" s="42" t="n">
        <v>229100</v>
      </c>
    </row>
    <row r="11" spans="1:15">
      <c r="A11" s="37" t="n">
        <v>5</v>
      </c>
      <c r="B11" s="97" t="s">
        <v>2217</v>
      </c>
      <c r="C11" s="121" t="s">
        <v>19</v>
      </c>
      <c r="D11" s="121" t="s">
        <v>20</v>
      </c>
      <c r="E11" s="121" t="s">
        <v>21</v>
      </c>
      <c r="F11" s="121" t="s">
        <v>2074</v>
      </c>
      <c r="G11" s="121" t="s">
        <v>2218</v>
      </c>
      <c r="H11" s="99" t="n">
        <v>269529</v>
      </c>
      <c r="I11" s="99" t="n">
        <v>269529</v>
      </c>
      <c r="J11" s="99" t="n">
        <v>0</v>
      </c>
      <c r="K11" s="99" t="n">
        <v>40429</v>
      </c>
      <c r="L11" s="99" t="n">
        <v>0</v>
      </c>
      <c r="M11" s="99" t="n">
        <v>0</v>
      </c>
      <c r="N11" s="99" t="n">
        <v>0</v>
      </c>
      <c r="O11" s="42" t="n">
        <v>229100</v>
      </c>
    </row>
    <row r="12" spans="1:15">
      <c r="A12" s="37" t="n">
        <v>6</v>
      </c>
      <c r="B12" s="97" t="s">
        <v>2219</v>
      </c>
      <c r="C12" s="121" t="s">
        <v>19</v>
      </c>
      <c r="D12" s="121" t="s">
        <v>20</v>
      </c>
      <c r="E12" s="121" t="s">
        <v>21</v>
      </c>
      <c r="F12" s="121" t="s">
        <v>2074</v>
      </c>
      <c r="G12" s="121" t="s">
        <v>2220</v>
      </c>
      <c r="H12" s="99" t="n">
        <v>269529</v>
      </c>
      <c r="I12" s="99" t="n">
        <v>269529</v>
      </c>
      <c r="J12" s="99" t="n">
        <v>0</v>
      </c>
      <c r="K12" s="99" t="n">
        <v>40429</v>
      </c>
      <c r="L12" s="99" t="n">
        <v>0</v>
      </c>
      <c r="M12" s="99" t="n">
        <v>0</v>
      </c>
      <c r="N12" s="99" t="n">
        <v>0</v>
      </c>
      <c r="O12" s="42" t="n">
        <v>229100</v>
      </c>
    </row>
    <row r="13" spans="1:15">
      <c r="A13" s="37" t="n">
        <v>7</v>
      </c>
      <c r="B13" s="97" t="s">
        <v>2221</v>
      </c>
      <c r="C13" s="121" t="s">
        <v>19</v>
      </c>
      <c r="D13" s="121" t="s">
        <v>20</v>
      </c>
      <c r="E13" s="121" t="s">
        <v>21</v>
      </c>
      <c r="F13" s="98" t="n">
        <v>0</v>
      </c>
      <c r="G13" s="121" t="s">
        <v>2222</v>
      </c>
      <c r="H13" s="99" t="n">
        <v>269529</v>
      </c>
      <c r="I13" s="99" t="n">
        <v>269529</v>
      </c>
      <c r="J13" s="99" t="n">
        <v>0</v>
      </c>
      <c r="K13" s="99" t="n">
        <v>40429</v>
      </c>
      <c r="L13" s="99" t="n">
        <v>0</v>
      </c>
      <c r="M13" s="99" t="n">
        <v>0</v>
      </c>
      <c r="N13" s="99" t="n">
        <v>0</v>
      </c>
      <c r="O13" s="42" t="n">
        <v>229100</v>
      </c>
    </row>
    <row r="14" spans="1:15">
      <c r="A14" s="37" t="n">
        <v>8</v>
      </c>
      <c r="B14" s="97" t="s">
        <v>2223</v>
      </c>
      <c r="C14" s="121" t="s">
        <v>19</v>
      </c>
      <c r="D14" s="121" t="s">
        <v>20</v>
      </c>
      <c r="E14" s="121" t="s">
        <v>21</v>
      </c>
      <c r="F14" s="98" t="n">
        <v>0</v>
      </c>
      <c r="G14" s="121" t="s">
        <v>2224</v>
      </c>
      <c r="H14" s="99" t="n">
        <v>269529</v>
      </c>
      <c r="I14" s="99" t="n">
        <v>269529</v>
      </c>
      <c r="J14" s="99" t="n">
        <v>0</v>
      </c>
      <c r="K14" s="99" t="n">
        <v>40429</v>
      </c>
      <c r="L14" s="99" t="n">
        <v>0</v>
      </c>
      <c r="M14" s="99" t="n">
        <v>0</v>
      </c>
      <c r="N14" s="99" t="n">
        <v>0</v>
      </c>
      <c r="O14" s="42" t="n">
        <v>229100</v>
      </c>
    </row>
    <row r="15" spans="1:15">
      <c r="A15" s="37" t="n">
        <v>9</v>
      </c>
      <c r="B15" s="97" t="s">
        <v>41</v>
      </c>
      <c r="C15" s="121" t="s">
        <v>19</v>
      </c>
      <c r="D15" s="121" t="s">
        <v>20</v>
      </c>
      <c r="E15" s="121" t="s">
        <v>21</v>
      </c>
      <c r="F15" s="121" t="s">
        <v>42</v>
      </c>
      <c r="G15" s="121" t="s">
        <v>44</v>
      </c>
      <c r="H15" s="99" t="n">
        <v>269529</v>
      </c>
      <c r="I15" s="99" t="n">
        <v>269529</v>
      </c>
      <c r="J15" s="99" t="n">
        <v>0</v>
      </c>
      <c r="K15" s="99" t="n">
        <v>40429</v>
      </c>
      <c r="L15" s="99" t="n">
        <v>0</v>
      </c>
      <c r="M15" s="99" t="n">
        <v>0</v>
      </c>
      <c r="N15" s="99" t="n">
        <v>0</v>
      </c>
      <c r="O15" s="42" t="n">
        <v>229100</v>
      </c>
    </row>
    <row r="16" spans="1:15">
      <c r="A16" s="37" t="n">
        <v>10</v>
      </c>
      <c r="B16" s="97" t="s">
        <v>2225</v>
      </c>
      <c r="C16" s="121" t="s">
        <v>58</v>
      </c>
      <c r="D16" s="121" t="s">
        <v>20</v>
      </c>
      <c r="E16" s="121" t="s">
        <v>21</v>
      </c>
      <c r="F16" s="121" t="s">
        <v>2074</v>
      </c>
      <c r="G16" s="121" t="s">
        <v>2226</v>
      </c>
      <c r="H16" s="99" t="n">
        <v>202147</v>
      </c>
      <c r="I16" s="99" t="n">
        <v>202147</v>
      </c>
      <c r="J16" s="99" t="n">
        <v>10107</v>
      </c>
      <c r="K16" s="99" t="n">
        <v>0</v>
      </c>
      <c r="L16" s="99" t="n">
        <v>0</v>
      </c>
      <c r="M16" s="99" t="n">
        <v>0</v>
      </c>
      <c r="N16" s="99" t="n">
        <v>0</v>
      </c>
      <c r="O16" s="42" t="n">
        <v>192040</v>
      </c>
    </row>
    <row r="17" spans="1:15">
      <c r="A17" s="37" t="n">
        <v>11</v>
      </c>
      <c r="B17" s="97" t="s">
        <v>62</v>
      </c>
      <c r="C17" s="121" t="s">
        <v>58</v>
      </c>
      <c r="D17" s="121" t="s">
        <v>20</v>
      </c>
      <c r="E17" s="121" t="s">
        <v>21</v>
      </c>
      <c r="F17" s="121" t="s">
        <v>63</v>
      </c>
      <c r="G17" s="121" t="s">
        <v>65</v>
      </c>
      <c r="H17" s="99" t="n">
        <v>202147</v>
      </c>
      <c r="I17" s="99" t="n">
        <v>202147</v>
      </c>
      <c r="J17" s="99" t="n">
        <v>10107</v>
      </c>
      <c r="K17" s="99" t="n">
        <v>0</v>
      </c>
      <c r="L17" s="99" t="n">
        <v>0</v>
      </c>
      <c r="M17" s="99" t="n">
        <v>0</v>
      </c>
      <c r="N17" s="99" t="n">
        <v>0</v>
      </c>
      <c r="O17" s="42" t="n">
        <v>192040</v>
      </c>
    </row>
    <row r="18" spans="1:15">
      <c r="A18" s="37" t="n">
        <v>12</v>
      </c>
      <c r="B18" s="97" t="s">
        <v>33</v>
      </c>
      <c r="C18" s="121" t="s">
        <v>19</v>
      </c>
      <c r="D18" s="121" t="s">
        <v>20</v>
      </c>
      <c r="E18" s="121" t="s">
        <v>21</v>
      </c>
      <c r="F18" s="121" t="s">
        <v>34</v>
      </c>
      <c r="G18" s="121" t="s">
        <v>36</v>
      </c>
      <c r="H18" s="99" t="n">
        <v>202147</v>
      </c>
      <c r="I18" s="99" t="n">
        <v>202147</v>
      </c>
      <c r="J18" s="99" t="n">
        <v>0</v>
      </c>
      <c r="K18" s="99" t="n">
        <v>30322</v>
      </c>
      <c r="L18" s="99" t="n">
        <v>0</v>
      </c>
      <c r="M18" s="99" t="n">
        <v>0</v>
      </c>
      <c r="N18" s="99" t="n">
        <v>0</v>
      </c>
      <c r="O18" s="42" t="n">
        <v>171825</v>
      </c>
    </row>
    <row r="19" spans="1:15">
      <c r="A19" s="37" t="n">
        <v>13</v>
      </c>
      <c r="B19" s="97" t="s">
        <v>2227</v>
      </c>
      <c r="C19" s="121" t="s">
        <v>58</v>
      </c>
      <c r="D19" s="121" t="s">
        <v>20</v>
      </c>
      <c r="E19" s="121" t="s">
        <v>21</v>
      </c>
      <c r="F19" s="121" t="s">
        <v>2074</v>
      </c>
      <c r="G19" s="121" t="s">
        <v>2228</v>
      </c>
      <c r="H19" s="99" t="n">
        <v>202147</v>
      </c>
      <c r="I19" s="99" t="n">
        <v>202147</v>
      </c>
      <c r="J19" s="99" t="n">
        <v>10107</v>
      </c>
      <c r="K19" s="99" t="n">
        <v>0</v>
      </c>
      <c r="L19" s="99" t="n">
        <v>0</v>
      </c>
      <c r="M19" s="99" t="n">
        <v>0</v>
      </c>
      <c r="N19" s="99" t="n">
        <v>0</v>
      </c>
      <c r="O19" s="42" t="n">
        <v>192040</v>
      </c>
    </row>
    <row r="20" spans="1:15">
      <c r="A20" s="37" t="n">
        <v>14</v>
      </c>
      <c r="B20" s="97" t="s">
        <v>2061</v>
      </c>
      <c r="C20" s="121" t="s">
        <v>58</v>
      </c>
      <c r="D20" s="121" t="s">
        <v>20</v>
      </c>
      <c r="E20" s="121" t="s">
        <v>21</v>
      </c>
      <c r="F20" s="121" t="s">
        <v>50</v>
      </c>
      <c r="G20" s="121" t="s">
        <v>52</v>
      </c>
      <c r="H20" s="99" t="n">
        <v>202147</v>
      </c>
      <c r="I20" s="99" t="n">
        <v>202147</v>
      </c>
      <c r="J20" s="99" t="n">
        <v>10107</v>
      </c>
      <c r="K20" s="99" t="n">
        <v>0</v>
      </c>
      <c r="L20" s="99" t="n">
        <v>0</v>
      </c>
      <c r="M20" s="99" t="n">
        <v>0</v>
      </c>
      <c r="N20" s="99" t="n">
        <v>0</v>
      </c>
      <c r="O20" s="42" t="n">
        <v>192040</v>
      </c>
    </row>
    <row r="21" spans="1:15">
      <c r="A21" s="37" t="n">
        <v>15</v>
      </c>
      <c r="B21" s="97" t="s">
        <v>2229</v>
      </c>
      <c r="C21" s="121" t="s">
        <v>111</v>
      </c>
      <c r="D21" s="121" t="s">
        <v>20</v>
      </c>
      <c r="E21" s="121" t="s">
        <v>21</v>
      </c>
      <c r="F21" s="121" t="s">
        <v>2230</v>
      </c>
      <c r="G21" s="121" t="s">
        <v>2231</v>
      </c>
      <c r="H21" s="99" t="n">
        <v>14936</v>
      </c>
      <c r="I21" s="99" t="n">
        <v>14936</v>
      </c>
      <c r="J21" s="99" t="n">
        <v>0</v>
      </c>
      <c r="K21" s="99" t="n">
        <v>0</v>
      </c>
      <c r="L21" s="99" t="n">
        <v>0</v>
      </c>
      <c r="M21" s="99" t="n">
        <v>0</v>
      </c>
      <c r="N21" s="99" t="n">
        <v>0</v>
      </c>
      <c r="O21" s="42" t="n">
        <v>14936</v>
      </c>
    </row>
    <row r="22" spans="1:15">
      <c r="A22" s="37" t="n">
        <v>16</v>
      </c>
      <c r="B22" s="97" t="s">
        <v>2232</v>
      </c>
      <c r="C22" s="121" t="s">
        <v>95</v>
      </c>
      <c r="D22" s="121" t="s">
        <v>137</v>
      </c>
      <c r="E22" s="121" t="s">
        <v>14</v>
      </c>
      <c r="F22" s="121" t="s">
        <v>2616</v>
      </c>
      <c r="G22" s="121" t="s">
        <v>2233</v>
      </c>
      <c r="H22" s="99" t="n">
        <v>14936</v>
      </c>
      <c r="I22" s="99" t="n">
        <v>14936</v>
      </c>
      <c r="J22" s="99" t="n">
        <v>0</v>
      </c>
      <c r="K22" s="99" t="n">
        <v>0</v>
      </c>
      <c r="L22" s="99" t="n">
        <v>0</v>
      </c>
      <c r="M22" s="99" t="n">
        <v>0</v>
      </c>
      <c r="N22" s="99" t="n">
        <v>0</v>
      </c>
      <c r="O22" s="42" t="n">
        <v>14936</v>
      </c>
    </row>
    <row r="23" spans="1:15">
      <c r="A23" s="37" t="n">
        <v>17</v>
      </c>
      <c r="B23" s="97" t="s">
        <v>193</v>
      </c>
      <c r="C23" s="121" t="s">
        <v>95</v>
      </c>
      <c r="D23" s="121" t="s">
        <v>128</v>
      </c>
      <c r="E23" s="121" t="s">
        <v>15</v>
      </c>
      <c r="F23" s="121" t="s">
        <v>2617</v>
      </c>
      <c r="G23" s="121" t="s">
        <v>194</v>
      </c>
      <c r="H23" s="99" t="n">
        <v>18306</v>
      </c>
      <c r="I23" s="99" t="n">
        <v>18306</v>
      </c>
      <c r="J23" s="99" t="n">
        <v>0</v>
      </c>
      <c r="K23" s="99" t="n">
        <v>0</v>
      </c>
      <c r="L23" s="99" t="n">
        <v>0</v>
      </c>
      <c r="M23" s="99" t="n">
        <v>0</v>
      </c>
      <c r="N23" s="99" t="n">
        <v>0</v>
      </c>
      <c r="O23" s="42" t="n">
        <v>18306</v>
      </c>
    </row>
    <row r="24" spans="1:15">
      <c r="A24" s="37" t="n">
        <v>18</v>
      </c>
      <c r="B24" s="97" t="s">
        <v>386</v>
      </c>
      <c r="C24" s="121" t="s">
        <v>95</v>
      </c>
      <c r="D24" s="121" t="s">
        <v>124</v>
      </c>
      <c r="E24" s="121" t="s">
        <v>15</v>
      </c>
      <c r="F24" s="121" t="s">
        <v>2618</v>
      </c>
      <c r="G24" s="121" t="s">
        <v>387</v>
      </c>
      <c r="H24" s="99" t="n">
        <v>16284</v>
      </c>
      <c r="I24" s="99" t="n">
        <v>16284</v>
      </c>
      <c r="J24" s="99" t="n">
        <v>0</v>
      </c>
      <c r="K24" s="99" t="n">
        <v>0</v>
      </c>
      <c r="L24" s="99" t="n">
        <v>0</v>
      </c>
      <c r="M24" s="99" t="n">
        <v>0</v>
      </c>
      <c r="N24" s="99" t="n">
        <v>0</v>
      </c>
      <c r="O24" s="42" t="n">
        <v>16284</v>
      </c>
    </row>
    <row r="25" spans="1:15">
      <c r="A25" s="37" t="n">
        <v>19</v>
      </c>
      <c r="B25" s="97" t="s">
        <v>388</v>
      </c>
      <c r="C25" s="121" t="s">
        <v>95</v>
      </c>
      <c r="D25" s="121" t="s">
        <v>278</v>
      </c>
      <c r="E25" s="121" t="s">
        <v>16</v>
      </c>
      <c r="F25" s="121" t="s">
        <v>2074</v>
      </c>
      <c r="G25" s="121" t="s">
        <v>390</v>
      </c>
      <c r="H25" s="99" t="n">
        <v>16284</v>
      </c>
      <c r="I25" s="99" t="n">
        <v>16284</v>
      </c>
      <c r="J25" s="99" t="n">
        <v>0</v>
      </c>
      <c r="K25" s="99" t="n">
        <v>0</v>
      </c>
      <c r="L25" s="99" t="n">
        <v>0</v>
      </c>
      <c r="M25" s="99" t="n">
        <v>0</v>
      </c>
      <c r="N25" s="99" t="n">
        <v>0</v>
      </c>
      <c r="O25" s="42" t="n">
        <v>16284</v>
      </c>
    </row>
    <row r="26" spans="1:15">
      <c r="A26" s="37" t="n">
        <v>20</v>
      </c>
      <c r="B26" s="97" t="s">
        <v>391</v>
      </c>
      <c r="C26" s="121" t="s">
        <v>95</v>
      </c>
      <c r="D26" s="121" t="s">
        <v>128</v>
      </c>
      <c r="E26" s="121" t="s">
        <v>15</v>
      </c>
      <c r="F26" s="121" t="s">
        <v>2074</v>
      </c>
      <c r="G26" s="121" t="s">
        <v>392</v>
      </c>
      <c r="H26" s="99" t="n">
        <v>14936</v>
      </c>
      <c r="I26" s="99" t="n">
        <v>14936</v>
      </c>
      <c r="J26" s="99" t="n">
        <v>0</v>
      </c>
      <c r="K26" s="99" t="n">
        <v>0</v>
      </c>
      <c r="L26" s="99" t="n">
        <v>0</v>
      </c>
      <c r="M26" s="99" t="n">
        <v>0</v>
      </c>
      <c r="N26" s="99" t="n">
        <v>0</v>
      </c>
      <c r="O26" s="42" t="n">
        <v>14936</v>
      </c>
    </row>
    <row r="27" spans="1:15">
      <c r="A27" s="37" t="n">
        <v>21</v>
      </c>
      <c r="B27" s="97" t="s">
        <v>393</v>
      </c>
      <c r="C27" s="121" t="s">
        <v>95</v>
      </c>
      <c r="D27" s="121" t="s">
        <v>128</v>
      </c>
      <c r="E27" s="121" t="s">
        <v>15</v>
      </c>
      <c r="F27" s="121" t="s">
        <v>2074</v>
      </c>
      <c r="G27" s="121" t="s">
        <v>395</v>
      </c>
      <c r="H27" s="99" t="n">
        <v>14936</v>
      </c>
      <c r="I27" s="99" t="n">
        <v>14936</v>
      </c>
      <c r="J27" s="99" t="n">
        <v>0</v>
      </c>
      <c r="K27" s="99" t="n">
        <v>0</v>
      </c>
      <c r="L27" s="99" t="n">
        <v>0</v>
      </c>
      <c r="M27" s="99" t="n">
        <v>0</v>
      </c>
      <c r="N27" s="99" t="n">
        <v>0</v>
      </c>
      <c r="O27" s="42" t="n">
        <v>14936</v>
      </c>
    </row>
    <row r="28" spans="1:15">
      <c r="A28" s="37" t="n">
        <v>22</v>
      </c>
      <c r="B28" s="97" t="s">
        <v>2234</v>
      </c>
      <c r="C28" s="121" t="s">
        <v>95</v>
      </c>
      <c r="D28" s="121" t="s">
        <v>128</v>
      </c>
      <c r="E28" s="121" t="s">
        <v>15</v>
      </c>
      <c r="F28" s="121" t="s">
        <v>2074</v>
      </c>
      <c r="G28" s="121" t="s">
        <v>2235</v>
      </c>
      <c r="H28" s="99" t="n">
        <v>14936</v>
      </c>
      <c r="I28" s="99" t="n">
        <v>14936</v>
      </c>
      <c r="J28" s="99" t="n">
        <v>0</v>
      </c>
      <c r="K28" s="99" t="n">
        <v>0</v>
      </c>
      <c r="L28" s="99" t="n">
        <v>0</v>
      </c>
      <c r="M28" s="99" t="n">
        <v>0</v>
      </c>
      <c r="N28" s="99" t="n">
        <v>0</v>
      </c>
      <c r="O28" s="42" t="n">
        <v>14936</v>
      </c>
    </row>
    <row r="29" spans="1:15">
      <c r="A29" s="37" t="n">
        <v>23</v>
      </c>
      <c r="B29" s="97" t="s">
        <v>396</v>
      </c>
      <c r="C29" s="121" t="s">
        <v>95</v>
      </c>
      <c r="D29" s="121" t="s">
        <v>124</v>
      </c>
      <c r="E29" s="121" t="s">
        <v>15</v>
      </c>
      <c r="F29" s="121" t="s">
        <v>2074</v>
      </c>
      <c r="G29" s="121" t="s">
        <v>398</v>
      </c>
      <c r="H29" s="99" t="n">
        <v>14936</v>
      </c>
      <c r="I29" s="99" t="n">
        <v>14936</v>
      </c>
      <c r="J29" s="99" t="n">
        <v>0</v>
      </c>
      <c r="K29" s="99" t="n">
        <v>0</v>
      </c>
      <c r="L29" s="99" t="n">
        <v>0</v>
      </c>
      <c r="M29" s="99" t="n">
        <v>0</v>
      </c>
      <c r="N29" s="99" t="n">
        <v>0</v>
      </c>
      <c r="O29" s="42" t="n">
        <v>14936</v>
      </c>
    </row>
    <row r="30" spans="1:15">
      <c r="A30" s="37" t="n">
        <v>24</v>
      </c>
      <c r="B30" s="97" t="s">
        <v>2236</v>
      </c>
      <c r="C30" s="121" t="s">
        <v>95</v>
      </c>
      <c r="D30" s="121" t="s">
        <v>137</v>
      </c>
      <c r="E30" s="121" t="s">
        <v>14</v>
      </c>
      <c r="F30" s="121" t="s">
        <v>2074</v>
      </c>
      <c r="G30" s="121" t="s">
        <v>2237</v>
      </c>
      <c r="H30" s="99" t="n">
        <v>14936</v>
      </c>
      <c r="I30" s="99" t="n">
        <v>14936</v>
      </c>
      <c r="J30" s="99" t="n">
        <v>0</v>
      </c>
      <c r="K30" s="99" t="n">
        <v>0</v>
      </c>
      <c r="L30" s="99" t="n">
        <v>0</v>
      </c>
      <c r="M30" s="99" t="n">
        <v>0</v>
      </c>
      <c r="N30" s="99" t="n">
        <v>0</v>
      </c>
      <c r="O30" s="42" t="n">
        <v>14936</v>
      </c>
    </row>
    <row r="31" spans="1:15">
      <c r="A31" s="37" t="n">
        <v>25</v>
      </c>
      <c r="B31" s="97" t="s">
        <v>399</v>
      </c>
      <c r="C31" s="121" t="s">
        <v>95</v>
      </c>
      <c r="D31" s="121" t="s">
        <v>128</v>
      </c>
      <c r="E31" s="121" t="s">
        <v>15</v>
      </c>
      <c r="F31" s="121" t="s">
        <v>2074</v>
      </c>
      <c r="G31" s="121" t="s">
        <v>400</v>
      </c>
      <c r="H31" s="99" t="n">
        <v>7468</v>
      </c>
      <c r="I31" s="99" t="n">
        <v>7468</v>
      </c>
      <c r="J31" s="99" t="n">
        <v>0</v>
      </c>
      <c r="K31" s="99" t="n">
        <v>0</v>
      </c>
      <c r="L31" s="99" t="n">
        <v>0</v>
      </c>
      <c r="M31" s="99" t="n">
        <v>0</v>
      </c>
      <c r="N31" s="99" t="n">
        <v>0</v>
      </c>
      <c r="O31" s="42" t="n">
        <v>7468</v>
      </c>
    </row>
    <row r="32" spans="1:15">
      <c r="A32" s="37" t="n">
        <v>26</v>
      </c>
      <c r="B32" s="97" t="s">
        <v>2238</v>
      </c>
      <c r="C32" s="121" t="s">
        <v>95</v>
      </c>
      <c r="D32" s="121" t="s">
        <v>137</v>
      </c>
      <c r="E32" s="121" t="s">
        <v>14</v>
      </c>
      <c r="F32" s="121" t="s">
        <v>2074</v>
      </c>
      <c r="G32" s="121" t="s">
        <v>2239</v>
      </c>
      <c r="H32" s="99" t="n">
        <v>16284</v>
      </c>
      <c r="I32" s="99" t="n">
        <v>16284</v>
      </c>
      <c r="J32" s="99" t="n">
        <v>0</v>
      </c>
      <c r="K32" s="99" t="n">
        <v>0</v>
      </c>
      <c r="L32" s="99" t="n">
        <v>0</v>
      </c>
      <c r="M32" s="99" t="n">
        <v>0</v>
      </c>
      <c r="N32" s="99" t="n">
        <v>0</v>
      </c>
      <c r="O32" s="42" t="n">
        <v>16284</v>
      </c>
    </row>
    <row r="33" spans="1:15">
      <c r="A33" s="37" t="n">
        <v>27</v>
      </c>
      <c r="B33" s="97" t="s">
        <v>401</v>
      </c>
      <c r="C33" s="121" t="s">
        <v>95</v>
      </c>
      <c r="D33" s="121" t="s">
        <v>128</v>
      </c>
      <c r="E33" s="121" t="s">
        <v>15</v>
      </c>
      <c r="F33" s="121" t="s">
        <v>2074</v>
      </c>
      <c r="G33" s="121" t="s">
        <v>403</v>
      </c>
      <c r="H33" s="99" t="n">
        <v>16284</v>
      </c>
      <c r="I33" s="99" t="n">
        <v>16284</v>
      </c>
      <c r="J33" s="99" t="n">
        <v>0</v>
      </c>
      <c r="K33" s="99" t="n">
        <v>0</v>
      </c>
      <c r="L33" s="99" t="n">
        <v>0</v>
      </c>
      <c r="M33" s="99" t="n">
        <v>0</v>
      </c>
      <c r="N33" s="99" t="n">
        <v>0</v>
      </c>
      <c r="O33" s="42" t="n">
        <v>16284</v>
      </c>
    </row>
    <row r="34" spans="1:15">
      <c r="A34" s="37" t="n">
        <v>28</v>
      </c>
      <c r="B34" s="97" t="s">
        <v>404</v>
      </c>
      <c r="C34" s="121" t="s">
        <v>95</v>
      </c>
      <c r="D34" s="121" t="s">
        <v>124</v>
      </c>
      <c r="E34" s="121" t="s">
        <v>15</v>
      </c>
      <c r="F34" s="121" t="s">
        <v>2074</v>
      </c>
      <c r="G34" s="121" t="s">
        <v>405</v>
      </c>
      <c r="H34" s="99" t="n">
        <v>14936</v>
      </c>
      <c r="I34" s="99" t="n">
        <v>14936</v>
      </c>
      <c r="J34" s="99" t="n">
        <v>0</v>
      </c>
      <c r="K34" s="99" t="n">
        <v>0</v>
      </c>
      <c r="L34" s="99" t="n">
        <v>0</v>
      </c>
      <c r="M34" s="99" t="n">
        <v>0</v>
      </c>
      <c r="N34" s="99" t="n">
        <v>0</v>
      </c>
      <c r="O34" s="42" t="n">
        <v>14936</v>
      </c>
    </row>
    <row r="35" spans="1:15">
      <c r="A35" s="37" t="n">
        <v>29</v>
      </c>
      <c r="B35" s="97" t="s">
        <v>406</v>
      </c>
      <c r="C35" s="121" t="s">
        <v>95</v>
      </c>
      <c r="D35" s="121" t="s">
        <v>137</v>
      </c>
      <c r="E35" s="121" t="s">
        <v>14</v>
      </c>
      <c r="F35" s="121" t="s">
        <v>2074</v>
      </c>
      <c r="G35" s="121" t="s">
        <v>407</v>
      </c>
      <c r="H35" s="99" t="n">
        <v>14936</v>
      </c>
      <c r="I35" s="99" t="n">
        <v>14936</v>
      </c>
      <c r="J35" s="99" t="n">
        <v>0</v>
      </c>
      <c r="K35" s="99" t="n">
        <v>0</v>
      </c>
      <c r="L35" s="99" t="n">
        <v>0</v>
      </c>
      <c r="M35" s="99" t="n">
        <v>0</v>
      </c>
      <c r="N35" s="99" t="n">
        <v>0</v>
      </c>
      <c r="O35" s="42" t="n">
        <v>14936</v>
      </c>
    </row>
    <row r="36" spans="1:15">
      <c r="A36" s="37" t="n">
        <v>30</v>
      </c>
      <c r="B36" s="97" t="s">
        <v>2240</v>
      </c>
      <c r="C36" s="121" t="s">
        <v>95</v>
      </c>
      <c r="D36" s="121" t="s">
        <v>124</v>
      </c>
      <c r="E36" s="121" t="s">
        <v>15</v>
      </c>
      <c r="F36" s="121" t="s">
        <v>2074</v>
      </c>
      <c r="G36" s="121" t="s">
        <v>2241</v>
      </c>
      <c r="H36" s="99" t="n">
        <v>14936</v>
      </c>
      <c r="I36" s="99" t="n">
        <v>14936</v>
      </c>
      <c r="J36" s="99" t="n">
        <v>0</v>
      </c>
      <c r="K36" s="99" t="n">
        <v>0</v>
      </c>
      <c r="L36" s="99" t="n">
        <v>0</v>
      </c>
      <c r="M36" s="99" t="n">
        <v>0</v>
      </c>
      <c r="N36" s="99" t="n">
        <v>0</v>
      </c>
      <c r="O36" s="42" t="n">
        <v>14936</v>
      </c>
    </row>
    <row r="37" spans="1:15">
      <c r="A37" s="37" t="n">
        <v>31</v>
      </c>
      <c r="B37" s="97" t="s">
        <v>2242</v>
      </c>
      <c r="C37" s="121" t="s">
        <v>95</v>
      </c>
      <c r="D37" s="121" t="s">
        <v>137</v>
      </c>
      <c r="E37" s="121" t="s">
        <v>14</v>
      </c>
      <c r="F37" s="121" t="s">
        <v>2074</v>
      </c>
      <c r="G37" s="121" t="s">
        <v>2243</v>
      </c>
      <c r="H37" s="99" t="n">
        <v>14936</v>
      </c>
      <c r="I37" s="99" t="n">
        <v>14936</v>
      </c>
      <c r="J37" s="99" t="n">
        <v>0</v>
      </c>
      <c r="K37" s="99" t="n">
        <v>0</v>
      </c>
      <c r="L37" s="99" t="n">
        <v>0</v>
      </c>
      <c r="M37" s="99" t="n">
        <v>0</v>
      </c>
      <c r="N37" s="99" t="n">
        <v>0</v>
      </c>
      <c r="O37" s="42" t="n">
        <v>14936</v>
      </c>
    </row>
    <row r="38" spans="1:15">
      <c r="A38" s="37" t="n">
        <v>32</v>
      </c>
      <c r="B38" s="97" t="s">
        <v>146</v>
      </c>
      <c r="C38" s="121" t="s">
        <v>58</v>
      </c>
      <c r="D38" s="121" t="s">
        <v>20</v>
      </c>
      <c r="E38" s="121" t="s">
        <v>21</v>
      </c>
      <c r="F38" s="121" t="s">
        <v>147</v>
      </c>
      <c r="G38" s="121" t="s">
        <v>148</v>
      </c>
      <c r="H38" s="99" t="n">
        <v>78950</v>
      </c>
      <c r="I38" s="99" t="n">
        <v>78950</v>
      </c>
      <c r="J38" s="99" t="n">
        <v>3948</v>
      </c>
      <c r="K38" s="99" t="n">
        <v>0</v>
      </c>
      <c r="L38" s="99" t="n">
        <v>0</v>
      </c>
      <c r="M38" s="99" t="n">
        <v>0</v>
      </c>
      <c r="N38" s="99" t="n">
        <v>0</v>
      </c>
      <c r="O38" s="42" t="n">
        <v>75002</v>
      </c>
    </row>
    <row r="39" spans="1:15">
      <c r="A39" s="37" t="n">
        <v>33</v>
      </c>
      <c r="B39" s="97" t="s">
        <v>66</v>
      </c>
      <c r="C39" s="121" t="s">
        <v>58</v>
      </c>
      <c r="D39" s="121" t="s">
        <v>20</v>
      </c>
      <c r="E39" s="121" t="s">
        <v>21</v>
      </c>
      <c r="F39" s="121" t="s">
        <v>67</v>
      </c>
      <c r="G39" s="121" t="s">
        <v>69</v>
      </c>
      <c r="H39" s="99" t="n">
        <v>78500</v>
      </c>
      <c r="I39" s="99" t="n">
        <v>78500</v>
      </c>
      <c r="J39" s="99" t="n">
        <v>3925</v>
      </c>
      <c r="K39" s="99" t="n">
        <v>0</v>
      </c>
      <c r="L39" s="99" t="n">
        <v>0</v>
      </c>
      <c r="M39" s="99" t="n">
        <v>0</v>
      </c>
      <c r="N39" s="99" t="n">
        <v>0</v>
      </c>
      <c r="O39" s="42" t="n">
        <v>74575</v>
      </c>
    </row>
    <row r="40" spans="1:15">
      <c r="A40" s="37" t="n">
        <v>34</v>
      </c>
      <c r="B40" s="97" t="s">
        <v>156</v>
      </c>
      <c r="C40" s="121" t="s">
        <v>58</v>
      </c>
      <c r="D40" s="121" t="s">
        <v>20</v>
      </c>
      <c r="E40" s="121" t="s">
        <v>21</v>
      </c>
      <c r="F40" s="121" t="s">
        <v>157</v>
      </c>
      <c r="G40" s="121" t="s">
        <v>159</v>
      </c>
      <c r="H40" s="99" t="n">
        <v>75244</v>
      </c>
      <c r="I40" s="99" t="n">
        <v>75244</v>
      </c>
      <c r="J40" s="99" t="n">
        <v>3762</v>
      </c>
      <c r="K40" s="99" t="n">
        <v>0</v>
      </c>
      <c r="L40" s="99" t="n">
        <v>0</v>
      </c>
      <c r="M40" s="99" t="n">
        <v>0</v>
      </c>
      <c r="N40" s="99" t="n">
        <v>0</v>
      </c>
      <c r="O40" s="42" t="n">
        <v>71482</v>
      </c>
    </row>
    <row r="41" spans="1:15">
      <c r="A41" s="37" t="n">
        <v>35</v>
      </c>
      <c r="B41" s="97" t="s">
        <v>78</v>
      </c>
      <c r="C41" s="121" t="s">
        <v>58</v>
      </c>
      <c r="D41" s="121" t="s">
        <v>20</v>
      </c>
      <c r="E41" s="121" t="s">
        <v>21</v>
      </c>
      <c r="F41" s="121" t="s">
        <v>79</v>
      </c>
      <c r="G41" s="121" t="s">
        <v>81</v>
      </c>
      <c r="H41" s="99" t="n">
        <v>61206</v>
      </c>
      <c r="I41" s="99" t="n">
        <v>61206</v>
      </c>
      <c r="J41" s="99" t="n">
        <v>3060</v>
      </c>
      <c r="K41" s="99" t="n">
        <v>0</v>
      </c>
      <c r="L41" s="99" t="n">
        <v>0</v>
      </c>
      <c r="M41" s="99" t="n">
        <v>0</v>
      </c>
      <c r="N41" s="99" t="n">
        <v>0</v>
      </c>
      <c r="O41" s="42" t="n">
        <v>58146</v>
      </c>
    </row>
    <row r="42" spans="1:15">
      <c r="A42" s="37" t="n">
        <v>36</v>
      </c>
      <c r="B42" s="97" t="s">
        <v>149</v>
      </c>
      <c r="C42" s="121" t="s">
        <v>58</v>
      </c>
      <c r="D42" s="121" t="s">
        <v>20</v>
      </c>
      <c r="E42" s="121" t="s">
        <v>21</v>
      </c>
      <c r="F42" s="121" t="s">
        <v>150</v>
      </c>
      <c r="G42" s="121" t="s">
        <v>151</v>
      </c>
      <c r="H42" s="99" t="n">
        <v>48740</v>
      </c>
      <c r="I42" s="99" t="n">
        <v>48740</v>
      </c>
      <c r="J42" s="99" t="n">
        <v>2437</v>
      </c>
      <c r="K42" s="99" t="n">
        <v>0</v>
      </c>
      <c r="L42" s="99" t="n">
        <v>0</v>
      </c>
      <c r="M42" s="99" t="n">
        <v>0</v>
      </c>
      <c r="N42" s="99" t="n">
        <v>0</v>
      </c>
      <c r="O42" s="42" t="n">
        <v>46303</v>
      </c>
    </row>
    <row r="43" spans="1:15">
      <c r="A43" s="37" t="n">
        <v>37</v>
      </c>
      <c r="B43" s="97" t="s">
        <v>164</v>
      </c>
      <c r="C43" s="121" t="s">
        <v>58</v>
      </c>
      <c r="D43" s="121" t="s">
        <v>20</v>
      </c>
      <c r="E43" s="121" t="s">
        <v>21</v>
      </c>
      <c r="F43" s="121" t="s">
        <v>165</v>
      </c>
      <c r="G43" s="121" t="s">
        <v>167</v>
      </c>
      <c r="H43" s="99" t="n">
        <v>49077</v>
      </c>
      <c r="I43" s="99" t="n">
        <v>49077</v>
      </c>
      <c r="J43" s="99" t="n">
        <v>2454</v>
      </c>
      <c r="K43" s="99" t="n">
        <v>0</v>
      </c>
      <c r="L43" s="99" t="n">
        <v>0</v>
      </c>
      <c r="M43" s="99" t="n">
        <v>0</v>
      </c>
      <c r="N43" s="99" t="n">
        <v>0</v>
      </c>
      <c r="O43" s="42" t="n">
        <v>46623</v>
      </c>
    </row>
    <row r="44" spans="1:15">
      <c r="A44" s="37" t="n">
        <v>38</v>
      </c>
      <c r="B44" s="97" t="s">
        <v>2244</v>
      </c>
      <c r="C44" s="121" t="s">
        <v>58</v>
      </c>
      <c r="D44" s="121" t="s">
        <v>20</v>
      </c>
      <c r="E44" s="121" t="s">
        <v>21</v>
      </c>
      <c r="F44" s="121" t="s">
        <v>2245</v>
      </c>
      <c r="G44" s="121" t="s">
        <v>2246</v>
      </c>
      <c r="H44" s="99" t="n">
        <v>49077</v>
      </c>
      <c r="I44" s="99" t="n">
        <v>49077</v>
      </c>
      <c r="J44" s="99" t="n">
        <v>2454</v>
      </c>
      <c r="K44" s="99" t="n">
        <v>0</v>
      </c>
      <c r="L44" s="99" t="n">
        <v>0</v>
      </c>
      <c r="M44" s="99" t="n">
        <v>0</v>
      </c>
      <c r="N44" s="99" t="n">
        <v>0</v>
      </c>
      <c r="O44" s="42" t="n">
        <v>46623</v>
      </c>
    </row>
    <row r="45" spans="1:15">
      <c r="A45" s="37" t="n">
        <v>39</v>
      </c>
      <c r="B45" s="97" t="s">
        <v>152</v>
      </c>
      <c r="C45" s="121" t="s">
        <v>58</v>
      </c>
      <c r="D45" s="121" t="s">
        <v>20</v>
      </c>
      <c r="E45" s="121" t="s">
        <v>21</v>
      </c>
      <c r="F45" s="121" t="s">
        <v>153</v>
      </c>
      <c r="G45" s="121" t="s">
        <v>155</v>
      </c>
      <c r="H45" s="99" t="n">
        <v>45708</v>
      </c>
      <c r="I45" s="99" t="n">
        <v>45708</v>
      </c>
      <c r="J45" s="99" t="n">
        <v>2285</v>
      </c>
      <c r="K45" s="99" t="n">
        <v>0</v>
      </c>
      <c r="L45" s="99" t="n">
        <v>0</v>
      </c>
      <c r="M45" s="99" t="n">
        <v>0</v>
      </c>
      <c r="N45" s="99" t="n">
        <v>0</v>
      </c>
      <c r="O45" s="42" t="n">
        <v>43423</v>
      </c>
    </row>
    <row r="46" spans="1:15">
      <c r="A46" s="37" t="n">
        <v>40</v>
      </c>
      <c r="B46" s="97" t="s">
        <v>2247</v>
      </c>
      <c r="C46" s="121" t="s">
        <v>58</v>
      </c>
      <c r="D46" s="121" t="s">
        <v>20</v>
      </c>
      <c r="E46" s="121" t="s">
        <v>21</v>
      </c>
      <c r="F46" s="121" t="s">
        <v>2248</v>
      </c>
      <c r="G46" s="121" t="s">
        <v>2249</v>
      </c>
      <c r="H46" s="99" t="n">
        <v>49077</v>
      </c>
      <c r="I46" s="99" t="n">
        <v>49077</v>
      </c>
      <c r="J46" s="99" t="n">
        <v>2454</v>
      </c>
      <c r="K46" s="99" t="n">
        <v>0</v>
      </c>
      <c r="L46" s="99" t="n">
        <v>0</v>
      </c>
      <c r="M46" s="99" t="n">
        <v>0</v>
      </c>
      <c r="N46" s="99" t="n">
        <v>0</v>
      </c>
      <c r="O46" s="42" t="n">
        <v>46623</v>
      </c>
    </row>
    <row r="47" spans="1:15">
      <c r="A47" s="37" t="n">
        <v>41</v>
      </c>
      <c r="B47" s="97" t="s">
        <v>102</v>
      </c>
      <c r="C47" s="121" t="s">
        <v>58</v>
      </c>
      <c r="D47" s="121" t="s">
        <v>20</v>
      </c>
      <c r="E47" s="121" t="s">
        <v>21</v>
      </c>
      <c r="F47" s="121" t="s">
        <v>103</v>
      </c>
      <c r="G47" s="121" t="s">
        <v>105</v>
      </c>
      <c r="H47" s="99" t="n">
        <v>42339</v>
      </c>
      <c r="I47" s="99" t="n">
        <v>42339</v>
      </c>
      <c r="J47" s="99" t="n">
        <v>2117</v>
      </c>
      <c r="K47" s="99" t="n">
        <v>0</v>
      </c>
      <c r="L47" s="99" t="n">
        <v>0</v>
      </c>
      <c r="M47" s="99" t="n">
        <v>0</v>
      </c>
      <c r="N47" s="99" t="n">
        <v>0</v>
      </c>
      <c r="O47" s="42" t="n">
        <v>40222</v>
      </c>
    </row>
    <row r="48" spans="1:15">
      <c r="A48" s="37" t="n">
        <v>42</v>
      </c>
      <c r="B48" s="97" t="s">
        <v>168</v>
      </c>
      <c r="C48" s="121" t="s">
        <v>58</v>
      </c>
      <c r="D48" s="121" t="s">
        <v>20</v>
      </c>
      <c r="E48" s="121" t="s">
        <v>21</v>
      </c>
      <c r="F48" s="121" t="s">
        <v>169</v>
      </c>
      <c r="G48" s="121" t="s">
        <v>171</v>
      </c>
      <c r="H48" s="99" t="n">
        <v>42339</v>
      </c>
      <c r="I48" s="99" t="n">
        <v>42339</v>
      </c>
      <c r="J48" s="99" t="n">
        <v>2117</v>
      </c>
      <c r="K48" s="99" t="n">
        <v>0</v>
      </c>
      <c r="L48" s="99" t="n">
        <v>0</v>
      </c>
      <c r="M48" s="99" t="n">
        <v>0</v>
      </c>
      <c r="N48" s="99" t="n">
        <v>0</v>
      </c>
      <c r="O48" s="42" t="n">
        <v>40222</v>
      </c>
    </row>
    <row r="49" spans="1:15">
      <c r="A49" s="37" t="n">
        <v>43</v>
      </c>
      <c r="B49" s="97" t="s">
        <v>98</v>
      </c>
      <c r="C49" s="121" t="s">
        <v>58</v>
      </c>
      <c r="D49" s="121" t="s">
        <v>20</v>
      </c>
      <c r="E49" s="121" t="s">
        <v>21</v>
      </c>
      <c r="F49" s="121" t="s">
        <v>99</v>
      </c>
      <c r="G49" s="121" t="s">
        <v>101</v>
      </c>
      <c r="H49" s="99" t="n">
        <v>42339</v>
      </c>
      <c r="I49" s="99" t="n">
        <v>42339</v>
      </c>
      <c r="J49" s="99" t="n">
        <v>2117</v>
      </c>
      <c r="K49" s="99" t="n">
        <v>0</v>
      </c>
      <c r="L49" s="99" t="n">
        <v>0</v>
      </c>
      <c r="M49" s="99" t="n">
        <v>0</v>
      </c>
      <c r="N49" s="99" t="n">
        <v>0</v>
      </c>
      <c r="O49" s="42" t="n">
        <v>40222</v>
      </c>
    </row>
    <row r="50" spans="1:15">
      <c r="A50" s="37" t="n">
        <v>44</v>
      </c>
      <c r="B50" s="97" t="s">
        <v>115</v>
      </c>
      <c r="C50" s="121" t="s">
        <v>111</v>
      </c>
      <c r="D50" s="121" t="s">
        <v>20</v>
      </c>
      <c r="E50" s="121" t="s">
        <v>21</v>
      </c>
      <c r="F50" s="121" t="s">
        <v>116</v>
      </c>
      <c r="G50" s="121" t="s">
        <v>118</v>
      </c>
      <c r="H50" s="99" t="n">
        <v>48066</v>
      </c>
      <c r="I50" s="99" t="n">
        <v>48066</v>
      </c>
      <c r="J50" s="99" t="n">
        <v>0</v>
      </c>
      <c r="K50" s="99" t="n">
        <v>0</v>
      </c>
      <c r="L50" s="99" t="n">
        <v>0</v>
      </c>
      <c r="M50" s="99" t="n">
        <v>0</v>
      </c>
      <c r="N50" s="99" t="n">
        <v>0</v>
      </c>
      <c r="O50" s="42" t="n">
        <v>48066</v>
      </c>
    </row>
    <row r="51" spans="1:15">
      <c r="A51" s="37" t="n">
        <v>45</v>
      </c>
      <c r="B51" s="97" t="s">
        <v>2250</v>
      </c>
      <c r="C51" s="121" t="s">
        <v>111</v>
      </c>
      <c r="D51" s="121" t="s">
        <v>20</v>
      </c>
      <c r="E51" s="121" t="s">
        <v>21</v>
      </c>
      <c r="F51" s="121" t="s">
        <v>2251</v>
      </c>
      <c r="G51" s="121" t="s">
        <v>2252</v>
      </c>
      <c r="H51" s="99" t="n">
        <v>41328</v>
      </c>
      <c r="I51" s="99" t="n">
        <v>41328</v>
      </c>
      <c r="J51" s="99" t="n">
        <v>0</v>
      </c>
      <c r="K51" s="99" t="n">
        <v>0</v>
      </c>
      <c r="L51" s="99" t="n">
        <v>0</v>
      </c>
      <c r="M51" s="99" t="n">
        <v>0</v>
      </c>
      <c r="N51" s="99" t="n">
        <v>0</v>
      </c>
      <c r="O51" s="42" t="n">
        <v>41328</v>
      </c>
    </row>
    <row r="52" spans="1:15">
      <c r="A52" s="37" t="n">
        <v>46</v>
      </c>
      <c r="B52" s="97" t="s">
        <v>172</v>
      </c>
      <c r="C52" s="121" t="s">
        <v>111</v>
      </c>
      <c r="D52" s="121" t="s">
        <v>20</v>
      </c>
      <c r="E52" s="121" t="s">
        <v>21</v>
      </c>
      <c r="F52" s="121" t="s">
        <v>173</v>
      </c>
      <c r="G52" s="121" t="s">
        <v>175</v>
      </c>
      <c r="H52" s="99" t="n">
        <v>41328</v>
      </c>
      <c r="I52" s="99" t="n">
        <v>41328</v>
      </c>
      <c r="J52" s="99" t="n">
        <v>0</v>
      </c>
      <c r="K52" s="99" t="n">
        <v>0</v>
      </c>
      <c r="L52" s="99" t="n">
        <v>0</v>
      </c>
      <c r="M52" s="99" t="n">
        <v>0</v>
      </c>
      <c r="N52" s="99" t="n">
        <v>0</v>
      </c>
      <c r="O52" s="42" t="n">
        <v>41328</v>
      </c>
    </row>
    <row r="53" spans="1:15">
      <c r="A53" s="37" t="n">
        <v>47</v>
      </c>
      <c r="B53" s="97" t="s">
        <v>110</v>
      </c>
      <c r="C53" s="121" t="s">
        <v>111</v>
      </c>
      <c r="D53" s="121" t="s">
        <v>20</v>
      </c>
      <c r="E53" s="121" t="s">
        <v>21</v>
      </c>
      <c r="F53" s="121" t="s">
        <v>112</v>
      </c>
      <c r="G53" s="121" t="s">
        <v>114</v>
      </c>
      <c r="H53" s="99" t="n">
        <v>41328</v>
      </c>
      <c r="I53" s="99" t="n">
        <v>41328</v>
      </c>
      <c r="J53" s="99" t="n">
        <v>0</v>
      </c>
      <c r="K53" s="99" t="n">
        <v>0</v>
      </c>
      <c r="L53" s="99" t="n">
        <v>0</v>
      </c>
      <c r="M53" s="99" t="n">
        <v>0</v>
      </c>
      <c r="N53" s="99" t="n">
        <v>0</v>
      </c>
      <c r="O53" s="42" t="n">
        <v>41328</v>
      </c>
    </row>
    <row r="54" spans="1:15">
      <c r="A54" s="37" t="n">
        <v>48</v>
      </c>
      <c r="B54" s="97" t="s">
        <v>183</v>
      </c>
      <c r="C54" s="121" t="s">
        <v>120</v>
      </c>
      <c r="D54" s="121" t="s">
        <v>128</v>
      </c>
      <c r="E54" s="121" t="s">
        <v>15</v>
      </c>
      <c r="F54" s="121" t="s">
        <v>2619</v>
      </c>
      <c r="G54" s="121" t="s">
        <v>185</v>
      </c>
      <c r="H54" s="99" t="n">
        <v>45708</v>
      </c>
      <c r="I54" s="99" t="n">
        <v>45708</v>
      </c>
      <c r="J54" s="99" t="n">
        <v>0</v>
      </c>
      <c r="K54" s="99" t="n">
        <v>0</v>
      </c>
      <c r="L54" s="99" t="n">
        <v>0</v>
      </c>
      <c r="M54" s="99" t="n">
        <v>0</v>
      </c>
      <c r="N54" s="99" t="n">
        <v>0</v>
      </c>
      <c r="O54" s="42" t="n">
        <v>45708</v>
      </c>
    </row>
    <row r="55" spans="1:15">
      <c r="A55" s="37" t="n">
        <v>49</v>
      </c>
      <c r="B55" s="97" t="s">
        <v>180</v>
      </c>
      <c r="C55" s="121" t="s">
        <v>120</v>
      </c>
      <c r="D55" s="121" t="s">
        <v>137</v>
      </c>
      <c r="E55" s="121" t="s">
        <v>14</v>
      </c>
      <c r="F55" s="121" t="s">
        <v>2620</v>
      </c>
      <c r="G55" s="121" t="s">
        <v>182</v>
      </c>
      <c r="H55" s="99" t="n">
        <v>45371</v>
      </c>
      <c r="I55" s="99" t="n">
        <v>45371</v>
      </c>
      <c r="J55" s="99" t="n">
        <v>0</v>
      </c>
      <c r="K55" s="99" t="n">
        <v>0</v>
      </c>
      <c r="L55" s="99" t="n">
        <v>0</v>
      </c>
      <c r="M55" s="99" t="n">
        <v>0</v>
      </c>
      <c r="N55" s="99" t="n">
        <v>0</v>
      </c>
      <c r="O55" s="42" t="n">
        <v>45371</v>
      </c>
    </row>
    <row r="56" spans="1:15">
      <c r="A56" s="37" t="n">
        <v>50</v>
      </c>
      <c r="B56" s="97" t="s">
        <v>2253</v>
      </c>
      <c r="C56" s="121" t="s">
        <v>120</v>
      </c>
      <c r="D56" s="121" t="s">
        <v>137</v>
      </c>
      <c r="E56" s="121" t="s">
        <v>14</v>
      </c>
      <c r="F56" s="121" t="s">
        <v>2621</v>
      </c>
      <c r="G56" s="121" t="s">
        <v>2254</v>
      </c>
      <c r="H56" s="99" t="n">
        <v>45708</v>
      </c>
      <c r="I56" s="99" t="n">
        <v>45708</v>
      </c>
      <c r="J56" s="99" t="n">
        <v>0</v>
      </c>
      <c r="K56" s="99" t="n">
        <v>0</v>
      </c>
      <c r="L56" s="99" t="n">
        <v>0</v>
      </c>
      <c r="M56" s="99" t="n">
        <v>0</v>
      </c>
      <c r="N56" s="99" t="n">
        <v>0</v>
      </c>
      <c r="O56" s="42" t="n">
        <v>45708</v>
      </c>
    </row>
    <row r="57" spans="1:15">
      <c r="A57" s="37" t="n">
        <v>51</v>
      </c>
      <c r="B57" s="97" t="s">
        <v>2255</v>
      </c>
      <c r="C57" s="121" t="s">
        <v>120</v>
      </c>
      <c r="D57" s="121" t="s">
        <v>137</v>
      </c>
      <c r="E57" s="121" t="s">
        <v>14</v>
      </c>
      <c r="F57" s="121" t="s">
        <v>2622</v>
      </c>
      <c r="G57" s="121" t="s">
        <v>2256</v>
      </c>
      <c r="H57" s="99" t="n">
        <v>48740</v>
      </c>
      <c r="I57" s="99" t="n">
        <v>48740</v>
      </c>
      <c r="J57" s="99" t="n">
        <v>0</v>
      </c>
      <c r="K57" s="99" t="n">
        <v>0</v>
      </c>
      <c r="L57" s="99" t="n">
        <v>0</v>
      </c>
      <c r="M57" s="99" t="n">
        <v>0</v>
      </c>
      <c r="N57" s="99" t="n">
        <v>0</v>
      </c>
      <c r="O57" s="42" t="n">
        <v>48740</v>
      </c>
    </row>
    <row r="58" spans="1:15">
      <c r="A58" s="37" t="n">
        <v>52</v>
      </c>
      <c r="B58" s="97" t="s">
        <v>186</v>
      </c>
      <c r="C58" s="121" t="s">
        <v>120</v>
      </c>
      <c r="D58" s="121" t="s">
        <v>187</v>
      </c>
      <c r="E58" s="121" t="s">
        <v>14</v>
      </c>
      <c r="F58" s="121" t="s">
        <v>2074</v>
      </c>
      <c r="G58" s="121" t="s">
        <v>188</v>
      </c>
      <c r="H58" s="99" t="n">
        <v>45708</v>
      </c>
      <c r="I58" s="99" t="n">
        <v>45708</v>
      </c>
      <c r="J58" s="99" t="n">
        <v>0</v>
      </c>
      <c r="K58" s="99" t="n">
        <v>0</v>
      </c>
      <c r="L58" s="99" t="n">
        <v>0</v>
      </c>
      <c r="M58" s="99" t="n">
        <v>0</v>
      </c>
      <c r="N58" s="99" t="n">
        <v>0</v>
      </c>
      <c r="O58" s="42" t="n">
        <v>45708</v>
      </c>
    </row>
    <row r="59" spans="1:15">
      <c r="A59" s="37" t="n">
        <v>53</v>
      </c>
      <c r="B59" s="97" t="s">
        <v>2257</v>
      </c>
      <c r="C59" s="121" t="s">
        <v>120</v>
      </c>
      <c r="D59" s="121" t="s">
        <v>128</v>
      </c>
      <c r="E59" s="121" t="s">
        <v>15</v>
      </c>
      <c r="F59" s="121" t="s">
        <v>2623</v>
      </c>
      <c r="G59" s="121" t="s">
        <v>2258</v>
      </c>
      <c r="H59" s="99" t="n">
        <v>42339</v>
      </c>
      <c r="I59" s="99" t="n">
        <v>42339</v>
      </c>
      <c r="J59" s="99" t="n">
        <v>0</v>
      </c>
      <c r="K59" s="99" t="n">
        <v>0</v>
      </c>
      <c r="L59" s="99" t="n">
        <v>0</v>
      </c>
      <c r="M59" s="99" t="n">
        <v>0</v>
      </c>
      <c r="N59" s="99" t="n">
        <v>0</v>
      </c>
      <c r="O59" s="42" t="n">
        <v>42339</v>
      </c>
    </row>
    <row r="60" spans="1:15">
      <c r="A60" s="37" t="n">
        <v>54</v>
      </c>
      <c r="B60" s="97" t="s">
        <v>1075</v>
      </c>
      <c r="C60" s="121" t="s">
        <v>120</v>
      </c>
      <c r="D60" s="121" t="s">
        <v>128</v>
      </c>
      <c r="E60" s="121" t="s">
        <v>15</v>
      </c>
      <c r="F60" s="121" t="s">
        <v>2074</v>
      </c>
      <c r="G60" s="121" t="s">
        <v>1076</v>
      </c>
      <c r="H60" s="99" t="n">
        <v>40991</v>
      </c>
      <c r="I60" s="99" t="n">
        <v>40991</v>
      </c>
      <c r="J60" s="99" t="n">
        <v>0</v>
      </c>
      <c r="K60" s="99" t="n">
        <v>0</v>
      </c>
      <c r="L60" s="99" t="n">
        <v>0</v>
      </c>
      <c r="M60" s="99" t="n">
        <v>0</v>
      </c>
      <c r="N60" s="99" t="n">
        <v>0</v>
      </c>
      <c r="O60" s="42" t="n">
        <v>40991</v>
      </c>
    </row>
    <row r="61" spans="1:15">
      <c r="A61" s="37" t="n">
        <v>55</v>
      </c>
      <c r="B61" s="97" t="s">
        <v>321</v>
      </c>
      <c r="C61" s="121" t="s">
        <v>120</v>
      </c>
      <c r="D61" s="121" t="s">
        <v>124</v>
      </c>
      <c r="E61" s="121" t="s">
        <v>15</v>
      </c>
      <c r="F61" s="121" t="s">
        <v>2624</v>
      </c>
      <c r="G61" s="121" t="s">
        <v>322</v>
      </c>
      <c r="H61" s="99" t="n">
        <v>41328</v>
      </c>
      <c r="I61" s="99" t="n">
        <v>41328</v>
      </c>
      <c r="J61" s="99" t="n">
        <v>0</v>
      </c>
      <c r="K61" s="99" t="n">
        <v>0</v>
      </c>
      <c r="L61" s="99" t="n">
        <v>0</v>
      </c>
      <c r="M61" s="99" t="n">
        <v>0</v>
      </c>
      <c r="N61" s="99" t="n">
        <v>0</v>
      </c>
      <c r="O61" s="42" t="n">
        <v>41328</v>
      </c>
    </row>
    <row r="62" spans="1:15">
      <c r="A62" s="37" t="n">
        <v>56</v>
      </c>
      <c r="B62" s="97" t="s">
        <v>123</v>
      </c>
      <c r="C62" s="121" t="s">
        <v>120</v>
      </c>
      <c r="D62" s="121" t="s">
        <v>124</v>
      </c>
      <c r="E62" s="121" t="s">
        <v>15</v>
      </c>
      <c r="F62" s="121" t="s">
        <v>2625</v>
      </c>
      <c r="G62" s="121" t="s">
        <v>126</v>
      </c>
      <c r="H62" s="99" t="n">
        <v>41328</v>
      </c>
      <c r="I62" s="99" t="n">
        <v>41328</v>
      </c>
      <c r="J62" s="99" t="n">
        <v>0</v>
      </c>
      <c r="K62" s="99" t="n">
        <v>0</v>
      </c>
      <c r="L62" s="99" t="n">
        <v>0</v>
      </c>
      <c r="M62" s="99" t="n">
        <v>0</v>
      </c>
      <c r="N62" s="99" t="n">
        <v>0</v>
      </c>
      <c r="O62" s="42" t="n">
        <v>41328</v>
      </c>
    </row>
    <row r="63" spans="1:15">
      <c r="A63" s="37" t="n">
        <v>57</v>
      </c>
      <c r="B63" s="97" t="s">
        <v>127</v>
      </c>
      <c r="C63" s="121" t="s">
        <v>120</v>
      </c>
      <c r="D63" s="121" t="s">
        <v>128</v>
      </c>
      <c r="E63" s="121" t="s">
        <v>15</v>
      </c>
      <c r="F63" s="121" t="s">
        <v>2626</v>
      </c>
      <c r="G63" s="121" t="s">
        <v>129</v>
      </c>
      <c r="H63" s="99" t="n">
        <v>41328</v>
      </c>
      <c r="I63" s="99" t="n">
        <v>41328</v>
      </c>
      <c r="J63" s="99" t="n">
        <v>0</v>
      </c>
      <c r="K63" s="99" t="n">
        <v>0</v>
      </c>
      <c r="L63" s="99" t="n">
        <v>0</v>
      </c>
      <c r="M63" s="99" t="n">
        <v>0</v>
      </c>
      <c r="N63" s="99" t="n">
        <v>0</v>
      </c>
      <c r="O63" s="42" t="n">
        <v>41328</v>
      </c>
    </row>
    <row r="64" spans="1:15">
      <c r="A64" s="37" t="n">
        <v>58</v>
      </c>
      <c r="B64" s="97" t="s">
        <v>2259</v>
      </c>
      <c r="C64" s="121" t="s">
        <v>120</v>
      </c>
      <c r="D64" s="121" t="s">
        <v>128</v>
      </c>
      <c r="E64" s="121" t="s">
        <v>15</v>
      </c>
      <c r="F64" s="121" t="s">
        <v>2627</v>
      </c>
      <c r="G64" s="121" t="s">
        <v>2260</v>
      </c>
      <c r="H64" s="99" t="n">
        <v>37195</v>
      </c>
      <c r="I64" s="99" t="n">
        <v>37195</v>
      </c>
      <c r="J64" s="99" t="n">
        <v>0</v>
      </c>
      <c r="K64" s="99" t="n">
        <v>0</v>
      </c>
      <c r="L64" s="99" t="n">
        <v>0</v>
      </c>
      <c r="M64" s="99" t="n">
        <v>0</v>
      </c>
      <c r="N64" s="99" t="n">
        <v>0</v>
      </c>
      <c r="O64" s="42" t="n">
        <v>37195</v>
      </c>
    </row>
    <row r="65" spans="1:15">
      <c r="A65" s="37" t="n">
        <v>59</v>
      </c>
      <c r="B65" s="97" t="s">
        <v>189</v>
      </c>
      <c r="C65" s="121" t="s">
        <v>120</v>
      </c>
      <c r="D65" s="121" t="s">
        <v>128</v>
      </c>
      <c r="E65" s="121" t="s">
        <v>15</v>
      </c>
      <c r="F65" s="121" t="s">
        <v>2628</v>
      </c>
      <c r="G65" s="121" t="s">
        <v>190</v>
      </c>
      <c r="H65" s="99" t="n">
        <v>41328</v>
      </c>
      <c r="I65" s="99" t="n">
        <v>41328</v>
      </c>
      <c r="J65" s="99" t="n">
        <v>0</v>
      </c>
      <c r="K65" s="99" t="n">
        <v>0</v>
      </c>
      <c r="L65" s="99" t="n">
        <v>0</v>
      </c>
      <c r="M65" s="99" t="n">
        <v>0</v>
      </c>
      <c r="N65" s="99" t="n">
        <v>0</v>
      </c>
      <c r="O65" s="42" t="n">
        <v>41328</v>
      </c>
    </row>
    <row r="66" spans="1:15">
      <c r="A66" s="37" t="n">
        <v>60</v>
      </c>
      <c r="B66" s="97" t="s">
        <v>191</v>
      </c>
      <c r="C66" s="121" t="s">
        <v>120</v>
      </c>
      <c r="D66" s="121" t="s">
        <v>128</v>
      </c>
      <c r="E66" s="121" t="s">
        <v>15</v>
      </c>
      <c r="F66" s="121" t="s">
        <v>2629</v>
      </c>
      <c r="G66" s="121" t="s">
        <v>192</v>
      </c>
      <c r="H66" s="99" t="n">
        <v>41328</v>
      </c>
      <c r="I66" s="99" t="n">
        <v>41328</v>
      </c>
      <c r="J66" s="99" t="n">
        <v>0</v>
      </c>
      <c r="K66" s="99" t="n">
        <v>0</v>
      </c>
      <c r="L66" s="99" t="n">
        <v>0</v>
      </c>
      <c r="M66" s="99" t="n">
        <v>0</v>
      </c>
      <c r="N66" s="99" t="n">
        <v>0</v>
      </c>
      <c r="O66" s="42" t="n">
        <v>41328</v>
      </c>
    </row>
    <row r="67" spans="1:15">
      <c r="A67" s="37" t="n">
        <v>61</v>
      </c>
      <c r="B67" s="97" t="s">
        <v>2261</v>
      </c>
      <c r="C67" s="121" t="s">
        <v>95</v>
      </c>
      <c r="D67" s="121" t="s">
        <v>124</v>
      </c>
      <c r="E67" s="121" t="s">
        <v>15</v>
      </c>
      <c r="F67" s="121" t="s">
        <v>2074</v>
      </c>
      <c r="G67" s="121" t="s">
        <v>2262</v>
      </c>
      <c r="H67" s="99" t="n">
        <v>39306</v>
      </c>
      <c r="I67" s="99" t="n">
        <v>39306</v>
      </c>
      <c r="J67" s="99" t="n">
        <v>0</v>
      </c>
      <c r="K67" s="99" t="n">
        <v>0</v>
      </c>
      <c r="L67" s="99" t="n">
        <v>0</v>
      </c>
      <c r="M67" s="99" t="n">
        <v>0</v>
      </c>
      <c r="N67" s="99" t="n">
        <v>0</v>
      </c>
      <c r="O67" s="42" t="n">
        <v>39306</v>
      </c>
    </row>
    <row r="68" spans="1:15">
      <c r="A68" s="37" t="n">
        <v>62</v>
      </c>
      <c r="B68" s="97" t="s">
        <v>2263</v>
      </c>
      <c r="C68" s="121" t="s">
        <v>95</v>
      </c>
      <c r="D68" s="121" t="s">
        <v>278</v>
      </c>
      <c r="E68" s="121" t="s">
        <v>16</v>
      </c>
      <c r="F68" s="98" t="n">
        <v>0</v>
      </c>
      <c r="G68" s="121" t="s">
        <v>2264</v>
      </c>
      <c r="H68" s="99" t="n">
        <v>78950</v>
      </c>
      <c r="I68" s="99" t="n">
        <v>78950</v>
      </c>
      <c r="J68" s="99" t="n">
        <v>0</v>
      </c>
      <c r="K68" s="99" t="n">
        <v>0</v>
      </c>
      <c r="L68" s="99" t="n">
        <v>0</v>
      </c>
      <c r="M68" s="99" t="n">
        <v>0</v>
      </c>
      <c r="N68" s="99" t="n">
        <v>0</v>
      </c>
      <c r="O68" s="42" t="n">
        <v>78950</v>
      </c>
    </row>
    <row r="69" spans="1:15">
      <c r="A69" s="37" t="n">
        <v>63</v>
      </c>
      <c r="B69" s="97" t="s">
        <v>197</v>
      </c>
      <c r="C69" s="121" t="s">
        <v>95</v>
      </c>
      <c r="D69" s="121" t="s">
        <v>137</v>
      </c>
      <c r="E69" s="121" t="s">
        <v>14</v>
      </c>
      <c r="F69" s="121" t="s">
        <v>2074</v>
      </c>
      <c r="G69" s="121" t="s">
        <v>199</v>
      </c>
      <c r="H69" s="99" t="n">
        <v>39194</v>
      </c>
      <c r="I69" s="99" t="n">
        <v>39194</v>
      </c>
      <c r="J69" s="99" t="n">
        <v>0</v>
      </c>
      <c r="K69" s="99" t="n">
        <v>0</v>
      </c>
      <c r="L69" s="99" t="n">
        <v>0</v>
      </c>
      <c r="M69" s="99" t="n">
        <v>0</v>
      </c>
      <c r="N69" s="99" t="n">
        <v>0</v>
      </c>
      <c r="O69" s="42" t="n">
        <v>39194</v>
      </c>
    </row>
    <row r="70" spans="1:15">
      <c r="A70" s="37" t="n">
        <v>64</v>
      </c>
      <c r="B70" s="97" t="s">
        <v>200</v>
      </c>
      <c r="C70" s="121" t="s">
        <v>58</v>
      </c>
      <c r="D70" s="121" t="s">
        <v>20</v>
      </c>
      <c r="E70" s="121" t="s">
        <v>21</v>
      </c>
      <c r="F70" s="121" t="s">
        <v>201</v>
      </c>
      <c r="G70" s="121" t="s">
        <v>203</v>
      </c>
      <c r="H70" s="99" t="n">
        <v>46943</v>
      </c>
      <c r="I70" s="99" t="n">
        <v>46943</v>
      </c>
      <c r="J70" s="99" t="n">
        <v>2347</v>
      </c>
      <c r="K70" s="99" t="n">
        <v>0</v>
      </c>
      <c r="L70" s="99" t="n">
        <v>0</v>
      </c>
      <c r="M70" s="99" t="n">
        <v>0</v>
      </c>
      <c r="N70" s="99" t="n">
        <v>0</v>
      </c>
      <c r="O70" s="42" t="n">
        <v>44596</v>
      </c>
    </row>
    <row r="71" spans="1:15">
      <c r="A71" s="37" t="n">
        <v>65</v>
      </c>
      <c r="B71" s="97" t="s">
        <v>204</v>
      </c>
      <c r="C71" s="121" t="s">
        <v>58</v>
      </c>
      <c r="D71" s="121" t="s">
        <v>20</v>
      </c>
      <c r="E71" s="121" t="s">
        <v>21</v>
      </c>
      <c r="F71" s="121" t="s">
        <v>205</v>
      </c>
      <c r="G71" s="121" t="s">
        <v>207</v>
      </c>
      <c r="H71" s="99" t="n">
        <v>46606</v>
      </c>
      <c r="I71" s="99" t="n">
        <v>46606</v>
      </c>
      <c r="J71" s="99" t="n">
        <v>2330</v>
      </c>
      <c r="K71" s="99" t="n">
        <v>0</v>
      </c>
      <c r="L71" s="99" t="n">
        <v>0</v>
      </c>
      <c r="M71" s="99" t="n">
        <v>0</v>
      </c>
      <c r="N71" s="99" t="n">
        <v>0</v>
      </c>
      <c r="O71" s="42" t="n">
        <v>44276</v>
      </c>
    </row>
    <row r="72" spans="1:15">
      <c r="A72" s="37" t="n">
        <v>66</v>
      </c>
      <c r="B72" s="97" t="s">
        <v>2265</v>
      </c>
      <c r="C72" s="121" t="s">
        <v>95</v>
      </c>
      <c r="D72" s="121" t="s">
        <v>20</v>
      </c>
      <c r="E72" s="121" t="s">
        <v>21</v>
      </c>
      <c r="F72" s="121" t="s">
        <v>2074</v>
      </c>
      <c r="G72" s="121" t="s">
        <v>2266</v>
      </c>
      <c r="H72" s="99" t="n">
        <v>32119</v>
      </c>
      <c r="I72" s="99" t="n">
        <v>32119</v>
      </c>
      <c r="J72" s="99" t="n">
        <v>0</v>
      </c>
      <c r="K72" s="99" t="n">
        <v>0</v>
      </c>
      <c r="L72" s="99" t="n">
        <v>0</v>
      </c>
      <c r="M72" s="99" t="n">
        <v>0</v>
      </c>
      <c r="N72" s="99" t="n">
        <v>0</v>
      </c>
      <c r="O72" s="42" t="n">
        <v>32119</v>
      </c>
    </row>
    <row r="73" spans="1:15">
      <c r="A73" s="37" t="n">
        <v>67</v>
      </c>
      <c r="B73" s="97" t="s">
        <v>2267</v>
      </c>
      <c r="C73" s="121" t="s">
        <v>95</v>
      </c>
      <c r="D73" s="121" t="s">
        <v>20</v>
      </c>
      <c r="E73" s="121" t="s">
        <v>21</v>
      </c>
      <c r="F73" s="121" t="s">
        <v>2074</v>
      </c>
      <c r="G73" s="121" t="s">
        <v>2268</v>
      </c>
      <c r="H73" s="99" t="n">
        <v>32119</v>
      </c>
      <c r="I73" s="99" t="n">
        <v>32119</v>
      </c>
      <c r="J73" s="99" t="n">
        <v>0</v>
      </c>
      <c r="K73" s="99" t="n">
        <v>0</v>
      </c>
      <c r="L73" s="99" t="n">
        <v>0</v>
      </c>
      <c r="M73" s="99" t="n">
        <v>0</v>
      </c>
      <c r="N73" s="99" t="n">
        <v>0</v>
      </c>
      <c r="O73" s="42" t="n">
        <v>32119</v>
      </c>
    </row>
    <row r="74" spans="1:15">
      <c r="A74" s="37" t="n">
        <v>68</v>
      </c>
      <c r="B74" s="97" t="s">
        <v>70</v>
      </c>
      <c r="C74" s="121" t="s">
        <v>58</v>
      </c>
      <c r="D74" s="121" t="s">
        <v>20</v>
      </c>
      <c r="E74" s="121" t="s">
        <v>21</v>
      </c>
      <c r="F74" s="121" t="s">
        <v>71</v>
      </c>
      <c r="G74" s="121" t="s">
        <v>73</v>
      </c>
      <c r="H74" s="99" t="n">
        <v>45483</v>
      </c>
      <c r="I74" s="99" t="n">
        <v>45483</v>
      </c>
      <c r="J74" s="99" t="n">
        <v>2274</v>
      </c>
      <c r="K74" s="99" t="n">
        <v>0</v>
      </c>
      <c r="L74" s="99" t="n">
        <v>0</v>
      </c>
      <c r="M74" s="99" t="n">
        <v>0</v>
      </c>
      <c r="N74" s="99" t="n">
        <v>0</v>
      </c>
      <c r="O74" s="42" t="n">
        <v>43209</v>
      </c>
    </row>
    <row r="75" spans="1:15">
      <c r="A75" s="37" t="n">
        <v>69</v>
      </c>
      <c r="B75" s="97" t="s">
        <v>232</v>
      </c>
      <c r="C75" s="121" t="s">
        <v>58</v>
      </c>
      <c r="D75" s="121" t="s">
        <v>20</v>
      </c>
      <c r="E75" s="121" t="s">
        <v>21</v>
      </c>
      <c r="F75" s="121" t="s">
        <v>233</v>
      </c>
      <c r="G75" s="121" t="s">
        <v>235</v>
      </c>
      <c r="H75" s="99" t="n">
        <v>29424</v>
      </c>
      <c r="I75" s="99" t="n">
        <v>29424</v>
      </c>
      <c r="J75" s="99" t="n">
        <v>1471</v>
      </c>
      <c r="K75" s="99" t="n">
        <v>0</v>
      </c>
      <c r="L75" s="99" t="n">
        <v>0</v>
      </c>
      <c r="M75" s="99" t="n">
        <v>0</v>
      </c>
      <c r="N75" s="99" t="n">
        <v>0</v>
      </c>
      <c r="O75" s="42" t="n">
        <v>27953</v>
      </c>
    </row>
    <row r="76" spans="1:15">
      <c r="A76" s="37" t="n">
        <v>70</v>
      </c>
      <c r="B76" s="97" t="s">
        <v>252</v>
      </c>
      <c r="C76" s="121" t="s">
        <v>120</v>
      </c>
      <c r="D76" s="121" t="s">
        <v>137</v>
      </c>
      <c r="E76" s="121" t="s">
        <v>14</v>
      </c>
      <c r="F76" s="121" t="s">
        <v>2630</v>
      </c>
      <c r="G76" s="121" t="s">
        <v>253</v>
      </c>
      <c r="H76" s="99" t="n">
        <v>33354</v>
      </c>
      <c r="I76" s="99" t="n">
        <v>33354</v>
      </c>
      <c r="J76" s="99" t="n">
        <v>0</v>
      </c>
      <c r="K76" s="99" t="n">
        <v>0</v>
      </c>
      <c r="L76" s="99" t="n">
        <v>0</v>
      </c>
      <c r="M76" s="99" t="n">
        <v>0</v>
      </c>
      <c r="N76" s="99" t="n">
        <v>0</v>
      </c>
      <c r="O76" s="42" t="n">
        <v>33354</v>
      </c>
    </row>
    <row r="77" spans="1:15">
      <c r="A77" s="37" t="n">
        <v>71</v>
      </c>
      <c r="B77" s="97" t="s">
        <v>250</v>
      </c>
      <c r="C77" s="121" t="s">
        <v>120</v>
      </c>
      <c r="D77" s="121" t="s">
        <v>128</v>
      </c>
      <c r="E77" s="121" t="s">
        <v>15</v>
      </c>
      <c r="F77" s="121" t="s">
        <v>2631</v>
      </c>
      <c r="G77" s="121" t="s">
        <v>251</v>
      </c>
      <c r="H77" s="99" t="n">
        <v>33017</v>
      </c>
      <c r="I77" s="99" t="n">
        <v>33017</v>
      </c>
      <c r="J77" s="99" t="n">
        <v>0</v>
      </c>
      <c r="K77" s="99" t="n">
        <v>0</v>
      </c>
      <c r="L77" s="99" t="n">
        <v>0</v>
      </c>
      <c r="M77" s="99" t="n">
        <v>0</v>
      </c>
      <c r="N77" s="99" t="n">
        <v>0</v>
      </c>
      <c r="O77" s="42" t="n">
        <v>33017</v>
      </c>
    </row>
    <row r="78" spans="1:15">
      <c r="A78" s="37" t="n">
        <v>72</v>
      </c>
      <c r="B78" s="97" t="s">
        <v>254</v>
      </c>
      <c r="C78" s="121" t="s">
        <v>120</v>
      </c>
      <c r="D78" s="121" t="s">
        <v>128</v>
      </c>
      <c r="E78" s="121" t="s">
        <v>15</v>
      </c>
      <c r="F78" s="121" t="s">
        <v>2632</v>
      </c>
      <c r="G78" s="121" t="s">
        <v>255</v>
      </c>
      <c r="H78" s="99" t="n">
        <v>33354</v>
      </c>
      <c r="I78" s="99" t="n">
        <v>33354</v>
      </c>
      <c r="J78" s="99" t="n">
        <v>0</v>
      </c>
      <c r="K78" s="99" t="n">
        <v>0</v>
      </c>
      <c r="L78" s="99" t="n">
        <v>0</v>
      </c>
      <c r="M78" s="99" t="n">
        <v>0</v>
      </c>
      <c r="N78" s="99" t="n">
        <v>0</v>
      </c>
      <c r="O78" s="42" t="n">
        <v>33354</v>
      </c>
    </row>
    <row r="79" spans="1:15">
      <c r="A79" s="37" t="n">
        <v>73</v>
      </c>
      <c r="B79" s="97" t="s">
        <v>256</v>
      </c>
      <c r="C79" s="121" t="s">
        <v>120</v>
      </c>
      <c r="D79" s="121" t="s">
        <v>128</v>
      </c>
      <c r="E79" s="121" t="s">
        <v>15</v>
      </c>
      <c r="F79" s="121" t="s">
        <v>2633</v>
      </c>
      <c r="G79" s="121" t="s">
        <v>258</v>
      </c>
      <c r="H79" s="99" t="n">
        <v>32905</v>
      </c>
      <c r="I79" s="99" t="n">
        <v>32905</v>
      </c>
      <c r="J79" s="99" t="n">
        <v>0</v>
      </c>
      <c r="K79" s="99" t="n">
        <v>0</v>
      </c>
      <c r="L79" s="99" t="n">
        <v>0</v>
      </c>
      <c r="M79" s="99" t="n">
        <v>0</v>
      </c>
      <c r="N79" s="99" t="n">
        <v>0</v>
      </c>
      <c r="O79" s="42" t="n">
        <v>32905</v>
      </c>
    </row>
    <row r="80" spans="1:15">
      <c r="A80" s="37" t="n">
        <v>74</v>
      </c>
      <c r="B80" s="97" t="s">
        <v>264</v>
      </c>
      <c r="C80" s="121" t="s">
        <v>120</v>
      </c>
      <c r="D80" s="121" t="s">
        <v>128</v>
      </c>
      <c r="E80" s="121" t="s">
        <v>15</v>
      </c>
      <c r="F80" s="121" t="s">
        <v>2634</v>
      </c>
      <c r="G80" s="121" t="s">
        <v>266</v>
      </c>
      <c r="H80" s="99" t="n">
        <v>27964</v>
      </c>
      <c r="I80" s="99" t="n">
        <v>27964</v>
      </c>
      <c r="J80" s="99" t="n">
        <v>0</v>
      </c>
      <c r="K80" s="99" t="n">
        <v>0</v>
      </c>
      <c r="L80" s="99" t="n">
        <v>0</v>
      </c>
      <c r="M80" s="99" t="n">
        <v>0</v>
      </c>
      <c r="N80" s="99" t="n">
        <v>0</v>
      </c>
      <c r="O80" s="42" t="n">
        <v>27964</v>
      </c>
    </row>
    <row r="81" spans="1:15">
      <c r="A81" s="37" t="n">
        <v>75</v>
      </c>
      <c r="B81" s="97" t="s">
        <v>267</v>
      </c>
      <c r="C81" s="121" t="s">
        <v>120</v>
      </c>
      <c r="D81" s="121" t="s">
        <v>128</v>
      </c>
      <c r="E81" s="121" t="s">
        <v>15</v>
      </c>
      <c r="F81" s="121" t="s">
        <v>2635</v>
      </c>
      <c r="G81" s="121" t="s">
        <v>269</v>
      </c>
      <c r="H81" s="99" t="n">
        <v>26728</v>
      </c>
      <c r="I81" s="99" t="n">
        <v>26728</v>
      </c>
      <c r="J81" s="99" t="n">
        <v>0</v>
      </c>
      <c r="K81" s="99" t="n">
        <v>0</v>
      </c>
      <c r="L81" s="99" t="n">
        <v>0</v>
      </c>
      <c r="M81" s="99" t="n">
        <v>0</v>
      </c>
      <c r="N81" s="99" t="n">
        <v>0</v>
      </c>
      <c r="O81" s="42" t="n">
        <v>26728</v>
      </c>
    </row>
    <row r="82" spans="1:15">
      <c r="A82" s="37" t="n">
        <v>76</v>
      </c>
      <c r="B82" s="97" t="s">
        <v>220</v>
      </c>
      <c r="C82" s="121" t="s">
        <v>58</v>
      </c>
      <c r="D82" s="121" t="s">
        <v>20</v>
      </c>
      <c r="E82" s="121" t="s">
        <v>21</v>
      </c>
      <c r="F82" s="121" t="s">
        <v>221</v>
      </c>
      <c r="G82" s="121" t="s">
        <v>223</v>
      </c>
      <c r="H82" s="99" t="n">
        <v>46943</v>
      </c>
      <c r="I82" s="99" t="n">
        <v>46943</v>
      </c>
      <c r="J82" s="99" t="n">
        <v>2347</v>
      </c>
      <c r="K82" s="99" t="n">
        <v>0</v>
      </c>
      <c r="L82" s="99" t="n">
        <v>0</v>
      </c>
      <c r="M82" s="99" t="n">
        <v>0</v>
      </c>
      <c r="N82" s="99" t="n">
        <v>0</v>
      </c>
      <c r="O82" s="42" t="n">
        <v>44596</v>
      </c>
    </row>
    <row r="83" spans="1:15">
      <c r="A83" s="37" t="n">
        <v>77</v>
      </c>
      <c r="B83" s="97" t="s">
        <v>2271</v>
      </c>
      <c r="C83" s="121" t="s">
        <v>58</v>
      </c>
      <c r="D83" s="121" t="s">
        <v>20</v>
      </c>
      <c r="E83" s="121" t="s">
        <v>21</v>
      </c>
      <c r="F83" s="121" t="s">
        <v>2272</v>
      </c>
      <c r="G83" s="121" t="s">
        <v>2273</v>
      </c>
      <c r="H83" s="99" t="n">
        <v>32905</v>
      </c>
      <c r="I83" s="99" t="n">
        <v>32905</v>
      </c>
      <c r="J83" s="99" t="n">
        <v>1645</v>
      </c>
      <c r="K83" s="99" t="n">
        <v>0</v>
      </c>
      <c r="L83" s="99" t="n">
        <v>0</v>
      </c>
      <c r="M83" s="99" t="n">
        <v>0</v>
      </c>
      <c r="N83" s="99" t="n">
        <v>0</v>
      </c>
      <c r="O83" s="42" t="n">
        <v>31260</v>
      </c>
    </row>
    <row r="84" spans="1:15">
      <c r="A84" s="37" t="n">
        <v>78</v>
      </c>
      <c r="B84" s="97" t="s">
        <v>228</v>
      </c>
      <c r="C84" s="121" t="s">
        <v>58</v>
      </c>
      <c r="D84" s="121" t="s">
        <v>20</v>
      </c>
      <c r="E84" s="121" t="s">
        <v>21</v>
      </c>
      <c r="F84" s="121" t="s">
        <v>229</v>
      </c>
      <c r="G84" s="121" t="s">
        <v>231</v>
      </c>
      <c r="H84" s="99" t="n">
        <v>33916</v>
      </c>
      <c r="I84" s="99" t="n">
        <v>33916</v>
      </c>
      <c r="J84" s="99" t="n">
        <v>1696</v>
      </c>
      <c r="K84" s="99" t="n">
        <v>0</v>
      </c>
      <c r="L84" s="99" t="n">
        <v>0</v>
      </c>
      <c r="M84" s="99" t="n">
        <v>0</v>
      </c>
      <c r="N84" s="99" t="n">
        <v>0</v>
      </c>
      <c r="O84" s="42" t="n">
        <v>32220</v>
      </c>
    </row>
    <row r="85" spans="1:15">
      <c r="A85" s="37" t="n">
        <v>80</v>
      </c>
      <c r="B85" s="97" t="s">
        <v>259</v>
      </c>
      <c r="C85" s="121" t="s">
        <v>120</v>
      </c>
      <c r="D85" s="121" t="s">
        <v>124</v>
      </c>
      <c r="E85" s="121" t="s">
        <v>15</v>
      </c>
      <c r="F85" s="121" t="s">
        <v>2636</v>
      </c>
      <c r="G85" s="121" t="s">
        <v>261</v>
      </c>
      <c r="H85" s="99" t="n">
        <v>31557</v>
      </c>
      <c r="I85" s="99" t="n">
        <v>31557</v>
      </c>
      <c r="J85" s="99" t="n">
        <v>0</v>
      </c>
      <c r="K85" s="99" t="n">
        <v>0</v>
      </c>
      <c r="L85" s="99" t="n">
        <v>0</v>
      </c>
      <c r="M85" s="99" t="n">
        <v>0</v>
      </c>
      <c r="N85" s="99" t="n">
        <v>0</v>
      </c>
      <c r="O85" s="42" t="n">
        <v>31557</v>
      </c>
    </row>
    <row r="86" spans="1:15">
      <c r="A86" s="37" t="n">
        <v>81</v>
      </c>
      <c r="B86" s="97" t="s">
        <v>2277</v>
      </c>
      <c r="C86" s="121" t="s">
        <v>120</v>
      </c>
      <c r="D86" s="98" t="n">
        <v>0</v>
      </c>
      <c r="E86" s="121" t="s">
        <v>21</v>
      </c>
      <c r="F86" s="121" t="s">
        <v>2637</v>
      </c>
      <c r="G86" s="121" t="s">
        <v>2278</v>
      </c>
      <c r="H86" s="99" t="n">
        <v>29985</v>
      </c>
      <c r="I86" s="99" t="n">
        <v>29985</v>
      </c>
      <c r="J86" s="99" t="n">
        <v>0</v>
      </c>
      <c r="K86" s="99" t="n">
        <v>0</v>
      </c>
      <c r="L86" s="99" t="n">
        <v>0</v>
      </c>
      <c r="M86" s="99" t="n">
        <v>0</v>
      </c>
      <c r="N86" s="99" t="n">
        <v>0</v>
      </c>
      <c r="O86" s="42" t="n">
        <v>29985</v>
      </c>
    </row>
    <row r="87" spans="1:15">
      <c r="A87" s="37" t="n">
        <v>82</v>
      </c>
      <c r="B87" s="97" t="s">
        <v>236</v>
      </c>
      <c r="C87" s="121" t="s">
        <v>131</v>
      </c>
      <c r="D87" s="121" t="s">
        <v>20</v>
      </c>
      <c r="E87" s="121" t="s">
        <v>21</v>
      </c>
      <c r="F87" s="121" t="s">
        <v>237</v>
      </c>
      <c r="G87" s="121" t="s">
        <v>239</v>
      </c>
      <c r="H87" s="99" t="n">
        <v>32119</v>
      </c>
      <c r="I87" s="99" t="n">
        <v>32119</v>
      </c>
      <c r="J87" s="99" t="n">
        <v>1606</v>
      </c>
      <c r="K87" s="99" t="n">
        <v>0</v>
      </c>
      <c r="L87" s="99" t="n">
        <v>0</v>
      </c>
      <c r="M87" s="99" t="n">
        <v>0</v>
      </c>
      <c r="N87" s="99" t="n">
        <v>0</v>
      </c>
      <c r="O87" s="42" t="n">
        <v>30513</v>
      </c>
    </row>
    <row r="88" spans="1:15">
      <c r="A88" s="37" t="n">
        <v>83</v>
      </c>
      <c r="B88" s="97" t="s">
        <v>546</v>
      </c>
      <c r="C88" s="121" t="s">
        <v>120</v>
      </c>
      <c r="D88" s="121" t="s">
        <v>124</v>
      </c>
      <c r="E88" s="121" t="s">
        <v>15</v>
      </c>
      <c r="F88" s="121" t="s">
        <v>2638</v>
      </c>
      <c r="G88" s="121" t="s">
        <v>547</v>
      </c>
      <c r="H88" s="99" t="n">
        <v>37846</v>
      </c>
      <c r="I88" s="99" t="n">
        <v>37846</v>
      </c>
      <c r="J88" s="99" t="n">
        <v>0</v>
      </c>
      <c r="K88" s="99" t="n">
        <v>0</v>
      </c>
      <c r="L88" s="99" t="n">
        <v>0</v>
      </c>
      <c r="M88" s="99" t="n">
        <v>0</v>
      </c>
      <c r="N88" s="99" t="n">
        <v>0</v>
      </c>
      <c r="O88" s="42" t="n">
        <v>37846</v>
      </c>
    </row>
    <row r="89" spans="1:15">
      <c r="A89" s="37" t="n">
        <v>84</v>
      </c>
      <c r="B89" s="97" t="s">
        <v>347</v>
      </c>
      <c r="C89" s="121" t="s">
        <v>95</v>
      </c>
      <c r="D89" s="121" t="s">
        <v>137</v>
      </c>
      <c r="E89" s="121" t="s">
        <v>14</v>
      </c>
      <c r="F89" s="121" t="s">
        <v>2074</v>
      </c>
      <c r="G89" s="121" t="s">
        <v>348</v>
      </c>
      <c r="H89" s="99" t="n">
        <v>33691</v>
      </c>
      <c r="I89" s="99" t="n">
        <v>33691</v>
      </c>
      <c r="J89" s="99" t="n">
        <v>0</v>
      </c>
      <c r="K89" s="99" t="n">
        <v>0</v>
      </c>
      <c r="L89" s="99" t="n">
        <v>0</v>
      </c>
      <c r="M89" s="99" t="n">
        <v>0</v>
      </c>
      <c r="N89" s="99" t="n">
        <v>0</v>
      </c>
      <c r="O89" s="42" t="n">
        <v>33691</v>
      </c>
    </row>
    <row r="90" spans="1:15">
      <c r="A90" s="37" t="n">
        <v>85</v>
      </c>
      <c r="B90" s="97" t="s">
        <v>2279</v>
      </c>
      <c r="C90" s="121" t="s">
        <v>95</v>
      </c>
      <c r="D90" s="121" t="s">
        <v>128</v>
      </c>
      <c r="E90" s="121" t="s">
        <v>15</v>
      </c>
      <c r="F90" s="121" t="s">
        <v>2074</v>
      </c>
      <c r="G90" s="121" t="s">
        <v>2280</v>
      </c>
      <c r="H90" s="99" t="n">
        <v>20720</v>
      </c>
      <c r="I90" s="99" t="n">
        <v>20720</v>
      </c>
      <c r="J90" s="99" t="n">
        <v>0</v>
      </c>
      <c r="K90" s="99" t="n">
        <v>0</v>
      </c>
      <c r="L90" s="99" t="n">
        <v>0</v>
      </c>
      <c r="M90" s="99" t="n">
        <v>0</v>
      </c>
      <c r="N90" s="99" t="n">
        <v>0</v>
      </c>
      <c r="O90" s="42" t="n">
        <v>20720</v>
      </c>
    </row>
    <row r="91" spans="1:15">
      <c r="A91" s="37" t="n">
        <v>86</v>
      </c>
      <c r="B91" s="97" t="s">
        <v>273</v>
      </c>
      <c r="C91" s="121" t="s">
        <v>58</v>
      </c>
      <c r="D91" s="121" t="s">
        <v>20</v>
      </c>
      <c r="E91" s="121" t="s">
        <v>21</v>
      </c>
      <c r="F91" s="121" t="s">
        <v>274</v>
      </c>
      <c r="G91" s="121" t="s">
        <v>276</v>
      </c>
      <c r="H91" s="99" t="n">
        <v>50312</v>
      </c>
      <c r="I91" s="99" t="n">
        <v>50312</v>
      </c>
      <c r="J91" s="99" t="n">
        <v>2516</v>
      </c>
      <c r="K91" s="99" t="n">
        <v>0</v>
      </c>
      <c r="L91" s="99" t="n">
        <v>0</v>
      </c>
      <c r="M91" s="99" t="n">
        <v>0</v>
      </c>
      <c r="N91" s="99" t="n">
        <v>0</v>
      </c>
      <c r="O91" s="42" t="n">
        <v>47796</v>
      </c>
    </row>
    <row r="92" spans="1:15">
      <c r="A92" s="37" t="n">
        <v>87</v>
      </c>
      <c r="B92" s="97" t="s">
        <v>2281</v>
      </c>
      <c r="C92" s="121" t="s">
        <v>120</v>
      </c>
      <c r="D92" s="98" t="n">
        <v>0</v>
      </c>
      <c r="E92" s="121" t="s">
        <v>21</v>
      </c>
      <c r="F92" s="121" t="s">
        <v>2639</v>
      </c>
      <c r="G92" s="121" t="s">
        <v>2282</v>
      </c>
      <c r="H92" s="99" t="n">
        <v>49863</v>
      </c>
      <c r="I92" s="99" t="n">
        <v>49863</v>
      </c>
      <c r="J92" s="99" t="n">
        <v>0</v>
      </c>
      <c r="K92" s="99" t="n">
        <v>0</v>
      </c>
      <c r="L92" s="99" t="n">
        <v>0</v>
      </c>
      <c r="M92" s="99" t="n">
        <v>0</v>
      </c>
      <c r="N92" s="99" t="n">
        <v>0</v>
      </c>
      <c r="O92" s="42" t="n">
        <v>49863</v>
      </c>
    </row>
    <row r="93" spans="1:15">
      <c r="A93" s="37" t="n">
        <v>88</v>
      </c>
      <c r="B93" s="97" t="s">
        <v>277</v>
      </c>
      <c r="C93" s="121" t="s">
        <v>120</v>
      </c>
      <c r="D93" s="121" t="s">
        <v>278</v>
      </c>
      <c r="E93" s="121" t="s">
        <v>16</v>
      </c>
      <c r="F93" s="121" t="s">
        <v>2640</v>
      </c>
      <c r="G93" s="121" t="s">
        <v>279</v>
      </c>
      <c r="H93" s="99" t="n">
        <v>44472</v>
      </c>
      <c r="I93" s="99" t="n">
        <v>44472</v>
      </c>
      <c r="J93" s="99" t="n">
        <v>0</v>
      </c>
      <c r="K93" s="99" t="n">
        <v>0</v>
      </c>
      <c r="L93" s="99" t="n">
        <v>0</v>
      </c>
      <c r="M93" s="99" t="n">
        <v>0</v>
      </c>
      <c r="N93" s="99" t="n">
        <v>0</v>
      </c>
      <c r="O93" s="42" t="n">
        <v>44472</v>
      </c>
    </row>
    <row r="94" spans="1:15">
      <c r="A94" s="37" t="n">
        <v>89</v>
      </c>
      <c r="B94" s="97" t="s">
        <v>280</v>
      </c>
      <c r="C94" s="121" t="s">
        <v>120</v>
      </c>
      <c r="D94" s="121" t="s">
        <v>128</v>
      </c>
      <c r="E94" s="121" t="s">
        <v>15</v>
      </c>
      <c r="F94" s="121" t="s">
        <v>2641</v>
      </c>
      <c r="G94" s="121" t="s">
        <v>281</v>
      </c>
      <c r="H94" s="99" t="n">
        <v>42563</v>
      </c>
      <c r="I94" s="99" t="n">
        <v>42563</v>
      </c>
      <c r="J94" s="99" t="n">
        <v>0</v>
      </c>
      <c r="K94" s="99" t="n">
        <v>0</v>
      </c>
      <c r="L94" s="99" t="n">
        <v>0</v>
      </c>
      <c r="M94" s="99" t="n">
        <v>0</v>
      </c>
      <c r="N94" s="99" t="n">
        <v>0</v>
      </c>
      <c r="O94" s="42" t="n">
        <v>42563</v>
      </c>
    </row>
    <row r="95" spans="1:15">
      <c r="A95" s="37" t="n">
        <v>90</v>
      </c>
      <c r="B95" s="97" t="s">
        <v>2283</v>
      </c>
      <c r="C95" s="121" t="s">
        <v>120</v>
      </c>
      <c r="D95" s="121" t="s">
        <v>128</v>
      </c>
      <c r="E95" s="121" t="s">
        <v>15</v>
      </c>
      <c r="F95" s="121" t="s">
        <v>2642</v>
      </c>
      <c r="G95" s="121" t="s">
        <v>2284</v>
      </c>
      <c r="H95" s="99" t="n">
        <v>43574</v>
      </c>
      <c r="I95" s="99" t="n">
        <v>43574</v>
      </c>
      <c r="J95" s="99" t="n">
        <v>0</v>
      </c>
      <c r="K95" s="99" t="n">
        <v>0</v>
      </c>
      <c r="L95" s="99" t="n">
        <v>0</v>
      </c>
      <c r="M95" s="99" t="n">
        <v>0</v>
      </c>
      <c r="N95" s="99" t="n">
        <v>0</v>
      </c>
      <c r="O95" s="42" t="n">
        <v>43574</v>
      </c>
    </row>
    <row r="96" spans="1:15">
      <c r="A96" s="37" t="n">
        <v>91</v>
      </c>
      <c r="B96" s="97" t="s">
        <v>2285</v>
      </c>
      <c r="C96" s="121" t="s">
        <v>95</v>
      </c>
      <c r="D96" s="121" t="s">
        <v>124</v>
      </c>
      <c r="E96" s="121" t="s">
        <v>15</v>
      </c>
      <c r="F96" s="121" t="s">
        <v>2074</v>
      </c>
      <c r="G96" s="121" t="s">
        <v>2286</v>
      </c>
      <c r="H96" s="99" t="n">
        <v>41359</v>
      </c>
      <c r="I96" s="99" t="n">
        <v>41359</v>
      </c>
      <c r="J96" s="99" t="n">
        <v>0</v>
      </c>
      <c r="K96" s="99" t="n">
        <v>0</v>
      </c>
      <c r="L96" s="99" t="n">
        <v>0</v>
      </c>
      <c r="M96" s="99" t="n">
        <v>0</v>
      </c>
      <c r="N96" s="99" t="n">
        <v>0</v>
      </c>
      <c r="O96" s="42" t="n">
        <v>41359</v>
      </c>
    </row>
    <row r="97" spans="1:15">
      <c r="A97" s="37" t="n">
        <v>92</v>
      </c>
      <c r="B97" s="97" t="s">
        <v>2287</v>
      </c>
      <c r="C97" s="121" t="s">
        <v>95</v>
      </c>
      <c r="D97" s="121" t="s">
        <v>137</v>
      </c>
      <c r="E97" s="121" t="s">
        <v>14</v>
      </c>
      <c r="F97" s="121" t="s">
        <v>2074</v>
      </c>
      <c r="G97" s="121" t="s">
        <v>2288</v>
      </c>
      <c r="H97" s="99" t="n">
        <v>41440</v>
      </c>
      <c r="I97" s="99" t="n">
        <v>41440</v>
      </c>
      <c r="J97" s="99" t="n">
        <v>0</v>
      </c>
      <c r="K97" s="99" t="n">
        <v>0</v>
      </c>
      <c r="L97" s="99" t="n">
        <v>0</v>
      </c>
      <c r="M97" s="99" t="n">
        <v>0</v>
      </c>
      <c r="N97" s="99" t="n">
        <v>0</v>
      </c>
      <c r="O97" s="42" t="n">
        <v>41440</v>
      </c>
    </row>
    <row r="98" spans="1:15">
      <c r="A98" s="37" t="n">
        <v>93</v>
      </c>
      <c r="B98" s="97" t="s">
        <v>2289</v>
      </c>
      <c r="C98" s="121" t="s">
        <v>58</v>
      </c>
      <c r="D98" s="121" t="s">
        <v>20</v>
      </c>
      <c r="E98" s="121" t="s">
        <v>21</v>
      </c>
      <c r="F98" s="121" t="s">
        <v>2290</v>
      </c>
      <c r="G98" s="121" t="s">
        <v>2291</v>
      </c>
      <c r="H98" s="99" t="n">
        <v>41777</v>
      </c>
      <c r="I98" s="99" t="n">
        <v>41777</v>
      </c>
      <c r="J98" s="99" t="n">
        <v>2089</v>
      </c>
      <c r="K98" s="99" t="n">
        <v>0</v>
      </c>
      <c r="L98" s="99" t="n">
        <v>0</v>
      </c>
      <c r="M98" s="99" t="n">
        <v>0</v>
      </c>
      <c r="N98" s="99" t="n">
        <v>0</v>
      </c>
      <c r="O98" s="42" t="n">
        <v>39688</v>
      </c>
    </row>
    <row r="99" spans="1:15">
      <c r="A99" s="37" t="n">
        <v>94</v>
      </c>
      <c r="B99" s="97" t="s">
        <v>299</v>
      </c>
      <c r="C99" s="121" t="s">
        <v>58</v>
      </c>
      <c r="D99" s="121" t="s">
        <v>20</v>
      </c>
      <c r="E99" s="121" t="s">
        <v>21</v>
      </c>
      <c r="F99" s="121" t="s">
        <v>300</v>
      </c>
      <c r="G99" s="121" t="s">
        <v>302</v>
      </c>
      <c r="H99" s="99" t="n">
        <v>41440</v>
      </c>
      <c r="I99" s="99" t="n">
        <v>41440</v>
      </c>
      <c r="J99" s="99" t="n">
        <v>2072</v>
      </c>
      <c r="K99" s="99" t="n">
        <v>0</v>
      </c>
      <c r="L99" s="99" t="n">
        <v>0</v>
      </c>
      <c r="M99" s="99" t="n">
        <v>0</v>
      </c>
      <c r="N99" s="99" t="n">
        <v>0</v>
      </c>
      <c r="O99" s="42" t="n">
        <v>39368</v>
      </c>
    </row>
    <row r="100" spans="1:15">
      <c r="A100" s="37" t="n">
        <v>95</v>
      </c>
      <c r="B100" s="97" t="s">
        <v>2292</v>
      </c>
      <c r="C100" s="121" t="s">
        <v>58</v>
      </c>
      <c r="D100" s="121" t="s">
        <v>20</v>
      </c>
      <c r="E100" s="121" t="s">
        <v>21</v>
      </c>
      <c r="F100" s="121" t="s">
        <v>2293</v>
      </c>
      <c r="G100" s="121" t="s">
        <v>2294</v>
      </c>
      <c r="H100" s="99" t="n">
        <v>39980</v>
      </c>
      <c r="I100" s="99" t="n">
        <v>39980</v>
      </c>
      <c r="J100" s="99" t="n">
        <v>1999</v>
      </c>
      <c r="K100" s="99" t="n">
        <v>0</v>
      </c>
      <c r="L100" s="99" t="n">
        <v>0</v>
      </c>
      <c r="M100" s="99" t="n">
        <v>0</v>
      </c>
      <c r="N100" s="99" t="n">
        <v>0</v>
      </c>
      <c r="O100" s="42" t="n">
        <v>37981</v>
      </c>
    </row>
    <row r="101" spans="1:15">
      <c r="A101" s="37" t="n">
        <v>96</v>
      </c>
      <c r="B101" s="97" t="s">
        <v>2295</v>
      </c>
      <c r="C101" s="121" t="s">
        <v>58</v>
      </c>
      <c r="D101" s="121" t="s">
        <v>20</v>
      </c>
      <c r="E101" s="121" t="s">
        <v>21</v>
      </c>
      <c r="F101" s="121" t="s">
        <v>2074</v>
      </c>
      <c r="G101" s="121" t="s">
        <v>2296</v>
      </c>
      <c r="H101" s="99" t="n">
        <v>39980</v>
      </c>
      <c r="I101" s="99" t="n">
        <v>39980</v>
      </c>
      <c r="J101" s="99" t="n">
        <v>1999</v>
      </c>
      <c r="K101" s="99" t="n">
        <v>0</v>
      </c>
      <c r="L101" s="99" t="n">
        <v>0</v>
      </c>
      <c r="M101" s="99" t="n">
        <v>0</v>
      </c>
      <c r="N101" s="99" t="n">
        <v>0</v>
      </c>
      <c r="O101" s="42" t="n">
        <v>37981</v>
      </c>
    </row>
    <row r="102" spans="1:15">
      <c r="A102" s="37" t="n">
        <v>97</v>
      </c>
      <c r="B102" s="97" t="s">
        <v>295</v>
      </c>
      <c r="C102" s="121" t="s">
        <v>58</v>
      </c>
      <c r="D102" s="121" t="s">
        <v>20</v>
      </c>
      <c r="E102" s="121" t="s">
        <v>21</v>
      </c>
      <c r="F102" s="121" t="s">
        <v>296</v>
      </c>
      <c r="G102" s="121" t="s">
        <v>298</v>
      </c>
      <c r="H102" s="99" t="n">
        <v>39980</v>
      </c>
      <c r="I102" s="99" t="n">
        <v>39980</v>
      </c>
      <c r="J102" s="99" t="n">
        <v>1999</v>
      </c>
      <c r="K102" s="99" t="n">
        <v>0</v>
      </c>
      <c r="L102" s="99" t="n">
        <v>0</v>
      </c>
      <c r="M102" s="99" t="n">
        <v>0</v>
      </c>
      <c r="N102" s="99" t="n">
        <v>0</v>
      </c>
      <c r="O102" s="42" t="n">
        <v>37981</v>
      </c>
    </row>
    <row r="103" spans="1:15">
      <c r="A103" s="37" t="n">
        <v>98</v>
      </c>
      <c r="B103" s="97" t="s">
        <v>303</v>
      </c>
      <c r="C103" s="121" t="s">
        <v>111</v>
      </c>
      <c r="D103" s="121" t="s">
        <v>20</v>
      </c>
      <c r="E103" s="121" t="s">
        <v>21</v>
      </c>
      <c r="F103" s="121" t="s">
        <v>304</v>
      </c>
      <c r="G103" s="121" t="s">
        <v>306</v>
      </c>
      <c r="H103" s="99" t="n">
        <v>39306</v>
      </c>
      <c r="I103" s="99" t="n">
        <v>39306</v>
      </c>
      <c r="J103" s="99" t="n">
        <v>0</v>
      </c>
      <c r="K103" s="99" t="n">
        <v>0</v>
      </c>
      <c r="L103" s="99" t="n">
        <v>0</v>
      </c>
      <c r="M103" s="99" t="n">
        <v>0</v>
      </c>
      <c r="N103" s="99" t="n">
        <v>0</v>
      </c>
      <c r="O103" s="42" t="n">
        <v>39306</v>
      </c>
    </row>
    <row r="104" spans="1:15">
      <c r="A104" s="37" t="n">
        <v>99</v>
      </c>
      <c r="B104" s="97" t="s">
        <v>247</v>
      </c>
      <c r="C104" s="121" t="s">
        <v>111</v>
      </c>
      <c r="D104" s="121" t="s">
        <v>20</v>
      </c>
      <c r="E104" s="121" t="s">
        <v>21</v>
      </c>
      <c r="F104" s="121" t="s">
        <v>248</v>
      </c>
      <c r="G104" s="121" t="s">
        <v>249</v>
      </c>
      <c r="H104" s="99" t="n">
        <v>33130</v>
      </c>
      <c r="I104" s="99" t="n">
        <v>33130</v>
      </c>
      <c r="J104" s="99" t="n">
        <v>0</v>
      </c>
      <c r="K104" s="99" t="n">
        <v>0</v>
      </c>
      <c r="L104" s="99" t="n">
        <v>0</v>
      </c>
      <c r="M104" s="99" t="n">
        <v>0</v>
      </c>
      <c r="N104" s="99" t="n">
        <v>0</v>
      </c>
      <c r="O104" s="42" t="n">
        <v>33130</v>
      </c>
    </row>
    <row r="105" spans="1:15">
      <c r="A105" s="37" t="n">
        <v>100</v>
      </c>
      <c r="B105" s="97" t="s">
        <v>307</v>
      </c>
      <c r="C105" s="121" t="s">
        <v>58</v>
      </c>
      <c r="D105" s="121" t="s">
        <v>20</v>
      </c>
      <c r="E105" s="121" t="s">
        <v>21</v>
      </c>
      <c r="F105" s="121" t="s">
        <v>308</v>
      </c>
      <c r="G105" s="121" t="s">
        <v>309</v>
      </c>
      <c r="H105" s="99" t="n">
        <v>78500</v>
      </c>
      <c r="I105" s="99" t="n">
        <v>78500</v>
      </c>
      <c r="J105" s="99" t="n">
        <v>3925</v>
      </c>
      <c r="K105" s="99" t="n">
        <v>0</v>
      </c>
      <c r="L105" s="99" t="n">
        <v>0</v>
      </c>
      <c r="M105" s="99" t="n">
        <v>0</v>
      </c>
      <c r="N105" s="99" t="n">
        <v>0</v>
      </c>
      <c r="O105" s="42" t="n">
        <v>74575</v>
      </c>
    </row>
    <row r="106" spans="1:15">
      <c r="A106" s="37" t="n">
        <v>101</v>
      </c>
      <c r="B106" s="97" t="s">
        <v>783</v>
      </c>
      <c r="C106" s="121" t="s">
        <v>58</v>
      </c>
      <c r="D106" s="121" t="s">
        <v>20</v>
      </c>
      <c r="E106" s="121" t="s">
        <v>21</v>
      </c>
      <c r="F106" s="121" t="s">
        <v>784</v>
      </c>
      <c r="G106" s="121" t="s">
        <v>785</v>
      </c>
      <c r="H106" s="99" t="n">
        <v>78500</v>
      </c>
      <c r="I106" s="99" t="n">
        <v>78500</v>
      </c>
      <c r="J106" s="99" t="n">
        <v>3925</v>
      </c>
      <c r="K106" s="99" t="n">
        <v>0</v>
      </c>
      <c r="L106" s="99" t="n">
        <v>0</v>
      </c>
      <c r="M106" s="99" t="n">
        <v>0</v>
      </c>
      <c r="N106" s="99" t="n">
        <v>0</v>
      </c>
      <c r="O106" s="42" t="n">
        <v>74575</v>
      </c>
    </row>
    <row r="107" spans="1:15">
      <c r="A107" s="37" t="n">
        <v>102</v>
      </c>
      <c r="B107" s="97" t="s">
        <v>1088</v>
      </c>
      <c r="C107" s="121" t="s">
        <v>58</v>
      </c>
      <c r="D107" s="121" t="s">
        <v>20</v>
      </c>
      <c r="E107" s="121" t="s">
        <v>21</v>
      </c>
      <c r="F107" s="121" t="s">
        <v>1089</v>
      </c>
      <c r="G107" s="121" t="s">
        <v>1091</v>
      </c>
      <c r="H107" s="99" t="n">
        <v>78500</v>
      </c>
      <c r="I107" s="99" t="n">
        <v>78500</v>
      </c>
      <c r="J107" s="99" t="n">
        <v>3925</v>
      </c>
      <c r="K107" s="99" t="n">
        <v>0</v>
      </c>
      <c r="L107" s="99" t="n">
        <v>0</v>
      </c>
      <c r="M107" s="99" t="n">
        <v>0</v>
      </c>
      <c r="N107" s="99" t="n">
        <v>0</v>
      </c>
      <c r="O107" s="42" t="n">
        <v>74575</v>
      </c>
    </row>
    <row r="108" spans="1:15">
      <c r="A108" s="37" t="n">
        <v>104</v>
      </c>
      <c r="B108" s="97" t="s">
        <v>74</v>
      </c>
      <c r="C108" s="121" t="s">
        <v>58</v>
      </c>
      <c r="D108" s="121" t="s">
        <v>20</v>
      </c>
      <c r="E108" s="121" t="s">
        <v>21</v>
      </c>
      <c r="F108" s="121" t="s">
        <v>75</v>
      </c>
      <c r="G108" s="121" t="s">
        <v>77</v>
      </c>
      <c r="H108" s="99" t="n">
        <v>35713</v>
      </c>
      <c r="I108" s="99" t="n">
        <v>35713</v>
      </c>
      <c r="J108" s="99" t="n">
        <v>1786</v>
      </c>
      <c r="K108" s="99" t="n">
        <v>0</v>
      </c>
      <c r="L108" s="99" t="n">
        <v>0</v>
      </c>
      <c r="M108" s="99" t="n">
        <v>0</v>
      </c>
      <c r="N108" s="99" t="n">
        <v>0</v>
      </c>
      <c r="O108" s="42" t="n">
        <v>33927</v>
      </c>
    </row>
    <row r="109" spans="1:15">
      <c r="A109" s="37" t="n">
        <v>105</v>
      </c>
      <c r="B109" s="97" t="s">
        <v>2297</v>
      </c>
      <c r="C109" s="121" t="s">
        <v>111</v>
      </c>
      <c r="D109" s="121" t="s">
        <v>20</v>
      </c>
      <c r="E109" s="121" t="s">
        <v>21</v>
      </c>
      <c r="F109" s="121" t="s">
        <v>2074</v>
      </c>
      <c r="G109" s="121" t="s">
        <v>2298</v>
      </c>
      <c r="H109" s="99" t="n">
        <v>33354</v>
      </c>
      <c r="I109" s="99" t="n">
        <v>33354</v>
      </c>
      <c r="J109" s="99" t="n">
        <v>0</v>
      </c>
      <c r="K109" s="99" t="n">
        <v>0</v>
      </c>
      <c r="L109" s="99" t="n">
        <v>0</v>
      </c>
      <c r="M109" s="99" t="n">
        <v>0</v>
      </c>
      <c r="N109" s="99" t="n">
        <v>0</v>
      </c>
      <c r="O109" s="42" t="n">
        <v>33354</v>
      </c>
    </row>
    <row r="110" spans="1:15">
      <c r="A110" s="37" t="n">
        <v>106</v>
      </c>
      <c r="B110" s="97" t="s">
        <v>240</v>
      </c>
      <c r="C110" s="121" t="s">
        <v>131</v>
      </c>
      <c r="D110" s="121" t="s">
        <v>20</v>
      </c>
      <c r="E110" s="121" t="s">
        <v>21</v>
      </c>
      <c r="F110" s="121" t="s">
        <v>241</v>
      </c>
      <c r="G110" s="121" t="s">
        <v>242</v>
      </c>
      <c r="H110" s="99" t="n">
        <v>37060</v>
      </c>
      <c r="I110" s="99" t="n">
        <v>37060</v>
      </c>
      <c r="J110" s="99" t="n">
        <v>1853</v>
      </c>
      <c r="K110" s="99" t="n">
        <v>0</v>
      </c>
      <c r="L110" s="99" t="n">
        <v>0</v>
      </c>
      <c r="M110" s="99" t="n">
        <v>0</v>
      </c>
      <c r="N110" s="99" t="n">
        <v>0</v>
      </c>
      <c r="O110" s="42" t="n">
        <v>35207</v>
      </c>
    </row>
    <row r="111" spans="1:15">
      <c r="A111" s="37" t="n">
        <v>107</v>
      </c>
      <c r="B111" s="97" t="s">
        <v>331</v>
      </c>
      <c r="C111" s="121" t="s">
        <v>58</v>
      </c>
      <c r="D111" s="121" t="s">
        <v>20</v>
      </c>
      <c r="E111" s="121" t="s">
        <v>21</v>
      </c>
      <c r="F111" s="121" t="s">
        <v>332</v>
      </c>
      <c r="G111" s="121" t="s">
        <v>334</v>
      </c>
      <c r="H111" s="99" t="n">
        <v>34140</v>
      </c>
      <c r="I111" s="99" t="n">
        <v>34140</v>
      </c>
      <c r="J111" s="99" t="n">
        <v>1707</v>
      </c>
      <c r="K111" s="99" t="n">
        <v>0</v>
      </c>
      <c r="L111" s="99" t="n">
        <v>0</v>
      </c>
      <c r="M111" s="99" t="n">
        <v>0</v>
      </c>
      <c r="N111" s="99" t="n">
        <v>0</v>
      </c>
      <c r="O111" s="42" t="n">
        <v>32433</v>
      </c>
    </row>
    <row r="112" spans="1:15">
      <c r="A112" s="37" t="n">
        <v>108</v>
      </c>
      <c r="B112" s="97" t="s">
        <v>325</v>
      </c>
      <c r="C112" s="121" t="s">
        <v>131</v>
      </c>
      <c r="D112" s="121" t="s">
        <v>20</v>
      </c>
      <c r="E112" s="121" t="s">
        <v>21</v>
      </c>
      <c r="F112" s="121" t="s">
        <v>326</v>
      </c>
      <c r="G112" s="121" t="s">
        <v>327</v>
      </c>
      <c r="H112" s="99" t="n">
        <v>26616</v>
      </c>
      <c r="I112" s="99" t="n">
        <v>26616</v>
      </c>
      <c r="J112" s="99" t="n">
        <v>1331</v>
      </c>
      <c r="K112" s="99" t="n">
        <v>0</v>
      </c>
      <c r="L112" s="99" t="n">
        <v>0</v>
      </c>
      <c r="M112" s="99" t="n">
        <v>0</v>
      </c>
      <c r="N112" s="99" t="n">
        <v>0</v>
      </c>
      <c r="O112" s="42" t="n">
        <v>25285</v>
      </c>
    </row>
    <row r="113" spans="1:15">
      <c r="A113" s="37" t="n">
        <v>109</v>
      </c>
      <c r="B113" s="97" t="s">
        <v>2305</v>
      </c>
      <c r="C113" s="121" t="s">
        <v>120</v>
      </c>
      <c r="D113" s="121" t="s">
        <v>20</v>
      </c>
      <c r="E113" s="121" t="s">
        <v>21</v>
      </c>
      <c r="F113" s="121" t="s">
        <v>2643</v>
      </c>
      <c r="G113" s="121" t="s">
        <v>2306</v>
      </c>
      <c r="H113" s="99" t="n">
        <v>51884</v>
      </c>
      <c r="I113" s="99" t="n">
        <v>51884</v>
      </c>
      <c r="J113" s="99" t="n">
        <v>0</v>
      </c>
      <c r="K113" s="99" t="n">
        <v>0</v>
      </c>
      <c r="L113" s="99" t="n">
        <v>0</v>
      </c>
      <c r="M113" s="99" t="n">
        <v>0</v>
      </c>
      <c r="N113" s="99" t="n">
        <v>0</v>
      </c>
      <c r="O113" s="42" t="n">
        <v>51884</v>
      </c>
    </row>
    <row r="114" spans="1:15">
      <c r="A114" s="37" t="n">
        <v>110</v>
      </c>
      <c r="B114" s="97" t="s">
        <v>345</v>
      </c>
      <c r="C114" s="121" t="s">
        <v>120</v>
      </c>
      <c r="D114" s="121" t="s">
        <v>128</v>
      </c>
      <c r="E114" s="121" t="s">
        <v>15</v>
      </c>
      <c r="F114" s="121" t="s">
        <v>2644</v>
      </c>
      <c r="G114" s="121" t="s">
        <v>346</v>
      </c>
      <c r="H114" s="99" t="n">
        <v>30771</v>
      </c>
      <c r="I114" s="99" t="n">
        <v>30771</v>
      </c>
      <c r="J114" s="99" t="n">
        <v>0</v>
      </c>
      <c r="K114" s="99" t="n">
        <v>0</v>
      </c>
      <c r="L114" s="99" t="n">
        <v>0</v>
      </c>
      <c r="M114" s="99" t="n">
        <v>0</v>
      </c>
      <c r="N114" s="99" t="n">
        <v>0</v>
      </c>
      <c r="O114" s="42" t="n">
        <v>30771</v>
      </c>
    </row>
    <row r="115" spans="1:15">
      <c r="A115" s="37" t="n">
        <v>111</v>
      </c>
      <c r="B115" s="97" t="s">
        <v>328</v>
      </c>
      <c r="C115" s="121" t="s">
        <v>131</v>
      </c>
      <c r="D115" s="121" t="s">
        <v>20</v>
      </c>
      <c r="E115" s="121" t="s">
        <v>21</v>
      </c>
      <c r="F115" s="121" t="s">
        <v>329</v>
      </c>
      <c r="G115" s="121" t="s">
        <v>330</v>
      </c>
      <c r="H115" s="99" t="n">
        <v>34140</v>
      </c>
      <c r="I115" s="99" t="n">
        <v>34140</v>
      </c>
      <c r="J115" s="99" t="n">
        <v>1707</v>
      </c>
      <c r="K115" s="99" t="n">
        <v>0</v>
      </c>
      <c r="L115" s="99" t="n">
        <v>0</v>
      </c>
      <c r="M115" s="99" t="n">
        <v>0</v>
      </c>
      <c r="N115" s="99" t="n">
        <v>0</v>
      </c>
      <c r="O115" s="42" t="n">
        <v>32433</v>
      </c>
    </row>
    <row r="116" spans="1:15">
      <c r="A116" s="37" t="n">
        <v>112</v>
      </c>
      <c r="B116" s="97" t="s">
        <v>2307</v>
      </c>
      <c r="C116" s="121" t="s">
        <v>120</v>
      </c>
      <c r="D116" s="121" t="s">
        <v>124</v>
      </c>
      <c r="E116" s="121" t="s">
        <v>15</v>
      </c>
      <c r="F116" s="121" t="s">
        <v>2645</v>
      </c>
      <c r="G116" s="121" t="s">
        <v>2308</v>
      </c>
      <c r="H116" s="99" t="n">
        <v>20973</v>
      </c>
      <c r="I116" s="99" t="n">
        <v>20973</v>
      </c>
      <c r="J116" s="99" t="n">
        <v>0</v>
      </c>
      <c r="K116" s="99" t="n">
        <v>0</v>
      </c>
      <c r="L116" s="99" t="n">
        <v>0</v>
      </c>
      <c r="M116" s="99" t="n">
        <v>0</v>
      </c>
      <c r="N116" s="99" t="n">
        <v>0</v>
      </c>
      <c r="O116" s="42" t="n">
        <v>20973</v>
      </c>
    </row>
    <row r="117" spans="1:15">
      <c r="A117" s="37" t="n">
        <v>113</v>
      </c>
      <c r="B117" s="97" t="s">
        <v>375</v>
      </c>
      <c r="C117" s="121" t="s">
        <v>120</v>
      </c>
      <c r="D117" s="121" t="s">
        <v>128</v>
      </c>
      <c r="E117" s="121" t="s">
        <v>15</v>
      </c>
      <c r="F117" s="121" t="s">
        <v>2646</v>
      </c>
      <c r="G117" s="121" t="s">
        <v>376</v>
      </c>
      <c r="H117" s="99" t="n">
        <v>27964</v>
      </c>
      <c r="I117" s="99" t="n">
        <v>27964</v>
      </c>
      <c r="J117" s="99" t="n">
        <v>0</v>
      </c>
      <c r="K117" s="99" t="n">
        <v>0</v>
      </c>
      <c r="L117" s="99" t="n">
        <v>0</v>
      </c>
      <c r="M117" s="99" t="n">
        <v>0</v>
      </c>
      <c r="N117" s="99" t="n">
        <v>0</v>
      </c>
      <c r="O117" s="42" t="n">
        <v>27964</v>
      </c>
    </row>
    <row r="118" spans="1:15">
      <c r="A118" s="37" t="n">
        <v>114</v>
      </c>
      <c r="B118" s="97" t="s">
        <v>377</v>
      </c>
      <c r="C118" s="121" t="s">
        <v>95</v>
      </c>
      <c r="D118" s="121" t="s">
        <v>128</v>
      </c>
      <c r="E118" s="121" t="s">
        <v>15</v>
      </c>
      <c r="F118" s="121" t="s">
        <v>2074</v>
      </c>
      <c r="G118" s="121" t="s">
        <v>378</v>
      </c>
      <c r="H118" s="99" t="n">
        <v>27964</v>
      </c>
      <c r="I118" s="99" t="n">
        <v>27964</v>
      </c>
      <c r="J118" s="99" t="n">
        <v>0</v>
      </c>
      <c r="K118" s="99" t="n">
        <v>0</v>
      </c>
      <c r="L118" s="99" t="n">
        <v>0</v>
      </c>
      <c r="M118" s="99" t="n">
        <v>0</v>
      </c>
      <c r="N118" s="99" t="n">
        <v>0</v>
      </c>
      <c r="O118" s="42" t="n">
        <v>27964</v>
      </c>
    </row>
    <row r="119" spans="1:15">
      <c r="A119" s="37" t="n">
        <v>115</v>
      </c>
      <c r="B119" s="97" t="s">
        <v>136</v>
      </c>
      <c r="C119" s="121" t="s">
        <v>95</v>
      </c>
      <c r="D119" s="121" t="s">
        <v>137</v>
      </c>
      <c r="E119" s="121" t="s">
        <v>14</v>
      </c>
      <c r="F119" s="121" t="s">
        <v>2074</v>
      </c>
      <c r="G119" s="121" t="s">
        <v>139</v>
      </c>
      <c r="H119" s="99" t="n">
        <v>34140</v>
      </c>
      <c r="I119" s="99" t="n">
        <v>34140</v>
      </c>
      <c r="J119" s="99" t="n">
        <v>0</v>
      </c>
      <c r="K119" s="99" t="n">
        <v>0</v>
      </c>
      <c r="L119" s="99" t="n">
        <v>0</v>
      </c>
      <c r="M119" s="99" t="n">
        <v>0</v>
      </c>
      <c r="N119" s="99" t="n">
        <v>0</v>
      </c>
      <c r="O119" s="42" t="n">
        <v>34140</v>
      </c>
    </row>
    <row r="120" spans="1:15">
      <c r="A120" s="37" t="n">
        <v>116</v>
      </c>
      <c r="B120" s="97" t="s">
        <v>134</v>
      </c>
      <c r="C120" s="121" t="s">
        <v>95</v>
      </c>
      <c r="D120" s="121" t="s">
        <v>124</v>
      </c>
      <c r="E120" s="121" t="s">
        <v>15</v>
      </c>
      <c r="F120" s="121" t="s">
        <v>2074</v>
      </c>
      <c r="G120" s="121" t="s">
        <v>135</v>
      </c>
      <c r="H120" s="99" t="n">
        <v>34140</v>
      </c>
      <c r="I120" s="99" t="n">
        <v>34140</v>
      </c>
      <c r="J120" s="99" t="n">
        <v>0</v>
      </c>
      <c r="K120" s="99" t="n">
        <v>0</v>
      </c>
      <c r="L120" s="99" t="n">
        <v>0</v>
      </c>
      <c r="M120" s="99" t="n">
        <v>0</v>
      </c>
      <c r="N120" s="99" t="n">
        <v>0</v>
      </c>
      <c r="O120" s="42" t="n">
        <v>34140</v>
      </c>
    </row>
    <row r="121" spans="1:15">
      <c r="A121" s="37" t="n">
        <v>117</v>
      </c>
      <c r="B121" s="97" t="s">
        <v>338</v>
      </c>
      <c r="C121" s="121" t="s">
        <v>95</v>
      </c>
      <c r="D121" s="121" t="s">
        <v>124</v>
      </c>
      <c r="E121" s="121" t="s">
        <v>15</v>
      </c>
      <c r="F121" s="121" t="s">
        <v>2074</v>
      </c>
      <c r="G121" s="121" t="s">
        <v>340</v>
      </c>
      <c r="H121" s="99" t="n">
        <v>34140</v>
      </c>
      <c r="I121" s="99" t="n">
        <v>34140</v>
      </c>
      <c r="J121" s="99" t="n">
        <v>0</v>
      </c>
      <c r="K121" s="99" t="n">
        <v>0</v>
      </c>
      <c r="L121" s="99" t="n">
        <v>0</v>
      </c>
      <c r="M121" s="99" t="n">
        <v>0</v>
      </c>
      <c r="N121" s="99" t="n">
        <v>0</v>
      </c>
      <c r="O121" s="42" t="n">
        <v>34140</v>
      </c>
    </row>
    <row r="122" spans="1:15">
      <c r="A122" s="37" t="n">
        <v>118</v>
      </c>
      <c r="B122" s="97" t="s">
        <v>2309</v>
      </c>
      <c r="C122" s="121" t="s">
        <v>95</v>
      </c>
      <c r="D122" s="121" t="s">
        <v>137</v>
      </c>
      <c r="E122" s="121" t="s">
        <v>14</v>
      </c>
      <c r="F122" s="121" t="s">
        <v>2074</v>
      </c>
      <c r="G122" s="121" t="s">
        <v>2310</v>
      </c>
      <c r="H122" s="99" t="n">
        <v>27964</v>
      </c>
      <c r="I122" s="99" t="n">
        <v>27964</v>
      </c>
      <c r="J122" s="99" t="n">
        <v>0</v>
      </c>
      <c r="K122" s="99" t="n">
        <v>0</v>
      </c>
      <c r="L122" s="99" t="n">
        <v>0</v>
      </c>
      <c r="M122" s="99" t="n">
        <v>0</v>
      </c>
      <c r="N122" s="99" t="n">
        <v>0</v>
      </c>
      <c r="O122" s="42" t="n">
        <v>27964</v>
      </c>
    </row>
    <row r="123" spans="1:15">
      <c r="A123" s="37" t="n">
        <v>119</v>
      </c>
      <c r="B123" s="97" t="s">
        <v>384</v>
      </c>
      <c r="C123" s="121" t="s">
        <v>95</v>
      </c>
      <c r="D123" s="121" t="s">
        <v>124</v>
      </c>
      <c r="E123" s="121" t="s">
        <v>15</v>
      </c>
      <c r="F123" s="121" t="s">
        <v>2074</v>
      </c>
      <c r="G123" s="121" t="s">
        <v>385</v>
      </c>
      <c r="H123" s="99" t="n">
        <v>20973</v>
      </c>
      <c r="I123" s="99" t="n">
        <v>20973</v>
      </c>
      <c r="J123" s="99" t="n">
        <v>0</v>
      </c>
      <c r="K123" s="99" t="n">
        <v>0</v>
      </c>
      <c r="L123" s="99" t="n">
        <v>0</v>
      </c>
      <c r="M123" s="99" t="n">
        <v>0</v>
      </c>
      <c r="N123" s="99" t="n">
        <v>0</v>
      </c>
      <c r="O123" s="42" t="n">
        <v>20973</v>
      </c>
    </row>
    <row r="124" spans="1:15">
      <c r="A124" s="37" t="n">
        <v>120</v>
      </c>
      <c r="B124" s="97" t="s">
        <v>382</v>
      </c>
      <c r="C124" s="121" t="s">
        <v>95</v>
      </c>
      <c r="D124" s="121" t="s">
        <v>137</v>
      </c>
      <c r="E124" s="121" t="s">
        <v>14</v>
      </c>
      <c r="F124" s="121" t="s">
        <v>2074</v>
      </c>
      <c r="G124" s="121" t="s">
        <v>383</v>
      </c>
      <c r="H124" s="99" t="n">
        <v>30771</v>
      </c>
      <c r="I124" s="99" t="n">
        <v>30771</v>
      </c>
      <c r="J124" s="99" t="n">
        <v>0</v>
      </c>
      <c r="K124" s="99" t="n">
        <v>0</v>
      </c>
      <c r="L124" s="99" t="n">
        <v>0</v>
      </c>
      <c r="M124" s="99" t="n">
        <v>0</v>
      </c>
      <c r="N124" s="99" t="n">
        <v>0</v>
      </c>
      <c r="O124" s="42" t="n">
        <v>30771</v>
      </c>
    </row>
    <row r="125" spans="1:15">
      <c r="A125" s="37" t="n">
        <v>121</v>
      </c>
      <c r="B125" s="97" t="s">
        <v>130</v>
      </c>
      <c r="C125" s="121" t="s">
        <v>131</v>
      </c>
      <c r="D125" s="121" t="s">
        <v>20</v>
      </c>
      <c r="E125" s="121" t="s">
        <v>21</v>
      </c>
      <c r="F125" s="121" t="s">
        <v>132</v>
      </c>
      <c r="G125" s="121" t="s">
        <v>133</v>
      </c>
      <c r="H125" s="99" t="n">
        <v>34140</v>
      </c>
      <c r="I125" s="99" t="n">
        <v>34140</v>
      </c>
      <c r="J125" s="99" t="n">
        <v>1707</v>
      </c>
      <c r="K125" s="99" t="n">
        <v>0</v>
      </c>
      <c r="L125" s="99" t="n">
        <v>0</v>
      </c>
      <c r="M125" s="99" t="n">
        <v>0</v>
      </c>
      <c r="N125" s="99" t="n">
        <v>0</v>
      </c>
      <c r="O125" s="42" t="n">
        <v>32433</v>
      </c>
    </row>
    <row r="126" spans="1:15">
      <c r="A126" s="37" t="n">
        <v>122</v>
      </c>
      <c r="B126" s="97" t="s">
        <v>176</v>
      </c>
      <c r="C126" s="121" t="s">
        <v>58</v>
      </c>
      <c r="D126" s="121" t="s">
        <v>20</v>
      </c>
      <c r="E126" s="121" t="s">
        <v>21</v>
      </c>
      <c r="F126" s="121" t="s">
        <v>177</v>
      </c>
      <c r="G126" s="121" t="s">
        <v>179</v>
      </c>
      <c r="H126" s="99" t="n">
        <v>27964</v>
      </c>
      <c r="I126" s="99" t="n">
        <v>27964</v>
      </c>
      <c r="J126" s="99" t="n">
        <v>1398</v>
      </c>
      <c r="K126" s="99" t="n">
        <v>0</v>
      </c>
      <c r="L126" s="99" t="n">
        <v>0</v>
      </c>
      <c r="M126" s="99" t="n">
        <v>0</v>
      </c>
      <c r="N126" s="99" t="n">
        <v>0</v>
      </c>
      <c r="O126" s="42" t="n">
        <v>26566</v>
      </c>
    </row>
    <row r="127" spans="1:15">
      <c r="A127" s="37" t="n">
        <v>123</v>
      </c>
      <c r="B127" s="97" t="s">
        <v>356</v>
      </c>
      <c r="C127" s="121" t="s">
        <v>58</v>
      </c>
      <c r="D127" s="121" t="s">
        <v>20</v>
      </c>
      <c r="E127" s="121" t="s">
        <v>21</v>
      </c>
      <c r="F127" s="121" t="s">
        <v>357</v>
      </c>
      <c r="G127" s="121" t="s">
        <v>359</v>
      </c>
      <c r="H127" s="99" t="n">
        <v>24089</v>
      </c>
      <c r="I127" s="99" t="n">
        <v>24089</v>
      </c>
      <c r="J127" s="99" t="n">
        <v>1204</v>
      </c>
      <c r="K127" s="99" t="n">
        <v>0</v>
      </c>
      <c r="L127" s="99" t="n">
        <v>0</v>
      </c>
      <c r="M127" s="99" t="n">
        <v>0</v>
      </c>
      <c r="N127" s="99" t="n">
        <v>0</v>
      </c>
      <c r="O127" s="42" t="n">
        <v>22885</v>
      </c>
    </row>
    <row r="128" spans="1:15">
      <c r="A128" s="37" t="n">
        <v>124</v>
      </c>
      <c r="B128" s="97" t="s">
        <v>2311</v>
      </c>
      <c r="C128" s="121" t="s">
        <v>111</v>
      </c>
      <c r="D128" s="121" t="s">
        <v>20</v>
      </c>
      <c r="E128" s="121" t="s">
        <v>21</v>
      </c>
      <c r="F128" s="121" t="s">
        <v>2312</v>
      </c>
      <c r="G128" s="121" t="s">
        <v>2313</v>
      </c>
      <c r="H128" s="99" t="n">
        <v>29424</v>
      </c>
      <c r="I128" s="99" t="n">
        <v>29424</v>
      </c>
      <c r="J128" s="99" t="n">
        <v>0</v>
      </c>
      <c r="K128" s="99" t="n">
        <v>0</v>
      </c>
      <c r="L128" s="99" t="n">
        <v>0</v>
      </c>
      <c r="M128" s="99" t="n">
        <v>0</v>
      </c>
      <c r="N128" s="99" t="n">
        <v>0</v>
      </c>
      <c r="O128" s="42" t="n">
        <v>29424</v>
      </c>
    </row>
    <row r="129" spans="1:15">
      <c r="A129" s="37" t="n">
        <v>125</v>
      </c>
      <c r="B129" s="97" t="s">
        <v>2314</v>
      </c>
      <c r="C129" s="121" t="s">
        <v>58</v>
      </c>
      <c r="D129" s="121" t="s">
        <v>20</v>
      </c>
      <c r="E129" s="121" t="s">
        <v>21</v>
      </c>
      <c r="F129" s="121" t="s">
        <v>2315</v>
      </c>
      <c r="G129" s="121" t="s">
        <v>2316</v>
      </c>
      <c r="H129" s="99" t="n">
        <v>30771</v>
      </c>
      <c r="I129" s="99" t="n">
        <v>30771</v>
      </c>
      <c r="J129" s="99" t="n">
        <v>1539</v>
      </c>
      <c r="K129" s="99" t="n">
        <v>0</v>
      </c>
      <c r="L129" s="99" t="n">
        <v>0</v>
      </c>
      <c r="M129" s="99" t="n">
        <v>0</v>
      </c>
      <c r="N129" s="99" t="n">
        <v>0</v>
      </c>
      <c r="O129" s="42" t="n">
        <v>29232</v>
      </c>
    </row>
    <row r="130" spans="1:15">
      <c r="A130" s="37" t="n">
        <v>126</v>
      </c>
      <c r="B130" s="97" t="s">
        <v>2317</v>
      </c>
      <c r="C130" s="121" t="s">
        <v>120</v>
      </c>
      <c r="D130" s="98" t="n">
        <v>0</v>
      </c>
      <c r="E130" s="121" t="s">
        <v>21</v>
      </c>
      <c r="F130" s="121" t="s">
        <v>2074</v>
      </c>
      <c r="G130" s="121" t="s">
        <v>2318</v>
      </c>
      <c r="H130" s="99" t="n">
        <v>29424</v>
      </c>
      <c r="I130" s="99" t="n">
        <v>29424</v>
      </c>
      <c r="J130" s="99" t="n">
        <v>0</v>
      </c>
      <c r="K130" s="99" t="n">
        <v>0</v>
      </c>
      <c r="L130" s="99" t="n">
        <v>0</v>
      </c>
      <c r="M130" s="99" t="n">
        <v>0</v>
      </c>
      <c r="N130" s="99" t="n">
        <v>0</v>
      </c>
      <c r="O130" s="42" t="n">
        <v>29424</v>
      </c>
    </row>
    <row r="131" spans="1:15">
      <c r="A131" s="37" t="n">
        <v>127</v>
      </c>
      <c r="B131" s="97" t="s">
        <v>369</v>
      </c>
      <c r="C131" s="121" t="s">
        <v>120</v>
      </c>
      <c r="D131" s="121" t="s">
        <v>124</v>
      </c>
      <c r="E131" s="121" t="s">
        <v>15</v>
      </c>
      <c r="F131" s="121" t="s">
        <v>2647</v>
      </c>
      <c r="G131" s="121" t="s">
        <v>371</v>
      </c>
      <c r="H131" s="99" t="n">
        <v>22320</v>
      </c>
      <c r="I131" s="99" t="n">
        <v>22320</v>
      </c>
      <c r="J131" s="99" t="n">
        <v>0</v>
      </c>
      <c r="K131" s="99" t="n">
        <v>0</v>
      </c>
      <c r="L131" s="99" t="n">
        <v>0</v>
      </c>
      <c r="M131" s="99" t="n">
        <v>0</v>
      </c>
      <c r="N131" s="99" t="n">
        <v>0</v>
      </c>
      <c r="O131" s="42" t="n">
        <v>22320</v>
      </c>
    </row>
    <row r="132" spans="1:15">
      <c r="A132" s="37" t="n">
        <v>129</v>
      </c>
      <c r="B132" s="97" t="s">
        <v>362</v>
      </c>
      <c r="C132" s="121" t="s">
        <v>120</v>
      </c>
      <c r="D132" s="121" t="s">
        <v>278</v>
      </c>
      <c r="E132" s="121" t="s">
        <v>16</v>
      </c>
      <c r="F132" s="121" t="s">
        <v>2648</v>
      </c>
      <c r="G132" s="121" t="s">
        <v>363</v>
      </c>
      <c r="H132" s="99" t="n">
        <v>29761</v>
      </c>
      <c r="I132" s="99" t="n">
        <v>29761</v>
      </c>
      <c r="J132" s="99" t="n">
        <v>0</v>
      </c>
      <c r="K132" s="99" t="n">
        <v>0</v>
      </c>
      <c r="L132" s="99" t="n">
        <v>0</v>
      </c>
      <c r="M132" s="99" t="n">
        <v>0</v>
      </c>
      <c r="N132" s="99" t="n">
        <v>0</v>
      </c>
      <c r="O132" s="42" t="n">
        <v>29761</v>
      </c>
    </row>
    <row r="133" spans="1:15">
      <c r="A133" s="37" t="n">
        <v>130</v>
      </c>
      <c r="B133" s="97" t="s">
        <v>379</v>
      </c>
      <c r="C133" s="121" t="s">
        <v>120</v>
      </c>
      <c r="D133" s="121" t="s">
        <v>278</v>
      </c>
      <c r="E133" s="121" t="s">
        <v>16</v>
      </c>
      <c r="F133" s="121" t="s">
        <v>2649</v>
      </c>
      <c r="G133" s="121" t="s">
        <v>381</v>
      </c>
      <c r="H133" s="99" t="n">
        <v>29761</v>
      </c>
      <c r="I133" s="99" t="n">
        <v>29761</v>
      </c>
      <c r="J133" s="99" t="n">
        <v>0</v>
      </c>
      <c r="K133" s="99" t="n">
        <v>0</v>
      </c>
      <c r="L133" s="99" t="n">
        <v>0</v>
      </c>
      <c r="M133" s="99" t="n">
        <v>0</v>
      </c>
      <c r="N133" s="99" t="n">
        <v>0</v>
      </c>
      <c r="O133" s="42" t="n">
        <v>29761</v>
      </c>
    </row>
    <row r="134" spans="1:15">
      <c r="A134" s="37" t="n">
        <v>131</v>
      </c>
      <c r="B134" s="97" t="s">
        <v>262</v>
      </c>
      <c r="C134" s="121" t="s">
        <v>120</v>
      </c>
      <c r="D134" s="121" t="s">
        <v>128</v>
      </c>
      <c r="E134" s="121" t="s">
        <v>15</v>
      </c>
      <c r="F134" s="121" t="s">
        <v>2650</v>
      </c>
      <c r="G134" s="121" t="s">
        <v>263</v>
      </c>
      <c r="H134" s="99" t="n">
        <v>23078</v>
      </c>
      <c r="I134" s="99" t="n">
        <v>23078</v>
      </c>
      <c r="J134" s="99" t="n">
        <v>0</v>
      </c>
      <c r="K134" s="99" t="n">
        <v>0</v>
      </c>
      <c r="L134" s="99" t="n">
        <v>0</v>
      </c>
      <c r="M134" s="99" t="n">
        <v>0</v>
      </c>
      <c r="N134" s="99" t="n">
        <v>0</v>
      </c>
      <c r="O134" s="42" t="n">
        <v>23078</v>
      </c>
    </row>
    <row r="135" spans="1:15">
      <c r="A135" s="37" t="n">
        <v>132</v>
      </c>
      <c r="B135" s="97" t="s">
        <v>364</v>
      </c>
      <c r="C135" s="121" t="s">
        <v>95</v>
      </c>
      <c r="D135" s="121" t="s">
        <v>124</v>
      </c>
      <c r="E135" s="121" t="s">
        <v>15</v>
      </c>
      <c r="F135" s="121" t="s">
        <v>2651</v>
      </c>
      <c r="G135" s="121" t="s">
        <v>365</v>
      </c>
      <c r="H135" s="99" t="n">
        <v>30771</v>
      </c>
      <c r="I135" s="99" t="n">
        <v>30771</v>
      </c>
      <c r="J135" s="99" t="n">
        <v>0</v>
      </c>
      <c r="K135" s="99" t="n">
        <v>0</v>
      </c>
      <c r="L135" s="99" t="n">
        <v>0</v>
      </c>
      <c r="M135" s="99" t="n">
        <v>0</v>
      </c>
      <c r="N135" s="99" t="n">
        <v>0</v>
      </c>
      <c r="O135" s="42" t="n">
        <v>30771</v>
      </c>
    </row>
    <row r="136" spans="1:15">
      <c r="A136" s="37" t="n">
        <v>133</v>
      </c>
      <c r="B136" s="97" t="s">
        <v>286</v>
      </c>
      <c r="C136" s="121" t="s">
        <v>95</v>
      </c>
      <c r="D136" s="121" t="s">
        <v>124</v>
      </c>
      <c r="E136" s="121" t="s">
        <v>15</v>
      </c>
      <c r="F136" s="121" t="s">
        <v>2074</v>
      </c>
      <c r="G136" s="121" t="s">
        <v>288</v>
      </c>
      <c r="H136" s="99" t="n">
        <v>29761</v>
      </c>
      <c r="I136" s="99" t="n">
        <v>29761</v>
      </c>
      <c r="J136" s="99" t="n">
        <v>0</v>
      </c>
      <c r="K136" s="99" t="n">
        <v>0</v>
      </c>
      <c r="L136" s="99" t="n">
        <v>0</v>
      </c>
      <c r="M136" s="99" t="n">
        <v>0</v>
      </c>
      <c r="N136" s="99" t="n">
        <v>0</v>
      </c>
      <c r="O136" s="42" t="n">
        <v>29761</v>
      </c>
    </row>
    <row r="137" spans="1:15">
      <c r="A137" s="37" t="n">
        <v>134</v>
      </c>
      <c r="B137" s="97" t="s">
        <v>2319</v>
      </c>
      <c r="C137" s="121" t="s">
        <v>95</v>
      </c>
      <c r="D137" s="98" t="n">
        <v>0</v>
      </c>
      <c r="E137" s="121" t="s">
        <v>21</v>
      </c>
      <c r="F137" s="121" t="s">
        <v>2074</v>
      </c>
      <c r="G137" s="121" t="s">
        <v>2320</v>
      </c>
      <c r="H137" s="99" t="n">
        <v>22320</v>
      </c>
      <c r="I137" s="99" t="n">
        <v>22320</v>
      </c>
      <c r="J137" s="99" t="n">
        <v>0</v>
      </c>
      <c r="K137" s="99" t="n">
        <v>0</v>
      </c>
      <c r="L137" s="99" t="n">
        <v>0</v>
      </c>
      <c r="M137" s="99" t="n">
        <v>0</v>
      </c>
      <c r="N137" s="99" t="n">
        <v>0</v>
      </c>
      <c r="O137" s="42" t="n">
        <v>22320</v>
      </c>
    </row>
    <row r="138" spans="1:15">
      <c r="A138" s="37" t="n">
        <v>135</v>
      </c>
      <c r="B138" s="97" t="s">
        <v>480</v>
      </c>
      <c r="C138" s="121" t="s">
        <v>95</v>
      </c>
      <c r="D138" s="121" t="s">
        <v>124</v>
      </c>
      <c r="E138" s="121" t="s">
        <v>15</v>
      </c>
      <c r="F138" s="121" t="s">
        <v>2074</v>
      </c>
      <c r="G138" s="121" t="s">
        <v>481</v>
      </c>
      <c r="H138" s="99" t="n">
        <v>30771</v>
      </c>
      <c r="I138" s="99" t="n">
        <v>30771</v>
      </c>
      <c r="J138" s="99" t="n">
        <v>0</v>
      </c>
      <c r="K138" s="99" t="n">
        <v>0</v>
      </c>
      <c r="L138" s="99" t="n">
        <v>0</v>
      </c>
      <c r="M138" s="99" t="n">
        <v>0</v>
      </c>
      <c r="N138" s="99" t="n">
        <v>0</v>
      </c>
      <c r="O138" s="42" t="n">
        <v>30771</v>
      </c>
    </row>
    <row r="139" spans="1:15">
      <c r="A139" s="37" t="n">
        <v>136</v>
      </c>
      <c r="B139" s="97" t="s">
        <v>2321</v>
      </c>
      <c r="C139" s="121" t="s">
        <v>120</v>
      </c>
      <c r="D139" s="98" t="n">
        <v>0</v>
      </c>
      <c r="E139" s="121" t="s">
        <v>21</v>
      </c>
      <c r="F139" s="121" t="s">
        <v>2074</v>
      </c>
      <c r="G139" s="121" t="s">
        <v>2322</v>
      </c>
      <c r="H139" s="99" t="n">
        <v>29761</v>
      </c>
      <c r="I139" s="99" t="n">
        <v>29761</v>
      </c>
      <c r="J139" s="99" t="n">
        <v>0</v>
      </c>
      <c r="K139" s="99" t="n">
        <v>0</v>
      </c>
      <c r="L139" s="99" t="n">
        <v>0</v>
      </c>
      <c r="M139" s="99" t="n">
        <v>0</v>
      </c>
      <c r="N139" s="99" t="n">
        <v>0</v>
      </c>
      <c r="O139" s="42" t="n">
        <v>29761</v>
      </c>
    </row>
    <row r="140" spans="1:15">
      <c r="A140" s="37" t="n">
        <v>137</v>
      </c>
      <c r="B140" s="97" t="s">
        <v>366</v>
      </c>
      <c r="C140" s="121" t="s">
        <v>95</v>
      </c>
      <c r="D140" s="121" t="s">
        <v>124</v>
      </c>
      <c r="E140" s="121" t="s">
        <v>15</v>
      </c>
      <c r="F140" s="121" t="s">
        <v>2074</v>
      </c>
      <c r="G140" s="121" t="s">
        <v>368</v>
      </c>
      <c r="H140" s="99" t="n">
        <v>23078</v>
      </c>
      <c r="I140" s="99" t="n">
        <v>23078</v>
      </c>
      <c r="J140" s="99" t="n">
        <v>0</v>
      </c>
      <c r="K140" s="99" t="n">
        <v>0</v>
      </c>
      <c r="L140" s="99" t="n">
        <v>0</v>
      </c>
      <c r="M140" s="99" t="n">
        <v>0</v>
      </c>
      <c r="N140" s="99" t="n">
        <v>0</v>
      </c>
      <c r="O140" s="42" t="n">
        <v>23078</v>
      </c>
    </row>
    <row r="141" spans="1:15">
      <c r="A141" s="37" t="n">
        <v>138</v>
      </c>
      <c r="B141" s="97" t="s">
        <v>372</v>
      </c>
      <c r="C141" s="121" t="s">
        <v>95</v>
      </c>
      <c r="D141" s="121" t="s">
        <v>128</v>
      </c>
      <c r="E141" s="121" t="s">
        <v>15</v>
      </c>
      <c r="F141" s="121" t="s">
        <v>2074</v>
      </c>
      <c r="G141" s="121" t="s">
        <v>374</v>
      </c>
      <c r="H141" s="99" t="n">
        <v>30771</v>
      </c>
      <c r="I141" s="99" t="n">
        <v>30771</v>
      </c>
      <c r="J141" s="99" t="n">
        <v>0</v>
      </c>
      <c r="K141" s="99" t="n">
        <v>0</v>
      </c>
      <c r="L141" s="99" t="n">
        <v>0</v>
      </c>
      <c r="M141" s="99" t="n">
        <v>0</v>
      </c>
      <c r="N141" s="99" t="n">
        <v>0</v>
      </c>
      <c r="O141" s="42" t="n">
        <v>30771</v>
      </c>
    </row>
    <row r="142" spans="1:15">
      <c r="A142" s="37" t="n">
        <v>139</v>
      </c>
      <c r="B142" s="97" t="s">
        <v>471</v>
      </c>
      <c r="C142" s="121" t="s">
        <v>58</v>
      </c>
      <c r="D142" s="121" t="s">
        <v>20</v>
      </c>
      <c r="E142" s="121" t="s">
        <v>21</v>
      </c>
      <c r="F142" s="121" t="s">
        <v>472</v>
      </c>
      <c r="G142" s="121" t="s">
        <v>473</v>
      </c>
      <c r="H142" s="99" t="n">
        <v>19560</v>
      </c>
      <c r="I142" s="99" t="n">
        <v>19560</v>
      </c>
      <c r="J142" s="99" t="n">
        <v>978</v>
      </c>
      <c r="K142" s="99" t="n">
        <v>0</v>
      </c>
      <c r="L142" s="99" t="n">
        <v>0</v>
      </c>
      <c r="M142" s="99" t="n">
        <v>0</v>
      </c>
      <c r="N142" s="99" t="n">
        <v>0</v>
      </c>
      <c r="O142" s="42" t="n">
        <v>18582</v>
      </c>
    </row>
    <row r="143" spans="1:15">
      <c r="A143" s="37" t="n">
        <v>140</v>
      </c>
      <c r="B143" s="97" t="s">
        <v>548</v>
      </c>
      <c r="C143" s="121" t="s">
        <v>58</v>
      </c>
      <c r="D143" s="121" t="s">
        <v>20</v>
      </c>
      <c r="E143" s="121" t="s">
        <v>21</v>
      </c>
      <c r="F143" s="121" t="s">
        <v>549</v>
      </c>
      <c r="G143" s="121" t="s">
        <v>550</v>
      </c>
      <c r="H143" s="99" t="n">
        <v>19560</v>
      </c>
      <c r="I143" s="99" t="n">
        <v>19560</v>
      </c>
      <c r="J143" s="99" t="n">
        <v>978</v>
      </c>
      <c r="K143" s="99" t="n">
        <v>0</v>
      </c>
      <c r="L143" s="99" t="n">
        <v>0</v>
      </c>
      <c r="M143" s="99" t="n">
        <v>0</v>
      </c>
      <c r="N143" s="99" t="n">
        <v>0</v>
      </c>
      <c r="O143" s="42" t="n">
        <v>18582</v>
      </c>
    </row>
    <row r="144" spans="1:15">
      <c r="A144" s="37" t="n">
        <v>141</v>
      </c>
      <c r="B144" s="97" t="s">
        <v>492</v>
      </c>
      <c r="C144" s="121" t="s">
        <v>58</v>
      </c>
      <c r="D144" s="121" t="s">
        <v>20</v>
      </c>
      <c r="E144" s="121" t="s">
        <v>21</v>
      </c>
      <c r="F144" s="121" t="s">
        <v>493</v>
      </c>
      <c r="G144" s="121" t="s">
        <v>494</v>
      </c>
      <c r="H144" s="99" t="n">
        <v>19560</v>
      </c>
      <c r="I144" s="99" t="n">
        <v>19560</v>
      </c>
      <c r="J144" s="99" t="n">
        <v>978</v>
      </c>
      <c r="K144" s="99" t="n">
        <v>0</v>
      </c>
      <c r="L144" s="99" t="n">
        <v>0</v>
      </c>
      <c r="M144" s="99" t="n">
        <v>0</v>
      </c>
      <c r="N144" s="99" t="n">
        <v>0</v>
      </c>
      <c r="O144" s="42" t="n">
        <v>18582</v>
      </c>
    </row>
    <row r="145" spans="1:15">
      <c r="A145" s="37" t="n">
        <v>142</v>
      </c>
      <c r="B145" s="97" t="s">
        <v>2323</v>
      </c>
      <c r="C145" s="121" t="s">
        <v>58</v>
      </c>
      <c r="D145" s="121" t="s">
        <v>20</v>
      </c>
      <c r="E145" s="121" t="s">
        <v>21</v>
      </c>
      <c r="F145" s="121" t="s">
        <v>2324</v>
      </c>
      <c r="G145" s="121" t="s">
        <v>2325</v>
      </c>
      <c r="H145" s="99" t="n">
        <v>19560</v>
      </c>
      <c r="I145" s="99" t="n">
        <v>19560</v>
      </c>
      <c r="J145" s="99" t="n">
        <v>978</v>
      </c>
      <c r="K145" s="99" t="n">
        <v>0</v>
      </c>
      <c r="L145" s="99" t="n">
        <v>0</v>
      </c>
      <c r="M145" s="99" t="n">
        <v>0</v>
      </c>
      <c r="N145" s="99" t="n">
        <v>0</v>
      </c>
      <c r="O145" s="42" t="n">
        <v>18582</v>
      </c>
    </row>
    <row r="146" spans="1:15">
      <c r="A146" s="37" t="n">
        <v>143</v>
      </c>
      <c r="B146" s="97" t="s">
        <v>555</v>
      </c>
      <c r="C146" s="121" t="s">
        <v>58</v>
      </c>
      <c r="D146" s="121" t="s">
        <v>20</v>
      </c>
      <c r="E146" s="121" t="s">
        <v>21</v>
      </c>
      <c r="F146" s="121" t="s">
        <v>556</v>
      </c>
      <c r="G146" s="121" t="s">
        <v>557</v>
      </c>
      <c r="H146" s="99" t="n">
        <v>19560</v>
      </c>
      <c r="I146" s="99" t="n">
        <v>19560</v>
      </c>
      <c r="J146" s="99" t="n">
        <v>978</v>
      </c>
      <c r="K146" s="99" t="n">
        <v>0</v>
      </c>
      <c r="L146" s="99" t="n">
        <v>0</v>
      </c>
      <c r="M146" s="99" t="n">
        <v>0</v>
      </c>
      <c r="N146" s="99" t="n">
        <v>0</v>
      </c>
      <c r="O146" s="42" t="n">
        <v>18582</v>
      </c>
    </row>
    <row r="147" spans="1:15">
      <c r="A147" s="37" t="n">
        <v>144</v>
      </c>
      <c r="B147" s="97" t="s">
        <v>317</v>
      </c>
      <c r="C147" s="121" t="s">
        <v>58</v>
      </c>
      <c r="D147" s="121" t="s">
        <v>20</v>
      </c>
      <c r="E147" s="121" t="s">
        <v>21</v>
      </c>
      <c r="F147" s="121" t="s">
        <v>318</v>
      </c>
      <c r="G147" s="121" t="s">
        <v>320</v>
      </c>
      <c r="H147" s="99" t="n">
        <v>19560</v>
      </c>
      <c r="I147" s="99" t="n">
        <v>19560</v>
      </c>
      <c r="J147" s="99" t="n">
        <v>978</v>
      </c>
      <c r="K147" s="99" t="n">
        <v>0</v>
      </c>
      <c r="L147" s="99" t="n">
        <v>0</v>
      </c>
      <c r="M147" s="99" t="n">
        <v>0</v>
      </c>
      <c r="N147" s="99" t="n">
        <v>0</v>
      </c>
      <c r="O147" s="42" t="n">
        <v>18582</v>
      </c>
    </row>
    <row r="148" spans="1:15">
      <c r="A148" s="37" t="n">
        <v>145</v>
      </c>
      <c r="B148" s="97" t="s">
        <v>2326</v>
      </c>
      <c r="C148" s="121" t="s">
        <v>58</v>
      </c>
      <c r="D148" s="121" t="s">
        <v>20</v>
      </c>
      <c r="E148" s="121" t="s">
        <v>21</v>
      </c>
      <c r="F148" s="121" t="s">
        <v>2327</v>
      </c>
      <c r="G148" s="121" t="s">
        <v>2328</v>
      </c>
      <c r="H148" s="99" t="n">
        <v>19560</v>
      </c>
      <c r="I148" s="99" t="n">
        <v>19560</v>
      </c>
      <c r="J148" s="99" t="n">
        <v>978</v>
      </c>
      <c r="K148" s="99" t="n">
        <v>0</v>
      </c>
      <c r="L148" s="99" t="n">
        <v>0</v>
      </c>
      <c r="M148" s="99" t="n">
        <v>0</v>
      </c>
      <c r="N148" s="99" t="n">
        <v>0</v>
      </c>
      <c r="O148" s="42" t="n">
        <v>18582</v>
      </c>
    </row>
    <row r="149" spans="1:15">
      <c r="A149" s="37" t="n">
        <v>146</v>
      </c>
      <c r="B149" s="97" t="s">
        <v>504</v>
      </c>
      <c r="C149" s="121" t="s">
        <v>58</v>
      </c>
      <c r="D149" s="121" t="s">
        <v>20</v>
      </c>
      <c r="E149" s="121" t="s">
        <v>21</v>
      </c>
      <c r="F149" s="121" t="s">
        <v>505</v>
      </c>
      <c r="G149" s="121" t="s">
        <v>506</v>
      </c>
      <c r="H149" s="99" t="n">
        <v>19560</v>
      </c>
      <c r="I149" s="99" t="n">
        <v>19560</v>
      </c>
      <c r="J149" s="99" t="n">
        <v>978</v>
      </c>
      <c r="K149" s="99" t="n">
        <v>0</v>
      </c>
      <c r="L149" s="99" t="n">
        <v>0</v>
      </c>
      <c r="M149" s="99" t="n">
        <v>0</v>
      </c>
      <c r="N149" s="99" t="n">
        <v>0</v>
      </c>
      <c r="O149" s="42" t="n">
        <v>18582</v>
      </c>
    </row>
    <row r="150" spans="1:15">
      <c r="A150" s="37" t="n">
        <v>147</v>
      </c>
      <c r="B150" s="97" t="s">
        <v>539</v>
      </c>
      <c r="C150" s="121" t="s">
        <v>58</v>
      </c>
      <c r="D150" s="121" t="s">
        <v>20</v>
      </c>
      <c r="E150" s="121" t="s">
        <v>21</v>
      </c>
      <c r="F150" s="121" t="s">
        <v>540</v>
      </c>
      <c r="G150" s="121" t="s">
        <v>542</v>
      </c>
      <c r="H150" s="99" t="n">
        <v>19560</v>
      </c>
      <c r="I150" s="99" t="n">
        <v>19560</v>
      </c>
      <c r="J150" s="99" t="n">
        <v>978</v>
      </c>
      <c r="K150" s="99" t="n">
        <v>0</v>
      </c>
      <c r="L150" s="99" t="n">
        <v>0</v>
      </c>
      <c r="M150" s="99" t="n">
        <v>0</v>
      </c>
      <c r="N150" s="99" t="n">
        <v>0</v>
      </c>
      <c r="O150" s="42" t="n">
        <v>18582</v>
      </c>
    </row>
    <row r="151" spans="1:15">
      <c r="A151" s="37" t="n">
        <v>148</v>
      </c>
      <c r="B151" s="97" t="s">
        <v>2329</v>
      </c>
      <c r="C151" s="121" t="s">
        <v>58</v>
      </c>
      <c r="D151" s="121" t="s">
        <v>20</v>
      </c>
      <c r="E151" s="121" t="s">
        <v>21</v>
      </c>
      <c r="F151" s="121" t="s">
        <v>2330</v>
      </c>
      <c r="G151" s="121" t="s">
        <v>2331</v>
      </c>
      <c r="H151" s="99" t="n">
        <v>19560</v>
      </c>
      <c r="I151" s="99" t="n">
        <v>19560</v>
      </c>
      <c r="J151" s="99" t="n">
        <v>978</v>
      </c>
      <c r="K151" s="99" t="n">
        <v>0</v>
      </c>
      <c r="L151" s="99" t="n">
        <v>0</v>
      </c>
      <c r="M151" s="99" t="n">
        <v>0</v>
      </c>
      <c r="N151" s="99" t="n">
        <v>0</v>
      </c>
      <c r="O151" s="42" t="n">
        <v>18582</v>
      </c>
    </row>
    <row r="152" spans="1:15">
      <c r="A152" s="37" t="n">
        <v>149</v>
      </c>
      <c r="B152" s="97" t="s">
        <v>2332</v>
      </c>
      <c r="C152" s="121" t="s">
        <v>111</v>
      </c>
      <c r="D152" s="121" t="s">
        <v>20</v>
      </c>
      <c r="E152" s="121" t="s">
        <v>21</v>
      </c>
      <c r="F152" s="121" t="s">
        <v>2333</v>
      </c>
      <c r="G152" s="121" t="s">
        <v>2334</v>
      </c>
      <c r="H152" s="99" t="n">
        <v>19560</v>
      </c>
      <c r="I152" s="99" t="n">
        <v>19560</v>
      </c>
      <c r="J152" s="99" t="n">
        <v>0</v>
      </c>
      <c r="K152" s="99" t="n">
        <v>0</v>
      </c>
      <c r="L152" s="99" t="n">
        <v>0</v>
      </c>
      <c r="M152" s="99" t="n">
        <v>0</v>
      </c>
      <c r="N152" s="99" t="n">
        <v>0</v>
      </c>
      <c r="O152" s="42" t="n">
        <v>19560</v>
      </c>
    </row>
    <row r="153" spans="1:15">
      <c r="A153" s="37" t="n">
        <v>150</v>
      </c>
      <c r="B153" s="97" t="s">
        <v>2335</v>
      </c>
      <c r="C153" s="121" t="s">
        <v>111</v>
      </c>
      <c r="D153" s="121" t="s">
        <v>20</v>
      </c>
      <c r="E153" s="121" t="s">
        <v>21</v>
      </c>
      <c r="F153" s="98" t="n">
        <v>0</v>
      </c>
      <c r="G153" s="121" t="s">
        <v>2336</v>
      </c>
      <c r="H153" s="99" t="n">
        <v>19560</v>
      </c>
      <c r="I153" s="99" t="n">
        <v>19560</v>
      </c>
      <c r="J153" s="99" t="n">
        <v>0</v>
      </c>
      <c r="K153" s="99" t="n">
        <v>0</v>
      </c>
      <c r="L153" s="99" t="n">
        <v>0</v>
      </c>
      <c r="M153" s="99" t="n">
        <v>0</v>
      </c>
      <c r="N153" s="99" t="n">
        <v>0</v>
      </c>
      <c r="O153" s="42" t="n">
        <v>19560</v>
      </c>
    </row>
    <row r="154" spans="1:15">
      <c r="A154" s="37" t="n">
        <v>151</v>
      </c>
      <c r="B154" s="97" t="s">
        <v>551</v>
      </c>
      <c r="C154" s="121" t="s">
        <v>111</v>
      </c>
      <c r="D154" s="121" t="s">
        <v>20</v>
      </c>
      <c r="E154" s="121" t="s">
        <v>21</v>
      </c>
      <c r="F154" s="121" t="s">
        <v>552</v>
      </c>
      <c r="G154" s="121" t="s">
        <v>554</v>
      </c>
      <c r="H154" s="99" t="n">
        <v>19560</v>
      </c>
      <c r="I154" s="99" t="n">
        <v>19560</v>
      </c>
      <c r="J154" s="99" t="n">
        <v>0</v>
      </c>
      <c r="K154" s="99" t="n">
        <v>0</v>
      </c>
      <c r="L154" s="99" t="n">
        <v>0</v>
      </c>
      <c r="M154" s="99" t="n">
        <v>0</v>
      </c>
      <c r="N154" s="99" t="n">
        <v>0</v>
      </c>
      <c r="O154" s="42" t="n">
        <v>19560</v>
      </c>
    </row>
    <row r="155" spans="1:15">
      <c r="A155" s="37" t="n">
        <v>152</v>
      </c>
      <c r="B155" s="97" t="s">
        <v>486</v>
      </c>
      <c r="C155" s="121" t="s">
        <v>111</v>
      </c>
      <c r="D155" s="121" t="s">
        <v>20</v>
      </c>
      <c r="E155" s="121" t="s">
        <v>21</v>
      </c>
      <c r="F155" s="121" t="s">
        <v>487</v>
      </c>
      <c r="G155" s="121" t="s">
        <v>488</v>
      </c>
      <c r="H155" s="99" t="n">
        <v>19560</v>
      </c>
      <c r="I155" s="99" t="n">
        <v>19560</v>
      </c>
      <c r="J155" s="99" t="n">
        <v>0</v>
      </c>
      <c r="K155" s="99" t="n">
        <v>0</v>
      </c>
      <c r="L155" s="99" t="n">
        <v>0</v>
      </c>
      <c r="M155" s="99" t="n">
        <v>0</v>
      </c>
      <c r="N155" s="99" t="n">
        <v>0</v>
      </c>
      <c r="O155" s="42" t="n">
        <v>19560</v>
      </c>
    </row>
    <row r="156" spans="1:15">
      <c r="A156" s="37" t="n">
        <v>153</v>
      </c>
      <c r="B156" s="97" t="s">
        <v>507</v>
      </c>
      <c r="C156" s="121" t="s">
        <v>111</v>
      </c>
      <c r="D156" s="121" t="s">
        <v>20</v>
      </c>
      <c r="E156" s="121" t="s">
        <v>21</v>
      </c>
      <c r="F156" s="121" t="s">
        <v>508</v>
      </c>
      <c r="G156" s="121" t="s">
        <v>509</v>
      </c>
      <c r="H156" s="99" t="n">
        <v>43566</v>
      </c>
      <c r="I156" s="99" t="n">
        <v>43566</v>
      </c>
      <c r="J156" s="99" t="n">
        <v>0</v>
      </c>
      <c r="K156" s="99" t="n">
        <v>0</v>
      </c>
      <c r="L156" s="99" t="n">
        <v>0</v>
      </c>
      <c r="M156" s="99" t="n">
        <v>0</v>
      </c>
      <c r="N156" s="99" t="n">
        <v>0</v>
      </c>
      <c r="O156" s="42" t="n">
        <v>43566</v>
      </c>
    </row>
    <row r="157" spans="1:15">
      <c r="A157" s="37" t="n">
        <v>154</v>
      </c>
      <c r="B157" s="97" t="s">
        <v>341</v>
      </c>
      <c r="C157" s="121" t="s">
        <v>111</v>
      </c>
      <c r="D157" s="121" t="s">
        <v>20</v>
      </c>
      <c r="E157" s="121" t="s">
        <v>21</v>
      </c>
      <c r="F157" s="121" t="s">
        <v>342</v>
      </c>
      <c r="G157" s="121" t="s">
        <v>344</v>
      </c>
      <c r="H157" s="99" t="n">
        <v>19560</v>
      </c>
      <c r="I157" s="99" t="n">
        <v>19560</v>
      </c>
      <c r="J157" s="99" t="n">
        <v>0</v>
      </c>
      <c r="K157" s="99" t="n">
        <v>0</v>
      </c>
      <c r="L157" s="99" t="n">
        <v>0</v>
      </c>
      <c r="M157" s="99" t="n">
        <v>0</v>
      </c>
      <c r="N157" s="99" t="n">
        <v>0</v>
      </c>
      <c r="O157" s="42" t="n">
        <v>19560</v>
      </c>
    </row>
    <row r="158" spans="1:15">
      <c r="A158" s="37" t="n">
        <v>155</v>
      </c>
      <c r="B158" s="97" t="s">
        <v>574</v>
      </c>
      <c r="C158" s="121" t="s">
        <v>111</v>
      </c>
      <c r="D158" s="121" t="s">
        <v>20</v>
      </c>
      <c r="E158" s="121" t="s">
        <v>21</v>
      </c>
      <c r="F158" s="121" t="s">
        <v>575</v>
      </c>
      <c r="G158" s="121" t="s">
        <v>576</v>
      </c>
      <c r="H158" s="99" t="n">
        <v>19560</v>
      </c>
      <c r="I158" s="99" t="n">
        <v>19560</v>
      </c>
      <c r="J158" s="99" t="n">
        <v>0</v>
      </c>
      <c r="K158" s="99" t="n">
        <v>0</v>
      </c>
      <c r="L158" s="99" t="n">
        <v>0</v>
      </c>
      <c r="M158" s="99" t="n">
        <v>0</v>
      </c>
      <c r="N158" s="99" t="n">
        <v>0</v>
      </c>
      <c r="O158" s="42" t="n">
        <v>19560</v>
      </c>
    </row>
    <row r="159" spans="1:15">
      <c r="A159" s="37" t="n">
        <v>156</v>
      </c>
      <c r="B159" s="97" t="s">
        <v>2337</v>
      </c>
      <c r="C159" s="121" t="s">
        <v>111</v>
      </c>
      <c r="D159" s="121" t="s">
        <v>20</v>
      </c>
      <c r="E159" s="121" t="s">
        <v>21</v>
      </c>
      <c r="F159" s="121" t="s">
        <v>2338</v>
      </c>
      <c r="G159" s="121" t="s">
        <v>2339</v>
      </c>
      <c r="H159" s="99" t="n">
        <v>19560</v>
      </c>
      <c r="I159" s="99" t="n">
        <v>19560</v>
      </c>
      <c r="J159" s="99" t="n">
        <v>0</v>
      </c>
      <c r="K159" s="99" t="n">
        <v>0</v>
      </c>
      <c r="L159" s="99" t="n">
        <v>0</v>
      </c>
      <c r="M159" s="99" t="n">
        <v>0</v>
      </c>
      <c r="N159" s="99" t="n">
        <v>0</v>
      </c>
      <c r="O159" s="42" t="n">
        <v>19560</v>
      </c>
    </row>
    <row r="160" spans="1:15">
      <c r="A160" s="37" t="n">
        <v>157</v>
      </c>
      <c r="B160" s="97" t="s">
        <v>497</v>
      </c>
      <c r="C160" s="121" t="s">
        <v>111</v>
      </c>
      <c r="D160" s="121" t="s">
        <v>20</v>
      </c>
      <c r="E160" s="121" t="s">
        <v>21</v>
      </c>
      <c r="F160" s="121" t="s">
        <v>498</v>
      </c>
      <c r="G160" s="121" t="s">
        <v>500</v>
      </c>
      <c r="H160" s="99" t="n">
        <v>19560</v>
      </c>
      <c r="I160" s="99" t="n">
        <v>19560</v>
      </c>
      <c r="J160" s="99" t="n">
        <v>0</v>
      </c>
      <c r="K160" s="99" t="n">
        <v>0</v>
      </c>
      <c r="L160" s="99" t="n">
        <v>0</v>
      </c>
      <c r="M160" s="99" t="n">
        <v>0</v>
      </c>
      <c r="N160" s="99" t="n">
        <v>0</v>
      </c>
      <c r="O160" s="42" t="n">
        <v>19560</v>
      </c>
    </row>
    <row r="161" spans="1:15">
      <c r="A161" s="37" t="n">
        <v>158</v>
      </c>
      <c r="B161" s="97" t="s">
        <v>2340</v>
      </c>
      <c r="C161" s="121" t="s">
        <v>111</v>
      </c>
      <c r="D161" s="121" t="s">
        <v>20</v>
      </c>
      <c r="E161" s="121" t="s">
        <v>21</v>
      </c>
      <c r="F161" s="98" t="n">
        <v>0</v>
      </c>
      <c r="G161" s="121" t="s">
        <v>2341</v>
      </c>
      <c r="H161" s="99" t="n">
        <v>19560</v>
      </c>
      <c r="I161" s="99" t="n">
        <v>19560</v>
      </c>
      <c r="J161" s="99" t="n">
        <v>0</v>
      </c>
      <c r="K161" s="99" t="n">
        <v>0</v>
      </c>
      <c r="L161" s="99" t="n">
        <v>0</v>
      </c>
      <c r="M161" s="99" t="n">
        <v>0</v>
      </c>
      <c r="N161" s="99" t="n">
        <v>0</v>
      </c>
      <c r="O161" s="42" t="n">
        <v>19560</v>
      </c>
    </row>
    <row r="162" spans="1:15">
      <c r="A162" s="37" t="n">
        <v>159</v>
      </c>
      <c r="B162" s="97" t="s">
        <v>565</v>
      </c>
      <c r="C162" s="121" t="s">
        <v>111</v>
      </c>
      <c r="D162" s="121" t="s">
        <v>20</v>
      </c>
      <c r="E162" s="121" t="s">
        <v>21</v>
      </c>
      <c r="F162" s="121" t="s">
        <v>566</v>
      </c>
      <c r="G162" s="121" t="s">
        <v>567</v>
      </c>
      <c r="H162" s="99" t="n">
        <v>19560</v>
      </c>
      <c r="I162" s="99" t="n">
        <v>19560</v>
      </c>
      <c r="J162" s="99" t="n">
        <v>0</v>
      </c>
      <c r="K162" s="99" t="n">
        <v>0</v>
      </c>
      <c r="L162" s="99" t="n">
        <v>0</v>
      </c>
      <c r="M162" s="99" t="n">
        <v>0</v>
      </c>
      <c r="N162" s="99" t="n">
        <v>0</v>
      </c>
      <c r="O162" s="42" t="n">
        <v>19560</v>
      </c>
    </row>
    <row r="163" spans="1:15">
      <c r="A163" s="37" t="n">
        <v>160</v>
      </c>
      <c r="B163" s="97" t="s">
        <v>501</v>
      </c>
      <c r="C163" s="121" t="s">
        <v>111</v>
      </c>
      <c r="D163" s="121" t="s">
        <v>20</v>
      </c>
      <c r="E163" s="121" t="s">
        <v>21</v>
      </c>
      <c r="F163" s="121" t="s">
        <v>502</v>
      </c>
      <c r="G163" s="121" t="s">
        <v>503</v>
      </c>
      <c r="H163" s="99" t="n">
        <v>19560</v>
      </c>
      <c r="I163" s="99" t="n">
        <v>19560</v>
      </c>
      <c r="J163" s="99" t="n">
        <v>0</v>
      </c>
      <c r="K163" s="99" t="n">
        <v>0</v>
      </c>
      <c r="L163" s="99" t="n">
        <v>0</v>
      </c>
      <c r="M163" s="99" t="n">
        <v>0</v>
      </c>
      <c r="N163" s="99" t="n">
        <v>0</v>
      </c>
      <c r="O163" s="42" t="n">
        <v>19560</v>
      </c>
    </row>
    <row r="164" spans="1:15">
      <c r="A164" s="37" t="n">
        <v>161</v>
      </c>
      <c r="B164" s="97" t="s">
        <v>2342</v>
      </c>
      <c r="C164" s="121" t="s">
        <v>111</v>
      </c>
      <c r="D164" s="121" t="s">
        <v>20</v>
      </c>
      <c r="E164" s="121" t="s">
        <v>21</v>
      </c>
      <c r="F164" s="98" t="n">
        <v>0</v>
      </c>
      <c r="G164" s="121" t="s">
        <v>2343</v>
      </c>
      <c r="H164" s="99" t="n">
        <v>19560</v>
      </c>
      <c r="I164" s="99" t="n">
        <v>19560</v>
      </c>
      <c r="J164" s="99" t="n">
        <v>0</v>
      </c>
      <c r="K164" s="99" t="n">
        <v>0</v>
      </c>
      <c r="L164" s="99" t="n">
        <v>0</v>
      </c>
      <c r="M164" s="99" t="n">
        <v>0</v>
      </c>
      <c r="N164" s="99" t="n">
        <v>0</v>
      </c>
      <c r="O164" s="42" t="n">
        <v>19560</v>
      </c>
    </row>
    <row r="165" spans="1:15">
      <c r="A165" s="37" t="n">
        <v>162</v>
      </c>
      <c r="B165" s="97" t="s">
        <v>611</v>
      </c>
      <c r="C165" s="121" t="s">
        <v>111</v>
      </c>
      <c r="D165" s="121" t="s">
        <v>20</v>
      </c>
      <c r="E165" s="121" t="s">
        <v>21</v>
      </c>
      <c r="F165" s="121" t="s">
        <v>612</v>
      </c>
      <c r="G165" s="121" t="s">
        <v>613</v>
      </c>
      <c r="H165" s="99" t="n">
        <v>19560</v>
      </c>
      <c r="I165" s="99" t="n">
        <v>19560</v>
      </c>
      <c r="J165" s="99" t="n">
        <v>0</v>
      </c>
      <c r="K165" s="99" t="n">
        <v>0</v>
      </c>
      <c r="L165" s="99" t="n">
        <v>0</v>
      </c>
      <c r="M165" s="99" t="n">
        <v>0</v>
      </c>
      <c r="N165" s="99" t="n">
        <v>0</v>
      </c>
      <c r="O165" s="42" t="n">
        <v>19560</v>
      </c>
    </row>
    <row r="166" spans="1:15">
      <c r="A166" s="37" t="n">
        <v>163</v>
      </c>
      <c r="B166" s="97" t="s">
        <v>572</v>
      </c>
      <c r="C166" s="121" t="s">
        <v>120</v>
      </c>
      <c r="D166" s="121" t="s">
        <v>128</v>
      </c>
      <c r="E166" s="121" t="s">
        <v>15</v>
      </c>
      <c r="F166" s="98" t="n">
        <v>0</v>
      </c>
      <c r="G166" s="121" t="s">
        <v>573</v>
      </c>
      <c r="H166" s="99" t="n">
        <v>19560</v>
      </c>
      <c r="I166" s="99" t="n">
        <v>19560</v>
      </c>
      <c r="J166" s="99" t="n">
        <v>0</v>
      </c>
      <c r="K166" s="99" t="n">
        <v>0</v>
      </c>
      <c r="L166" s="99" t="n">
        <v>0</v>
      </c>
      <c r="M166" s="99" t="n">
        <v>0</v>
      </c>
      <c r="N166" s="99" t="n">
        <v>0</v>
      </c>
      <c r="O166" s="42" t="n">
        <v>19560</v>
      </c>
    </row>
    <row r="167" spans="1:15">
      <c r="A167" s="37" t="n">
        <v>164</v>
      </c>
      <c r="B167" s="97" t="s">
        <v>482</v>
      </c>
      <c r="C167" s="121" t="s">
        <v>120</v>
      </c>
      <c r="D167" s="121" t="s">
        <v>278</v>
      </c>
      <c r="E167" s="121" t="s">
        <v>16</v>
      </c>
      <c r="F167" s="98" t="n">
        <v>0</v>
      </c>
      <c r="G167" s="121" t="s">
        <v>483</v>
      </c>
      <c r="H167" s="99" t="n">
        <v>19560</v>
      </c>
      <c r="I167" s="99" t="n">
        <v>19560</v>
      </c>
      <c r="J167" s="99" t="n">
        <v>0</v>
      </c>
      <c r="K167" s="99" t="n">
        <v>0</v>
      </c>
      <c r="L167" s="99" t="n">
        <v>0</v>
      </c>
      <c r="M167" s="99" t="n">
        <v>0</v>
      </c>
      <c r="N167" s="99" t="n">
        <v>0</v>
      </c>
      <c r="O167" s="42" t="n">
        <v>19560</v>
      </c>
    </row>
    <row r="168" spans="1:15">
      <c r="A168" s="37" t="n">
        <v>165</v>
      </c>
      <c r="B168" s="97" t="s">
        <v>529</v>
      </c>
      <c r="C168" s="121" t="s">
        <v>120</v>
      </c>
      <c r="D168" s="121" t="s">
        <v>128</v>
      </c>
      <c r="E168" s="121" t="s">
        <v>15</v>
      </c>
      <c r="F168" s="98" t="n">
        <v>0</v>
      </c>
      <c r="G168" s="121" t="s">
        <v>530</v>
      </c>
      <c r="H168" s="99" t="n">
        <v>19560</v>
      </c>
      <c r="I168" s="99" t="n">
        <v>19560</v>
      </c>
      <c r="J168" s="99" t="n">
        <v>0</v>
      </c>
      <c r="K168" s="99" t="n">
        <v>0</v>
      </c>
      <c r="L168" s="99" t="n">
        <v>0</v>
      </c>
      <c r="M168" s="99" t="n">
        <v>0</v>
      </c>
      <c r="N168" s="99" t="n">
        <v>0</v>
      </c>
      <c r="O168" s="42" t="n">
        <v>19560</v>
      </c>
    </row>
    <row r="169" spans="1:15">
      <c r="A169" s="37" t="n">
        <v>166</v>
      </c>
      <c r="B169" s="97" t="s">
        <v>563</v>
      </c>
      <c r="C169" s="121" t="s">
        <v>120</v>
      </c>
      <c r="D169" s="121" t="s">
        <v>124</v>
      </c>
      <c r="E169" s="121" t="s">
        <v>15</v>
      </c>
      <c r="F169" s="98" t="n">
        <v>0</v>
      </c>
      <c r="G169" s="121" t="s">
        <v>564</v>
      </c>
      <c r="H169" s="99" t="n">
        <v>19560</v>
      </c>
      <c r="I169" s="99" t="n">
        <v>19560</v>
      </c>
      <c r="J169" s="99" t="n">
        <v>0</v>
      </c>
      <c r="K169" s="99" t="n">
        <v>0</v>
      </c>
      <c r="L169" s="99" t="n">
        <v>0</v>
      </c>
      <c r="M169" s="99" t="n">
        <v>0</v>
      </c>
      <c r="N169" s="99" t="n">
        <v>0</v>
      </c>
      <c r="O169" s="42" t="n">
        <v>19560</v>
      </c>
    </row>
    <row r="170" spans="1:15">
      <c r="A170" s="37" t="n">
        <v>167</v>
      </c>
      <c r="B170" s="97" t="s">
        <v>323</v>
      </c>
      <c r="C170" s="121" t="s">
        <v>120</v>
      </c>
      <c r="D170" s="121" t="s">
        <v>124</v>
      </c>
      <c r="E170" s="121" t="s">
        <v>15</v>
      </c>
      <c r="F170" s="98" t="n">
        <v>0</v>
      </c>
      <c r="G170" s="121" t="s">
        <v>324</v>
      </c>
      <c r="H170" s="99" t="n">
        <v>19560</v>
      </c>
      <c r="I170" s="99" t="n">
        <v>19560</v>
      </c>
      <c r="J170" s="99" t="n">
        <v>0</v>
      </c>
      <c r="K170" s="99" t="n">
        <v>0</v>
      </c>
      <c r="L170" s="99" t="n">
        <v>0</v>
      </c>
      <c r="M170" s="99" t="n">
        <v>0</v>
      </c>
      <c r="N170" s="99" t="n">
        <v>0</v>
      </c>
      <c r="O170" s="42" t="n">
        <v>19560</v>
      </c>
    </row>
    <row r="171" spans="1:15">
      <c r="A171" s="37" t="n">
        <v>168</v>
      </c>
      <c r="B171" s="97" t="s">
        <v>119</v>
      </c>
      <c r="C171" s="121" t="s">
        <v>120</v>
      </c>
      <c r="D171" s="121" t="s">
        <v>137</v>
      </c>
      <c r="E171" s="121" t="s">
        <v>14</v>
      </c>
      <c r="F171" s="121" t="s">
        <v>2344</v>
      </c>
      <c r="G171" s="121" t="s">
        <v>122</v>
      </c>
      <c r="H171" s="99" t="n">
        <v>19560</v>
      </c>
      <c r="I171" s="99" t="n">
        <v>19560</v>
      </c>
      <c r="J171" s="99" t="n">
        <v>0</v>
      </c>
      <c r="K171" s="99" t="n">
        <v>0</v>
      </c>
      <c r="L171" s="99" t="n">
        <v>0</v>
      </c>
      <c r="M171" s="99" t="n">
        <v>0</v>
      </c>
      <c r="N171" s="99" t="n">
        <v>0</v>
      </c>
      <c r="O171" s="42" t="n">
        <v>19560</v>
      </c>
    </row>
    <row r="172" spans="1:15">
      <c r="A172" s="37" t="n">
        <v>169</v>
      </c>
      <c r="B172" s="97" t="s">
        <v>478</v>
      </c>
      <c r="C172" s="121" t="s">
        <v>120</v>
      </c>
      <c r="D172" s="121" t="s">
        <v>278</v>
      </c>
      <c r="E172" s="121" t="s">
        <v>16</v>
      </c>
      <c r="F172" s="98" t="n">
        <v>0</v>
      </c>
      <c r="G172" s="121" t="s">
        <v>479</v>
      </c>
      <c r="H172" s="99" t="n">
        <v>19560</v>
      </c>
      <c r="I172" s="99" t="n">
        <v>19560</v>
      </c>
      <c r="J172" s="99" t="n">
        <v>0</v>
      </c>
      <c r="K172" s="99" t="n">
        <v>0</v>
      </c>
      <c r="L172" s="99" t="n">
        <v>0</v>
      </c>
      <c r="M172" s="99" t="n">
        <v>0</v>
      </c>
      <c r="N172" s="99" t="n">
        <v>0</v>
      </c>
      <c r="O172" s="42" t="n">
        <v>19560</v>
      </c>
    </row>
    <row r="173" spans="1:15">
      <c r="A173" s="37" t="n">
        <v>170</v>
      </c>
      <c r="B173" s="97" t="s">
        <v>495</v>
      </c>
      <c r="C173" s="121" t="s">
        <v>120</v>
      </c>
      <c r="D173" s="121" t="s">
        <v>121</v>
      </c>
      <c r="E173" s="121" t="s">
        <v>14</v>
      </c>
      <c r="F173" s="98" t="n">
        <v>0</v>
      </c>
      <c r="G173" s="121" t="s">
        <v>496</v>
      </c>
      <c r="H173" s="99" t="n">
        <v>19560</v>
      </c>
      <c r="I173" s="99" t="n">
        <v>19560</v>
      </c>
      <c r="J173" s="99" t="n">
        <v>0</v>
      </c>
      <c r="K173" s="99" t="n">
        <v>0</v>
      </c>
      <c r="L173" s="99" t="n">
        <v>0</v>
      </c>
      <c r="M173" s="99" t="n">
        <v>0</v>
      </c>
      <c r="N173" s="99" t="n">
        <v>0</v>
      </c>
      <c r="O173" s="42" t="n">
        <v>19560</v>
      </c>
    </row>
    <row r="174" spans="1:15">
      <c r="A174" s="37" t="n">
        <v>171</v>
      </c>
      <c r="B174" s="97" t="s">
        <v>484</v>
      </c>
      <c r="C174" s="121" t="s">
        <v>120</v>
      </c>
      <c r="D174" s="121" t="s">
        <v>128</v>
      </c>
      <c r="E174" s="121" t="s">
        <v>15</v>
      </c>
      <c r="F174" s="98" t="n">
        <v>0</v>
      </c>
      <c r="G174" s="121" t="s">
        <v>485</v>
      </c>
      <c r="H174" s="99" t="n">
        <v>19560</v>
      </c>
      <c r="I174" s="99" t="n">
        <v>19560</v>
      </c>
      <c r="J174" s="99" t="n">
        <v>0</v>
      </c>
      <c r="K174" s="99" t="n">
        <v>0</v>
      </c>
      <c r="L174" s="99" t="n">
        <v>0</v>
      </c>
      <c r="M174" s="99" t="n">
        <v>0</v>
      </c>
      <c r="N174" s="99" t="n">
        <v>0</v>
      </c>
      <c r="O174" s="42" t="n">
        <v>19560</v>
      </c>
    </row>
    <row r="175" spans="1:15">
      <c r="A175" s="37" t="n">
        <v>172</v>
      </c>
      <c r="B175" s="97" t="s">
        <v>558</v>
      </c>
      <c r="C175" s="121" t="s">
        <v>120</v>
      </c>
      <c r="D175" s="121" t="s">
        <v>128</v>
      </c>
      <c r="E175" s="121" t="s">
        <v>15</v>
      </c>
      <c r="F175" s="98" t="n">
        <v>0</v>
      </c>
      <c r="G175" s="121" t="s">
        <v>560</v>
      </c>
      <c r="H175" s="99" t="n">
        <v>19560</v>
      </c>
      <c r="I175" s="99" t="n">
        <v>19560</v>
      </c>
      <c r="J175" s="99" t="n">
        <v>0</v>
      </c>
      <c r="K175" s="99" t="n">
        <v>0</v>
      </c>
      <c r="L175" s="99" t="n">
        <v>0</v>
      </c>
      <c r="M175" s="99" t="n">
        <v>0</v>
      </c>
      <c r="N175" s="99" t="n">
        <v>0</v>
      </c>
      <c r="O175" s="42" t="n">
        <v>19560</v>
      </c>
    </row>
    <row r="176" spans="1:15">
      <c r="A176" s="37" t="n">
        <v>173</v>
      </c>
      <c r="B176" s="97" t="s">
        <v>561</v>
      </c>
      <c r="C176" s="121" t="s">
        <v>120</v>
      </c>
      <c r="D176" s="121" t="s">
        <v>137</v>
      </c>
      <c r="E176" s="121" t="s">
        <v>14</v>
      </c>
      <c r="F176" s="98" t="n">
        <v>0</v>
      </c>
      <c r="G176" s="121" t="s">
        <v>562</v>
      </c>
      <c r="H176" s="99" t="n">
        <v>19560</v>
      </c>
      <c r="I176" s="99" t="n">
        <v>19560</v>
      </c>
      <c r="J176" s="99" t="n">
        <v>0</v>
      </c>
      <c r="K176" s="99" t="n">
        <v>0</v>
      </c>
      <c r="L176" s="99" t="n">
        <v>0</v>
      </c>
      <c r="M176" s="99" t="n">
        <v>0</v>
      </c>
      <c r="N176" s="99" t="n">
        <v>0</v>
      </c>
      <c r="O176" s="42" t="n">
        <v>19560</v>
      </c>
    </row>
    <row r="177" spans="1:15">
      <c r="A177" s="37" t="n">
        <v>174</v>
      </c>
      <c r="B177" s="97" t="s">
        <v>2345</v>
      </c>
      <c r="C177" s="121" t="s">
        <v>120</v>
      </c>
      <c r="D177" s="121" t="s">
        <v>128</v>
      </c>
      <c r="E177" s="121" t="s">
        <v>15</v>
      </c>
      <c r="F177" s="121" t="s">
        <v>2346</v>
      </c>
      <c r="G177" s="121" t="s">
        <v>2347</v>
      </c>
      <c r="H177" s="99" t="n">
        <v>19560</v>
      </c>
      <c r="I177" s="99" t="n">
        <v>19560</v>
      </c>
      <c r="J177" s="99" t="n">
        <v>0</v>
      </c>
      <c r="K177" s="99" t="n">
        <v>0</v>
      </c>
      <c r="L177" s="99" t="n">
        <v>0</v>
      </c>
      <c r="M177" s="99" t="n">
        <v>0</v>
      </c>
      <c r="N177" s="99" t="n">
        <v>0</v>
      </c>
      <c r="O177" s="42" t="n">
        <v>19560</v>
      </c>
    </row>
    <row r="178" spans="1:15">
      <c r="A178" s="37" t="n">
        <v>175</v>
      </c>
      <c r="B178" s="97" t="s">
        <v>570</v>
      </c>
      <c r="C178" s="121" t="s">
        <v>120</v>
      </c>
      <c r="D178" s="121" t="s">
        <v>124</v>
      </c>
      <c r="E178" s="121" t="s">
        <v>15</v>
      </c>
      <c r="F178" s="98" t="n">
        <v>0</v>
      </c>
      <c r="G178" s="121" t="s">
        <v>571</v>
      </c>
      <c r="H178" s="99" t="n">
        <v>19560</v>
      </c>
      <c r="I178" s="99" t="n">
        <v>19560</v>
      </c>
      <c r="J178" s="99" t="n">
        <v>0</v>
      </c>
      <c r="K178" s="99" t="n">
        <v>0</v>
      </c>
      <c r="L178" s="99" t="n">
        <v>0</v>
      </c>
      <c r="M178" s="99" t="n">
        <v>0</v>
      </c>
      <c r="N178" s="99" t="n">
        <v>0</v>
      </c>
      <c r="O178" s="42" t="n">
        <v>19560</v>
      </c>
    </row>
    <row r="179" spans="1:15">
      <c r="A179" s="37" t="n">
        <v>176</v>
      </c>
      <c r="B179" s="97" t="s">
        <v>811</v>
      </c>
      <c r="C179" s="121" t="s">
        <v>120</v>
      </c>
      <c r="D179" s="121" t="s">
        <v>128</v>
      </c>
      <c r="E179" s="121" t="s">
        <v>15</v>
      </c>
      <c r="F179" s="121" t="s">
        <v>2348</v>
      </c>
      <c r="G179" s="121" t="s">
        <v>812</v>
      </c>
      <c r="H179" s="99" t="n">
        <v>19560</v>
      </c>
      <c r="I179" s="99" t="n">
        <v>19560</v>
      </c>
      <c r="J179" s="99" t="n">
        <v>0</v>
      </c>
      <c r="K179" s="99" t="n">
        <v>0</v>
      </c>
      <c r="L179" s="99" t="n">
        <v>0</v>
      </c>
      <c r="M179" s="99" t="n">
        <v>0</v>
      </c>
      <c r="N179" s="99" t="n">
        <v>0</v>
      </c>
      <c r="O179" s="42" t="n">
        <v>19560</v>
      </c>
    </row>
    <row r="180" spans="1:15">
      <c r="A180" s="37" t="n">
        <v>177</v>
      </c>
      <c r="B180" s="97" t="s">
        <v>577</v>
      </c>
      <c r="C180" s="121" t="s">
        <v>95</v>
      </c>
      <c r="D180" s="121" t="s">
        <v>128</v>
      </c>
      <c r="E180" s="121" t="s">
        <v>15</v>
      </c>
      <c r="F180" s="98" t="n">
        <v>0</v>
      </c>
      <c r="G180" s="121" t="s">
        <v>578</v>
      </c>
      <c r="H180" s="99" t="n">
        <v>19560</v>
      </c>
      <c r="I180" s="99" t="n">
        <v>19560</v>
      </c>
      <c r="J180" s="99" t="n">
        <v>0</v>
      </c>
      <c r="K180" s="99" t="n">
        <v>0</v>
      </c>
      <c r="L180" s="99" t="n">
        <v>0</v>
      </c>
      <c r="M180" s="99" t="n">
        <v>0</v>
      </c>
      <c r="N180" s="99" t="n">
        <v>0</v>
      </c>
      <c r="O180" s="42" t="n">
        <v>19560</v>
      </c>
    </row>
    <row r="181" spans="1:15">
      <c r="A181" s="37" t="n">
        <v>178</v>
      </c>
      <c r="B181" s="97" t="s">
        <v>568</v>
      </c>
      <c r="C181" s="121" t="s">
        <v>95</v>
      </c>
      <c r="D181" s="121" t="s">
        <v>137</v>
      </c>
      <c r="E181" s="121" t="s">
        <v>14</v>
      </c>
      <c r="F181" s="98" t="n">
        <v>0</v>
      </c>
      <c r="G181" s="121" t="s">
        <v>569</v>
      </c>
      <c r="H181" s="99" t="n">
        <v>19560</v>
      </c>
      <c r="I181" s="99" t="n">
        <v>19560</v>
      </c>
      <c r="J181" s="99" t="n">
        <v>0</v>
      </c>
      <c r="K181" s="99" t="n">
        <v>0</v>
      </c>
      <c r="L181" s="99" t="n">
        <v>0</v>
      </c>
      <c r="M181" s="99" t="n">
        <v>0</v>
      </c>
      <c r="N181" s="99" t="n">
        <v>0</v>
      </c>
      <c r="O181" s="42" t="n">
        <v>19560</v>
      </c>
    </row>
    <row r="182" spans="1:15">
      <c r="A182" s="37" t="n">
        <v>179</v>
      </c>
      <c r="B182" s="97" t="s">
        <v>2349</v>
      </c>
      <c r="C182" s="121" t="s">
        <v>95</v>
      </c>
      <c r="D182" s="121" t="s">
        <v>128</v>
      </c>
      <c r="E182" s="121" t="s">
        <v>15</v>
      </c>
      <c r="F182" s="121" t="s">
        <v>2350</v>
      </c>
      <c r="G182" s="121" t="s">
        <v>2351</v>
      </c>
      <c r="H182" s="99" t="n">
        <v>19560</v>
      </c>
      <c r="I182" s="99" t="n">
        <v>19560</v>
      </c>
      <c r="J182" s="99" t="n">
        <v>0</v>
      </c>
      <c r="K182" s="99" t="n">
        <v>0</v>
      </c>
      <c r="L182" s="99" t="n">
        <v>0</v>
      </c>
      <c r="M182" s="99" t="n">
        <v>0</v>
      </c>
      <c r="N182" s="99" t="n">
        <v>0</v>
      </c>
      <c r="O182" s="42" t="n">
        <v>19560</v>
      </c>
    </row>
    <row r="183" spans="1:15">
      <c r="A183" s="37" t="n">
        <v>180</v>
      </c>
      <c r="B183" s="97" t="s">
        <v>2095</v>
      </c>
      <c r="C183" s="121" t="s">
        <v>95</v>
      </c>
      <c r="D183" s="121" t="s">
        <v>128</v>
      </c>
      <c r="E183" s="121" t="s">
        <v>15</v>
      </c>
      <c r="F183" s="121" t="s">
        <v>2352</v>
      </c>
      <c r="G183" s="121" t="s">
        <v>2096</v>
      </c>
      <c r="H183" s="99" t="n">
        <v>19560</v>
      </c>
      <c r="I183" s="99" t="n">
        <v>19560</v>
      </c>
      <c r="J183" s="99" t="n">
        <v>0</v>
      </c>
      <c r="K183" s="99" t="n">
        <v>0</v>
      </c>
      <c r="L183" s="99" t="n">
        <v>0</v>
      </c>
      <c r="M183" s="99" t="n">
        <v>0</v>
      </c>
      <c r="N183" s="99" t="n">
        <v>0</v>
      </c>
      <c r="O183" s="42" t="n">
        <v>19560</v>
      </c>
    </row>
    <row r="184" spans="1:15">
      <c r="A184" s="37" t="n">
        <v>181</v>
      </c>
      <c r="B184" s="97" t="s">
        <v>2353</v>
      </c>
      <c r="C184" s="121" t="s">
        <v>95</v>
      </c>
      <c r="D184" s="121" t="s">
        <v>128</v>
      </c>
      <c r="E184" s="121" t="s">
        <v>15</v>
      </c>
      <c r="F184" s="121" t="s">
        <v>2074</v>
      </c>
      <c r="G184" s="121" t="s">
        <v>2354</v>
      </c>
      <c r="H184" s="99" t="n">
        <v>19560</v>
      </c>
      <c r="I184" s="99" t="n">
        <v>19560</v>
      </c>
      <c r="J184" s="99" t="n">
        <v>0</v>
      </c>
      <c r="K184" s="99" t="n">
        <v>0</v>
      </c>
      <c r="L184" s="99" t="n">
        <v>0</v>
      </c>
      <c r="M184" s="99" t="n">
        <v>0</v>
      </c>
      <c r="N184" s="99" t="n">
        <v>0</v>
      </c>
      <c r="O184" s="42" t="n">
        <v>19560</v>
      </c>
    </row>
    <row r="185" spans="1:15">
      <c r="A185" s="37" t="n">
        <v>182</v>
      </c>
      <c r="B185" s="97" t="s">
        <v>474</v>
      </c>
      <c r="C185" s="121" t="s">
        <v>95</v>
      </c>
      <c r="D185" s="121" t="s">
        <v>124</v>
      </c>
      <c r="E185" s="121" t="s">
        <v>15</v>
      </c>
      <c r="F185" s="98" t="n">
        <v>0</v>
      </c>
      <c r="G185" s="121" t="s">
        <v>475</v>
      </c>
      <c r="H185" s="99" t="n">
        <v>19560</v>
      </c>
      <c r="I185" s="99" t="n">
        <v>19560</v>
      </c>
      <c r="J185" s="99" t="n">
        <v>0</v>
      </c>
      <c r="K185" s="99" t="n">
        <v>0</v>
      </c>
      <c r="L185" s="99" t="n">
        <v>0</v>
      </c>
      <c r="M185" s="99" t="n">
        <v>0</v>
      </c>
      <c r="N185" s="99" t="n">
        <v>0</v>
      </c>
      <c r="O185" s="42" t="n">
        <v>19560</v>
      </c>
    </row>
    <row r="186" spans="1:15">
      <c r="A186" s="37" t="n">
        <v>183</v>
      </c>
      <c r="B186" s="97" t="s">
        <v>476</v>
      </c>
      <c r="C186" s="121" t="s">
        <v>95</v>
      </c>
      <c r="D186" s="121" t="s">
        <v>124</v>
      </c>
      <c r="E186" s="121" t="s">
        <v>15</v>
      </c>
      <c r="F186" s="98" t="n">
        <v>0</v>
      </c>
      <c r="G186" s="121" t="s">
        <v>477</v>
      </c>
      <c r="H186" s="99" t="n">
        <v>19560</v>
      </c>
      <c r="I186" s="99" t="n">
        <v>19560</v>
      </c>
      <c r="J186" s="99" t="n">
        <v>0</v>
      </c>
      <c r="K186" s="99" t="n">
        <v>0</v>
      </c>
      <c r="L186" s="99" t="n">
        <v>0</v>
      </c>
      <c r="M186" s="99" t="n">
        <v>0</v>
      </c>
      <c r="N186" s="99" t="n">
        <v>0</v>
      </c>
      <c r="O186" s="42" t="n">
        <v>19560</v>
      </c>
    </row>
    <row r="187" spans="1:15">
      <c r="A187" s="37" t="n">
        <v>184</v>
      </c>
      <c r="B187" s="97" t="s">
        <v>2355</v>
      </c>
      <c r="C187" s="121" t="s">
        <v>95</v>
      </c>
      <c r="D187" s="121" t="s">
        <v>124</v>
      </c>
      <c r="E187" s="121" t="s">
        <v>15</v>
      </c>
      <c r="F187" s="98" t="n">
        <v>0</v>
      </c>
      <c r="G187" s="121" t="s">
        <v>2356</v>
      </c>
      <c r="H187" s="99" t="n">
        <v>19560</v>
      </c>
      <c r="I187" s="99" t="n">
        <v>19560</v>
      </c>
      <c r="J187" s="99" t="n">
        <v>0</v>
      </c>
      <c r="K187" s="99" t="n">
        <v>0</v>
      </c>
      <c r="L187" s="99" t="n">
        <v>0</v>
      </c>
      <c r="M187" s="99" t="n">
        <v>0</v>
      </c>
      <c r="N187" s="99" t="n">
        <v>0</v>
      </c>
      <c r="O187" s="42" t="n">
        <v>19560</v>
      </c>
    </row>
    <row r="188" spans="1:15">
      <c r="A188" s="37" t="n">
        <v>185</v>
      </c>
      <c r="B188" s="97" t="s">
        <v>489</v>
      </c>
      <c r="C188" s="121" t="s">
        <v>58</v>
      </c>
      <c r="D188" s="121" t="s">
        <v>20</v>
      </c>
      <c r="E188" s="121" t="s">
        <v>21</v>
      </c>
      <c r="F188" s="121" t="s">
        <v>490</v>
      </c>
      <c r="G188" s="121" t="s">
        <v>491</v>
      </c>
      <c r="H188" s="99" t="n">
        <v>19560</v>
      </c>
      <c r="I188" s="99" t="n">
        <v>19560</v>
      </c>
      <c r="J188" s="99" t="n">
        <v>978</v>
      </c>
      <c r="K188" s="99" t="n">
        <v>0</v>
      </c>
      <c r="L188" s="99" t="n">
        <v>0</v>
      </c>
      <c r="M188" s="99" t="n">
        <v>0</v>
      </c>
      <c r="N188" s="99" t="n">
        <v>0</v>
      </c>
      <c r="O188" s="42" t="n">
        <v>18582</v>
      </c>
    </row>
    <row r="189" spans="1:15">
      <c r="A189" s="37" t="n">
        <v>186</v>
      </c>
      <c r="B189" s="97" t="s">
        <v>543</v>
      </c>
      <c r="C189" s="121" t="s">
        <v>58</v>
      </c>
      <c r="D189" s="121" t="s">
        <v>20</v>
      </c>
      <c r="E189" s="121" t="s">
        <v>21</v>
      </c>
      <c r="F189" s="121" t="s">
        <v>544</v>
      </c>
      <c r="G189" s="121" t="s">
        <v>545</v>
      </c>
      <c r="H189" s="99" t="n">
        <v>19560</v>
      </c>
      <c r="I189" s="99" t="n">
        <v>19560</v>
      </c>
      <c r="J189" s="99" t="n">
        <v>978</v>
      </c>
      <c r="K189" s="99" t="n">
        <v>0</v>
      </c>
      <c r="L189" s="99" t="n">
        <v>0</v>
      </c>
      <c r="M189" s="99" t="n">
        <v>0</v>
      </c>
      <c r="N189" s="99" t="n">
        <v>0</v>
      </c>
      <c r="O189" s="42" t="n">
        <v>18582</v>
      </c>
    </row>
    <row r="190" spans="1:15">
      <c r="A190" s="37" t="n">
        <v>187</v>
      </c>
      <c r="B190" s="97" t="s">
        <v>2357</v>
      </c>
      <c r="C190" s="121" t="s">
        <v>58</v>
      </c>
      <c r="D190" s="121" t="s">
        <v>20</v>
      </c>
      <c r="E190" s="121" t="s">
        <v>21</v>
      </c>
      <c r="F190" s="121" t="s">
        <v>2358</v>
      </c>
      <c r="G190" s="121" t="s">
        <v>2359</v>
      </c>
      <c r="H190" s="99" t="n">
        <v>19560</v>
      </c>
      <c r="I190" s="99" t="n">
        <v>19560</v>
      </c>
      <c r="J190" s="99" t="n">
        <v>978</v>
      </c>
      <c r="K190" s="99" t="n">
        <v>0</v>
      </c>
      <c r="L190" s="99" t="n">
        <v>0</v>
      </c>
      <c r="M190" s="99" t="n">
        <v>0</v>
      </c>
      <c r="N190" s="99" t="n">
        <v>0</v>
      </c>
      <c r="O190" s="42" t="n">
        <v>18582</v>
      </c>
    </row>
    <row r="191" spans="1:15">
      <c r="A191" s="37" t="n">
        <v>188</v>
      </c>
      <c r="B191" s="97" t="s">
        <v>515</v>
      </c>
      <c r="C191" s="121" t="s">
        <v>111</v>
      </c>
      <c r="D191" s="121" t="s">
        <v>20</v>
      </c>
      <c r="E191" s="121" t="s">
        <v>21</v>
      </c>
      <c r="F191" s="121" t="s">
        <v>516</v>
      </c>
      <c r="G191" s="121" t="s">
        <v>517</v>
      </c>
      <c r="H191" s="99" t="n">
        <v>43566</v>
      </c>
      <c r="I191" s="99" t="n">
        <v>43566</v>
      </c>
      <c r="J191" s="99" t="n">
        <v>0</v>
      </c>
      <c r="K191" s="99" t="n">
        <v>0</v>
      </c>
      <c r="L191" s="99" t="n">
        <v>0</v>
      </c>
      <c r="M191" s="99" t="n">
        <v>0</v>
      </c>
      <c r="N191" s="99" t="n">
        <v>0</v>
      </c>
      <c r="O191" s="42" t="n">
        <v>43566</v>
      </c>
    </row>
    <row r="192" spans="1:15">
      <c r="A192" s="37" t="n">
        <v>189</v>
      </c>
      <c r="B192" s="97" t="s">
        <v>512</v>
      </c>
      <c r="C192" s="121" t="s">
        <v>111</v>
      </c>
      <c r="D192" s="121" t="s">
        <v>20</v>
      </c>
      <c r="E192" s="121" t="s">
        <v>21</v>
      </c>
      <c r="F192" s="121" t="s">
        <v>513</v>
      </c>
      <c r="G192" s="121" t="s">
        <v>514</v>
      </c>
      <c r="H192" s="99" t="n">
        <v>43566</v>
      </c>
      <c r="I192" s="99" t="n">
        <v>43566</v>
      </c>
      <c r="J192" s="99" t="n">
        <v>0</v>
      </c>
      <c r="K192" s="99" t="n">
        <v>0</v>
      </c>
      <c r="L192" s="99" t="n">
        <v>0</v>
      </c>
      <c r="M192" s="99" t="n">
        <v>0</v>
      </c>
      <c r="N192" s="99" t="n">
        <v>0</v>
      </c>
      <c r="O192" s="42" t="n">
        <v>43566</v>
      </c>
    </row>
    <row r="193" spans="1:15">
      <c r="A193" s="37" t="n">
        <v>190</v>
      </c>
      <c r="B193" s="97" t="s">
        <v>2360</v>
      </c>
      <c r="C193" s="121" t="s">
        <v>111</v>
      </c>
      <c r="D193" s="121" t="s">
        <v>20</v>
      </c>
      <c r="E193" s="121" t="s">
        <v>21</v>
      </c>
      <c r="F193" s="121" t="s">
        <v>2361</v>
      </c>
      <c r="G193" s="121" t="s">
        <v>2362</v>
      </c>
      <c r="H193" s="99" t="n">
        <v>19560</v>
      </c>
      <c r="I193" s="99" t="n">
        <v>19560</v>
      </c>
      <c r="J193" s="99" t="n">
        <v>0</v>
      </c>
      <c r="K193" s="99" t="n">
        <v>0</v>
      </c>
      <c r="L193" s="99" t="n">
        <v>0</v>
      </c>
      <c r="M193" s="99" t="n">
        <v>0</v>
      </c>
      <c r="N193" s="99" t="n">
        <v>0</v>
      </c>
      <c r="O193" s="42" t="n">
        <v>19560</v>
      </c>
    </row>
    <row r="194" spans="1:15">
      <c r="A194" s="37" t="n">
        <v>191</v>
      </c>
      <c r="B194" s="97" t="s">
        <v>599</v>
      </c>
      <c r="C194" s="121" t="s">
        <v>111</v>
      </c>
      <c r="D194" s="121" t="s">
        <v>20</v>
      </c>
      <c r="E194" s="121" t="s">
        <v>21</v>
      </c>
      <c r="F194" s="121" t="s">
        <v>600</v>
      </c>
      <c r="G194" s="121" t="s">
        <v>602</v>
      </c>
      <c r="H194" s="99" t="n">
        <v>19560</v>
      </c>
      <c r="I194" s="99" t="n">
        <v>19560</v>
      </c>
      <c r="J194" s="99" t="n">
        <v>0</v>
      </c>
      <c r="K194" s="99" t="n">
        <v>0</v>
      </c>
      <c r="L194" s="99" t="n">
        <v>0</v>
      </c>
      <c r="M194" s="99" t="n">
        <v>0</v>
      </c>
      <c r="N194" s="99" t="n">
        <v>0</v>
      </c>
      <c r="O194" s="42" t="n">
        <v>19560</v>
      </c>
    </row>
    <row r="195" spans="1:15">
      <c r="A195" s="37" t="n">
        <v>192</v>
      </c>
      <c r="B195" s="97" t="s">
        <v>1623</v>
      </c>
      <c r="C195" s="121" t="s">
        <v>111</v>
      </c>
      <c r="D195" s="121" t="s">
        <v>20</v>
      </c>
      <c r="E195" s="121" t="s">
        <v>21</v>
      </c>
      <c r="F195" s="121" t="s">
        <v>1624</v>
      </c>
      <c r="G195" s="121" t="s">
        <v>1626</v>
      </c>
      <c r="H195" s="99" t="n">
        <v>19560</v>
      </c>
      <c r="I195" s="99" t="n">
        <v>19560</v>
      </c>
      <c r="J195" s="99" t="n">
        <v>0</v>
      </c>
      <c r="K195" s="99" t="n">
        <v>0</v>
      </c>
      <c r="L195" s="99" t="n">
        <v>0</v>
      </c>
      <c r="M195" s="99" t="n">
        <v>0</v>
      </c>
      <c r="N195" s="99" t="n">
        <v>0</v>
      </c>
      <c r="O195" s="42" t="n">
        <v>19560</v>
      </c>
    </row>
    <row r="196" spans="1:15">
      <c r="A196" s="37" t="n">
        <v>193</v>
      </c>
      <c r="B196" s="97" t="s">
        <v>1915</v>
      </c>
      <c r="C196" s="121" t="s">
        <v>111</v>
      </c>
      <c r="D196" s="121" t="s">
        <v>20</v>
      </c>
      <c r="E196" s="121" t="s">
        <v>21</v>
      </c>
      <c r="F196" s="121" t="s">
        <v>1916</v>
      </c>
      <c r="G196" s="121" t="s">
        <v>1917</v>
      </c>
      <c r="H196" s="99" t="n">
        <v>19560</v>
      </c>
      <c r="I196" s="99" t="n">
        <v>19560</v>
      </c>
      <c r="J196" s="99" t="n">
        <v>0</v>
      </c>
      <c r="K196" s="99" t="n">
        <v>0</v>
      </c>
      <c r="L196" s="99" t="n">
        <v>0</v>
      </c>
      <c r="M196" s="99" t="n">
        <v>0</v>
      </c>
      <c r="N196" s="99" t="n">
        <v>0</v>
      </c>
      <c r="O196" s="42" t="n">
        <v>19560</v>
      </c>
    </row>
    <row r="197" spans="1:15">
      <c r="A197" s="37" t="n">
        <v>194</v>
      </c>
      <c r="B197" s="97" t="s">
        <v>351</v>
      </c>
      <c r="C197" s="121" t="s">
        <v>111</v>
      </c>
      <c r="D197" s="121" t="s">
        <v>20</v>
      </c>
      <c r="E197" s="121" t="s">
        <v>21</v>
      </c>
      <c r="F197" s="121" t="s">
        <v>352</v>
      </c>
      <c r="G197" s="121" t="s">
        <v>353</v>
      </c>
      <c r="H197" s="99" t="n">
        <v>19560</v>
      </c>
      <c r="I197" s="99" t="n">
        <v>19560</v>
      </c>
      <c r="J197" s="99" t="n">
        <v>0</v>
      </c>
      <c r="K197" s="99" t="n">
        <v>0</v>
      </c>
      <c r="L197" s="99" t="n">
        <v>0</v>
      </c>
      <c r="M197" s="99" t="n">
        <v>0</v>
      </c>
      <c r="N197" s="99" t="n">
        <v>0</v>
      </c>
      <c r="O197" s="42" t="n">
        <v>19560</v>
      </c>
    </row>
    <row r="198" spans="1:15">
      <c r="A198" s="37" t="n">
        <v>195</v>
      </c>
      <c r="B198" s="97" t="s">
        <v>1591</v>
      </c>
      <c r="C198" s="121" t="s">
        <v>111</v>
      </c>
      <c r="D198" s="121" t="s">
        <v>20</v>
      </c>
      <c r="E198" s="121" t="s">
        <v>21</v>
      </c>
      <c r="F198" s="121" t="s">
        <v>1592</v>
      </c>
      <c r="G198" s="121" t="s">
        <v>1593</v>
      </c>
      <c r="H198" s="99" t="n">
        <v>19560</v>
      </c>
      <c r="I198" s="99" t="n">
        <v>19560</v>
      </c>
      <c r="J198" s="99" t="n">
        <v>0</v>
      </c>
      <c r="K198" s="99" t="n">
        <v>0</v>
      </c>
      <c r="L198" s="99" t="n">
        <v>0</v>
      </c>
      <c r="M198" s="99" t="n">
        <v>0</v>
      </c>
      <c r="N198" s="99" t="n">
        <v>0</v>
      </c>
      <c r="O198" s="42" t="n">
        <v>19560</v>
      </c>
    </row>
    <row r="199" spans="1:15">
      <c r="A199" s="37" t="n">
        <v>196</v>
      </c>
      <c r="B199" s="97" t="s">
        <v>1618</v>
      </c>
      <c r="C199" s="121" t="s">
        <v>111</v>
      </c>
      <c r="D199" s="121" t="s">
        <v>20</v>
      </c>
      <c r="E199" s="121" t="s">
        <v>21</v>
      </c>
      <c r="F199" s="121" t="s">
        <v>1619</v>
      </c>
      <c r="G199" s="121" t="s">
        <v>1620</v>
      </c>
      <c r="H199" s="99" t="n">
        <v>19560</v>
      </c>
      <c r="I199" s="99" t="n">
        <v>19560</v>
      </c>
      <c r="J199" s="99" t="n">
        <v>0</v>
      </c>
      <c r="K199" s="99" t="n">
        <v>0</v>
      </c>
      <c r="L199" s="99" t="n">
        <v>0</v>
      </c>
      <c r="M199" s="99" t="n">
        <v>0</v>
      </c>
      <c r="N199" s="99" t="n">
        <v>0</v>
      </c>
      <c r="O199" s="42" t="n">
        <v>19560</v>
      </c>
    </row>
    <row r="200" spans="1:15">
      <c r="A200" s="37" t="n">
        <v>197</v>
      </c>
      <c r="B200" s="97" t="s">
        <v>579</v>
      </c>
      <c r="C200" s="121" t="s">
        <v>120</v>
      </c>
      <c r="D200" s="121" t="s">
        <v>128</v>
      </c>
      <c r="E200" s="121" t="s">
        <v>15</v>
      </c>
      <c r="F200" s="98" t="n">
        <v>0</v>
      </c>
      <c r="G200" s="121" t="s">
        <v>581</v>
      </c>
      <c r="H200" s="99" t="n">
        <v>19560</v>
      </c>
      <c r="I200" s="99" t="n">
        <v>19560</v>
      </c>
      <c r="J200" s="99" t="n">
        <v>0</v>
      </c>
      <c r="K200" s="99" t="n">
        <v>0</v>
      </c>
      <c r="L200" s="99" t="n">
        <v>0</v>
      </c>
      <c r="M200" s="99" t="n">
        <v>0</v>
      </c>
      <c r="N200" s="99" t="n">
        <v>0</v>
      </c>
      <c r="O200" s="42" t="n">
        <v>19560</v>
      </c>
    </row>
    <row r="201" spans="1:15">
      <c r="A201" s="37" t="n">
        <v>198</v>
      </c>
      <c r="B201" s="97" t="s">
        <v>1608</v>
      </c>
      <c r="C201" s="121" t="s">
        <v>120</v>
      </c>
      <c r="D201" s="121" t="s">
        <v>128</v>
      </c>
      <c r="E201" s="121" t="s">
        <v>15</v>
      </c>
      <c r="F201" s="121" t="s">
        <v>2363</v>
      </c>
      <c r="G201" s="121" t="s">
        <v>1609</v>
      </c>
      <c r="H201" s="99" t="n">
        <v>19560</v>
      </c>
      <c r="I201" s="99" t="n">
        <v>19560</v>
      </c>
      <c r="J201" s="99" t="n">
        <v>0</v>
      </c>
      <c r="K201" s="99" t="n">
        <v>0</v>
      </c>
      <c r="L201" s="99" t="n">
        <v>0</v>
      </c>
      <c r="M201" s="99" t="n">
        <v>0</v>
      </c>
      <c r="N201" s="99" t="n">
        <v>0</v>
      </c>
      <c r="O201" s="42" t="n">
        <v>19560</v>
      </c>
    </row>
    <row r="202" spans="1:15">
      <c r="A202" s="37" t="n">
        <v>199</v>
      </c>
      <c r="B202" s="97" t="s">
        <v>524</v>
      </c>
      <c r="C202" s="121" t="s">
        <v>120</v>
      </c>
      <c r="D202" s="121" t="s">
        <v>124</v>
      </c>
      <c r="E202" s="121" t="s">
        <v>15</v>
      </c>
      <c r="F202" s="98" t="n">
        <v>0</v>
      </c>
      <c r="G202" s="121" t="s">
        <v>525</v>
      </c>
      <c r="H202" s="99" t="n">
        <v>19560</v>
      </c>
      <c r="I202" s="99" t="n">
        <v>19560</v>
      </c>
      <c r="J202" s="99" t="n">
        <v>0</v>
      </c>
      <c r="K202" s="99" t="n">
        <v>0</v>
      </c>
      <c r="L202" s="99" t="n">
        <v>0</v>
      </c>
      <c r="M202" s="99" t="n">
        <v>0</v>
      </c>
      <c r="N202" s="99" t="n">
        <v>0</v>
      </c>
      <c r="O202" s="42" t="n">
        <v>19560</v>
      </c>
    </row>
    <row r="203" spans="1:15">
      <c r="A203" s="37" t="n">
        <v>200</v>
      </c>
      <c r="B203" s="97" t="s">
        <v>603</v>
      </c>
      <c r="C203" s="121" t="s">
        <v>120</v>
      </c>
      <c r="D203" s="121" t="s">
        <v>124</v>
      </c>
      <c r="E203" s="121" t="s">
        <v>15</v>
      </c>
      <c r="F203" s="98" t="n">
        <v>0</v>
      </c>
      <c r="G203" s="121" t="s">
        <v>604</v>
      </c>
      <c r="H203" s="99" t="n">
        <v>19560</v>
      </c>
      <c r="I203" s="99" t="n">
        <v>19560</v>
      </c>
      <c r="J203" s="99" t="n">
        <v>0</v>
      </c>
      <c r="K203" s="99" t="n">
        <v>0</v>
      </c>
      <c r="L203" s="99" t="n">
        <v>0</v>
      </c>
      <c r="M203" s="99" t="n">
        <v>0</v>
      </c>
      <c r="N203" s="99" t="n">
        <v>0</v>
      </c>
      <c r="O203" s="42" t="n">
        <v>19560</v>
      </c>
    </row>
    <row r="204" spans="1:15">
      <c r="A204" s="37" t="n">
        <v>201</v>
      </c>
      <c r="B204" s="97" t="s">
        <v>521</v>
      </c>
      <c r="C204" s="121" t="s">
        <v>120</v>
      </c>
      <c r="D204" s="121" t="s">
        <v>278</v>
      </c>
      <c r="E204" s="121" t="s">
        <v>16</v>
      </c>
      <c r="F204" s="98" t="n">
        <v>0</v>
      </c>
      <c r="G204" s="121" t="s">
        <v>523</v>
      </c>
      <c r="H204" s="99" t="n">
        <v>19560</v>
      </c>
      <c r="I204" s="99" t="n">
        <v>19560</v>
      </c>
      <c r="J204" s="99" t="n">
        <v>0</v>
      </c>
      <c r="K204" s="99" t="n">
        <v>0</v>
      </c>
      <c r="L204" s="99" t="n">
        <v>0</v>
      </c>
      <c r="M204" s="99" t="n">
        <v>0</v>
      </c>
      <c r="N204" s="99" t="n">
        <v>0</v>
      </c>
      <c r="O204" s="42" t="n">
        <v>19560</v>
      </c>
    </row>
    <row r="205" spans="1:15">
      <c r="A205" s="37" t="n">
        <v>202</v>
      </c>
      <c r="B205" s="97" t="s">
        <v>354</v>
      </c>
      <c r="C205" s="121" t="s">
        <v>120</v>
      </c>
      <c r="D205" s="121" t="s">
        <v>128</v>
      </c>
      <c r="E205" s="121" t="s">
        <v>15</v>
      </c>
      <c r="F205" s="121" t="s">
        <v>2364</v>
      </c>
      <c r="G205" s="121" t="s">
        <v>355</v>
      </c>
      <c r="H205" s="99" t="n">
        <v>19560</v>
      </c>
      <c r="I205" s="99" t="n">
        <v>19560</v>
      </c>
      <c r="J205" s="99" t="n">
        <v>0</v>
      </c>
      <c r="K205" s="99" t="n">
        <v>0</v>
      </c>
      <c r="L205" s="99" t="n">
        <v>0</v>
      </c>
      <c r="M205" s="99" t="n">
        <v>0</v>
      </c>
      <c r="N205" s="99" t="n">
        <v>0</v>
      </c>
      <c r="O205" s="42" t="n">
        <v>19560</v>
      </c>
    </row>
    <row r="206" spans="1:15">
      <c r="A206" s="37" t="n">
        <v>203</v>
      </c>
      <c r="B206" s="97" t="s">
        <v>589</v>
      </c>
      <c r="C206" s="121" t="s">
        <v>120</v>
      </c>
      <c r="D206" s="121" t="s">
        <v>128</v>
      </c>
      <c r="E206" s="121" t="s">
        <v>15</v>
      </c>
      <c r="F206" s="98" t="n">
        <v>0</v>
      </c>
      <c r="G206" s="121" t="s">
        <v>591</v>
      </c>
      <c r="H206" s="99" t="n">
        <v>19560</v>
      </c>
      <c r="I206" s="99" t="n">
        <v>19560</v>
      </c>
      <c r="J206" s="99" t="n">
        <v>0</v>
      </c>
      <c r="K206" s="99" t="n">
        <v>0</v>
      </c>
      <c r="L206" s="99" t="n">
        <v>0</v>
      </c>
      <c r="M206" s="99" t="n">
        <v>0</v>
      </c>
      <c r="N206" s="99" t="n">
        <v>0</v>
      </c>
      <c r="O206" s="42" t="n">
        <v>19560</v>
      </c>
    </row>
    <row r="207" spans="1:15">
      <c r="A207" s="37" t="n">
        <v>204</v>
      </c>
      <c r="B207" s="97" t="s">
        <v>1817</v>
      </c>
      <c r="C207" s="121" t="s">
        <v>120</v>
      </c>
      <c r="D207" s="121" t="s">
        <v>128</v>
      </c>
      <c r="E207" s="121" t="s">
        <v>15</v>
      </c>
      <c r="F207" s="121" t="s">
        <v>2365</v>
      </c>
      <c r="G207" s="121" t="s">
        <v>1819</v>
      </c>
      <c r="H207" s="99" t="n">
        <v>19560</v>
      </c>
      <c r="I207" s="99" t="n">
        <v>19560</v>
      </c>
      <c r="J207" s="99" t="n">
        <v>0</v>
      </c>
      <c r="K207" s="99" t="n">
        <v>0</v>
      </c>
      <c r="L207" s="99" t="n">
        <v>0</v>
      </c>
      <c r="M207" s="99" t="n">
        <v>0</v>
      </c>
      <c r="N207" s="99" t="n">
        <v>0</v>
      </c>
      <c r="O207" s="42" t="n">
        <v>19560</v>
      </c>
    </row>
    <row r="208" spans="1:15">
      <c r="A208" s="37" t="n">
        <v>205</v>
      </c>
      <c r="B208" s="97" t="s">
        <v>592</v>
      </c>
      <c r="C208" s="121" t="s">
        <v>120</v>
      </c>
      <c r="D208" s="121" t="s">
        <v>128</v>
      </c>
      <c r="E208" s="121" t="s">
        <v>15</v>
      </c>
      <c r="F208" s="98" t="n">
        <v>0</v>
      </c>
      <c r="G208" s="121" t="s">
        <v>594</v>
      </c>
      <c r="H208" s="99" t="n">
        <v>19560</v>
      </c>
      <c r="I208" s="99" t="n">
        <v>19560</v>
      </c>
      <c r="J208" s="99" t="n">
        <v>0</v>
      </c>
      <c r="K208" s="99" t="n">
        <v>0</v>
      </c>
      <c r="L208" s="99" t="n">
        <v>0</v>
      </c>
      <c r="M208" s="99" t="n">
        <v>0</v>
      </c>
      <c r="N208" s="99" t="n">
        <v>0</v>
      </c>
      <c r="O208" s="42" t="n">
        <v>19560</v>
      </c>
    </row>
    <row r="209" spans="1:15">
      <c r="A209" s="37" t="n">
        <v>206</v>
      </c>
      <c r="B209" s="97" t="s">
        <v>595</v>
      </c>
      <c r="C209" s="121" t="s">
        <v>95</v>
      </c>
      <c r="D209" s="121" t="s">
        <v>137</v>
      </c>
      <c r="E209" s="121" t="s">
        <v>14</v>
      </c>
      <c r="F209" s="98" t="n">
        <v>0</v>
      </c>
      <c r="G209" s="121" t="s">
        <v>596</v>
      </c>
      <c r="H209" s="99" t="n">
        <v>19560</v>
      </c>
      <c r="I209" s="99" t="n">
        <v>19560</v>
      </c>
      <c r="J209" s="99" t="n">
        <v>0</v>
      </c>
      <c r="K209" s="99" t="n">
        <v>0</v>
      </c>
      <c r="L209" s="99" t="n">
        <v>0</v>
      </c>
      <c r="M209" s="99" t="n">
        <v>0</v>
      </c>
      <c r="N209" s="99" t="n">
        <v>0</v>
      </c>
      <c r="O209" s="42" t="n">
        <v>19560</v>
      </c>
    </row>
    <row r="210" spans="1:15">
      <c r="A210" s="37" t="n">
        <v>207</v>
      </c>
      <c r="B210" s="97" t="s">
        <v>1918</v>
      </c>
      <c r="C210" s="121" t="s">
        <v>95</v>
      </c>
      <c r="D210" s="121" t="s">
        <v>128</v>
      </c>
      <c r="E210" s="121" t="s">
        <v>15</v>
      </c>
      <c r="F210" s="121" t="s">
        <v>2366</v>
      </c>
      <c r="G210" s="121" t="s">
        <v>1919</v>
      </c>
      <c r="H210" s="99" t="n">
        <v>19560</v>
      </c>
      <c r="I210" s="99" t="n">
        <v>19560</v>
      </c>
      <c r="J210" s="99" t="n">
        <v>0</v>
      </c>
      <c r="K210" s="99" t="n">
        <v>0</v>
      </c>
      <c r="L210" s="99" t="n">
        <v>0</v>
      </c>
      <c r="M210" s="99" t="n">
        <v>0</v>
      </c>
      <c r="N210" s="99" t="n">
        <v>0</v>
      </c>
      <c r="O210" s="42" t="n">
        <v>19560</v>
      </c>
    </row>
    <row r="211" spans="1:15">
      <c r="A211" s="37" t="n">
        <v>208</v>
      </c>
      <c r="B211" s="97" t="s">
        <v>2367</v>
      </c>
      <c r="C211" s="121" t="s">
        <v>95</v>
      </c>
      <c r="D211" s="121" t="s">
        <v>128</v>
      </c>
      <c r="E211" s="121" t="s">
        <v>15</v>
      </c>
      <c r="F211" s="121" t="s">
        <v>2368</v>
      </c>
      <c r="G211" s="121" t="s">
        <v>2369</v>
      </c>
      <c r="H211" s="99" t="n">
        <v>19560</v>
      </c>
      <c r="I211" s="99" t="n">
        <v>19560</v>
      </c>
      <c r="J211" s="99" t="n">
        <v>0</v>
      </c>
      <c r="K211" s="99" t="n">
        <v>0</v>
      </c>
      <c r="L211" s="99" t="n">
        <v>0</v>
      </c>
      <c r="M211" s="99" t="n">
        <v>0</v>
      </c>
      <c r="N211" s="99" t="n">
        <v>0</v>
      </c>
      <c r="O211" s="42" t="n">
        <v>19560</v>
      </c>
    </row>
    <row r="212" spans="1:15">
      <c r="A212" s="37" t="n">
        <v>209</v>
      </c>
      <c r="B212" s="97" t="s">
        <v>526</v>
      </c>
      <c r="C212" s="121" t="s">
        <v>95</v>
      </c>
      <c r="D212" s="121" t="s">
        <v>124</v>
      </c>
      <c r="E212" s="121" t="s">
        <v>15</v>
      </c>
      <c r="F212" s="98" t="n">
        <v>0</v>
      </c>
      <c r="G212" s="121" t="s">
        <v>528</v>
      </c>
      <c r="H212" s="99" t="n">
        <v>19560</v>
      </c>
      <c r="I212" s="99" t="n">
        <v>19560</v>
      </c>
      <c r="J212" s="99" t="n">
        <v>0</v>
      </c>
      <c r="K212" s="99" t="n">
        <v>0</v>
      </c>
      <c r="L212" s="99" t="n">
        <v>0</v>
      </c>
      <c r="M212" s="99" t="n">
        <v>0</v>
      </c>
      <c r="N212" s="99" t="n">
        <v>0</v>
      </c>
      <c r="O212" s="42" t="n">
        <v>19560</v>
      </c>
    </row>
    <row r="213" spans="1:15">
      <c r="A213" s="37" t="n">
        <v>210</v>
      </c>
      <c r="B213" s="97" t="s">
        <v>1913</v>
      </c>
      <c r="C213" s="121" t="s">
        <v>95</v>
      </c>
      <c r="D213" s="121" t="s">
        <v>128</v>
      </c>
      <c r="E213" s="121" t="s">
        <v>15</v>
      </c>
      <c r="F213" s="121" t="s">
        <v>2370</v>
      </c>
      <c r="G213" s="121" t="s">
        <v>1914</v>
      </c>
      <c r="H213" s="99" t="n">
        <v>19560</v>
      </c>
      <c r="I213" s="99" t="n">
        <v>19560</v>
      </c>
      <c r="J213" s="99" t="n">
        <v>0</v>
      </c>
      <c r="K213" s="99" t="n">
        <v>0</v>
      </c>
      <c r="L213" s="99" t="n">
        <v>0</v>
      </c>
      <c r="M213" s="99" t="n">
        <v>0</v>
      </c>
      <c r="N213" s="99" t="n">
        <v>0</v>
      </c>
      <c r="O213" s="42" t="n">
        <v>19560</v>
      </c>
    </row>
    <row r="214" spans="1:15">
      <c r="A214" s="37" t="n">
        <v>211</v>
      </c>
      <c r="B214" s="97" t="s">
        <v>1621</v>
      </c>
      <c r="C214" s="121" t="s">
        <v>95</v>
      </c>
      <c r="D214" s="121" t="s">
        <v>128</v>
      </c>
      <c r="E214" s="121" t="s">
        <v>15</v>
      </c>
      <c r="F214" s="121" t="s">
        <v>2371</v>
      </c>
      <c r="G214" s="121" t="s">
        <v>1622</v>
      </c>
      <c r="H214" s="99" t="n">
        <v>19560</v>
      </c>
      <c r="I214" s="99" t="n">
        <v>19560</v>
      </c>
      <c r="J214" s="99" t="n">
        <v>0</v>
      </c>
      <c r="K214" s="99" t="n">
        <v>0</v>
      </c>
      <c r="L214" s="99" t="n">
        <v>0</v>
      </c>
      <c r="M214" s="99" t="n">
        <v>0</v>
      </c>
      <c r="N214" s="99" t="n">
        <v>0</v>
      </c>
      <c r="O214" s="42" t="n">
        <v>19560</v>
      </c>
    </row>
    <row r="215" spans="1:15">
      <c r="A215" s="37" t="n">
        <v>212</v>
      </c>
      <c r="B215" s="97" t="s">
        <v>597</v>
      </c>
      <c r="C215" s="121" t="s">
        <v>95</v>
      </c>
      <c r="D215" s="121" t="s">
        <v>128</v>
      </c>
      <c r="E215" s="121" t="s">
        <v>15</v>
      </c>
      <c r="F215" s="98" t="n">
        <v>0</v>
      </c>
      <c r="G215" s="121" t="s">
        <v>598</v>
      </c>
      <c r="H215" s="99" t="n">
        <v>19560</v>
      </c>
      <c r="I215" s="99" t="n">
        <v>19560</v>
      </c>
      <c r="J215" s="99" t="n">
        <v>0</v>
      </c>
      <c r="K215" s="99" t="n">
        <v>0</v>
      </c>
      <c r="L215" s="99" t="n">
        <v>0</v>
      </c>
      <c r="M215" s="99" t="n">
        <v>0</v>
      </c>
      <c r="N215" s="99" t="n">
        <v>0</v>
      </c>
      <c r="O215" s="42" t="n">
        <v>19560</v>
      </c>
    </row>
    <row r="216" spans="1:15">
      <c r="A216" s="37" t="n">
        <v>213</v>
      </c>
      <c r="B216" s="97" t="s">
        <v>582</v>
      </c>
      <c r="C216" s="121" t="s">
        <v>95</v>
      </c>
      <c r="D216" s="121" t="s">
        <v>128</v>
      </c>
      <c r="E216" s="121" t="s">
        <v>15</v>
      </c>
      <c r="F216" s="98" t="n">
        <v>0</v>
      </c>
      <c r="G216" s="121" t="s">
        <v>584</v>
      </c>
      <c r="H216" s="99" t="n">
        <v>19560</v>
      </c>
      <c r="I216" s="99" t="n">
        <v>19560</v>
      </c>
      <c r="J216" s="99" t="n">
        <v>0</v>
      </c>
      <c r="K216" s="99" t="n">
        <v>0</v>
      </c>
      <c r="L216" s="99" t="n">
        <v>0</v>
      </c>
      <c r="M216" s="99" t="n">
        <v>0</v>
      </c>
      <c r="N216" s="99" t="n">
        <v>0</v>
      </c>
      <c r="O216" s="42" t="n">
        <v>19560</v>
      </c>
    </row>
    <row r="217" spans="1:15">
      <c r="A217" s="37" t="n">
        <v>214</v>
      </c>
      <c r="B217" s="97" t="s">
        <v>605</v>
      </c>
      <c r="C217" s="121" t="s">
        <v>95</v>
      </c>
      <c r="D217" s="121" t="s">
        <v>124</v>
      </c>
      <c r="E217" s="121" t="s">
        <v>15</v>
      </c>
      <c r="F217" s="98" t="n">
        <v>0</v>
      </c>
      <c r="G217" s="121" t="s">
        <v>606</v>
      </c>
      <c r="H217" s="99" t="n">
        <v>19560</v>
      </c>
      <c r="I217" s="99" t="n">
        <v>19560</v>
      </c>
      <c r="J217" s="99" t="n">
        <v>0</v>
      </c>
      <c r="K217" s="99" t="n">
        <v>0</v>
      </c>
      <c r="L217" s="99" t="n">
        <v>0</v>
      </c>
      <c r="M217" s="99" t="n">
        <v>0</v>
      </c>
      <c r="N217" s="99" t="n">
        <v>0</v>
      </c>
      <c r="O217" s="42" t="n">
        <v>19560</v>
      </c>
    </row>
    <row r="218" spans="1:15">
      <c r="A218" s="37" t="n">
        <v>215</v>
      </c>
      <c r="B218" s="97" t="s">
        <v>270</v>
      </c>
      <c r="C218" s="121" t="s">
        <v>95</v>
      </c>
      <c r="D218" s="121" t="s">
        <v>137</v>
      </c>
      <c r="E218" s="121" t="s">
        <v>14</v>
      </c>
      <c r="F218" s="98" t="n">
        <v>0</v>
      </c>
      <c r="G218" s="121" t="s">
        <v>272</v>
      </c>
      <c r="H218" s="99" t="n">
        <v>19560</v>
      </c>
      <c r="I218" s="99" t="n">
        <v>19560</v>
      </c>
      <c r="J218" s="99" t="n">
        <v>0</v>
      </c>
      <c r="K218" s="99" t="n">
        <v>0</v>
      </c>
      <c r="L218" s="99" t="n">
        <v>0</v>
      </c>
      <c r="M218" s="99" t="n">
        <v>0</v>
      </c>
      <c r="N218" s="99" t="n">
        <v>0</v>
      </c>
      <c r="O218" s="42" t="n">
        <v>19560</v>
      </c>
    </row>
    <row r="219" spans="1:15">
      <c r="A219" s="37" t="n">
        <v>216</v>
      </c>
      <c r="B219" s="97" t="s">
        <v>349</v>
      </c>
      <c r="C219" s="121" t="s">
        <v>95</v>
      </c>
      <c r="D219" s="121" t="s">
        <v>128</v>
      </c>
      <c r="E219" s="121" t="s">
        <v>15</v>
      </c>
      <c r="F219" s="121" t="s">
        <v>2372</v>
      </c>
      <c r="G219" s="121" t="s">
        <v>350</v>
      </c>
      <c r="H219" s="99" t="n">
        <v>19560</v>
      </c>
      <c r="I219" s="99" t="n">
        <v>19560</v>
      </c>
      <c r="J219" s="99" t="n">
        <v>0</v>
      </c>
      <c r="K219" s="99" t="n">
        <v>0</v>
      </c>
      <c r="L219" s="99" t="n">
        <v>0</v>
      </c>
      <c r="M219" s="99" t="n">
        <v>0</v>
      </c>
      <c r="N219" s="99" t="n">
        <v>0</v>
      </c>
      <c r="O219" s="42" t="n">
        <v>19560</v>
      </c>
    </row>
    <row r="220" spans="1:15">
      <c r="A220" s="37" t="n">
        <v>217</v>
      </c>
      <c r="B220" s="97" t="s">
        <v>510</v>
      </c>
      <c r="C220" s="121" t="s">
        <v>95</v>
      </c>
      <c r="D220" s="121" t="s">
        <v>137</v>
      </c>
      <c r="E220" s="121" t="s">
        <v>14</v>
      </c>
      <c r="F220" s="98" t="n">
        <v>0</v>
      </c>
      <c r="G220" s="121" t="s">
        <v>511</v>
      </c>
      <c r="H220" s="99" t="n">
        <v>19560</v>
      </c>
      <c r="I220" s="99" t="n">
        <v>19560</v>
      </c>
      <c r="J220" s="99" t="n">
        <v>0</v>
      </c>
      <c r="K220" s="99" t="n">
        <v>0</v>
      </c>
      <c r="L220" s="99" t="n">
        <v>0</v>
      </c>
      <c r="M220" s="99" t="n">
        <v>0</v>
      </c>
      <c r="N220" s="99" t="n">
        <v>0</v>
      </c>
      <c r="O220" s="42" t="n">
        <v>19560</v>
      </c>
    </row>
    <row r="221" spans="1:15">
      <c r="A221" s="37" t="n">
        <v>218</v>
      </c>
      <c r="B221" s="97" t="s">
        <v>607</v>
      </c>
      <c r="C221" s="121" t="s">
        <v>95</v>
      </c>
      <c r="D221" s="121" t="s">
        <v>137</v>
      </c>
      <c r="E221" s="121" t="s">
        <v>14</v>
      </c>
      <c r="F221" s="98" t="n">
        <v>0</v>
      </c>
      <c r="G221" s="121" t="s">
        <v>608</v>
      </c>
      <c r="H221" s="99" t="n">
        <v>19560</v>
      </c>
      <c r="I221" s="99" t="n">
        <v>19560</v>
      </c>
      <c r="J221" s="99" t="n">
        <v>0</v>
      </c>
      <c r="K221" s="99" t="n">
        <v>0</v>
      </c>
      <c r="L221" s="99" t="n">
        <v>0</v>
      </c>
      <c r="M221" s="99" t="n">
        <v>0</v>
      </c>
      <c r="N221" s="99" t="n">
        <v>0</v>
      </c>
      <c r="O221" s="42" t="n">
        <v>19560</v>
      </c>
    </row>
    <row r="222" spans="1:15">
      <c r="A222" s="37" t="n">
        <v>219</v>
      </c>
      <c r="B222" s="97" t="s">
        <v>518</v>
      </c>
      <c r="C222" s="121" t="s">
        <v>95</v>
      </c>
      <c r="D222" s="121" t="s">
        <v>128</v>
      </c>
      <c r="E222" s="121" t="s">
        <v>15</v>
      </c>
      <c r="F222" s="98" t="n">
        <v>0</v>
      </c>
      <c r="G222" s="121" t="s">
        <v>520</v>
      </c>
      <c r="H222" s="99" t="n">
        <v>19560</v>
      </c>
      <c r="I222" s="99" t="n">
        <v>19560</v>
      </c>
      <c r="J222" s="99" t="n">
        <v>0</v>
      </c>
      <c r="K222" s="99" t="n">
        <v>0</v>
      </c>
      <c r="L222" s="99" t="n">
        <v>0</v>
      </c>
      <c r="M222" s="99" t="n">
        <v>0</v>
      </c>
      <c r="N222" s="99" t="n">
        <v>0</v>
      </c>
      <c r="O222" s="42" t="n">
        <v>19560</v>
      </c>
    </row>
    <row r="223" spans="1:15">
      <c r="A223" s="37" t="n">
        <v>220</v>
      </c>
      <c r="B223" s="97" t="s">
        <v>531</v>
      </c>
      <c r="C223" s="121" t="s">
        <v>95</v>
      </c>
      <c r="D223" s="121" t="s">
        <v>128</v>
      </c>
      <c r="E223" s="121" t="s">
        <v>15</v>
      </c>
      <c r="F223" s="98" t="n">
        <v>0</v>
      </c>
      <c r="G223" s="121" t="s">
        <v>532</v>
      </c>
      <c r="H223" s="99" t="n">
        <v>19560</v>
      </c>
      <c r="I223" s="99" t="n">
        <v>19560</v>
      </c>
      <c r="J223" s="99" t="n">
        <v>0</v>
      </c>
      <c r="K223" s="99" t="n">
        <v>0</v>
      </c>
      <c r="L223" s="99" t="n">
        <v>0</v>
      </c>
      <c r="M223" s="99" t="n">
        <v>0</v>
      </c>
      <c r="N223" s="99" t="n">
        <v>0</v>
      </c>
      <c r="O223" s="42" t="n">
        <v>19560</v>
      </c>
    </row>
    <row r="224" spans="1:15">
      <c r="A224" s="37" t="n">
        <v>221</v>
      </c>
      <c r="B224" s="97" t="s">
        <v>533</v>
      </c>
      <c r="C224" s="121" t="s">
        <v>95</v>
      </c>
      <c r="D224" s="121" t="s">
        <v>124</v>
      </c>
      <c r="E224" s="121" t="s">
        <v>15</v>
      </c>
      <c r="F224" s="98" t="n">
        <v>0</v>
      </c>
      <c r="G224" s="121" t="s">
        <v>535</v>
      </c>
      <c r="H224" s="99" t="n">
        <v>19560</v>
      </c>
      <c r="I224" s="99" t="n">
        <v>19560</v>
      </c>
      <c r="J224" s="99" t="n">
        <v>0</v>
      </c>
      <c r="K224" s="99" t="n">
        <v>0</v>
      </c>
      <c r="L224" s="99" t="n">
        <v>0</v>
      </c>
      <c r="M224" s="99" t="n">
        <v>0</v>
      </c>
      <c r="N224" s="99" t="n">
        <v>0</v>
      </c>
      <c r="O224" s="42" t="n">
        <v>19560</v>
      </c>
    </row>
    <row r="225" spans="1:15">
      <c r="A225" s="37" t="n">
        <v>222</v>
      </c>
      <c r="B225" s="97" t="s">
        <v>536</v>
      </c>
      <c r="C225" s="121" t="s">
        <v>95</v>
      </c>
      <c r="D225" s="121" t="s">
        <v>121</v>
      </c>
      <c r="E225" s="121" t="s">
        <v>14</v>
      </c>
      <c r="F225" s="98" t="n">
        <v>0</v>
      </c>
      <c r="G225" s="121" t="s">
        <v>538</v>
      </c>
      <c r="H225" s="99" t="n">
        <v>19560</v>
      </c>
      <c r="I225" s="99" t="n">
        <v>19560</v>
      </c>
      <c r="J225" s="99" t="n">
        <v>0</v>
      </c>
      <c r="K225" s="99" t="n">
        <v>0</v>
      </c>
      <c r="L225" s="99" t="n">
        <v>0</v>
      </c>
      <c r="M225" s="99" t="n">
        <v>0</v>
      </c>
      <c r="N225" s="99" t="n">
        <v>0</v>
      </c>
      <c r="O225" s="42" t="n">
        <v>19560</v>
      </c>
    </row>
    <row r="226" spans="1:15">
      <c r="A226" s="37" t="n">
        <v>223</v>
      </c>
      <c r="B226" s="97" t="s">
        <v>1920</v>
      </c>
      <c r="C226" s="121" t="s">
        <v>95</v>
      </c>
      <c r="D226" s="121" t="s">
        <v>128</v>
      </c>
      <c r="E226" s="121" t="s">
        <v>15</v>
      </c>
      <c r="F226" s="121" t="s">
        <v>2074</v>
      </c>
      <c r="G226" s="121" t="s">
        <v>1921</v>
      </c>
      <c r="H226" s="99" t="n">
        <v>19560</v>
      </c>
      <c r="I226" s="99" t="n">
        <v>19560</v>
      </c>
      <c r="J226" s="99" t="n">
        <v>0</v>
      </c>
      <c r="K226" s="99" t="n">
        <v>0</v>
      </c>
      <c r="L226" s="99" t="n">
        <v>0</v>
      </c>
      <c r="M226" s="99" t="n">
        <v>0</v>
      </c>
      <c r="N226" s="99" t="n">
        <v>0</v>
      </c>
      <c r="O226" s="42" t="n">
        <v>19560</v>
      </c>
    </row>
    <row r="227" spans="1:15">
      <c r="A227" s="37" t="n">
        <v>224</v>
      </c>
      <c r="B227" s="97" t="s">
        <v>617</v>
      </c>
      <c r="C227" s="121" t="s">
        <v>58</v>
      </c>
      <c r="D227" s="121" t="s">
        <v>20</v>
      </c>
      <c r="E227" s="121" t="s">
        <v>21</v>
      </c>
      <c r="F227" s="121" t="s">
        <v>618</v>
      </c>
      <c r="G227" s="121" t="s">
        <v>619</v>
      </c>
      <c r="H227" s="99" t="n">
        <v>16756</v>
      </c>
      <c r="I227" s="99" t="n">
        <v>16756</v>
      </c>
      <c r="J227" s="99" t="n">
        <v>838</v>
      </c>
      <c r="K227" s="99" t="n">
        <v>0</v>
      </c>
      <c r="L227" s="99" t="n">
        <v>0</v>
      </c>
      <c r="M227" s="99" t="n">
        <v>0</v>
      </c>
      <c r="N227" s="99" t="n">
        <v>0</v>
      </c>
      <c r="O227" s="42" t="n">
        <v>15918</v>
      </c>
    </row>
    <row r="228" spans="1:15">
      <c r="A228" s="37" t="n">
        <v>225</v>
      </c>
      <c r="B228" s="97" t="s">
        <v>627</v>
      </c>
      <c r="C228" s="121" t="s">
        <v>58</v>
      </c>
      <c r="D228" s="121" t="s">
        <v>20</v>
      </c>
      <c r="E228" s="121" t="s">
        <v>21</v>
      </c>
      <c r="F228" s="121" t="s">
        <v>628</v>
      </c>
      <c r="G228" s="121" t="s">
        <v>630</v>
      </c>
      <c r="H228" s="99" t="n">
        <v>15466</v>
      </c>
      <c r="I228" s="99" t="n">
        <v>15466</v>
      </c>
      <c r="J228" s="99" t="n">
        <v>773</v>
      </c>
      <c r="K228" s="99" t="n">
        <v>0</v>
      </c>
      <c r="L228" s="99" t="n">
        <v>0</v>
      </c>
      <c r="M228" s="99" t="n">
        <v>0</v>
      </c>
      <c r="N228" s="99" t="n">
        <v>0</v>
      </c>
      <c r="O228" s="42" t="n">
        <v>14693</v>
      </c>
    </row>
    <row r="229" spans="1:15">
      <c r="A229" s="37" t="n">
        <v>226</v>
      </c>
      <c r="B229" s="97" t="s">
        <v>635</v>
      </c>
      <c r="C229" s="121" t="s">
        <v>58</v>
      </c>
      <c r="D229" s="121" t="s">
        <v>20</v>
      </c>
      <c r="E229" s="121" t="s">
        <v>21</v>
      </c>
      <c r="F229" s="121" t="s">
        <v>636</v>
      </c>
      <c r="G229" s="121" t="s">
        <v>638</v>
      </c>
      <c r="H229" s="99" t="n">
        <v>15466</v>
      </c>
      <c r="I229" s="99" t="n">
        <v>15466</v>
      </c>
      <c r="J229" s="99" t="n">
        <v>773</v>
      </c>
      <c r="K229" s="99" t="n">
        <v>0</v>
      </c>
      <c r="L229" s="99" t="n">
        <v>0</v>
      </c>
      <c r="M229" s="99" t="n">
        <v>0</v>
      </c>
      <c r="N229" s="99" t="n">
        <v>0</v>
      </c>
      <c r="O229" s="42" t="n">
        <v>14693</v>
      </c>
    </row>
    <row r="230" spans="1:15">
      <c r="A230" s="37" t="n">
        <v>227</v>
      </c>
      <c r="B230" s="97" t="s">
        <v>639</v>
      </c>
      <c r="C230" s="121" t="s">
        <v>58</v>
      </c>
      <c r="D230" s="121" t="s">
        <v>20</v>
      </c>
      <c r="E230" s="121" t="s">
        <v>21</v>
      </c>
      <c r="F230" s="121" t="s">
        <v>640</v>
      </c>
      <c r="G230" s="121" t="s">
        <v>642</v>
      </c>
      <c r="H230" s="99" t="n">
        <v>15466</v>
      </c>
      <c r="I230" s="99" t="n">
        <v>15466</v>
      </c>
      <c r="J230" s="99" t="n">
        <v>773</v>
      </c>
      <c r="K230" s="99" t="n">
        <v>0</v>
      </c>
      <c r="L230" s="99" t="n">
        <v>0</v>
      </c>
      <c r="M230" s="99" t="n">
        <v>0</v>
      </c>
      <c r="N230" s="99" t="n">
        <v>0</v>
      </c>
      <c r="O230" s="42" t="n">
        <v>14693</v>
      </c>
    </row>
    <row r="231" spans="1:15">
      <c r="A231" s="37" t="n">
        <v>228</v>
      </c>
      <c r="B231" s="97" t="s">
        <v>1293</v>
      </c>
      <c r="C231" s="121" t="s">
        <v>58</v>
      </c>
      <c r="D231" s="121" t="s">
        <v>20</v>
      </c>
      <c r="E231" s="121" t="s">
        <v>21</v>
      </c>
      <c r="F231" s="121" t="s">
        <v>1294</v>
      </c>
      <c r="G231" s="121" t="s">
        <v>1295</v>
      </c>
      <c r="H231" s="99" t="n">
        <v>15982</v>
      </c>
      <c r="I231" s="99" t="n">
        <v>15982</v>
      </c>
      <c r="J231" s="99" t="n">
        <v>799</v>
      </c>
      <c r="K231" s="99" t="n">
        <v>0</v>
      </c>
      <c r="L231" s="99" t="n">
        <v>0</v>
      </c>
      <c r="M231" s="99" t="n">
        <v>0</v>
      </c>
      <c r="N231" s="99" t="n">
        <v>0</v>
      </c>
      <c r="O231" s="42" t="n">
        <v>15183</v>
      </c>
    </row>
    <row r="232" spans="1:15">
      <c r="A232" s="37" t="n">
        <v>229</v>
      </c>
      <c r="B232" s="97" t="s">
        <v>106</v>
      </c>
      <c r="C232" s="121" t="s">
        <v>58</v>
      </c>
      <c r="D232" s="121" t="s">
        <v>20</v>
      </c>
      <c r="E232" s="121" t="s">
        <v>21</v>
      </c>
      <c r="F232" s="121" t="s">
        <v>107</v>
      </c>
      <c r="G232" s="121" t="s">
        <v>109</v>
      </c>
      <c r="H232" s="99" t="n">
        <v>15466</v>
      </c>
      <c r="I232" s="99" t="n">
        <v>15466</v>
      </c>
      <c r="J232" s="99" t="n">
        <v>773</v>
      </c>
      <c r="K232" s="99" t="n">
        <v>0</v>
      </c>
      <c r="L232" s="99" t="n">
        <v>0</v>
      </c>
      <c r="M232" s="99" t="n">
        <v>0</v>
      </c>
      <c r="N232" s="99" t="n">
        <v>0</v>
      </c>
      <c r="O232" s="42" t="n">
        <v>14693</v>
      </c>
    </row>
    <row r="233" spans="1:15">
      <c r="A233" s="37" t="n">
        <v>230</v>
      </c>
      <c r="B233" s="97" t="s">
        <v>2373</v>
      </c>
      <c r="C233" s="121" t="s">
        <v>58</v>
      </c>
      <c r="D233" s="121" t="s">
        <v>20</v>
      </c>
      <c r="E233" s="121" t="s">
        <v>21</v>
      </c>
      <c r="F233" s="121" t="s">
        <v>2374</v>
      </c>
      <c r="G233" s="121" t="s">
        <v>2375</v>
      </c>
      <c r="H233" s="99" t="n">
        <v>15466</v>
      </c>
      <c r="I233" s="99" t="n">
        <v>15466</v>
      </c>
      <c r="J233" s="99" t="n">
        <v>773</v>
      </c>
      <c r="K233" s="99" t="n">
        <v>0</v>
      </c>
      <c r="L233" s="99" t="n">
        <v>0</v>
      </c>
      <c r="M233" s="99" t="n">
        <v>0</v>
      </c>
      <c r="N233" s="99" t="n">
        <v>0</v>
      </c>
      <c r="O233" s="42" t="n">
        <v>14693</v>
      </c>
    </row>
    <row r="234" spans="1:15">
      <c r="A234" s="37" t="n">
        <v>231</v>
      </c>
      <c r="B234" s="97" t="s">
        <v>1296</v>
      </c>
      <c r="C234" s="121" t="s">
        <v>58</v>
      </c>
      <c r="D234" s="121" t="s">
        <v>20</v>
      </c>
      <c r="E234" s="121" t="s">
        <v>21</v>
      </c>
      <c r="F234" s="121" t="s">
        <v>1297</v>
      </c>
      <c r="G234" s="121" t="s">
        <v>1298</v>
      </c>
      <c r="H234" s="99" t="n">
        <v>15982</v>
      </c>
      <c r="I234" s="99" t="n">
        <v>15982</v>
      </c>
      <c r="J234" s="99" t="n">
        <v>799</v>
      </c>
      <c r="K234" s="99" t="n">
        <v>0</v>
      </c>
      <c r="L234" s="99" t="n">
        <v>0</v>
      </c>
      <c r="M234" s="99" t="n">
        <v>0</v>
      </c>
      <c r="N234" s="99" t="n">
        <v>0</v>
      </c>
      <c r="O234" s="42" t="n">
        <v>15183</v>
      </c>
    </row>
    <row r="235" spans="1:15">
      <c r="A235" s="37" t="n">
        <v>232</v>
      </c>
      <c r="B235" s="97" t="s">
        <v>1280</v>
      </c>
      <c r="C235" s="121" t="s">
        <v>58</v>
      </c>
      <c r="D235" s="121" t="s">
        <v>20</v>
      </c>
      <c r="E235" s="121" t="s">
        <v>21</v>
      </c>
      <c r="F235" s="121" t="s">
        <v>1281</v>
      </c>
      <c r="G235" s="121" t="s">
        <v>1282</v>
      </c>
      <c r="H235" s="99" t="n">
        <v>15466</v>
      </c>
      <c r="I235" s="99" t="n">
        <v>15466</v>
      </c>
      <c r="J235" s="99" t="n">
        <v>773</v>
      </c>
      <c r="K235" s="99" t="n">
        <v>0</v>
      </c>
      <c r="L235" s="99" t="n">
        <v>0</v>
      </c>
      <c r="M235" s="99" t="n">
        <v>0</v>
      </c>
      <c r="N235" s="99" t="n">
        <v>0</v>
      </c>
      <c r="O235" s="42" t="n">
        <v>14693</v>
      </c>
    </row>
    <row r="236" spans="1:15">
      <c r="A236" s="37" t="n">
        <v>233</v>
      </c>
      <c r="B236" s="97" t="s">
        <v>643</v>
      </c>
      <c r="C236" s="121" t="s">
        <v>58</v>
      </c>
      <c r="D236" s="121" t="s">
        <v>20</v>
      </c>
      <c r="E236" s="121" t="s">
        <v>21</v>
      </c>
      <c r="F236" s="121" t="s">
        <v>644</v>
      </c>
      <c r="G236" s="121" t="s">
        <v>645</v>
      </c>
      <c r="H236" s="99" t="n">
        <v>15466</v>
      </c>
      <c r="I236" s="99" t="n">
        <v>15466</v>
      </c>
      <c r="J236" s="99" t="n">
        <v>773</v>
      </c>
      <c r="K236" s="99" t="n">
        <v>0</v>
      </c>
      <c r="L236" s="99" t="n">
        <v>0</v>
      </c>
      <c r="M236" s="99" t="n">
        <v>0</v>
      </c>
      <c r="N236" s="99" t="n">
        <v>0</v>
      </c>
      <c r="O236" s="42" t="n">
        <v>14693</v>
      </c>
    </row>
    <row r="237" spans="1:15">
      <c r="A237" s="37" t="n">
        <v>234</v>
      </c>
      <c r="B237" s="97" t="s">
        <v>631</v>
      </c>
      <c r="C237" s="121" t="s">
        <v>58</v>
      </c>
      <c r="D237" s="121" t="s">
        <v>20</v>
      </c>
      <c r="E237" s="121" t="s">
        <v>21</v>
      </c>
      <c r="F237" s="121" t="s">
        <v>632</v>
      </c>
      <c r="G237" s="121" t="s">
        <v>634</v>
      </c>
      <c r="H237" s="99" t="n">
        <v>15466</v>
      </c>
      <c r="I237" s="99" t="n">
        <v>15466</v>
      </c>
      <c r="J237" s="99" t="n">
        <v>773</v>
      </c>
      <c r="K237" s="99" t="n">
        <v>0</v>
      </c>
      <c r="L237" s="99" t="n">
        <v>0</v>
      </c>
      <c r="M237" s="99" t="n">
        <v>0</v>
      </c>
      <c r="N237" s="99" t="n">
        <v>0</v>
      </c>
      <c r="O237" s="42" t="n">
        <v>14693</v>
      </c>
    </row>
    <row r="238" spans="1:15">
      <c r="A238" s="37" t="n">
        <v>235</v>
      </c>
      <c r="B238" s="97" t="s">
        <v>652</v>
      </c>
      <c r="C238" s="121" t="s">
        <v>58</v>
      </c>
      <c r="D238" s="121" t="s">
        <v>20</v>
      </c>
      <c r="E238" s="121" t="s">
        <v>21</v>
      </c>
      <c r="F238" s="121" t="s">
        <v>653</v>
      </c>
      <c r="G238" s="121" t="s">
        <v>654</v>
      </c>
      <c r="H238" s="99" t="n">
        <v>15982</v>
      </c>
      <c r="I238" s="99" t="n">
        <v>15982</v>
      </c>
      <c r="J238" s="99" t="n">
        <v>799</v>
      </c>
      <c r="K238" s="99" t="n">
        <v>0</v>
      </c>
      <c r="L238" s="99" t="n">
        <v>0</v>
      </c>
      <c r="M238" s="99" t="n">
        <v>0</v>
      </c>
      <c r="N238" s="99" t="n">
        <v>0</v>
      </c>
      <c r="O238" s="42" t="n">
        <v>15183</v>
      </c>
    </row>
    <row r="239" spans="1:15">
      <c r="A239" s="37" t="n">
        <v>236</v>
      </c>
      <c r="B239" s="97" t="s">
        <v>1328</v>
      </c>
      <c r="C239" s="121" t="s">
        <v>283</v>
      </c>
      <c r="D239" s="121" t="s">
        <v>20</v>
      </c>
      <c r="E239" s="121" t="s">
        <v>21</v>
      </c>
      <c r="F239" s="121" t="s">
        <v>2490</v>
      </c>
      <c r="G239" s="121" t="s">
        <v>1329</v>
      </c>
      <c r="H239" s="99" t="n">
        <v>15466</v>
      </c>
      <c r="I239" s="99" t="n">
        <v>15466</v>
      </c>
      <c r="J239" s="99" t="n">
        <v>0</v>
      </c>
      <c r="K239" s="99" t="n">
        <v>0</v>
      </c>
      <c r="L239" s="99" t="n">
        <v>0</v>
      </c>
      <c r="M239" s="99" t="n">
        <v>0</v>
      </c>
      <c r="N239" s="99" t="n">
        <v>0</v>
      </c>
      <c r="O239" s="42" t="n">
        <v>15466</v>
      </c>
    </row>
    <row r="240" spans="1:15">
      <c r="A240" s="37" t="n">
        <v>237</v>
      </c>
      <c r="B240" s="97" t="s">
        <v>2491</v>
      </c>
      <c r="C240" s="121" t="s">
        <v>120</v>
      </c>
      <c r="D240" s="121" t="s">
        <v>278</v>
      </c>
      <c r="E240" s="121" t="s">
        <v>16</v>
      </c>
      <c r="F240" s="121" t="s">
        <v>2652</v>
      </c>
      <c r="G240" s="121" t="s">
        <v>2492</v>
      </c>
      <c r="H240" s="99" t="n">
        <v>15466</v>
      </c>
      <c r="I240" s="99" t="n">
        <v>15466</v>
      </c>
      <c r="J240" s="99" t="n">
        <v>0</v>
      </c>
      <c r="K240" s="99" t="n">
        <v>0</v>
      </c>
      <c r="L240" s="99" t="n">
        <v>0</v>
      </c>
      <c r="M240" s="99" t="n">
        <v>0</v>
      </c>
      <c r="N240" s="99" t="n">
        <v>0</v>
      </c>
      <c r="O240" s="42" t="n">
        <v>15466</v>
      </c>
    </row>
    <row r="241" spans="1:15">
      <c r="A241" s="37" t="n">
        <v>238</v>
      </c>
      <c r="B241" s="97" t="s">
        <v>1334</v>
      </c>
      <c r="C241" s="121" t="s">
        <v>283</v>
      </c>
      <c r="D241" s="121" t="s">
        <v>20</v>
      </c>
      <c r="E241" s="121" t="s">
        <v>21</v>
      </c>
      <c r="F241" s="121" t="s">
        <v>2489</v>
      </c>
      <c r="G241" s="121" t="s">
        <v>1335</v>
      </c>
      <c r="H241" s="99" t="n">
        <v>15466</v>
      </c>
      <c r="I241" s="99" t="n">
        <v>15466</v>
      </c>
      <c r="J241" s="99" t="n">
        <v>0</v>
      </c>
      <c r="K241" s="99" t="n">
        <v>0</v>
      </c>
      <c r="L241" s="99" t="n">
        <v>0</v>
      </c>
      <c r="M241" s="99" t="n">
        <v>0</v>
      </c>
      <c r="N241" s="99" t="n">
        <v>0</v>
      </c>
      <c r="O241" s="42" t="n">
        <v>15466</v>
      </c>
    </row>
    <row r="242" spans="1:15">
      <c r="A242" s="37" t="n">
        <v>239</v>
      </c>
      <c r="B242" s="97" t="s">
        <v>2376</v>
      </c>
      <c r="C242" s="121" t="s">
        <v>120</v>
      </c>
      <c r="D242" s="121" t="s">
        <v>128</v>
      </c>
      <c r="E242" s="121" t="s">
        <v>15</v>
      </c>
      <c r="F242" s="121" t="s">
        <v>2653</v>
      </c>
      <c r="G242" s="121" t="s">
        <v>2377</v>
      </c>
      <c r="H242" s="99" t="n">
        <v>15982</v>
      </c>
      <c r="I242" s="99" t="n">
        <v>15982</v>
      </c>
      <c r="J242" s="99" t="n">
        <v>0</v>
      </c>
      <c r="K242" s="99" t="n">
        <v>0</v>
      </c>
      <c r="L242" s="99" t="n">
        <v>0</v>
      </c>
      <c r="M242" s="99" t="n">
        <v>0</v>
      </c>
      <c r="N242" s="99" t="n">
        <v>0</v>
      </c>
      <c r="O242" s="42" t="n">
        <v>15982</v>
      </c>
    </row>
    <row r="243" spans="1:15">
      <c r="A243" s="37" t="n">
        <v>240</v>
      </c>
      <c r="B243" s="97" t="s">
        <v>1119</v>
      </c>
      <c r="C243" s="121" t="s">
        <v>283</v>
      </c>
      <c r="D243" s="121" t="s">
        <v>20</v>
      </c>
      <c r="E243" s="121" t="s">
        <v>21</v>
      </c>
      <c r="F243" s="121" t="s">
        <v>2378</v>
      </c>
      <c r="G243" s="121" t="s">
        <v>1121</v>
      </c>
      <c r="H243" s="99" t="n">
        <v>15466</v>
      </c>
      <c r="I243" s="99" t="n">
        <v>15466</v>
      </c>
      <c r="J243" s="99" t="n">
        <v>0</v>
      </c>
      <c r="K243" s="99" t="n">
        <v>0</v>
      </c>
      <c r="L243" s="99" t="n">
        <v>0</v>
      </c>
      <c r="M243" s="99" t="n">
        <v>0</v>
      </c>
      <c r="N243" s="99" t="n">
        <v>0</v>
      </c>
      <c r="O243" s="42" t="n">
        <v>15466</v>
      </c>
    </row>
    <row r="244" spans="1:15">
      <c r="A244" s="37" t="n">
        <v>241</v>
      </c>
      <c r="B244" s="97" t="s">
        <v>2379</v>
      </c>
      <c r="C244" s="121" t="s">
        <v>120</v>
      </c>
      <c r="D244" s="121" t="s">
        <v>137</v>
      </c>
      <c r="E244" s="121" t="s">
        <v>14</v>
      </c>
      <c r="F244" s="121" t="s">
        <v>2654</v>
      </c>
      <c r="G244" s="121" t="s">
        <v>2380</v>
      </c>
      <c r="H244" s="99" t="n">
        <v>15466</v>
      </c>
      <c r="I244" s="99" t="n">
        <v>15466</v>
      </c>
      <c r="J244" s="99" t="n">
        <v>0</v>
      </c>
      <c r="K244" s="99" t="n">
        <v>0</v>
      </c>
      <c r="L244" s="99" t="n">
        <v>0</v>
      </c>
      <c r="M244" s="99" t="n">
        <v>0</v>
      </c>
      <c r="N244" s="99" t="n">
        <v>0</v>
      </c>
      <c r="O244" s="42" t="n">
        <v>15466</v>
      </c>
    </row>
    <row r="245" spans="1:15">
      <c r="A245" s="37" t="n">
        <v>242</v>
      </c>
      <c r="B245" s="97" t="s">
        <v>673</v>
      </c>
      <c r="C245" s="121" t="s">
        <v>283</v>
      </c>
      <c r="D245" s="121" t="s">
        <v>20</v>
      </c>
      <c r="E245" s="121" t="s">
        <v>21</v>
      </c>
      <c r="F245" s="121" t="s">
        <v>2381</v>
      </c>
      <c r="G245" s="121" t="s">
        <v>674</v>
      </c>
      <c r="H245" s="99" t="n">
        <v>15466</v>
      </c>
      <c r="I245" s="99" t="n">
        <v>15466</v>
      </c>
      <c r="J245" s="99" t="n">
        <v>0</v>
      </c>
      <c r="K245" s="99" t="n">
        <v>0</v>
      </c>
      <c r="L245" s="99" t="n">
        <v>0</v>
      </c>
      <c r="M245" s="99" t="n">
        <v>0</v>
      </c>
      <c r="N245" s="99" t="n">
        <v>0</v>
      </c>
      <c r="O245" s="42" t="n">
        <v>15466</v>
      </c>
    </row>
    <row r="246" spans="1:15">
      <c r="A246" s="37" t="n">
        <v>243</v>
      </c>
      <c r="B246" s="97" t="s">
        <v>1339</v>
      </c>
      <c r="C246" s="121" t="s">
        <v>283</v>
      </c>
      <c r="D246" s="121" t="s">
        <v>20</v>
      </c>
      <c r="E246" s="121" t="s">
        <v>21</v>
      </c>
      <c r="F246" s="121" t="s">
        <v>2382</v>
      </c>
      <c r="G246" s="121" t="s">
        <v>1340</v>
      </c>
      <c r="H246" s="99" t="n">
        <v>15466</v>
      </c>
      <c r="I246" s="99" t="n">
        <v>15466</v>
      </c>
      <c r="J246" s="99" t="n">
        <v>0</v>
      </c>
      <c r="K246" s="99" t="n">
        <v>0</v>
      </c>
      <c r="L246" s="99" t="n">
        <v>0</v>
      </c>
      <c r="M246" s="99" t="n">
        <v>0</v>
      </c>
      <c r="N246" s="99" t="n">
        <v>0</v>
      </c>
      <c r="O246" s="42" t="n">
        <v>15466</v>
      </c>
    </row>
    <row r="247" spans="1:15">
      <c r="A247" s="37" t="n">
        <v>244</v>
      </c>
      <c r="B247" s="97" t="s">
        <v>670</v>
      </c>
      <c r="C247" s="121" t="s">
        <v>131</v>
      </c>
      <c r="D247" s="121" t="s">
        <v>20</v>
      </c>
      <c r="E247" s="121" t="s">
        <v>21</v>
      </c>
      <c r="F247" s="121" t="s">
        <v>671</v>
      </c>
      <c r="G247" s="121" t="s">
        <v>672</v>
      </c>
      <c r="H247" s="99" t="n">
        <v>15982</v>
      </c>
      <c r="I247" s="99" t="n">
        <v>15982</v>
      </c>
      <c r="J247" s="99" t="n">
        <v>799</v>
      </c>
      <c r="K247" s="99" t="n">
        <v>0</v>
      </c>
      <c r="L247" s="99" t="n">
        <v>0</v>
      </c>
      <c r="M247" s="99" t="n">
        <v>0</v>
      </c>
      <c r="N247" s="99" t="n">
        <v>0</v>
      </c>
      <c r="O247" s="42" t="n">
        <v>15183</v>
      </c>
    </row>
    <row r="248" spans="1:15">
      <c r="A248" s="37" t="n">
        <v>245</v>
      </c>
      <c r="B248" s="97" t="s">
        <v>1346</v>
      </c>
      <c r="C248" s="121" t="s">
        <v>283</v>
      </c>
      <c r="D248" s="121" t="s">
        <v>20</v>
      </c>
      <c r="E248" s="121" t="s">
        <v>21</v>
      </c>
      <c r="F248" s="121" t="s">
        <v>2383</v>
      </c>
      <c r="G248" s="121" t="s">
        <v>1348</v>
      </c>
      <c r="H248" s="99" t="n">
        <v>15466</v>
      </c>
      <c r="I248" s="99" t="n">
        <v>15466</v>
      </c>
      <c r="J248" s="99" t="n">
        <v>0</v>
      </c>
      <c r="K248" s="99" t="n">
        <v>0</v>
      </c>
      <c r="L248" s="99" t="n">
        <v>0</v>
      </c>
      <c r="M248" s="99" t="n">
        <v>0</v>
      </c>
      <c r="N248" s="99" t="n">
        <v>0</v>
      </c>
      <c r="O248" s="42" t="n">
        <v>15466</v>
      </c>
    </row>
    <row r="249" spans="1:15">
      <c r="A249" s="37" t="n">
        <v>246</v>
      </c>
      <c r="B249" s="97" t="s">
        <v>650</v>
      </c>
      <c r="C249" s="121" t="s">
        <v>283</v>
      </c>
      <c r="D249" s="121" t="s">
        <v>20</v>
      </c>
      <c r="E249" s="121" t="s">
        <v>21</v>
      </c>
      <c r="F249" s="121" t="s">
        <v>2384</v>
      </c>
      <c r="G249" s="121" t="s">
        <v>651</v>
      </c>
      <c r="H249" s="99" t="n">
        <v>15466</v>
      </c>
      <c r="I249" s="99" t="n">
        <v>15466</v>
      </c>
      <c r="J249" s="99" t="n">
        <v>0</v>
      </c>
      <c r="K249" s="99" t="n">
        <v>0</v>
      </c>
      <c r="L249" s="99" t="n">
        <v>0</v>
      </c>
      <c r="M249" s="99" t="n">
        <v>0</v>
      </c>
      <c r="N249" s="99" t="n">
        <v>0</v>
      </c>
      <c r="O249" s="42" t="n">
        <v>15466</v>
      </c>
    </row>
    <row r="250" spans="1:15">
      <c r="A250" s="37" t="n">
        <v>247</v>
      </c>
      <c r="B250" s="97" t="s">
        <v>1332</v>
      </c>
      <c r="C250" s="121" t="s">
        <v>283</v>
      </c>
      <c r="D250" s="121" t="s">
        <v>20</v>
      </c>
      <c r="E250" s="121" t="s">
        <v>21</v>
      </c>
      <c r="F250" s="121" t="s">
        <v>2385</v>
      </c>
      <c r="G250" s="121" t="s">
        <v>1333</v>
      </c>
      <c r="H250" s="99" t="n">
        <v>15466</v>
      </c>
      <c r="I250" s="99" t="n">
        <v>15466</v>
      </c>
      <c r="J250" s="99" t="n">
        <v>0</v>
      </c>
      <c r="K250" s="99" t="n">
        <v>0</v>
      </c>
      <c r="L250" s="99" t="n">
        <v>0</v>
      </c>
      <c r="M250" s="99" t="n">
        <v>0</v>
      </c>
      <c r="N250" s="99" t="n">
        <v>0</v>
      </c>
      <c r="O250" s="42" t="n">
        <v>15466</v>
      </c>
    </row>
    <row r="251" spans="1:15">
      <c r="A251" s="37" t="n">
        <v>248</v>
      </c>
      <c r="B251" s="97" t="s">
        <v>661</v>
      </c>
      <c r="C251" s="121" t="s">
        <v>283</v>
      </c>
      <c r="D251" s="121" t="s">
        <v>20</v>
      </c>
      <c r="E251" s="121" t="s">
        <v>21</v>
      </c>
      <c r="F251" s="121" t="s">
        <v>2386</v>
      </c>
      <c r="G251" s="121" t="s">
        <v>663</v>
      </c>
      <c r="H251" s="99" t="n">
        <v>15466</v>
      </c>
      <c r="I251" s="99" t="n">
        <v>15466</v>
      </c>
      <c r="J251" s="99" t="n">
        <v>0</v>
      </c>
      <c r="K251" s="99" t="n">
        <v>0</v>
      </c>
      <c r="L251" s="99" t="n">
        <v>0</v>
      </c>
      <c r="M251" s="99" t="n">
        <v>0</v>
      </c>
      <c r="N251" s="99" t="n">
        <v>0</v>
      </c>
      <c r="O251" s="42" t="n">
        <v>15466</v>
      </c>
    </row>
    <row r="252" spans="1:15">
      <c r="A252" s="37" t="n">
        <v>249</v>
      </c>
      <c r="B252" s="97" t="s">
        <v>864</v>
      </c>
      <c r="C252" s="121" t="s">
        <v>120</v>
      </c>
      <c r="D252" s="121" t="s">
        <v>278</v>
      </c>
      <c r="E252" s="121" t="s">
        <v>16</v>
      </c>
      <c r="F252" s="121" t="s">
        <v>2074</v>
      </c>
      <c r="G252" s="121" t="s">
        <v>865</v>
      </c>
      <c r="H252" s="99" t="n">
        <v>15466</v>
      </c>
      <c r="I252" s="99" t="n">
        <v>15466</v>
      </c>
      <c r="J252" s="99" t="n">
        <v>0</v>
      </c>
      <c r="K252" s="99" t="n">
        <v>0</v>
      </c>
      <c r="L252" s="99" t="n">
        <v>0</v>
      </c>
      <c r="M252" s="99" t="n">
        <v>0</v>
      </c>
      <c r="N252" s="99" t="n">
        <v>0</v>
      </c>
      <c r="O252" s="42" t="n">
        <v>15466</v>
      </c>
    </row>
    <row r="253" spans="1:15">
      <c r="A253" s="37" t="n">
        <v>250</v>
      </c>
      <c r="B253" s="97" t="s">
        <v>675</v>
      </c>
      <c r="C253" s="121" t="s">
        <v>283</v>
      </c>
      <c r="D253" s="121" t="s">
        <v>20</v>
      </c>
      <c r="E253" s="121" t="s">
        <v>21</v>
      </c>
      <c r="F253" s="121" t="s">
        <v>2387</v>
      </c>
      <c r="G253" s="121" t="s">
        <v>676</v>
      </c>
      <c r="H253" s="99" t="n">
        <v>15466</v>
      </c>
      <c r="I253" s="99" t="n">
        <v>15466</v>
      </c>
      <c r="J253" s="99" t="n">
        <v>0</v>
      </c>
      <c r="K253" s="99" t="n">
        <v>0</v>
      </c>
      <c r="L253" s="99" t="n">
        <v>0</v>
      </c>
      <c r="M253" s="99" t="n">
        <v>0</v>
      </c>
      <c r="N253" s="99" t="n">
        <v>0</v>
      </c>
      <c r="O253" s="42" t="n">
        <v>15466</v>
      </c>
    </row>
    <row r="254" spans="1:15">
      <c r="A254" s="37" t="n">
        <v>251</v>
      </c>
      <c r="B254" s="97" t="s">
        <v>666</v>
      </c>
      <c r="C254" s="121" t="s">
        <v>283</v>
      </c>
      <c r="D254" s="121" t="s">
        <v>20</v>
      </c>
      <c r="E254" s="121" t="s">
        <v>21</v>
      </c>
      <c r="F254" s="121" t="s">
        <v>2074</v>
      </c>
      <c r="G254" s="121" t="s">
        <v>667</v>
      </c>
      <c r="H254" s="99" t="n">
        <v>15466</v>
      </c>
      <c r="I254" s="99" t="n">
        <v>15466</v>
      </c>
      <c r="J254" s="99" t="n">
        <v>0</v>
      </c>
      <c r="K254" s="99" t="n">
        <v>0</v>
      </c>
      <c r="L254" s="99" t="n">
        <v>0</v>
      </c>
      <c r="M254" s="99" t="n">
        <v>0</v>
      </c>
      <c r="N254" s="99" t="n">
        <v>0</v>
      </c>
      <c r="O254" s="42" t="n">
        <v>15466</v>
      </c>
    </row>
    <row r="255" spans="1:15">
      <c r="A255" s="37" t="n">
        <v>252</v>
      </c>
      <c r="B255" s="97" t="s">
        <v>1125</v>
      </c>
      <c r="C255" s="121" t="s">
        <v>120</v>
      </c>
      <c r="D255" s="121" t="s">
        <v>128</v>
      </c>
      <c r="E255" s="121" t="s">
        <v>15</v>
      </c>
      <c r="F255" s="121" t="s">
        <v>2655</v>
      </c>
      <c r="G255" s="121" t="s">
        <v>1127</v>
      </c>
      <c r="H255" s="99" t="n">
        <v>15466</v>
      </c>
      <c r="I255" s="99" t="n">
        <v>15466</v>
      </c>
      <c r="J255" s="99" t="n">
        <v>0</v>
      </c>
      <c r="K255" s="99" t="n">
        <v>0</v>
      </c>
      <c r="L255" s="99" t="n">
        <v>0</v>
      </c>
      <c r="M255" s="99" t="n">
        <v>0</v>
      </c>
      <c r="N255" s="99" t="n">
        <v>0</v>
      </c>
      <c r="O255" s="42" t="n">
        <v>15466</v>
      </c>
    </row>
    <row r="256" spans="1:15">
      <c r="A256" s="37" t="n">
        <v>253</v>
      </c>
      <c r="B256" s="97" t="s">
        <v>668</v>
      </c>
      <c r="C256" s="121" t="s">
        <v>283</v>
      </c>
      <c r="D256" s="121" t="s">
        <v>20</v>
      </c>
      <c r="E256" s="121" t="s">
        <v>21</v>
      </c>
      <c r="F256" s="121" t="s">
        <v>2074</v>
      </c>
      <c r="G256" s="121" t="s">
        <v>669</v>
      </c>
      <c r="H256" s="99" t="n">
        <v>15466</v>
      </c>
      <c r="I256" s="99" t="n">
        <v>15466</v>
      </c>
      <c r="J256" s="99" t="n">
        <v>0</v>
      </c>
      <c r="K256" s="99" t="n">
        <v>0</v>
      </c>
      <c r="L256" s="99" t="n">
        <v>0</v>
      </c>
      <c r="M256" s="99" t="n">
        <v>0</v>
      </c>
      <c r="N256" s="99" t="n">
        <v>0</v>
      </c>
      <c r="O256" s="42" t="n">
        <v>15466</v>
      </c>
    </row>
    <row r="257" spans="1:15">
      <c r="A257" s="37" t="n">
        <v>254</v>
      </c>
      <c r="B257" s="97" t="s">
        <v>1246</v>
      </c>
      <c r="C257" s="121" t="s">
        <v>58</v>
      </c>
      <c r="D257" s="121" t="s">
        <v>20</v>
      </c>
      <c r="E257" s="121" t="s">
        <v>21</v>
      </c>
      <c r="F257" s="121" t="s">
        <v>1247</v>
      </c>
      <c r="G257" s="121" t="s">
        <v>1249</v>
      </c>
      <c r="H257" s="99" t="n">
        <v>18046</v>
      </c>
      <c r="I257" s="99" t="n">
        <v>18046</v>
      </c>
      <c r="J257" s="99" t="n">
        <v>902</v>
      </c>
      <c r="K257" s="99" t="n">
        <v>0</v>
      </c>
      <c r="L257" s="99" t="n">
        <v>0</v>
      </c>
      <c r="M257" s="99" t="n">
        <v>0</v>
      </c>
      <c r="N257" s="99" t="n">
        <v>0</v>
      </c>
      <c r="O257" s="42" t="n">
        <v>17144</v>
      </c>
    </row>
    <row r="258" spans="1:15">
      <c r="A258" s="37" t="n">
        <v>255</v>
      </c>
      <c r="B258" s="97" t="s">
        <v>847</v>
      </c>
      <c r="C258" s="121" t="s">
        <v>58</v>
      </c>
      <c r="D258" s="121" t="s">
        <v>20</v>
      </c>
      <c r="E258" s="121" t="s">
        <v>21</v>
      </c>
      <c r="F258" s="121" t="s">
        <v>848</v>
      </c>
      <c r="G258" s="121" t="s">
        <v>850</v>
      </c>
      <c r="H258" s="99" t="n">
        <v>17014</v>
      </c>
      <c r="I258" s="99" t="n">
        <v>17014</v>
      </c>
      <c r="J258" s="99" t="n">
        <v>851</v>
      </c>
      <c r="K258" s="99" t="n">
        <v>0</v>
      </c>
      <c r="L258" s="99" t="n">
        <v>0</v>
      </c>
      <c r="M258" s="99" t="n">
        <v>0</v>
      </c>
      <c r="N258" s="99" t="n">
        <v>0</v>
      </c>
      <c r="O258" s="42" t="n">
        <v>16163</v>
      </c>
    </row>
    <row r="259" spans="1:15">
      <c r="A259" s="37" t="n">
        <v>256</v>
      </c>
      <c r="B259" s="97" t="s">
        <v>690</v>
      </c>
      <c r="C259" s="121" t="s">
        <v>58</v>
      </c>
      <c r="D259" s="121" t="s">
        <v>20</v>
      </c>
      <c r="E259" s="121" t="s">
        <v>21</v>
      </c>
      <c r="F259" s="121" t="s">
        <v>691</v>
      </c>
      <c r="G259" s="121" t="s">
        <v>692</v>
      </c>
      <c r="H259" s="99" t="n">
        <v>18046</v>
      </c>
      <c r="I259" s="99" t="n">
        <v>18046</v>
      </c>
      <c r="J259" s="99" t="n">
        <v>902</v>
      </c>
      <c r="K259" s="99" t="n">
        <v>0</v>
      </c>
      <c r="L259" s="99" t="n">
        <v>0</v>
      </c>
      <c r="M259" s="99" t="n">
        <v>0</v>
      </c>
      <c r="N259" s="99" t="n">
        <v>0</v>
      </c>
      <c r="O259" s="42" t="n">
        <v>17144</v>
      </c>
    </row>
    <row r="260" spans="1:15">
      <c r="A260" s="37" t="n">
        <v>257</v>
      </c>
      <c r="B260" s="97" t="s">
        <v>693</v>
      </c>
      <c r="C260" s="121" t="s">
        <v>58</v>
      </c>
      <c r="D260" s="121" t="s">
        <v>20</v>
      </c>
      <c r="E260" s="121" t="s">
        <v>21</v>
      </c>
      <c r="F260" s="121" t="s">
        <v>694</v>
      </c>
      <c r="G260" s="121" t="s">
        <v>695</v>
      </c>
      <c r="H260" s="99" t="n">
        <v>17014</v>
      </c>
      <c r="I260" s="99" t="n">
        <v>17014</v>
      </c>
      <c r="J260" s="99" t="n">
        <v>851</v>
      </c>
      <c r="K260" s="99" t="n">
        <v>0</v>
      </c>
      <c r="L260" s="99" t="n">
        <v>0</v>
      </c>
      <c r="M260" s="99" t="n">
        <v>0</v>
      </c>
      <c r="N260" s="99" t="n">
        <v>0</v>
      </c>
      <c r="O260" s="42" t="n">
        <v>16163</v>
      </c>
    </row>
    <row r="261" spans="1:15">
      <c r="A261" s="37" t="n">
        <v>258</v>
      </c>
      <c r="B261" s="97" t="s">
        <v>1272</v>
      </c>
      <c r="C261" s="121" t="s">
        <v>283</v>
      </c>
      <c r="D261" s="121" t="s">
        <v>20</v>
      </c>
      <c r="E261" s="121" t="s">
        <v>21</v>
      </c>
      <c r="F261" s="121" t="s">
        <v>2074</v>
      </c>
      <c r="G261" s="121" t="s">
        <v>1273</v>
      </c>
      <c r="H261" s="99" t="n">
        <v>17014</v>
      </c>
      <c r="I261" s="99" t="n">
        <v>17014</v>
      </c>
      <c r="J261" s="99" t="n">
        <v>0</v>
      </c>
      <c r="K261" s="99" t="n">
        <v>0</v>
      </c>
      <c r="L261" s="99" t="n">
        <v>0</v>
      </c>
      <c r="M261" s="99" t="n">
        <v>0</v>
      </c>
      <c r="N261" s="99" t="n">
        <v>0</v>
      </c>
      <c r="O261" s="42" t="n">
        <v>17014</v>
      </c>
    </row>
    <row r="262" spans="1:15">
      <c r="A262" s="37" t="n">
        <v>259</v>
      </c>
      <c r="B262" s="97" t="s">
        <v>696</v>
      </c>
      <c r="C262" s="121" t="s">
        <v>283</v>
      </c>
      <c r="D262" s="121" t="s">
        <v>20</v>
      </c>
      <c r="E262" s="121" t="s">
        <v>21</v>
      </c>
      <c r="F262" s="121" t="s">
        <v>2388</v>
      </c>
      <c r="G262" s="121" t="s">
        <v>697</v>
      </c>
      <c r="H262" s="99" t="n">
        <v>17014</v>
      </c>
      <c r="I262" s="99" t="n">
        <v>17014</v>
      </c>
      <c r="J262" s="99" t="n">
        <v>0</v>
      </c>
      <c r="K262" s="99" t="n">
        <v>0</v>
      </c>
      <c r="L262" s="99" t="n">
        <v>0</v>
      </c>
      <c r="M262" s="99" t="n">
        <v>0</v>
      </c>
      <c r="N262" s="99" t="n">
        <v>0</v>
      </c>
      <c r="O262" s="42" t="n">
        <v>17014</v>
      </c>
    </row>
    <row r="263" spans="1:15">
      <c r="A263" s="37" t="n">
        <v>260</v>
      </c>
      <c r="B263" s="97" t="s">
        <v>901</v>
      </c>
      <c r="C263" s="121" t="s">
        <v>111</v>
      </c>
      <c r="D263" s="121" t="s">
        <v>20</v>
      </c>
      <c r="E263" s="121" t="s">
        <v>21</v>
      </c>
      <c r="F263" s="121" t="s">
        <v>902</v>
      </c>
      <c r="G263" s="121" t="s">
        <v>903</v>
      </c>
      <c r="H263" s="99" t="n">
        <v>17014</v>
      </c>
      <c r="I263" s="99" t="n">
        <v>17014</v>
      </c>
      <c r="J263" s="99" t="n">
        <v>0</v>
      </c>
      <c r="K263" s="99" t="n">
        <v>0</v>
      </c>
      <c r="L263" s="99" t="n">
        <v>0</v>
      </c>
      <c r="M263" s="99" t="n">
        <v>0</v>
      </c>
      <c r="N263" s="99" t="n">
        <v>0</v>
      </c>
      <c r="O263" s="42" t="n">
        <v>17014</v>
      </c>
    </row>
    <row r="264" spans="1:15">
      <c r="A264" s="37" t="n">
        <v>261</v>
      </c>
      <c r="B264" s="97" t="s">
        <v>2389</v>
      </c>
      <c r="C264" s="121" t="s">
        <v>95</v>
      </c>
      <c r="D264" s="121" t="s">
        <v>20</v>
      </c>
      <c r="E264" s="121" t="s">
        <v>21</v>
      </c>
      <c r="F264" s="121" t="s">
        <v>2656</v>
      </c>
      <c r="G264" s="121" t="s">
        <v>2390</v>
      </c>
      <c r="H264" s="99" t="n">
        <v>17014</v>
      </c>
      <c r="I264" s="99" t="n">
        <v>17014</v>
      </c>
      <c r="J264" s="99" t="n">
        <v>0</v>
      </c>
      <c r="K264" s="99" t="n">
        <v>0</v>
      </c>
      <c r="L264" s="99" t="n">
        <v>0</v>
      </c>
      <c r="M264" s="99" t="n">
        <v>0</v>
      </c>
      <c r="N264" s="99" t="n">
        <v>0</v>
      </c>
      <c r="O264" s="42" t="n">
        <v>17014</v>
      </c>
    </row>
    <row r="265" spans="1:15">
      <c r="A265" s="37" t="n">
        <v>262</v>
      </c>
      <c r="B265" s="97" t="s">
        <v>2391</v>
      </c>
      <c r="C265" s="121" t="s">
        <v>95</v>
      </c>
      <c r="D265" s="121" t="s">
        <v>124</v>
      </c>
      <c r="E265" s="121" t="s">
        <v>15</v>
      </c>
      <c r="F265" s="121" t="s">
        <v>2074</v>
      </c>
      <c r="G265" s="121" t="s">
        <v>2392</v>
      </c>
      <c r="H265" s="99" t="n">
        <v>17014</v>
      </c>
      <c r="I265" s="99" t="n">
        <v>17014</v>
      </c>
      <c r="J265" s="99" t="n">
        <v>0</v>
      </c>
      <c r="K265" s="99" t="n">
        <v>0</v>
      </c>
      <c r="L265" s="99" t="n">
        <v>0</v>
      </c>
      <c r="M265" s="99" t="n">
        <v>0</v>
      </c>
      <c r="N265" s="99" t="n">
        <v>0</v>
      </c>
      <c r="O265" s="42" t="n">
        <v>17014</v>
      </c>
    </row>
    <row r="266" spans="1:15">
      <c r="A266" s="37" t="n">
        <v>263</v>
      </c>
      <c r="B266" s="97" t="s">
        <v>687</v>
      </c>
      <c r="C266" s="121" t="s">
        <v>19</v>
      </c>
      <c r="D266" s="121" t="s">
        <v>20</v>
      </c>
      <c r="E266" s="121" t="s">
        <v>21</v>
      </c>
      <c r="F266" s="121" t="s">
        <v>688</v>
      </c>
      <c r="G266" s="121" t="s">
        <v>689</v>
      </c>
      <c r="H266" s="99" t="n">
        <v>17659</v>
      </c>
      <c r="I266" s="99" t="n">
        <v>17659</v>
      </c>
      <c r="J266" s="99" t="n">
        <v>0</v>
      </c>
      <c r="K266" s="99" t="n">
        <v>2649</v>
      </c>
      <c r="L266" s="99" t="n">
        <v>0</v>
      </c>
      <c r="M266" s="99" t="n">
        <v>0</v>
      </c>
      <c r="N266" s="99" t="n">
        <v>0</v>
      </c>
      <c r="O266" s="42" t="n">
        <v>15010</v>
      </c>
    </row>
    <row r="267" spans="1:15">
      <c r="A267" s="37" t="n">
        <v>264</v>
      </c>
      <c r="B267" s="97" t="s">
        <v>958</v>
      </c>
      <c r="C267" s="121" t="s">
        <v>58</v>
      </c>
      <c r="D267" s="121" t="s">
        <v>20</v>
      </c>
      <c r="E267" s="121" t="s">
        <v>21</v>
      </c>
      <c r="F267" s="121" t="s">
        <v>959</v>
      </c>
      <c r="G267" s="121" t="s">
        <v>960</v>
      </c>
      <c r="H267" s="99" t="n">
        <v>16885</v>
      </c>
      <c r="I267" s="99" t="n">
        <v>16885</v>
      </c>
      <c r="J267" s="99" t="n">
        <v>844</v>
      </c>
      <c r="K267" s="99" t="n">
        <v>0</v>
      </c>
      <c r="L267" s="99" t="n">
        <v>0</v>
      </c>
      <c r="M267" s="99" t="n">
        <v>0</v>
      </c>
      <c r="N267" s="99" t="n">
        <v>0</v>
      </c>
      <c r="O267" s="42" t="n">
        <v>16041</v>
      </c>
    </row>
    <row r="268" spans="1:15">
      <c r="A268" s="37" t="n">
        <v>265</v>
      </c>
      <c r="B268" s="97" t="s">
        <v>1430</v>
      </c>
      <c r="C268" s="121" t="s">
        <v>58</v>
      </c>
      <c r="D268" s="121" t="s">
        <v>20</v>
      </c>
      <c r="E268" s="121" t="s">
        <v>21</v>
      </c>
      <c r="F268" s="121" t="s">
        <v>1431</v>
      </c>
      <c r="G268" s="121" t="s">
        <v>1433</v>
      </c>
      <c r="H268" s="99" t="n">
        <v>15853</v>
      </c>
      <c r="I268" s="99" t="n">
        <v>15853</v>
      </c>
      <c r="J268" s="99" t="n">
        <v>793</v>
      </c>
      <c r="K268" s="99" t="n">
        <v>0</v>
      </c>
      <c r="L268" s="99" t="n">
        <v>0</v>
      </c>
      <c r="M268" s="99" t="n">
        <v>0</v>
      </c>
      <c r="N268" s="99" t="n">
        <v>0</v>
      </c>
      <c r="O268" s="42" t="n">
        <v>15060</v>
      </c>
    </row>
    <row r="269" spans="1:15">
      <c r="A269" s="37" t="n">
        <v>266</v>
      </c>
      <c r="B269" s="97" t="s">
        <v>818</v>
      </c>
      <c r="C269" s="121" t="s">
        <v>58</v>
      </c>
      <c r="D269" s="121" t="s">
        <v>20</v>
      </c>
      <c r="E269" s="121" t="s">
        <v>21</v>
      </c>
      <c r="F269" s="121" t="s">
        <v>819</v>
      </c>
      <c r="G269" s="121" t="s">
        <v>820</v>
      </c>
      <c r="H269" s="99" t="n">
        <v>16885</v>
      </c>
      <c r="I269" s="99" t="n">
        <v>16885</v>
      </c>
      <c r="J269" s="99" t="n">
        <v>844</v>
      </c>
      <c r="K269" s="99" t="n">
        <v>0</v>
      </c>
      <c r="L269" s="99" t="n">
        <v>0</v>
      </c>
      <c r="M269" s="99" t="n">
        <v>0</v>
      </c>
      <c r="N269" s="99" t="n">
        <v>0</v>
      </c>
      <c r="O269" s="42" t="n">
        <v>16041</v>
      </c>
    </row>
    <row r="270" spans="1:15">
      <c r="A270" s="37" t="n">
        <v>267</v>
      </c>
      <c r="B270" s="97" t="s">
        <v>897</v>
      </c>
      <c r="C270" s="121" t="s">
        <v>58</v>
      </c>
      <c r="D270" s="121" t="s">
        <v>20</v>
      </c>
      <c r="E270" s="121" t="s">
        <v>21</v>
      </c>
      <c r="F270" s="121" t="s">
        <v>898</v>
      </c>
      <c r="G270" s="121" t="s">
        <v>900</v>
      </c>
      <c r="H270" s="99" t="n">
        <v>15853</v>
      </c>
      <c r="I270" s="99" t="n">
        <v>15853</v>
      </c>
      <c r="J270" s="99" t="n">
        <v>793</v>
      </c>
      <c r="K270" s="99" t="n">
        <v>0</v>
      </c>
      <c r="L270" s="99" t="n">
        <v>0</v>
      </c>
      <c r="M270" s="99" t="n">
        <v>0</v>
      </c>
      <c r="N270" s="99" t="n">
        <v>0</v>
      </c>
      <c r="O270" s="42" t="n">
        <v>15060</v>
      </c>
    </row>
    <row r="271" spans="1:15">
      <c r="A271" s="37" t="n">
        <v>268</v>
      </c>
      <c r="B271" s="97" t="s">
        <v>310</v>
      </c>
      <c r="C271" s="121" t="s">
        <v>58</v>
      </c>
      <c r="D271" s="121" t="s">
        <v>20</v>
      </c>
      <c r="E271" s="121" t="s">
        <v>21</v>
      </c>
      <c r="F271" s="121" t="s">
        <v>311</v>
      </c>
      <c r="G271" s="121" t="s">
        <v>313</v>
      </c>
      <c r="H271" s="99" t="n">
        <v>16627</v>
      </c>
      <c r="I271" s="99" t="n">
        <v>16627</v>
      </c>
      <c r="J271" s="99" t="n">
        <v>831</v>
      </c>
      <c r="K271" s="99" t="n">
        <v>0</v>
      </c>
      <c r="L271" s="99" t="n">
        <v>0</v>
      </c>
      <c r="M271" s="99" t="n">
        <v>0</v>
      </c>
      <c r="N271" s="99" t="n">
        <v>0</v>
      </c>
      <c r="O271" s="42" t="n">
        <v>15796</v>
      </c>
    </row>
    <row r="272" spans="1:15">
      <c r="A272" s="37" t="n">
        <v>269</v>
      </c>
      <c r="B272" s="97" t="s">
        <v>786</v>
      </c>
      <c r="C272" s="121" t="s">
        <v>58</v>
      </c>
      <c r="D272" s="121" t="s">
        <v>20</v>
      </c>
      <c r="E272" s="121" t="s">
        <v>21</v>
      </c>
      <c r="F272" s="121" t="s">
        <v>787</v>
      </c>
      <c r="G272" s="121" t="s">
        <v>788</v>
      </c>
      <c r="H272" s="99" t="n">
        <v>16885</v>
      </c>
      <c r="I272" s="99" t="n">
        <v>16885</v>
      </c>
      <c r="J272" s="99" t="n">
        <v>844</v>
      </c>
      <c r="K272" s="99" t="n">
        <v>0</v>
      </c>
      <c r="L272" s="99" t="n">
        <v>0</v>
      </c>
      <c r="M272" s="99" t="n">
        <v>0</v>
      </c>
      <c r="N272" s="99" t="n">
        <v>0</v>
      </c>
      <c r="O272" s="42" t="n">
        <v>16041</v>
      </c>
    </row>
    <row r="273" spans="1:15">
      <c r="A273" s="37" t="n">
        <v>270</v>
      </c>
      <c r="B273" s="97" t="s">
        <v>1228</v>
      </c>
      <c r="C273" s="121" t="s">
        <v>58</v>
      </c>
      <c r="D273" s="121" t="s">
        <v>20</v>
      </c>
      <c r="E273" s="121" t="s">
        <v>21</v>
      </c>
      <c r="F273" s="121" t="s">
        <v>1229</v>
      </c>
      <c r="G273" s="121" t="s">
        <v>1231</v>
      </c>
      <c r="H273" s="99" t="n">
        <v>16885</v>
      </c>
      <c r="I273" s="99" t="n">
        <v>16885</v>
      </c>
      <c r="J273" s="99" t="n">
        <v>844</v>
      </c>
      <c r="K273" s="99" t="n">
        <v>0</v>
      </c>
      <c r="L273" s="99" t="n">
        <v>0</v>
      </c>
      <c r="M273" s="99" t="n">
        <v>0</v>
      </c>
      <c r="N273" s="99" t="n">
        <v>0</v>
      </c>
      <c r="O273" s="42" t="n">
        <v>16041</v>
      </c>
    </row>
    <row r="274" spans="1:15">
      <c r="A274" s="37" t="n">
        <v>271</v>
      </c>
      <c r="B274" s="97" t="s">
        <v>1110</v>
      </c>
      <c r="C274" s="121" t="s">
        <v>283</v>
      </c>
      <c r="D274" s="121" t="s">
        <v>20</v>
      </c>
      <c r="E274" s="121" t="s">
        <v>21</v>
      </c>
      <c r="F274" s="121" t="s">
        <v>2395</v>
      </c>
      <c r="G274" s="121" t="s">
        <v>1111</v>
      </c>
      <c r="H274" s="99" t="n">
        <v>15853</v>
      </c>
      <c r="I274" s="99" t="n">
        <v>15853</v>
      </c>
      <c r="J274" s="99" t="n">
        <v>0</v>
      </c>
      <c r="K274" s="99" t="n">
        <v>0</v>
      </c>
      <c r="L274" s="99" t="n">
        <v>0</v>
      </c>
      <c r="M274" s="99" t="n">
        <v>0</v>
      </c>
      <c r="N274" s="99" t="n">
        <v>0</v>
      </c>
      <c r="O274" s="42" t="n">
        <v>15853</v>
      </c>
    </row>
    <row r="275" spans="1:15">
      <c r="A275" s="37" t="n">
        <v>272</v>
      </c>
      <c r="B275" s="97" t="s">
        <v>1366</v>
      </c>
      <c r="C275" s="121" t="s">
        <v>19</v>
      </c>
      <c r="D275" s="121" t="s">
        <v>20</v>
      </c>
      <c r="E275" s="121" t="s">
        <v>21</v>
      </c>
      <c r="F275" s="121" t="s">
        <v>1367</v>
      </c>
      <c r="G275" s="121" t="s">
        <v>1368</v>
      </c>
      <c r="H275" s="99" t="n">
        <v>17659</v>
      </c>
      <c r="I275" s="99" t="n">
        <v>17659</v>
      </c>
      <c r="J275" s="99" t="n">
        <v>0</v>
      </c>
      <c r="K275" s="99" t="n">
        <v>2649</v>
      </c>
      <c r="L275" s="99" t="n">
        <v>0</v>
      </c>
      <c r="M275" s="99" t="n">
        <v>0</v>
      </c>
      <c r="N275" s="99" t="n">
        <v>0</v>
      </c>
      <c r="O275" s="42" t="n">
        <v>15010</v>
      </c>
    </row>
    <row r="276" spans="1:15">
      <c r="A276" s="37" t="n">
        <v>273</v>
      </c>
      <c r="B276" s="97" t="s">
        <v>1136</v>
      </c>
      <c r="C276" s="121" t="s">
        <v>58</v>
      </c>
      <c r="D276" s="121" t="s">
        <v>20</v>
      </c>
      <c r="E276" s="121" t="s">
        <v>21</v>
      </c>
      <c r="F276" s="121" t="s">
        <v>1137</v>
      </c>
      <c r="G276" s="121" t="s">
        <v>1138</v>
      </c>
      <c r="H276" s="99" t="n">
        <v>17659</v>
      </c>
      <c r="I276" s="99" t="n">
        <v>17659</v>
      </c>
      <c r="J276" s="99" t="n">
        <v>883</v>
      </c>
      <c r="K276" s="99" t="n">
        <v>0</v>
      </c>
      <c r="L276" s="99" t="n">
        <v>0</v>
      </c>
      <c r="M276" s="99" t="n">
        <v>0</v>
      </c>
      <c r="N276" s="99" t="n">
        <v>0</v>
      </c>
      <c r="O276" s="42" t="n">
        <v>16776</v>
      </c>
    </row>
    <row r="277" spans="1:15">
      <c r="A277" s="37" t="n">
        <v>274</v>
      </c>
      <c r="B277" s="97" t="s">
        <v>1507</v>
      </c>
      <c r="C277" s="121" t="s">
        <v>58</v>
      </c>
      <c r="D277" s="121" t="s">
        <v>20</v>
      </c>
      <c r="E277" s="121" t="s">
        <v>21</v>
      </c>
      <c r="F277" s="121" t="s">
        <v>1508</v>
      </c>
      <c r="G277" s="121" t="s">
        <v>1510</v>
      </c>
      <c r="H277" s="99" t="n">
        <v>15853</v>
      </c>
      <c r="I277" s="99" t="n">
        <v>15853</v>
      </c>
      <c r="J277" s="99" t="n">
        <v>793</v>
      </c>
      <c r="K277" s="99" t="n">
        <v>0</v>
      </c>
      <c r="L277" s="99" t="n">
        <v>0</v>
      </c>
      <c r="M277" s="99" t="n">
        <v>0</v>
      </c>
      <c r="N277" s="99" t="n">
        <v>0</v>
      </c>
      <c r="O277" s="42" t="n">
        <v>15060</v>
      </c>
    </row>
    <row r="278" spans="1:15">
      <c r="A278" s="37" t="n">
        <v>275</v>
      </c>
      <c r="B278" s="97" t="s">
        <v>1096</v>
      </c>
      <c r="C278" s="121" t="s">
        <v>58</v>
      </c>
      <c r="D278" s="121" t="s">
        <v>20</v>
      </c>
      <c r="E278" s="121" t="s">
        <v>21</v>
      </c>
      <c r="F278" s="121" t="s">
        <v>1097</v>
      </c>
      <c r="G278" s="121" t="s">
        <v>1099</v>
      </c>
      <c r="H278" s="99" t="n">
        <v>16885</v>
      </c>
      <c r="I278" s="99" t="n">
        <v>16885</v>
      </c>
      <c r="J278" s="99" t="n">
        <v>844</v>
      </c>
      <c r="K278" s="99" t="n">
        <v>0</v>
      </c>
      <c r="L278" s="99" t="n">
        <v>0</v>
      </c>
      <c r="M278" s="99" t="n">
        <v>0</v>
      </c>
      <c r="N278" s="99" t="n">
        <v>0</v>
      </c>
      <c r="O278" s="42" t="n">
        <v>16041</v>
      </c>
    </row>
    <row r="279" spans="1:15">
      <c r="A279" s="37" t="n">
        <v>276</v>
      </c>
      <c r="B279" s="97" t="s">
        <v>1055</v>
      </c>
      <c r="C279" s="121" t="s">
        <v>111</v>
      </c>
      <c r="D279" s="121" t="s">
        <v>20</v>
      </c>
      <c r="E279" s="121" t="s">
        <v>21</v>
      </c>
      <c r="F279" s="121" t="s">
        <v>1056</v>
      </c>
      <c r="G279" s="121" t="s">
        <v>1058</v>
      </c>
      <c r="H279" s="99" t="n">
        <v>15853</v>
      </c>
      <c r="I279" s="99" t="n">
        <v>15853</v>
      </c>
      <c r="J279" s="99" t="n">
        <v>0</v>
      </c>
      <c r="K279" s="99" t="n">
        <v>0</v>
      </c>
      <c r="L279" s="99" t="n">
        <v>0</v>
      </c>
      <c r="M279" s="99" t="n">
        <v>0</v>
      </c>
      <c r="N279" s="99" t="n">
        <v>0</v>
      </c>
      <c r="O279" s="42" t="n">
        <v>15853</v>
      </c>
    </row>
    <row r="280" spans="1:15">
      <c r="A280" s="37" t="n">
        <v>277</v>
      </c>
      <c r="B280" s="97" t="s">
        <v>904</v>
      </c>
      <c r="C280" s="121" t="s">
        <v>283</v>
      </c>
      <c r="D280" s="121" t="s">
        <v>20</v>
      </c>
      <c r="E280" s="121" t="s">
        <v>21</v>
      </c>
      <c r="F280" s="121" t="s">
        <v>2400</v>
      </c>
      <c r="G280" s="121" t="s">
        <v>905</v>
      </c>
      <c r="H280" s="99" t="n">
        <v>15853</v>
      </c>
      <c r="I280" s="99" t="n">
        <v>15853</v>
      </c>
      <c r="J280" s="99" t="n">
        <v>0</v>
      </c>
      <c r="K280" s="99" t="n">
        <v>0</v>
      </c>
      <c r="L280" s="99" t="n">
        <v>0</v>
      </c>
      <c r="M280" s="99" t="n">
        <v>0</v>
      </c>
      <c r="N280" s="99" t="n">
        <v>0</v>
      </c>
      <c r="O280" s="42" t="n">
        <v>15853</v>
      </c>
    </row>
    <row r="281" spans="1:15">
      <c r="A281" s="37" t="n">
        <v>278</v>
      </c>
      <c r="B281" s="97" t="s">
        <v>1006</v>
      </c>
      <c r="C281" s="121" t="s">
        <v>120</v>
      </c>
      <c r="D281" s="121" t="s">
        <v>128</v>
      </c>
      <c r="E281" s="121" t="s">
        <v>15</v>
      </c>
      <c r="F281" s="121" t="s">
        <v>2657</v>
      </c>
      <c r="G281" s="121" t="s">
        <v>1008</v>
      </c>
      <c r="H281" s="99" t="n">
        <v>16885</v>
      </c>
      <c r="I281" s="99" t="n">
        <v>16885</v>
      </c>
      <c r="J281" s="99" t="n">
        <v>0</v>
      </c>
      <c r="K281" s="99" t="n">
        <v>0</v>
      </c>
      <c r="L281" s="99" t="n">
        <v>0</v>
      </c>
      <c r="M281" s="99" t="n">
        <v>0</v>
      </c>
      <c r="N281" s="99" t="n">
        <v>0</v>
      </c>
      <c r="O281" s="42" t="n">
        <v>16885</v>
      </c>
    </row>
    <row r="282" spans="1:15">
      <c r="A282" s="37" t="n">
        <v>279</v>
      </c>
      <c r="B282" s="97" t="s">
        <v>1104</v>
      </c>
      <c r="C282" s="121" t="s">
        <v>283</v>
      </c>
      <c r="D282" s="121" t="s">
        <v>20</v>
      </c>
      <c r="E282" s="121" t="s">
        <v>21</v>
      </c>
      <c r="F282" s="121" t="s">
        <v>2396</v>
      </c>
      <c r="G282" s="121" t="s">
        <v>1105</v>
      </c>
      <c r="H282" s="99" t="n">
        <v>17014</v>
      </c>
      <c r="I282" s="99" t="n">
        <v>17014</v>
      </c>
      <c r="J282" s="99" t="n">
        <v>0</v>
      </c>
      <c r="K282" s="99" t="n">
        <v>0</v>
      </c>
      <c r="L282" s="99" t="n">
        <v>0</v>
      </c>
      <c r="M282" s="99" t="n">
        <v>0</v>
      </c>
      <c r="N282" s="99" t="n">
        <v>0</v>
      </c>
      <c r="O282" s="42" t="n">
        <v>17014</v>
      </c>
    </row>
    <row r="283" spans="1:15">
      <c r="A283" s="37" t="n">
        <v>280</v>
      </c>
      <c r="B283" s="97" t="s">
        <v>963</v>
      </c>
      <c r="C283" s="121" t="s">
        <v>283</v>
      </c>
      <c r="D283" s="121" t="s">
        <v>20</v>
      </c>
      <c r="E283" s="121" t="s">
        <v>21</v>
      </c>
      <c r="F283" s="121" t="s">
        <v>2397</v>
      </c>
      <c r="G283" s="121" t="s">
        <v>964</v>
      </c>
      <c r="H283" s="99" t="n">
        <v>15853</v>
      </c>
      <c r="I283" s="99" t="n">
        <v>15853</v>
      </c>
      <c r="J283" s="99" t="n">
        <v>0</v>
      </c>
      <c r="K283" s="99" t="n">
        <v>0</v>
      </c>
      <c r="L283" s="99" t="n">
        <v>0</v>
      </c>
      <c r="M283" s="99" t="n">
        <v>0</v>
      </c>
      <c r="N283" s="99" t="n">
        <v>0</v>
      </c>
      <c r="O283" s="42" t="n">
        <v>15853</v>
      </c>
    </row>
    <row r="284" spans="1:15">
      <c r="A284" s="37" t="n">
        <v>281</v>
      </c>
      <c r="B284" s="97" t="s">
        <v>769</v>
      </c>
      <c r="C284" s="121" t="s">
        <v>283</v>
      </c>
      <c r="D284" s="121" t="s">
        <v>20</v>
      </c>
      <c r="E284" s="121" t="s">
        <v>21</v>
      </c>
      <c r="F284" s="121" t="s">
        <v>2074</v>
      </c>
      <c r="G284" s="121" t="s">
        <v>770</v>
      </c>
      <c r="H284" s="99" t="n">
        <v>15853</v>
      </c>
      <c r="I284" s="99" t="n">
        <v>15853</v>
      </c>
      <c r="J284" s="99" t="n">
        <v>0</v>
      </c>
      <c r="K284" s="99" t="n">
        <v>0</v>
      </c>
      <c r="L284" s="99" t="n">
        <v>0</v>
      </c>
      <c r="M284" s="99" t="n">
        <v>0</v>
      </c>
      <c r="N284" s="99" t="n">
        <v>0</v>
      </c>
      <c r="O284" s="42" t="n">
        <v>15853</v>
      </c>
    </row>
    <row r="285" spans="1:15">
      <c r="A285" s="37" t="n">
        <v>282</v>
      </c>
      <c r="B285" s="97" t="s">
        <v>1418</v>
      </c>
      <c r="C285" s="121" t="s">
        <v>283</v>
      </c>
      <c r="D285" s="121" t="s">
        <v>20</v>
      </c>
      <c r="E285" s="121" t="s">
        <v>21</v>
      </c>
      <c r="F285" s="121" t="s">
        <v>2399</v>
      </c>
      <c r="G285" s="121" t="s">
        <v>1420</v>
      </c>
      <c r="H285" s="99" t="n">
        <v>15853</v>
      </c>
      <c r="I285" s="99" t="n">
        <v>15853</v>
      </c>
      <c r="J285" s="99" t="n">
        <v>0</v>
      </c>
      <c r="K285" s="99" t="n">
        <v>0</v>
      </c>
      <c r="L285" s="99" t="n">
        <v>0</v>
      </c>
      <c r="M285" s="99" t="n">
        <v>0</v>
      </c>
      <c r="N285" s="99" t="n">
        <v>0</v>
      </c>
      <c r="O285" s="42" t="n">
        <v>15853</v>
      </c>
    </row>
    <row r="286" spans="1:15">
      <c r="A286" s="37" t="n">
        <v>283</v>
      </c>
      <c r="B286" s="97" t="s">
        <v>2401</v>
      </c>
      <c r="C286" s="121" t="s">
        <v>120</v>
      </c>
      <c r="D286" s="121" t="s">
        <v>124</v>
      </c>
      <c r="E286" s="121" t="s">
        <v>15</v>
      </c>
      <c r="F286" s="121" t="s">
        <v>2658</v>
      </c>
      <c r="G286" s="121" t="s">
        <v>2402</v>
      </c>
      <c r="H286" s="99" t="n">
        <v>15853</v>
      </c>
      <c r="I286" s="99" t="n">
        <v>15853</v>
      </c>
      <c r="J286" s="99" t="n">
        <v>0</v>
      </c>
      <c r="K286" s="99" t="n">
        <v>0</v>
      </c>
      <c r="L286" s="99" t="n">
        <v>0</v>
      </c>
      <c r="M286" s="99" t="n">
        <v>0</v>
      </c>
      <c r="N286" s="99" t="n">
        <v>0</v>
      </c>
      <c r="O286" s="42" t="n">
        <v>15853</v>
      </c>
    </row>
    <row r="287" spans="1:15">
      <c r="A287" s="37" t="n">
        <v>284</v>
      </c>
      <c r="B287" s="97" t="s">
        <v>2403</v>
      </c>
      <c r="C287" s="121" t="s">
        <v>120</v>
      </c>
      <c r="D287" s="121" t="s">
        <v>2404</v>
      </c>
      <c r="E287" s="121" t="s">
        <v>21</v>
      </c>
      <c r="F287" s="121" t="s">
        <v>2659</v>
      </c>
      <c r="G287" s="121" t="s">
        <v>2405</v>
      </c>
      <c r="H287" s="99" t="n">
        <v>15853</v>
      </c>
      <c r="I287" s="99" t="n">
        <v>15853</v>
      </c>
      <c r="J287" s="99" t="n">
        <v>0</v>
      </c>
      <c r="K287" s="99" t="n">
        <v>0</v>
      </c>
      <c r="L287" s="99" t="n">
        <v>0</v>
      </c>
      <c r="M287" s="99" t="n">
        <v>0</v>
      </c>
      <c r="N287" s="99" t="n">
        <v>0</v>
      </c>
      <c r="O287" s="42" t="n">
        <v>15853</v>
      </c>
    </row>
    <row r="288" spans="1:15">
      <c r="A288" s="37" t="n">
        <v>285</v>
      </c>
      <c r="B288" s="97" t="s">
        <v>2406</v>
      </c>
      <c r="C288" s="121" t="s">
        <v>120</v>
      </c>
      <c r="D288" s="121" t="s">
        <v>124</v>
      </c>
      <c r="E288" s="121" t="s">
        <v>15</v>
      </c>
      <c r="F288" s="121" t="s">
        <v>2660</v>
      </c>
      <c r="G288" s="121" t="s">
        <v>2407</v>
      </c>
      <c r="H288" s="99" t="n">
        <v>15853</v>
      </c>
      <c r="I288" s="99" t="n">
        <v>15853</v>
      </c>
      <c r="J288" s="99" t="n">
        <v>0</v>
      </c>
      <c r="K288" s="99" t="n">
        <v>0</v>
      </c>
      <c r="L288" s="99" t="n">
        <v>0</v>
      </c>
      <c r="M288" s="99" t="n">
        <v>0</v>
      </c>
      <c r="N288" s="99" t="n">
        <v>0</v>
      </c>
      <c r="O288" s="42" t="n">
        <v>15853</v>
      </c>
    </row>
    <row r="289" spans="1:15">
      <c r="A289" s="37" t="n">
        <v>286</v>
      </c>
      <c r="B289" s="97" t="s">
        <v>1225</v>
      </c>
      <c r="C289" s="121" t="s">
        <v>283</v>
      </c>
      <c r="D289" s="121" t="s">
        <v>20</v>
      </c>
      <c r="E289" s="121" t="s">
        <v>21</v>
      </c>
      <c r="F289" s="121" t="s">
        <v>2074</v>
      </c>
      <c r="G289" s="121" t="s">
        <v>1227</v>
      </c>
      <c r="H289" s="99" t="n">
        <v>15853</v>
      </c>
      <c r="I289" s="99" t="n">
        <v>15853</v>
      </c>
      <c r="J289" s="99" t="n">
        <v>0</v>
      </c>
      <c r="K289" s="99" t="n">
        <v>0</v>
      </c>
      <c r="L289" s="99" t="n">
        <v>0</v>
      </c>
      <c r="M289" s="99" t="n">
        <v>0</v>
      </c>
      <c r="N289" s="99" t="n">
        <v>0</v>
      </c>
      <c r="O289" s="42" t="n">
        <v>15853</v>
      </c>
    </row>
    <row r="290" spans="1:15">
      <c r="A290" s="37" t="n">
        <v>287</v>
      </c>
      <c r="B290" s="97" t="s">
        <v>1052</v>
      </c>
      <c r="C290" s="121" t="s">
        <v>283</v>
      </c>
      <c r="D290" s="121" t="s">
        <v>20</v>
      </c>
      <c r="E290" s="121" t="s">
        <v>21</v>
      </c>
      <c r="F290" s="121" t="s">
        <v>2408</v>
      </c>
      <c r="G290" s="121" t="s">
        <v>1054</v>
      </c>
      <c r="H290" s="99" t="n">
        <v>15853</v>
      </c>
      <c r="I290" s="99" t="n">
        <v>15853</v>
      </c>
      <c r="J290" s="99" t="n">
        <v>0</v>
      </c>
      <c r="K290" s="99" t="n">
        <v>0</v>
      </c>
      <c r="L290" s="99" t="n">
        <v>0</v>
      </c>
      <c r="M290" s="99" t="n">
        <v>0</v>
      </c>
      <c r="N290" s="99" t="n">
        <v>0</v>
      </c>
      <c r="O290" s="42" t="n">
        <v>15853</v>
      </c>
    </row>
    <row r="291" spans="1:15">
      <c r="A291" s="37" t="n">
        <v>288</v>
      </c>
      <c r="B291" s="97" t="s">
        <v>1009</v>
      </c>
      <c r="C291" s="121" t="s">
        <v>111</v>
      </c>
      <c r="D291" s="121" t="s">
        <v>20</v>
      </c>
      <c r="E291" s="121" t="s">
        <v>21</v>
      </c>
      <c r="F291" s="121" t="s">
        <v>1010</v>
      </c>
      <c r="G291" s="121" t="s">
        <v>1012</v>
      </c>
      <c r="H291" s="99" t="n">
        <v>15853</v>
      </c>
      <c r="I291" s="99" t="n">
        <v>15853</v>
      </c>
      <c r="J291" s="99" t="n">
        <v>0</v>
      </c>
      <c r="K291" s="99" t="n">
        <v>0</v>
      </c>
      <c r="L291" s="99" t="n">
        <v>0</v>
      </c>
      <c r="M291" s="99" t="n">
        <v>0</v>
      </c>
      <c r="N291" s="99" t="n">
        <v>0</v>
      </c>
      <c r="O291" s="42" t="n">
        <v>15853</v>
      </c>
    </row>
    <row r="292" spans="1:15">
      <c r="A292" s="37" t="n">
        <v>289</v>
      </c>
      <c r="B292" s="97" t="s">
        <v>2409</v>
      </c>
      <c r="C292" s="121" t="s">
        <v>95</v>
      </c>
      <c r="D292" s="121" t="s">
        <v>278</v>
      </c>
      <c r="E292" s="121" t="s">
        <v>16</v>
      </c>
      <c r="F292" s="121" t="s">
        <v>2661</v>
      </c>
      <c r="G292" s="121" t="s">
        <v>2410</v>
      </c>
      <c r="H292" s="99" t="n">
        <v>15853</v>
      </c>
      <c r="I292" s="99" t="n">
        <v>15853</v>
      </c>
      <c r="J292" s="99" t="n">
        <v>0</v>
      </c>
      <c r="K292" s="99" t="n">
        <v>0</v>
      </c>
      <c r="L292" s="99" t="n">
        <v>0</v>
      </c>
      <c r="M292" s="99" t="n">
        <v>0</v>
      </c>
      <c r="N292" s="99" t="n">
        <v>0</v>
      </c>
      <c r="O292" s="42" t="n">
        <v>15853</v>
      </c>
    </row>
    <row r="293" spans="1:15">
      <c r="A293" s="37" t="n">
        <v>290</v>
      </c>
      <c r="B293" s="97" t="s">
        <v>2412</v>
      </c>
      <c r="C293" s="121" t="s">
        <v>58</v>
      </c>
      <c r="D293" s="121" t="s">
        <v>20</v>
      </c>
      <c r="E293" s="121" t="s">
        <v>21</v>
      </c>
      <c r="F293" s="121" t="s">
        <v>2413</v>
      </c>
      <c r="G293" s="121" t="s">
        <v>2414</v>
      </c>
      <c r="H293" s="99" t="n">
        <v>16369</v>
      </c>
      <c r="I293" s="99" t="n">
        <v>16369</v>
      </c>
      <c r="J293" s="99" t="n">
        <v>818</v>
      </c>
      <c r="K293" s="99" t="n">
        <v>0</v>
      </c>
      <c r="L293" s="99" t="n">
        <v>0</v>
      </c>
      <c r="M293" s="99" t="n">
        <v>0</v>
      </c>
      <c r="N293" s="99" t="n">
        <v>0</v>
      </c>
      <c r="O293" s="42" t="n">
        <v>15551</v>
      </c>
    </row>
    <row r="294" spans="1:15">
      <c r="A294" s="37" t="n">
        <v>291</v>
      </c>
      <c r="B294" s="97" t="s">
        <v>2415</v>
      </c>
      <c r="C294" s="121" t="s">
        <v>58</v>
      </c>
      <c r="D294" s="121" t="s">
        <v>20</v>
      </c>
      <c r="E294" s="121" t="s">
        <v>21</v>
      </c>
      <c r="F294" s="121" t="s">
        <v>2416</v>
      </c>
      <c r="G294" s="121" t="s">
        <v>2417</v>
      </c>
      <c r="H294" s="99" t="n">
        <v>15853</v>
      </c>
      <c r="I294" s="99" t="n">
        <v>15853</v>
      </c>
      <c r="J294" s="99" t="n">
        <v>793</v>
      </c>
      <c r="K294" s="99" t="n">
        <v>0</v>
      </c>
      <c r="L294" s="99" t="n">
        <v>0</v>
      </c>
      <c r="M294" s="99" t="n">
        <v>0</v>
      </c>
      <c r="N294" s="99" t="n">
        <v>0</v>
      </c>
      <c r="O294" s="42" t="n">
        <v>15060</v>
      </c>
    </row>
    <row r="295" spans="1:15">
      <c r="A295" s="37" t="n">
        <v>292</v>
      </c>
      <c r="B295" s="97" t="s">
        <v>1488</v>
      </c>
      <c r="C295" s="121" t="s">
        <v>58</v>
      </c>
      <c r="D295" s="121" t="s">
        <v>20</v>
      </c>
      <c r="E295" s="121" t="s">
        <v>21</v>
      </c>
      <c r="F295" s="121" t="s">
        <v>1489</v>
      </c>
      <c r="G295" s="121" t="s">
        <v>1491</v>
      </c>
      <c r="H295" s="99" t="n">
        <v>16885</v>
      </c>
      <c r="I295" s="99" t="n">
        <v>16885</v>
      </c>
      <c r="J295" s="99" t="n">
        <v>844</v>
      </c>
      <c r="K295" s="99" t="n">
        <v>0</v>
      </c>
      <c r="L295" s="99" t="n">
        <v>0</v>
      </c>
      <c r="M295" s="99" t="n">
        <v>0</v>
      </c>
      <c r="N295" s="99" t="n">
        <v>0</v>
      </c>
      <c r="O295" s="42" t="n">
        <v>16041</v>
      </c>
    </row>
    <row r="296" spans="1:15">
      <c r="A296" s="37" t="n">
        <v>293</v>
      </c>
      <c r="B296" s="97" t="s">
        <v>1062</v>
      </c>
      <c r="C296" s="121" t="s">
        <v>58</v>
      </c>
      <c r="D296" s="121" t="s">
        <v>20</v>
      </c>
      <c r="E296" s="121" t="s">
        <v>21</v>
      </c>
      <c r="F296" s="121" t="s">
        <v>1063</v>
      </c>
      <c r="G296" s="121" t="s">
        <v>1065</v>
      </c>
      <c r="H296" s="99" t="n">
        <v>14950</v>
      </c>
      <c r="I296" s="99" t="n">
        <v>14950</v>
      </c>
      <c r="J296" s="99" t="n">
        <v>748</v>
      </c>
      <c r="K296" s="99" t="n">
        <v>0</v>
      </c>
      <c r="L296" s="99" t="n">
        <v>0</v>
      </c>
      <c r="M296" s="99" t="n">
        <v>0</v>
      </c>
      <c r="N296" s="99" t="n">
        <v>0</v>
      </c>
      <c r="O296" s="42" t="n">
        <v>14202</v>
      </c>
    </row>
    <row r="297" spans="1:15">
      <c r="A297" s="37" t="n">
        <v>294</v>
      </c>
      <c r="B297" s="97" t="s">
        <v>789</v>
      </c>
      <c r="C297" s="121" t="s">
        <v>58</v>
      </c>
      <c r="D297" s="121" t="s">
        <v>20</v>
      </c>
      <c r="E297" s="121" t="s">
        <v>21</v>
      </c>
      <c r="F297" s="121" t="s">
        <v>790</v>
      </c>
      <c r="G297" s="121" t="s">
        <v>792</v>
      </c>
      <c r="H297" s="99" t="n">
        <v>16885</v>
      </c>
      <c r="I297" s="99" t="n">
        <v>16885</v>
      </c>
      <c r="J297" s="99" t="n">
        <v>844</v>
      </c>
      <c r="K297" s="99" t="n">
        <v>0</v>
      </c>
      <c r="L297" s="99" t="n">
        <v>0</v>
      </c>
      <c r="M297" s="99" t="n">
        <v>0</v>
      </c>
      <c r="N297" s="99" t="n">
        <v>0</v>
      </c>
      <c r="O297" s="42" t="n">
        <v>16041</v>
      </c>
    </row>
    <row r="298" spans="1:15">
      <c r="A298" s="37" t="n">
        <v>295</v>
      </c>
      <c r="B298" s="97" t="s">
        <v>955</v>
      </c>
      <c r="C298" s="121" t="s">
        <v>58</v>
      </c>
      <c r="D298" s="121" t="s">
        <v>20</v>
      </c>
      <c r="E298" s="121" t="s">
        <v>21</v>
      </c>
      <c r="F298" s="121" t="s">
        <v>956</v>
      </c>
      <c r="G298" s="121" t="s">
        <v>957</v>
      </c>
      <c r="H298" s="99" t="n">
        <v>17659</v>
      </c>
      <c r="I298" s="99" t="n">
        <v>17659</v>
      </c>
      <c r="J298" s="99" t="n">
        <v>883</v>
      </c>
      <c r="K298" s="99" t="n">
        <v>0</v>
      </c>
      <c r="L298" s="99" t="n">
        <v>0</v>
      </c>
      <c r="M298" s="99" t="n">
        <v>0</v>
      </c>
      <c r="N298" s="99" t="n">
        <v>0</v>
      </c>
      <c r="O298" s="42" t="n">
        <v>16776</v>
      </c>
    </row>
    <row r="299" spans="1:15">
      <c r="A299" s="37" t="n">
        <v>296</v>
      </c>
      <c r="B299" s="97" t="s">
        <v>1169</v>
      </c>
      <c r="C299" s="121" t="s">
        <v>58</v>
      </c>
      <c r="D299" s="121" t="s">
        <v>20</v>
      </c>
      <c r="E299" s="121" t="s">
        <v>21</v>
      </c>
      <c r="F299" s="121" t="s">
        <v>1170</v>
      </c>
      <c r="G299" s="121" t="s">
        <v>1171</v>
      </c>
      <c r="H299" s="99" t="n">
        <v>16885</v>
      </c>
      <c r="I299" s="99" t="n">
        <v>16885</v>
      </c>
      <c r="J299" s="99" t="n">
        <v>844</v>
      </c>
      <c r="K299" s="99" t="n">
        <v>0</v>
      </c>
      <c r="L299" s="99" t="n">
        <v>0</v>
      </c>
      <c r="M299" s="99" t="n">
        <v>0</v>
      </c>
      <c r="N299" s="99" t="n">
        <v>0</v>
      </c>
      <c r="O299" s="42" t="n">
        <v>16041</v>
      </c>
    </row>
    <row r="300" spans="1:15">
      <c r="A300" s="37" t="n">
        <v>297</v>
      </c>
      <c r="B300" s="97" t="s">
        <v>1100</v>
      </c>
      <c r="C300" s="121" t="s">
        <v>58</v>
      </c>
      <c r="D300" s="121" t="s">
        <v>20</v>
      </c>
      <c r="E300" s="121" t="s">
        <v>21</v>
      </c>
      <c r="F300" s="121" t="s">
        <v>1101</v>
      </c>
      <c r="G300" s="121" t="s">
        <v>1103</v>
      </c>
      <c r="H300" s="99" t="n">
        <v>16885</v>
      </c>
      <c r="I300" s="99" t="n">
        <v>16885</v>
      </c>
      <c r="J300" s="99" t="n">
        <v>844</v>
      </c>
      <c r="K300" s="99" t="n">
        <v>0</v>
      </c>
      <c r="L300" s="99" t="n">
        <v>0</v>
      </c>
      <c r="M300" s="99" t="n">
        <v>0</v>
      </c>
      <c r="N300" s="99" t="n">
        <v>0</v>
      </c>
      <c r="O300" s="42" t="n">
        <v>16041</v>
      </c>
    </row>
    <row r="301" spans="1:15">
      <c r="A301" s="37" t="n">
        <v>298</v>
      </c>
      <c r="B301" s="97" t="s">
        <v>1166</v>
      </c>
      <c r="C301" s="121" t="s">
        <v>58</v>
      </c>
      <c r="D301" s="121" t="s">
        <v>20</v>
      </c>
      <c r="E301" s="121" t="s">
        <v>21</v>
      </c>
      <c r="F301" s="121" t="s">
        <v>1167</v>
      </c>
      <c r="G301" s="121" t="s">
        <v>1168</v>
      </c>
      <c r="H301" s="99" t="n">
        <v>16885</v>
      </c>
      <c r="I301" s="99" t="n">
        <v>16885</v>
      </c>
      <c r="J301" s="99" t="n">
        <v>844</v>
      </c>
      <c r="K301" s="99" t="n">
        <v>0</v>
      </c>
      <c r="L301" s="99" t="n">
        <v>0</v>
      </c>
      <c r="M301" s="99" t="n">
        <v>0</v>
      </c>
      <c r="N301" s="99" t="n">
        <v>0</v>
      </c>
      <c r="O301" s="42" t="n">
        <v>16041</v>
      </c>
    </row>
    <row r="302" spans="1:15">
      <c r="A302" s="37" t="n">
        <v>299</v>
      </c>
      <c r="B302" s="97" t="s">
        <v>766</v>
      </c>
      <c r="C302" s="121" t="s">
        <v>58</v>
      </c>
      <c r="D302" s="121" t="s">
        <v>20</v>
      </c>
      <c r="E302" s="121" t="s">
        <v>21</v>
      </c>
      <c r="F302" s="121" t="s">
        <v>767</v>
      </c>
      <c r="G302" s="121" t="s">
        <v>768</v>
      </c>
      <c r="H302" s="99" t="n">
        <v>16885</v>
      </c>
      <c r="I302" s="99" t="n">
        <v>16885</v>
      </c>
      <c r="J302" s="99" t="n">
        <v>844</v>
      </c>
      <c r="K302" s="99" t="n">
        <v>0</v>
      </c>
      <c r="L302" s="99" t="n">
        <v>0</v>
      </c>
      <c r="M302" s="99" t="n">
        <v>0</v>
      </c>
      <c r="N302" s="99" t="n">
        <v>0</v>
      </c>
      <c r="O302" s="42" t="n">
        <v>16041</v>
      </c>
    </row>
    <row r="303" spans="1:15">
      <c r="A303" s="37" t="n">
        <v>300</v>
      </c>
      <c r="B303" s="97" t="s">
        <v>803</v>
      </c>
      <c r="C303" s="121" t="s">
        <v>283</v>
      </c>
      <c r="D303" s="121" t="s">
        <v>20</v>
      </c>
      <c r="E303" s="121" t="s">
        <v>21</v>
      </c>
      <c r="F303" s="121" t="s">
        <v>2419</v>
      </c>
      <c r="G303" s="121" t="s">
        <v>804</v>
      </c>
      <c r="H303" s="99" t="n">
        <v>15853</v>
      </c>
      <c r="I303" s="99" t="n">
        <v>15853</v>
      </c>
      <c r="J303" s="99" t="n">
        <v>0</v>
      </c>
      <c r="K303" s="99" t="n">
        <v>0</v>
      </c>
      <c r="L303" s="99" t="n">
        <v>0</v>
      </c>
      <c r="M303" s="99" t="n">
        <v>0</v>
      </c>
      <c r="N303" s="99" t="n">
        <v>0</v>
      </c>
      <c r="O303" s="42" t="n">
        <v>15853</v>
      </c>
    </row>
    <row r="304" spans="1:15">
      <c r="A304" s="37" t="n">
        <v>301</v>
      </c>
      <c r="B304" s="97" t="s">
        <v>1003</v>
      </c>
      <c r="C304" s="121" t="s">
        <v>283</v>
      </c>
      <c r="D304" s="121" t="s">
        <v>20</v>
      </c>
      <c r="E304" s="121" t="s">
        <v>21</v>
      </c>
      <c r="F304" s="121" t="s">
        <v>2418</v>
      </c>
      <c r="G304" s="121" t="s">
        <v>1005</v>
      </c>
      <c r="H304" s="99" t="n">
        <v>15853</v>
      </c>
      <c r="I304" s="99" t="n">
        <v>15853</v>
      </c>
      <c r="J304" s="99" t="n">
        <v>0</v>
      </c>
      <c r="K304" s="99" t="n">
        <v>0</v>
      </c>
      <c r="L304" s="99" t="n">
        <v>0</v>
      </c>
      <c r="M304" s="99" t="n">
        <v>0</v>
      </c>
      <c r="N304" s="99" t="n">
        <v>0</v>
      </c>
      <c r="O304" s="42" t="n">
        <v>15853</v>
      </c>
    </row>
    <row r="305" spans="1:15">
      <c r="A305" s="37" t="n">
        <v>302</v>
      </c>
      <c r="B305" s="97" t="s">
        <v>801</v>
      </c>
      <c r="C305" s="121" t="s">
        <v>120</v>
      </c>
      <c r="D305" s="121" t="s">
        <v>137</v>
      </c>
      <c r="E305" s="121" t="s">
        <v>14</v>
      </c>
      <c r="F305" s="121" t="s">
        <v>2662</v>
      </c>
      <c r="G305" s="121" t="s">
        <v>802</v>
      </c>
      <c r="H305" s="99" t="n">
        <v>16885</v>
      </c>
      <c r="I305" s="99" t="n">
        <v>16885</v>
      </c>
      <c r="J305" s="99" t="n">
        <v>0</v>
      </c>
      <c r="K305" s="99" t="n">
        <v>0</v>
      </c>
      <c r="L305" s="99" t="n">
        <v>0</v>
      </c>
      <c r="M305" s="99" t="n">
        <v>0</v>
      </c>
      <c r="N305" s="99" t="n">
        <v>0</v>
      </c>
      <c r="O305" s="42" t="n">
        <v>16885</v>
      </c>
    </row>
    <row r="306" spans="1:15">
      <c r="A306" s="37" t="n">
        <v>303</v>
      </c>
      <c r="B306" s="97" t="s">
        <v>1504</v>
      </c>
      <c r="C306" s="121" t="s">
        <v>120</v>
      </c>
      <c r="D306" s="121" t="s">
        <v>128</v>
      </c>
      <c r="E306" s="121" t="s">
        <v>15</v>
      </c>
      <c r="F306" s="121" t="s">
        <v>2663</v>
      </c>
      <c r="G306" s="121" t="s">
        <v>1506</v>
      </c>
      <c r="H306" s="99" t="n">
        <v>15853</v>
      </c>
      <c r="I306" s="99" t="n">
        <v>15853</v>
      </c>
      <c r="J306" s="99" t="n">
        <v>0</v>
      </c>
      <c r="K306" s="99" t="n">
        <v>0</v>
      </c>
      <c r="L306" s="99" t="n">
        <v>0</v>
      </c>
      <c r="M306" s="99" t="n">
        <v>0</v>
      </c>
      <c r="N306" s="99" t="n">
        <v>0</v>
      </c>
      <c r="O306" s="42" t="n">
        <v>15853</v>
      </c>
    </row>
    <row r="307" spans="1:15">
      <c r="A307" s="37" t="n">
        <v>304</v>
      </c>
      <c r="B307" s="97" t="s">
        <v>1270</v>
      </c>
      <c r="C307" s="121" t="s">
        <v>283</v>
      </c>
      <c r="D307" s="121" t="s">
        <v>20</v>
      </c>
      <c r="E307" s="121" t="s">
        <v>21</v>
      </c>
      <c r="F307" s="121" t="s">
        <v>2420</v>
      </c>
      <c r="G307" s="121" t="s">
        <v>1271</v>
      </c>
      <c r="H307" s="99" t="n">
        <v>15853</v>
      </c>
      <c r="I307" s="99" t="n">
        <v>15853</v>
      </c>
      <c r="J307" s="99" t="n">
        <v>0</v>
      </c>
      <c r="K307" s="99" t="n">
        <v>0</v>
      </c>
      <c r="L307" s="99" t="n">
        <v>0</v>
      </c>
      <c r="M307" s="99" t="n">
        <v>0</v>
      </c>
      <c r="N307" s="99" t="n">
        <v>0</v>
      </c>
      <c r="O307" s="42" t="n">
        <v>15853</v>
      </c>
    </row>
    <row r="308" spans="1:15">
      <c r="A308" s="37" t="n">
        <v>305</v>
      </c>
      <c r="B308" s="97" t="s">
        <v>2421</v>
      </c>
      <c r="C308" s="121" t="s">
        <v>120</v>
      </c>
      <c r="D308" s="121" t="s">
        <v>124</v>
      </c>
      <c r="E308" s="121" t="s">
        <v>15</v>
      </c>
      <c r="F308" s="121" t="s">
        <v>2664</v>
      </c>
      <c r="G308" s="121" t="s">
        <v>2422</v>
      </c>
      <c r="H308" s="99" t="n">
        <v>15853</v>
      </c>
      <c r="I308" s="99" t="n">
        <v>15853</v>
      </c>
      <c r="J308" s="99" t="n">
        <v>0</v>
      </c>
      <c r="K308" s="99" t="n">
        <v>0</v>
      </c>
      <c r="L308" s="99" t="n">
        <v>0</v>
      </c>
      <c r="M308" s="99" t="n">
        <v>0</v>
      </c>
      <c r="N308" s="99" t="n">
        <v>0</v>
      </c>
      <c r="O308" s="42" t="n">
        <v>15853</v>
      </c>
    </row>
    <row r="309" spans="1:15">
      <c r="A309" s="37" t="n">
        <v>306</v>
      </c>
      <c r="B309" s="97" t="s">
        <v>860</v>
      </c>
      <c r="C309" s="121" t="s">
        <v>283</v>
      </c>
      <c r="D309" s="121" t="s">
        <v>20</v>
      </c>
      <c r="E309" s="121" t="s">
        <v>21</v>
      </c>
      <c r="F309" s="121" t="s">
        <v>2074</v>
      </c>
      <c r="G309" s="121" t="s">
        <v>861</v>
      </c>
      <c r="H309" s="99" t="n">
        <v>15466</v>
      </c>
      <c r="I309" s="99" t="n">
        <v>15466</v>
      </c>
      <c r="J309" s="99" t="n">
        <v>0</v>
      </c>
      <c r="K309" s="99" t="n">
        <v>0</v>
      </c>
      <c r="L309" s="99" t="n">
        <v>0</v>
      </c>
      <c r="M309" s="99" t="n">
        <v>0</v>
      </c>
      <c r="N309" s="99" t="n">
        <v>0</v>
      </c>
      <c r="O309" s="42" t="n">
        <v>15466</v>
      </c>
    </row>
    <row r="310" spans="1:15">
      <c r="A310" s="37" t="n">
        <v>307</v>
      </c>
      <c r="B310" s="97" t="s">
        <v>808</v>
      </c>
      <c r="C310" s="121" t="s">
        <v>283</v>
      </c>
      <c r="D310" s="121" t="s">
        <v>20</v>
      </c>
      <c r="E310" s="121" t="s">
        <v>21</v>
      </c>
      <c r="F310" s="121" t="s">
        <v>2423</v>
      </c>
      <c r="G310" s="121" t="s">
        <v>810</v>
      </c>
      <c r="H310" s="99" t="n">
        <v>15853</v>
      </c>
      <c r="I310" s="99" t="n">
        <v>15853</v>
      </c>
      <c r="J310" s="99" t="n">
        <v>0</v>
      </c>
      <c r="K310" s="99" t="n">
        <v>0</v>
      </c>
      <c r="L310" s="99" t="n">
        <v>0</v>
      </c>
      <c r="M310" s="99" t="n">
        <v>0</v>
      </c>
      <c r="N310" s="99" t="n">
        <v>0</v>
      </c>
      <c r="O310" s="42" t="n">
        <v>15853</v>
      </c>
    </row>
    <row r="311" spans="1:15">
      <c r="A311" s="37" t="n">
        <v>308</v>
      </c>
      <c r="B311" s="97" t="s">
        <v>2424</v>
      </c>
      <c r="C311" s="121" t="s">
        <v>95</v>
      </c>
      <c r="D311" s="121" t="s">
        <v>128</v>
      </c>
      <c r="E311" s="121" t="s">
        <v>15</v>
      </c>
      <c r="F311" s="121" t="s">
        <v>2665</v>
      </c>
      <c r="G311" s="121" t="s">
        <v>2425</v>
      </c>
      <c r="H311" s="99" t="n">
        <v>15853</v>
      </c>
      <c r="I311" s="99" t="n">
        <v>15853</v>
      </c>
      <c r="J311" s="99" t="n">
        <v>0</v>
      </c>
      <c r="K311" s="99" t="n">
        <v>0</v>
      </c>
      <c r="L311" s="99" t="n">
        <v>0</v>
      </c>
      <c r="M311" s="99" t="n">
        <v>0</v>
      </c>
      <c r="N311" s="99" t="n">
        <v>0</v>
      </c>
      <c r="O311" s="42" t="n">
        <v>15853</v>
      </c>
    </row>
    <row r="312" spans="1:15">
      <c r="A312" s="37" t="n">
        <v>309</v>
      </c>
      <c r="B312" s="97" t="s">
        <v>840</v>
      </c>
      <c r="C312" s="121" t="s">
        <v>58</v>
      </c>
      <c r="D312" s="121" t="s">
        <v>20</v>
      </c>
      <c r="E312" s="121" t="s">
        <v>21</v>
      </c>
      <c r="F312" s="121" t="s">
        <v>841</v>
      </c>
      <c r="G312" s="121" t="s">
        <v>842</v>
      </c>
      <c r="H312" s="99" t="n">
        <v>17272</v>
      </c>
      <c r="I312" s="99" t="n">
        <v>17272</v>
      </c>
      <c r="J312" s="99" t="n">
        <v>864</v>
      </c>
      <c r="K312" s="99" t="n">
        <v>0</v>
      </c>
      <c r="L312" s="99" t="n">
        <v>0</v>
      </c>
      <c r="M312" s="99" t="n">
        <v>0</v>
      </c>
      <c r="N312" s="99" t="n">
        <v>0</v>
      </c>
      <c r="O312" s="42" t="n">
        <v>16408</v>
      </c>
    </row>
    <row r="313" spans="1:15">
      <c r="A313" s="37" t="n">
        <v>310</v>
      </c>
      <c r="B313" s="97" t="s">
        <v>749</v>
      </c>
      <c r="C313" s="121" t="s">
        <v>58</v>
      </c>
      <c r="D313" s="121" t="s">
        <v>20</v>
      </c>
      <c r="E313" s="121" t="s">
        <v>21</v>
      </c>
      <c r="F313" s="121" t="s">
        <v>750</v>
      </c>
      <c r="G313" s="121" t="s">
        <v>752</v>
      </c>
      <c r="H313" s="99" t="n">
        <v>16498</v>
      </c>
      <c r="I313" s="99" t="n">
        <v>16498</v>
      </c>
      <c r="J313" s="99" t="n">
        <v>825</v>
      </c>
      <c r="K313" s="99" t="n">
        <v>0</v>
      </c>
      <c r="L313" s="99" t="n">
        <v>0</v>
      </c>
      <c r="M313" s="99" t="n">
        <v>0</v>
      </c>
      <c r="N313" s="99" t="n">
        <v>0</v>
      </c>
      <c r="O313" s="42" t="n">
        <v>15673</v>
      </c>
    </row>
    <row r="314" spans="1:15">
      <c r="A314" s="37" t="n">
        <v>311</v>
      </c>
      <c r="B314" s="97" t="s">
        <v>753</v>
      </c>
      <c r="C314" s="121" t="s">
        <v>58</v>
      </c>
      <c r="D314" s="121" t="s">
        <v>20</v>
      </c>
      <c r="E314" s="121" t="s">
        <v>21</v>
      </c>
      <c r="F314" s="121" t="s">
        <v>754</v>
      </c>
      <c r="G314" s="121" t="s">
        <v>756</v>
      </c>
      <c r="H314" s="99" t="n">
        <v>15466</v>
      </c>
      <c r="I314" s="99" t="n">
        <v>15466</v>
      </c>
      <c r="J314" s="99" t="n">
        <v>773</v>
      </c>
      <c r="K314" s="99" t="n">
        <v>0</v>
      </c>
      <c r="L314" s="99" t="n">
        <v>0</v>
      </c>
      <c r="M314" s="99" t="n">
        <v>0</v>
      </c>
      <c r="N314" s="99" t="n">
        <v>0</v>
      </c>
      <c r="O314" s="42" t="n">
        <v>14693</v>
      </c>
    </row>
    <row r="315" spans="1:15">
      <c r="A315" s="37" t="n">
        <v>312</v>
      </c>
      <c r="B315" s="97" t="s">
        <v>999</v>
      </c>
      <c r="C315" s="121" t="s">
        <v>58</v>
      </c>
      <c r="D315" s="121" t="s">
        <v>20</v>
      </c>
      <c r="E315" s="121" t="s">
        <v>21</v>
      </c>
      <c r="F315" s="121" t="s">
        <v>1000</v>
      </c>
      <c r="G315" s="121" t="s">
        <v>1002</v>
      </c>
      <c r="H315" s="99" t="n">
        <v>16498</v>
      </c>
      <c r="I315" s="99" t="n">
        <v>16498</v>
      </c>
      <c r="J315" s="99" t="n">
        <v>825</v>
      </c>
      <c r="K315" s="99" t="n">
        <v>0</v>
      </c>
      <c r="L315" s="99" t="n">
        <v>0</v>
      </c>
      <c r="M315" s="99" t="n">
        <v>0</v>
      </c>
      <c r="N315" s="99" t="n">
        <v>0</v>
      </c>
      <c r="O315" s="42" t="n">
        <v>15673</v>
      </c>
    </row>
    <row r="316" spans="1:15">
      <c r="A316" s="37" t="n">
        <v>313</v>
      </c>
      <c r="B316" s="97" t="s">
        <v>746</v>
      </c>
      <c r="C316" s="121" t="s">
        <v>58</v>
      </c>
      <c r="D316" s="121" t="s">
        <v>20</v>
      </c>
      <c r="E316" s="121" t="s">
        <v>21</v>
      </c>
      <c r="F316" s="121" t="s">
        <v>747</v>
      </c>
      <c r="G316" s="121" t="s">
        <v>748</v>
      </c>
      <c r="H316" s="99" t="n">
        <v>17272</v>
      </c>
      <c r="I316" s="99" t="n">
        <v>17272</v>
      </c>
      <c r="J316" s="99" t="n">
        <v>864</v>
      </c>
      <c r="K316" s="99" t="n">
        <v>0</v>
      </c>
      <c r="L316" s="99" t="n">
        <v>0</v>
      </c>
      <c r="M316" s="99" t="n">
        <v>0</v>
      </c>
      <c r="N316" s="99" t="n">
        <v>0</v>
      </c>
      <c r="O316" s="42" t="n">
        <v>16408</v>
      </c>
    </row>
    <row r="317" spans="1:15">
      <c r="A317" s="37" t="n">
        <v>314</v>
      </c>
      <c r="B317" s="97" t="s">
        <v>760</v>
      </c>
      <c r="C317" s="121" t="s">
        <v>283</v>
      </c>
      <c r="D317" s="121" t="s">
        <v>20</v>
      </c>
      <c r="E317" s="121" t="s">
        <v>21</v>
      </c>
      <c r="F317" s="121" t="s">
        <v>2426</v>
      </c>
      <c r="G317" s="121" t="s">
        <v>762</v>
      </c>
      <c r="H317" s="99" t="n">
        <v>15466</v>
      </c>
      <c r="I317" s="99" t="n">
        <v>15466</v>
      </c>
      <c r="J317" s="99" t="n">
        <v>0</v>
      </c>
      <c r="K317" s="99" t="n">
        <v>0</v>
      </c>
      <c r="L317" s="99" t="n">
        <v>0</v>
      </c>
      <c r="M317" s="99" t="n">
        <v>0</v>
      </c>
      <c r="N317" s="99" t="n">
        <v>0</v>
      </c>
      <c r="O317" s="42" t="n">
        <v>15466</v>
      </c>
    </row>
    <row r="318" spans="1:15">
      <c r="A318" s="37" t="n">
        <v>315</v>
      </c>
      <c r="B318" s="97" t="s">
        <v>757</v>
      </c>
      <c r="C318" s="121" t="s">
        <v>131</v>
      </c>
      <c r="D318" s="121" t="s">
        <v>20</v>
      </c>
      <c r="E318" s="121" t="s">
        <v>21</v>
      </c>
      <c r="F318" s="121" t="s">
        <v>758</v>
      </c>
      <c r="G318" s="121" t="s">
        <v>759</v>
      </c>
      <c r="H318" s="99" t="n">
        <v>16498</v>
      </c>
      <c r="I318" s="99" t="n">
        <v>16498</v>
      </c>
      <c r="J318" s="99" t="n">
        <v>825</v>
      </c>
      <c r="K318" s="99" t="n">
        <v>0</v>
      </c>
      <c r="L318" s="99" t="n">
        <v>0</v>
      </c>
      <c r="M318" s="99" t="n">
        <v>0</v>
      </c>
      <c r="N318" s="99" t="n">
        <v>0</v>
      </c>
      <c r="O318" s="42" t="n">
        <v>15673</v>
      </c>
    </row>
    <row r="319" spans="1:15">
      <c r="A319" s="37" t="n">
        <v>316</v>
      </c>
      <c r="B319" s="97" t="s">
        <v>763</v>
      </c>
      <c r="C319" s="121" t="s">
        <v>283</v>
      </c>
      <c r="D319" s="121" t="s">
        <v>20</v>
      </c>
      <c r="E319" s="121" t="s">
        <v>21</v>
      </c>
      <c r="F319" s="121" t="s">
        <v>2427</v>
      </c>
      <c r="G319" s="121" t="s">
        <v>765</v>
      </c>
      <c r="H319" s="99" t="n">
        <v>15466</v>
      </c>
      <c r="I319" s="99" t="n">
        <v>15466</v>
      </c>
      <c r="J319" s="99" t="n">
        <v>0</v>
      </c>
      <c r="K319" s="99" t="n">
        <v>0</v>
      </c>
      <c r="L319" s="99" t="n">
        <v>0</v>
      </c>
      <c r="M319" s="99" t="n">
        <v>0</v>
      </c>
      <c r="N319" s="99" t="n">
        <v>0</v>
      </c>
      <c r="O319" s="42" t="n">
        <v>15466</v>
      </c>
    </row>
    <row r="320" spans="1:15">
      <c r="A320" s="37" t="n">
        <v>317</v>
      </c>
      <c r="B320" s="97" t="s">
        <v>2428</v>
      </c>
      <c r="C320" s="121" t="s">
        <v>120</v>
      </c>
      <c r="D320" s="121" t="s">
        <v>20</v>
      </c>
      <c r="E320" s="121" t="s">
        <v>21</v>
      </c>
      <c r="F320" s="121" t="s">
        <v>2666</v>
      </c>
      <c r="G320" s="121" t="s">
        <v>2429</v>
      </c>
      <c r="H320" s="99" t="n">
        <v>15466</v>
      </c>
      <c r="I320" s="99" t="n">
        <v>15466</v>
      </c>
      <c r="J320" s="99" t="n">
        <v>0</v>
      </c>
      <c r="K320" s="99" t="n">
        <v>0</v>
      </c>
      <c r="L320" s="99" t="n">
        <v>0</v>
      </c>
      <c r="M320" s="99" t="n">
        <v>0</v>
      </c>
      <c r="N320" s="99" t="n">
        <v>0</v>
      </c>
      <c r="O320" s="42" t="n">
        <v>15466</v>
      </c>
    </row>
    <row r="321" spans="1:15">
      <c r="A321" s="37" t="n">
        <v>318</v>
      </c>
      <c r="B321" s="97" t="s">
        <v>777</v>
      </c>
      <c r="C321" s="121" t="s">
        <v>283</v>
      </c>
      <c r="D321" s="121" t="s">
        <v>20</v>
      </c>
      <c r="E321" s="121" t="s">
        <v>21</v>
      </c>
      <c r="F321" s="121" t="s">
        <v>2430</v>
      </c>
      <c r="G321" s="121" t="s">
        <v>778</v>
      </c>
      <c r="H321" s="99" t="n">
        <v>15466</v>
      </c>
      <c r="I321" s="99" t="n">
        <v>15466</v>
      </c>
      <c r="J321" s="99" t="n">
        <v>0</v>
      </c>
      <c r="K321" s="99" t="n">
        <v>0</v>
      </c>
      <c r="L321" s="99" t="n">
        <v>0</v>
      </c>
      <c r="M321" s="99" t="n">
        <v>0</v>
      </c>
      <c r="N321" s="99" t="n">
        <v>0</v>
      </c>
      <c r="O321" s="42" t="n">
        <v>15466</v>
      </c>
    </row>
    <row r="322" spans="1:15">
      <c r="A322" s="37" t="n">
        <v>319</v>
      </c>
      <c r="B322" s="97" t="s">
        <v>2431</v>
      </c>
      <c r="C322" s="121" t="s">
        <v>95</v>
      </c>
      <c r="D322" s="121" t="s">
        <v>20</v>
      </c>
      <c r="E322" s="121" t="s">
        <v>21</v>
      </c>
      <c r="F322" s="121" t="s">
        <v>2667</v>
      </c>
      <c r="G322" s="121" t="s">
        <v>2432</v>
      </c>
      <c r="H322" s="99" t="n">
        <v>180041</v>
      </c>
      <c r="I322" s="99" t="n">
        <v>180041</v>
      </c>
      <c r="J322" s="99" t="n">
        <v>0</v>
      </c>
      <c r="K322" s="99" t="n">
        <v>0</v>
      </c>
      <c r="L322" s="99" t="n">
        <v>0</v>
      </c>
      <c r="M322" s="99" t="n">
        <v>0</v>
      </c>
      <c r="N322" s="99" t="n">
        <v>0</v>
      </c>
      <c r="O322" s="42" t="n">
        <v>180041</v>
      </c>
    </row>
    <row r="323" spans="1:15">
      <c r="A323" s="37" t="n">
        <v>320</v>
      </c>
      <c r="B323" s="97" t="s">
        <v>1182</v>
      </c>
      <c r="C323" s="121" t="s">
        <v>283</v>
      </c>
      <c r="D323" s="121" t="s">
        <v>20</v>
      </c>
      <c r="E323" s="121" t="s">
        <v>21</v>
      </c>
      <c r="F323" s="121" t="s">
        <v>2433</v>
      </c>
      <c r="G323" s="121" t="s">
        <v>1183</v>
      </c>
      <c r="H323" s="99" t="n">
        <v>11662</v>
      </c>
      <c r="I323" s="99" t="n">
        <v>11662</v>
      </c>
      <c r="J323" s="99" t="n">
        <v>0</v>
      </c>
      <c r="K323" s="99" t="n">
        <v>0</v>
      </c>
      <c r="L323" s="99" t="n">
        <v>0</v>
      </c>
      <c r="M323" s="99" t="n">
        <v>0</v>
      </c>
      <c r="N323" s="99" t="n">
        <v>0</v>
      </c>
      <c r="O323" s="42" t="n">
        <v>11662</v>
      </c>
    </row>
    <row r="324" spans="1:15">
      <c r="A324" s="37" t="n">
        <v>321</v>
      </c>
      <c r="B324" s="97" t="s">
        <v>1466</v>
      </c>
      <c r="C324" s="121" t="s">
        <v>95</v>
      </c>
      <c r="D324" s="121" t="s">
        <v>278</v>
      </c>
      <c r="E324" s="121" t="s">
        <v>16</v>
      </c>
      <c r="F324" s="121" t="s">
        <v>2668</v>
      </c>
      <c r="G324" s="121" t="s">
        <v>1468</v>
      </c>
      <c r="H324" s="99" t="n">
        <v>15466</v>
      </c>
      <c r="I324" s="99" t="n">
        <v>15466</v>
      </c>
      <c r="J324" s="99" t="n">
        <v>0</v>
      </c>
      <c r="K324" s="99" t="n">
        <v>0</v>
      </c>
      <c r="L324" s="99" t="n">
        <v>0</v>
      </c>
      <c r="M324" s="99" t="n">
        <v>0</v>
      </c>
      <c r="N324" s="99" t="n">
        <v>0</v>
      </c>
      <c r="O324" s="42" t="n">
        <v>15466</v>
      </c>
    </row>
    <row r="325" spans="1:15">
      <c r="A325" s="37" t="n">
        <v>322</v>
      </c>
      <c r="B325" s="97" t="s">
        <v>1511</v>
      </c>
      <c r="C325" s="121" t="s">
        <v>58</v>
      </c>
      <c r="D325" s="121" t="s">
        <v>20</v>
      </c>
      <c r="E325" s="121" t="s">
        <v>21</v>
      </c>
      <c r="F325" s="121" t="s">
        <v>1512</v>
      </c>
      <c r="G325" s="121" t="s">
        <v>1513</v>
      </c>
      <c r="H325" s="99" t="n">
        <v>16498</v>
      </c>
      <c r="I325" s="99" t="n">
        <v>16498</v>
      </c>
      <c r="J325" s="99" t="n">
        <v>825</v>
      </c>
      <c r="K325" s="99" t="n">
        <v>0</v>
      </c>
      <c r="L325" s="99" t="n">
        <v>0</v>
      </c>
      <c r="M325" s="99" t="n">
        <v>0</v>
      </c>
      <c r="N325" s="99" t="n">
        <v>0</v>
      </c>
      <c r="O325" s="42" t="n">
        <v>15673</v>
      </c>
    </row>
    <row r="326" spans="1:15">
      <c r="A326" s="37" t="n">
        <v>323</v>
      </c>
      <c r="B326" s="97" t="s">
        <v>1577</v>
      </c>
      <c r="C326" s="121" t="s">
        <v>58</v>
      </c>
      <c r="D326" s="121" t="s">
        <v>20</v>
      </c>
      <c r="E326" s="121" t="s">
        <v>21</v>
      </c>
      <c r="F326" s="121" t="s">
        <v>1578</v>
      </c>
      <c r="G326" s="121" t="s">
        <v>1579</v>
      </c>
      <c r="H326" s="99" t="n">
        <v>16498</v>
      </c>
      <c r="I326" s="99" t="n">
        <v>16498</v>
      </c>
      <c r="J326" s="99" t="n">
        <v>825</v>
      </c>
      <c r="K326" s="99" t="n">
        <v>0</v>
      </c>
      <c r="L326" s="99" t="n">
        <v>0</v>
      </c>
      <c r="M326" s="99" t="n">
        <v>0</v>
      </c>
      <c r="N326" s="99" t="n">
        <v>0</v>
      </c>
      <c r="O326" s="42" t="n">
        <v>15673</v>
      </c>
    </row>
    <row r="327" spans="1:15">
      <c r="A327" s="37" t="n">
        <v>324</v>
      </c>
      <c r="B327" s="97" t="s">
        <v>843</v>
      </c>
      <c r="C327" s="121" t="s">
        <v>58</v>
      </c>
      <c r="D327" s="121" t="s">
        <v>20</v>
      </c>
      <c r="E327" s="121" t="s">
        <v>21</v>
      </c>
      <c r="F327" s="121" t="s">
        <v>844</v>
      </c>
      <c r="G327" s="121" t="s">
        <v>846</v>
      </c>
      <c r="H327" s="99" t="n">
        <v>15466</v>
      </c>
      <c r="I327" s="99" t="n">
        <v>15466</v>
      </c>
      <c r="J327" s="99" t="n">
        <v>773</v>
      </c>
      <c r="K327" s="99" t="n">
        <v>0</v>
      </c>
      <c r="L327" s="99" t="n">
        <v>0</v>
      </c>
      <c r="M327" s="99" t="n">
        <v>0</v>
      </c>
      <c r="N327" s="99" t="n">
        <v>0</v>
      </c>
      <c r="O327" s="42" t="n">
        <v>14693</v>
      </c>
    </row>
    <row r="328" spans="1:15">
      <c r="A328" s="37" t="n">
        <v>325</v>
      </c>
      <c r="B328" s="97" t="s">
        <v>2434</v>
      </c>
      <c r="C328" s="121" t="s">
        <v>120</v>
      </c>
      <c r="D328" s="121" t="s">
        <v>278</v>
      </c>
      <c r="E328" s="121" t="s">
        <v>16</v>
      </c>
      <c r="F328" s="121" t="s">
        <v>2669</v>
      </c>
      <c r="G328" s="121" t="s">
        <v>2435</v>
      </c>
      <c r="H328" s="99" t="n">
        <v>15466</v>
      </c>
      <c r="I328" s="99" t="n">
        <v>15466</v>
      </c>
      <c r="J328" s="99" t="n">
        <v>0</v>
      </c>
      <c r="K328" s="99" t="n">
        <v>0</v>
      </c>
      <c r="L328" s="99" t="n">
        <v>0</v>
      </c>
      <c r="M328" s="99" t="n">
        <v>0</v>
      </c>
      <c r="N328" s="99" t="n">
        <v>0</v>
      </c>
      <c r="O328" s="42" t="n">
        <v>15466</v>
      </c>
    </row>
    <row r="329" spans="1:15">
      <c r="A329" s="37" t="n">
        <v>326</v>
      </c>
      <c r="B329" s="97" t="s">
        <v>1567</v>
      </c>
      <c r="C329" s="121" t="s">
        <v>283</v>
      </c>
      <c r="D329" s="121" t="s">
        <v>20</v>
      </c>
      <c r="E329" s="121" t="s">
        <v>21</v>
      </c>
      <c r="F329" s="121" t="s">
        <v>2436</v>
      </c>
      <c r="G329" s="121" t="s">
        <v>1569</v>
      </c>
      <c r="H329" s="99" t="n">
        <v>13917</v>
      </c>
      <c r="I329" s="99" t="n">
        <v>13917</v>
      </c>
      <c r="J329" s="99" t="n">
        <v>0</v>
      </c>
      <c r="K329" s="99" t="n">
        <v>0</v>
      </c>
      <c r="L329" s="99" t="n">
        <v>0</v>
      </c>
      <c r="M329" s="99" t="n">
        <v>0</v>
      </c>
      <c r="N329" s="99" t="n">
        <v>0</v>
      </c>
      <c r="O329" s="42" t="n">
        <v>13917</v>
      </c>
    </row>
    <row r="330" spans="1:15">
      <c r="A330" s="37" t="n">
        <v>327</v>
      </c>
      <c r="B330" s="97" t="s">
        <v>1274</v>
      </c>
      <c r="C330" s="121" t="s">
        <v>283</v>
      </c>
      <c r="D330" s="121" t="s">
        <v>20</v>
      </c>
      <c r="E330" s="121" t="s">
        <v>21</v>
      </c>
      <c r="F330" s="121" t="s">
        <v>2437</v>
      </c>
      <c r="G330" s="121" t="s">
        <v>1275</v>
      </c>
      <c r="H330" s="99" t="n">
        <v>15466</v>
      </c>
      <c r="I330" s="99" t="n">
        <v>15466</v>
      </c>
      <c r="J330" s="99" t="n">
        <v>0</v>
      </c>
      <c r="K330" s="99" t="n">
        <v>0</v>
      </c>
      <c r="L330" s="99" t="n">
        <v>0</v>
      </c>
      <c r="M330" s="99" t="n">
        <v>0</v>
      </c>
      <c r="N330" s="99" t="n">
        <v>0</v>
      </c>
      <c r="O330" s="42" t="n">
        <v>15466</v>
      </c>
    </row>
    <row r="331" spans="1:15">
      <c r="A331" s="37" t="n">
        <v>328</v>
      </c>
      <c r="B331" s="97" t="s">
        <v>655</v>
      </c>
      <c r="C331" s="121" t="s">
        <v>283</v>
      </c>
      <c r="D331" s="121" t="s">
        <v>20</v>
      </c>
      <c r="E331" s="121" t="s">
        <v>21</v>
      </c>
      <c r="F331" s="121" t="s">
        <v>2074</v>
      </c>
      <c r="G331" s="121" t="s">
        <v>656</v>
      </c>
      <c r="H331" s="99" t="n">
        <v>15466</v>
      </c>
      <c r="I331" s="99" t="n">
        <v>15466</v>
      </c>
      <c r="J331" s="99" t="n">
        <v>0</v>
      </c>
      <c r="K331" s="99" t="n">
        <v>0</v>
      </c>
      <c r="L331" s="99" t="n">
        <v>0</v>
      </c>
      <c r="M331" s="99" t="n">
        <v>0</v>
      </c>
      <c r="N331" s="99" t="n">
        <v>0</v>
      </c>
      <c r="O331" s="42" t="n">
        <v>15466</v>
      </c>
    </row>
    <row r="332" spans="1:15">
      <c r="A332" s="37" t="n">
        <v>329</v>
      </c>
      <c r="B332" s="97" t="s">
        <v>857</v>
      </c>
      <c r="C332" s="121" t="s">
        <v>120</v>
      </c>
      <c r="D332" s="121" t="s">
        <v>137</v>
      </c>
      <c r="E332" s="121" t="s">
        <v>14</v>
      </c>
      <c r="F332" s="121" t="s">
        <v>2670</v>
      </c>
      <c r="G332" s="121" t="s">
        <v>859</v>
      </c>
      <c r="H332" s="99" t="n">
        <v>15466</v>
      </c>
      <c r="I332" s="99" t="n">
        <v>15466</v>
      </c>
      <c r="J332" s="99" t="n">
        <v>0</v>
      </c>
      <c r="K332" s="99" t="n">
        <v>0</v>
      </c>
      <c r="L332" s="99" t="n">
        <v>0</v>
      </c>
      <c r="M332" s="99" t="n">
        <v>0</v>
      </c>
      <c r="N332" s="99" t="n">
        <v>0</v>
      </c>
      <c r="O332" s="42" t="n">
        <v>15466</v>
      </c>
    </row>
    <row r="333" spans="1:15">
      <c r="A333" s="37" t="n">
        <v>330</v>
      </c>
      <c r="B333" s="97" t="s">
        <v>657</v>
      </c>
      <c r="C333" s="121" t="s">
        <v>283</v>
      </c>
      <c r="D333" s="121" t="s">
        <v>20</v>
      </c>
      <c r="E333" s="121" t="s">
        <v>21</v>
      </c>
      <c r="F333" s="121" t="s">
        <v>2438</v>
      </c>
      <c r="G333" s="121" t="s">
        <v>658</v>
      </c>
      <c r="H333" s="99" t="n">
        <v>15466</v>
      </c>
      <c r="I333" s="99" t="n">
        <v>15466</v>
      </c>
      <c r="J333" s="99" t="n">
        <v>0</v>
      </c>
      <c r="K333" s="99" t="n">
        <v>0</v>
      </c>
      <c r="L333" s="99" t="n">
        <v>0</v>
      </c>
      <c r="M333" s="99" t="n">
        <v>0</v>
      </c>
      <c r="N333" s="99" t="n">
        <v>0</v>
      </c>
      <c r="O333" s="42" t="n">
        <v>15466</v>
      </c>
    </row>
    <row r="334" spans="1:15">
      <c r="A334" s="37" t="n">
        <v>331</v>
      </c>
      <c r="B334" s="97" t="s">
        <v>703</v>
      </c>
      <c r="C334" s="121" t="s">
        <v>283</v>
      </c>
      <c r="D334" s="121" t="s">
        <v>20</v>
      </c>
      <c r="E334" s="121" t="s">
        <v>21</v>
      </c>
      <c r="F334" s="121" t="s">
        <v>2439</v>
      </c>
      <c r="G334" s="121" t="s">
        <v>704</v>
      </c>
      <c r="H334" s="99" t="n">
        <v>15466</v>
      </c>
      <c r="I334" s="99" t="n">
        <v>15466</v>
      </c>
      <c r="J334" s="99" t="n">
        <v>0</v>
      </c>
      <c r="K334" s="99" t="n">
        <v>0</v>
      </c>
      <c r="L334" s="99" t="n">
        <v>0</v>
      </c>
      <c r="M334" s="99" t="n">
        <v>0</v>
      </c>
      <c r="N334" s="99" t="n">
        <v>0</v>
      </c>
      <c r="O334" s="42" t="n">
        <v>15466</v>
      </c>
    </row>
    <row r="335" spans="1:15">
      <c r="A335" s="37" t="n">
        <v>332</v>
      </c>
      <c r="B335" s="97" t="s">
        <v>851</v>
      </c>
      <c r="C335" s="121" t="s">
        <v>283</v>
      </c>
      <c r="D335" s="121" t="s">
        <v>20</v>
      </c>
      <c r="E335" s="121" t="s">
        <v>21</v>
      </c>
      <c r="F335" s="121" t="s">
        <v>2074</v>
      </c>
      <c r="G335" s="121" t="s">
        <v>853</v>
      </c>
      <c r="H335" s="99" t="n">
        <v>15466</v>
      </c>
      <c r="I335" s="99" t="n">
        <v>15466</v>
      </c>
      <c r="J335" s="99" t="n">
        <v>0</v>
      </c>
      <c r="K335" s="99" t="n">
        <v>0</v>
      </c>
      <c r="L335" s="99" t="n">
        <v>0</v>
      </c>
      <c r="M335" s="99" t="n">
        <v>0</v>
      </c>
      <c r="N335" s="99" t="n">
        <v>0</v>
      </c>
      <c r="O335" s="42" t="n">
        <v>15466</v>
      </c>
    </row>
    <row r="336" spans="1:15">
      <c r="A336" s="37" t="n">
        <v>333</v>
      </c>
      <c r="B336" s="97" t="s">
        <v>854</v>
      </c>
      <c r="C336" s="121" t="s">
        <v>283</v>
      </c>
      <c r="D336" s="121" t="s">
        <v>20</v>
      </c>
      <c r="E336" s="121" t="s">
        <v>21</v>
      </c>
      <c r="F336" s="121" t="s">
        <v>2440</v>
      </c>
      <c r="G336" s="121" t="s">
        <v>856</v>
      </c>
      <c r="H336" s="99" t="n">
        <v>15466</v>
      </c>
      <c r="I336" s="99" t="n">
        <v>15466</v>
      </c>
      <c r="J336" s="99" t="n">
        <v>0</v>
      </c>
      <c r="K336" s="99" t="n">
        <v>0</v>
      </c>
      <c r="L336" s="99" t="n">
        <v>0</v>
      </c>
      <c r="M336" s="99" t="n">
        <v>0</v>
      </c>
      <c r="N336" s="99" t="n">
        <v>0</v>
      </c>
      <c r="O336" s="42" t="n">
        <v>15466</v>
      </c>
    </row>
    <row r="337" spans="1:15">
      <c r="A337" s="37" t="n">
        <v>334</v>
      </c>
      <c r="B337" s="97" t="s">
        <v>2441</v>
      </c>
      <c r="C337" s="121" t="s">
        <v>120</v>
      </c>
      <c r="D337" s="121" t="s">
        <v>20</v>
      </c>
      <c r="E337" s="121" t="s">
        <v>21</v>
      </c>
      <c r="F337" s="121" t="s">
        <v>2671</v>
      </c>
      <c r="G337" s="121" t="s">
        <v>2442</v>
      </c>
      <c r="H337" s="99" t="n">
        <v>15466</v>
      </c>
      <c r="I337" s="99" t="n">
        <v>15466</v>
      </c>
      <c r="J337" s="99" t="n">
        <v>0</v>
      </c>
      <c r="K337" s="99" t="n">
        <v>0</v>
      </c>
      <c r="L337" s="99" t="n">
        <v>0</v>
      </c>
      <c r="M337" s="99" t="n">
        <v>0</v>
      </c>
      <c r="N337" s="99" t="n">
        <v>0</v>
      </c>
      <c r="O337" s="42" t="n">
        <v>15466</v>
      </c>
    </row>
    <row r="338" spans="1:15">
      <c r="A338" s="37" t="n">
        <v>335</v>
      </c>
      <c r="B338" s="97" t="s">
        <v>659</v>
      </c>
      <c r="C338" s="121" t="s">
        <v>283</v>
      </c>
      <c r="D338" s="121" t="s">
        <v>20</v>
      </c>
      <c r="E338" s="121" t="s">
        <v>21</v>
      </c>
      <c r="F338" s="121" t="s">
        <v>2074</v>
      </c>
      <c r="G338" s="121" t="s">
        <v>660</v>
      </c>
      <c r="H338" s="99" t="n">
        <v>15466</v>
      </c>
      <c r="I338" s="99" t="n">
        <v>15466</v>
      </c>
      <c r="J338" s="99" t="n">
        <v>0</v>
      </c>
      <c r="K338" s="99" t="n">
        <v>0</v>
      </c>
      <c r="L338" s="99" t="n">
        <v>0</v>
      </c>
      <c r="M338" s="99" t="n">
        <v>0</v>
      </c>
      <c r="N338" s="99" t="n">
        <v>0</v>
      </c>
      <c r="O338" s="42" t="n">
        <v>15466</v>
      </c>
    </row>
    <row r="339" spans="1:15">
      <c r="A339" s="37" t="n">
        <v>336</v>
      </c>
      <c r="B339" s="97" t="s">
        <v>664</v>
      </c>
      <c r="C339" s="121" t="s">
        <v>120</v>
      </c>
      <c r="D339" s="121" t="s">
        <v>124</v>
      </c>
      <c r="E339" s="121" t="s">
        <v>15</v>
      </c>
      <c r="F339" s="121" t="s">
        <v>2672</v>
      </c>
      <c r="G339" s="121" t="s">
        <v>665</v>
      </c>
      <c r="H339" s="99" t="n">
        <v>15466</v>
      </c>
      <c r="I339" s="99" t="n">
        <v>15466</v>
      </c>
      <c r="J339" s="99" t="n">
        <v>0</v>
      </c>
      <c r="K339" s="99" t="n">
        <v>0</v>
      </c>
      <c r="L339" s="99" t="n">
        <v>0</v>
      </c>
      <c r="M339" s="99" t="n">
        <v>0</v>
      </c>
      <c r="N339" s="99" t="n">
        <v>0</v>
      </c>
      <c r="O339" s="42" t="n">
        <v>15466</v>
      </c>
    </row>
    <row r="340" spans="1:15">
      <c r="A340" s="37" t="n">
        <v>337</v>
      </c>
      <c r="B340" s="97" t="s">
        <v>1344</v>
      </c>
      <c r="C340" s="121" t="s">
        <v>283</v>
      </c>
      <c r="D340" s="121" t="s">
        <v>20</v>
      </c>
      <c r="E340" s="121" t="s">
        <v>21</v>
      </c>
      <c r="F340" s="121" t="s">
        <v>2443</v>
      </c>
      <c r="G340" s="121" t="s">
        <v>1345</v>
      </c>
      <c r="H340" s="99" t="n">
        <v>15466</v>
      </c>
      <c r="I340" s="99" t="n">
        <v>15466</v>
      </c>
      <c r="J340" s="99" t="n">
        <v>0</v>
      </c>
      <c r="K340" s="99" t="n">
        <v>0</v>
      </c>
      <c r="L340" s="99" t="n">
        <v>0</v>
      </c>
      <c r="M340" s="99" t="n">
        <v>0</v>
      </c>
      <c r="N340" s="99" t="n">
        <v>0</v>
      </c>
      <c r="O340" s="42" t="n">
        <v>15466</v>
      </c>
    </row>
    <row r="341" spans="1:15">
      <c r="A341" s="37" t="n">
        <v>338</v>
      </c>
      <c r="B341" s="97" t="s">
        <v>2444</v>
      </c>
      <c r="C341" s="121" t="s">
        <v>58</v>
      </c>
      <c r="D341" s="121" t="s">
        <v>20</v>
      </c>
      <c r="E341" s="121" t="s">
        <v>21</v>
      </c>
      <c r="F341" s="121" t="s">
        <v>2074</v>
      </c>
      <c r="G341" s="121" t="s">
        <v>2445</v>
      </c>
      <c r="H341" s="99" t="n">
        <v>18046</v>
      </c>
      <c r="I341" s="99" t="n">
        <v>18046</v>
      </c>
      <c r="J341" s="99" t="n">
        <v>902</v>
      </c>
      <c r="K341" s="99" t="n">
        <v>0</v>
      </c>
      <c r="L341" s="99" t="n">
        <v>0</v>
      </c>
      <c r="M341" s="99" t="n">
        <v>0</v>
      </c>
      <c r="N341" s="99" t="n">
        <v>0</v>
      </c>
      <c r="O341" s="42" t="n">
        <v>17144</v>
      </c>
    </row>
    <row r="342" spans="1:15">
      <c r="A342" s="37" t="n">
        <v>339</v>
      </c>
      <c r="B342" s="97" t="s">
        <v>1139</v>
      </c>
      <c r="C342" s="121" t="s">
        <v>58</v>
      </c>
      <c r="D342" s="121" t="s">
        <v>20</v>
      </c>
      <c r="E342" s="121" t="s">
        <v>21</v>
      </c>
      <c r="F342" s="121" t="s">
        <v>1140</v>
      </c>
      <c r="G342" s="121" t="s">
        <v>1141</v>
      </c>
      <c r="H342" s="99" t="n">
        <v>18046</v>
      </c>
      <c r="I342" s="99" t="n">
        <v>18046</v>
      </c>
      <c r="J342" s="99" t="n">
        <v>902</v>
      </c>
      <c r="K342" s="99" t="n">
        <v>0</v>
      </c>
      <c r="L342" s="99" t="n">
        <v>0</v>
      </c>
      <c r="M342" s="99" t="n">
        <v>0</v>
      </c>
      <c r="N342" s="99" t="n">
        <v>0</v>
      </c>
      <c r="O342" s="42" t="n">
        <v>17144</v>
      </c>
    </row>
    <row r="343" spans="1:15">
      <c r="A343" s="37" t="n">
        <v>340</v>
      </c>
      <c r="B343" s="97" t="s">
        <v>1201</v>
      </c>
      <c r="C343" s="121" t="s">
        <v>58</v>
      </c>
      <c r="D343" s="121" t="s">
        <v>20</v>
      </c>
      <c r="E343" s="121" t="s">
        <v>21</v>
      </c>
      <c r="F343" s="121" t="s">
        <v>1202</v>
      </c>
      <c r="G343" s="121" t="s">
        <v>1203</v>
      </c>
      <c r="H343" s="99" t="n">
        <v>17014</v>
      </c>
      <c r="I343" s="99" t="n">
        <v>17014</v>
      </c>
      <c r="J343" s="99" t="n">
        <v>851</v>
      </c>
      <c r="K343" s="99" t="n">
        <v>0</v>
      </c>
      <c r="L343" s="99" t="n">
        <v>0</v>
      </c>
      <c r="M343" s="99" t="n">
        <v>0</v>
      </c>
      <c r="N343" s="99" t="n">
        <v>0</v>
      </c>
      <c r="O343" s="42" t="n">
        <v>16163</v>
      </c>
    </row>
    <row r="344" spans="1:15">
      <c r="A344" s="37" t="n">
        <v>341</v>
      </c>
      <c r="B344" s="97" t="s">
        <v>1204</v>
      </c>
      <c r="C344" s="121" t="s">
        <v>58</v>
      </c>
      <c r="D344" s="121" t="s">
        <v>20</v>
      </c>
      <c r="E344" s="121" t="s">
        <v>21</v>
      </c>
      <c r="F344" s="121" t="s">
        <v>1205</v>
      </c>
      <c r="G344" s="121" t="s">
        <v>1206</v>
      </c>
      <c r="H344" s="99" t="n">
        <v>17014</v>
      </c>
      <c r="I344" s="99" t="n">
        <v>17014</v>
      </c>
      <c r="J344" s="99" t="n">
        <v>851</v>
      </c>
      <c r="K344" s="99" t="n">
        <v>0</v>
      </c>
      <c r="L344" s="99" t="n">
        <v>0</v>
      </c>
      <c r="M344" s="99" t="n">
        <v>0</v>
      </c>
      <c r="N344" s="99" t="n">
        <v>0</v>
      </c>
      <c r="O344" s="42" t="n">
        <v>16163</v>
      </c>
    </row>
    <row r="345" spans="1:15">
      <c r="A345" s="37" t="n">
        <v>342</v>
      </c>
      <c r="B345" s="97" t="s">
        <v>1142</v>
      </c>
      <c r="C345" s="121" t="s">
        <v>58</v>
      </c>
      <c r="D345" s="121" t="s">
        <v>20</v>
      </c>
      <c r="E345" s="121" t="s">
        <v>21</v>
      </c>
      <c r="F345" s="121" t="s">
        <v>1143</v>
      </c>
      <c r="G345" s="121" t="s">
        <v>1144</v>
      </c>
      <c r="H345" s="99" t="n">
        <v>17014</v>
      </c>
      <c r="I345" s="99" t="n">
        <v>17014</v>
      </c>
      <c r="J345" s="99" t="n">
        <v>851</v>
      </c>
      <c r="K345" s="99" t="n">
        <v>0</v>
      </c>
      <c r="L345" s="99" t="n">
        <v>0</v>
      </c>
      <c r="M345" s="99" t="n">
        <v>0</v>
      </c>
      <c r="N345" s="99" t="n">
        <v>0</v>
      </c>
      <c r="O345" s="42" t="n">
        <v>16163</v>
      </c>
    </row>
    <row r="346" spans="1:15">
      <c r="A346" s="37" t="n">
        <v>343</v>
      </c>
      <c r="B346" s="97" t="s">
        <v>1160</v>
      </c>
      <c r="C346" s="121" t="s">
        <v>58</v>
      </c>
      <c r="D346" s="121" t="s">
        <v>20</v>
      </c>
      <c r="E346" s="121" t="s">
        <v>21</v>
      </c>
      <c r="F346" s="121" t="s">
        <v>1161</v>
      </c>
      <c r="G346" s="121" t="s">
        <v>1162</v>
      </c>
      <c r="H346" s="99" t="n">
        <v>18046</v>
      </c>
      <c r="I346" s="99" t="n">
        <v>18046</v>
      </c>
      <c r="J346" s="99" t="n">
        <v>902</v>
      </c>
      <c r="K346" s="99" t="n">
        <v>0</v>
      </c>
      <c r="L346" s="99" t="n">
        <v>0</v>
      </c>
      <c r="M346" s="99" t="n">
        <v>0</v>
      </c>
      <c r="N346" s="99" t="n">
        <v>0</v>
      </c>
      <c r="O346" s="42" t="n">
        <v>17144</v>
      </c>
    </row>
    <row r="347" spans="1:15">
      <c r="A347" s="37" t="n">
        <v>344</v>
      </c>
      <c r="B347" s="97" t="s">
        <v>314</v>
      </c>
      <c r="C347" s="121" t="s">
        <v>58</v>
      </c>
      <c r="D347" s="121" t="s">
        <v>20</v>
      </c>
      <c r="E347" s="121" t="s">
        <v>21</v>
      </c>
      <c r="F347" s="121" t="s">
        <v>315</v>
      </c>
      <c r="G347" s="121" t="s">
        <v>316</v>
      </c>
      <c r="H347" s="99" t="n">
        <v>18046</v>
      </c>
      <c r="I347" s="99" t="n">
        <v>18046</v>
      </c>
      <c r="J347" s="99" t="n">
        <v>902</v>
      </c>
      <c r="K347" s="99" t="n">
        <v>0</v>
      </c>
      <c r="L347" s="99" t="n">
        <v>0</v>
      </c>
      <c r="M347" s="99" t="n">
        <v>0</v>
      </c>
      <c r="N347" s="99" t="n">
        <v>0</v>
      </c>
      <c r="O347" s="42" t="n">
        <v>17144</v>
      </c>
    </row>
    <row r="348" spans="1:15">
      <c r="A348" s="37" t="n">
        <v>345</v>
      </c>
      <c r="B348" s="97" t="s">
        <v>1150</v>
      </c>
      <c r="C348" s="121" t="s">
        <v>283</v>
      </c>
      <c r="D348" s="121" t="s">
        <v>20</v>
      </c>
      <c r="E348" s="121" t="s">
        <v>21</v>
      </c>
      <c r="F348" s="121" t="s">
        <v>2446</v>
      </c>
      <c r="G348" s="121" t="s">
        <v>1152</v>
      </c>
      <c r="H348" s="99" t="n">
        <v>17014</v>
      </c>
      <c r="I348" s="99" t="n">
        <v>17014</v>
      </c>
      <c r="J348" s="99" t="n">
        <v>0</v>
      </c>
      <c r="K348" s="99" t="n">
        <v>0</v>
      </c>
      <c r="L348" s="99" t="n">
        <v>0</v>
      </c>
      <c r="M348" s="99" t="n">
        <v>0</v>
      </c>
      <c r="N348" s="99" t="n">
        <v>0</v>
      </c>
      <c r="O348" s="42" t="n">
        <v>17014</v>
      </c>
    </row>
    <row r="349" spans="1:15">
      <c r="A349" s="37" t="n">
        <v>346</v>
      </c>
      <c r="B349" s="97" t="s">
        <v>1148</v>
      </c>
      <c r="C349" s="121" t="s">
        <v>283</v>
      </c>
      <c r="D349" s="121" t="s">
        <v>20</v>
      </c>
      <c r="E349" s="121" t="s">
        <v>21</v>
      </c>
      <c r="F349" s="121" t="s">
        <v>2447</v>
      </c>
      <c r="G349" s="121" t="s">
        <v>1149</v>
      </c>
      <c r="H349" s="99" t="n">
        <v>17014</v>
      </c>
      <c r="I349" s="99" t="n">
        <v>17014</v>
      </c>
      <c r="J349" s="99" t="n">
        <v>0</v>
      </c>
      <c r="K349" s="99" t="n">
        <v>0</v>
      </c>
      <c r="L349" s="99" t="n">
        <v>0</v>
      </c>
      <c r="M349" s="99" t="n">
        <v>0</v>
      </c>
      <c r="N349" s="99" t="n">
        <v>0</v>
      </c>
      <c r="O349" s="42" t="n">
        <v>17014</v>
      </c>
    </row>
    <row r="350" spans="1:15">
      <c r="A350" s="37" t="n">
        <v>347</v>
      </c>
      <c r="B350" s="97" t="s">
        <v>1580</v>
      </c>
      <c r="C350" s="121" t="s">
        <v>131</v>
      </c>
      <c r="D350" s="121" t="s">
        <v>20</v>
      </c>
      <c r="E350" s="121" t="s">
        <v>21</v>
      </c>
      <c r="F350" s="121" t="s">
        <v>1581</v>
      </c>
      <c r="G350" s="121" t="s">
        <v>1582</v>
      </c>
      <c r="H350" s="99" t="n">
        <v>18046</v>
      </c>
      <c r="I350" s="99" t="n">
        <v>18046</v>
      </c>
      <c r="J350" s="99" t="n">
        <v>902</v>
      </c>
      <c r="K350" s="99" t="n">
        <v>0</v>
      </c>
      <c r="L350" s="99" t="n">
        <v>0</v>
      </c>
      <c r="M350" s="99" t="n">
        <v>0</v>
      </c>
      <c r="N350" s="99" t="n">
        <v>0</v>
      </c>
      <c r="O350" s="42" t="n">
        <v>17144</v>
      </c>
    </row>
    <row r="351" spans="1:15">
      <c r="A351" s="37" t="n">
        <v>348</v>
      </c>
      <c r="B351" s="97" t="s">
        <v>1153</v>
      </c>
      <c r="C351" s="121" t="s">
        <v>131</v>
      </c>
      <c r="D351" s="121" t="s">
        <v>20</v>
      </c>
      <c r="E351" s="121" t="s">
        <v>21</v>
      </c>
      <c r="F351" s="121" t="s">
        <v>1154</v>
      </c>
      <c r="G351" s="121" t="s">
        <v>1155</v>
      </c>
      <c r="H351" s="99" t="n">
        <v>18046</v>
      </c>
      <c r="I351" s="99" t="n">
        <v>18046</v>
      </c>
      <c r="J351" s="99" t="n">
        <v>902</v>
      </c>
      <c r="K351" s="99" t="n">
        <v>0</v>
      </c>
      <c r="L351" s="99" t="n">
        <v>0</v>
      </c>
      <c r="M351" s="99" t="n">
        <v>0</v>
      </c>
      <c r="N351" s="99" t="n">
        <v>0</v>
      </c>
      <c r="O351" s="42" t="n">
        <v>17144</v>
      </c>
    </row>
    <row r="352" spans="1:15">
      <c r="A352" s="37" t="n">
        <v>349</v>
      </c>
      <c r="B352" s="97" t="s">
        <v>931</v>
      </c>
      <c r="C352" s="121" t="s">
        <v>120</v>
      </c>
      <c r="D352" s="121" t="s">
        <v>124</v>
      </c>
      <c r="E352" s="121" t="s">
        <v>15</v>
      </c>
      <c r="F352" s="121" t="s">
        <v>2074</v>
      </c>
      <c r="G352" s="121" t="s">
        <v>933</v>
      </c>
      <c r="H352" s="99" t="n">
        <v>17530</v>
      </c>
      <c r="I352" s="99" t="n">
        <v>17530</v>
      </c>
      <c r="J352" s="99" t="n">
        <v>0</v>
      </c>
      <c r="K352" s="99" t="n">
        <v>0</v>
      </c>
      <c r="L352" s="99" t="n">
        <v>0</v>
      </c>
      <c r="M352" s="99" t="n">
        <v>0</v>
      </c>
      <c r="N352" s="99" t="n">
        <v>0</v>
      </c>
      <c r="O352" s="42" t="n">
        <v>17530</v>
      </c>
    </row>
    <row r="353" spans="1:15">
      <c r="A353" s="37" t="n">
        <v>350</v>
      </c>
      <c r="B353" s="97" t="s">
        <v>1145</v>
      </c>
      <c r="C353" s="121" t="s">
        <v>131</v>
      </c>
      <c r="D353" s="121" t="s">
        <v>20</v>
      </c>
      <c r="E353" s="121" t="s">
        <v>21</v>
      </c>
      <c r="F353" s="121" t="s">
        <v>1146</v>
      </c>
      <c r="G353" s="121" t="s">
        <v>1147</v>
      </c>
      <c r="H353" s="99" t="n">
        <v>18046</v>
      </c>
      <c r="I353" s="99" t="n">
        <v>18046</v>
      </c>
      <c r="J353" s="99" t="n">
        <v>902</v>
      </c>
      <c r="K353" s="99" t="n">
        <v>0</v>
      </c>
      <c r="L353" s="99" t="n">
        <v>0</v>
      </c>
      <c r="M353" s="99" t="n">
        <v>0</v>
      </c>
      <c r="N353" s="99" t="n">
        <v>0</v>
      </c>
      <c r="O353" s="42" t="n">
        <v>17144</v>
      </c>
    </row>
    <row r="354" spans="1:15">
      <c r="A354" s="37" t="n">
        <v>351</v>
      </c>
      <c r="B354" s="97" t="s">
        <v>922</v>
      </c>
      <c r="C354" s="121" t="s">
        <v>111</v>
      </c>
      <c r="D354" s="121" t="s">
        <v>20</v>
      </c>
      <c r="E354" s="121" t="s">
        <v>21</v>
      </c>
      <c r="F354" s="121" t="s">
        <v>2448</v>
      </c>
      <c r="G354" s="121" t="s">
        <v>924</v>
      </c>
      <c r="H354" s="99" t="n">
        <v>17014</v>
      </c>
      <c r="I354" s="99" t="n">
        <v>17014</v>
      </c>
      <c r="J354" s="99" t="n">
        <v>0</v>
      </c>
      <c r="K354" s="99" t="n">
        <v>0</v>
      </c>
      <c r="L354" s="99" t="n">
        <v>0</v>
      </c>
      <c r="M354" s="99" t="n">
        <v>0</v>
      </c>
      <c r="N354" s="99" t="n">
        <v>0</v>
      </c>
      <c r="O354" s="42" t="n">
        <v>17014</v>
      </c>
    </row>
    <row r="355" spans="1:15">
      <c r="A355" s="37" t="n">
        <v>352</v>
      </c>
      <c r="B355" s="97" t="s">
        <v>2449</v>
      </c>
      <c r="C355" s="121" t="s">
        <v>58</v>
      </c>
      <c r="D355" s="121" t="s">
        <v>20</v>
      </c>
      <c r="E355" s="121" t="s">
        <v>21</v>
      </c>
      <c r="F355" s="121" t="s">
        <v>2450</v>
      </c>
      <c r="G355" s="121" t="s">
        <v>2451</v>
      </c>
      <c r="H355" s="99" t="n">
        <v>15466</v>
      </c>
      <c r="I355" s="99" t="n">
        <v>15466</v>
      </c>
      <c r="J355" s="99" t="n">
        <v>773</v>
      </c>
      <c r="K355" s="99" t="n">
        <v>0</v>
      </c>
      <c r="L355" s="99" t="n">
        <v>0</v>
      </c>
      <c r="M355" s="99" t="n">
        <v>0</v>
      </c>
      <c r="N355" s="99" t="n">
        <v>0</v>
      </c>
      <c r="O355" s="42" t="n">
        <v>14693</v>
      </c>
    </row>
    <row r="356" spans="1:15">
      <c r="A356" s="37" t="n">
        <v>353</v>
      </c>
      <c r="B356" s="97" t="s">
        <v>2452</v>
      </c>
      <c r="C356" s="121" t="s">
        <v>58</v>
      </c>
      <c r="D356" s="121" t="s">
        <v>20</v>
      </c>
      <c r="E356" s="121" t="s">
        <v>21</v>
      </c>
      <c r="F356" s="121" t="s">
        <v>2074</v>
      </c>
      <c r="G356" s="121" t="s">
        <v>2453</v>
      </c>
      <c r="H356" s="99" t="n">
        <v>15466</v>
      </c>
      <c r="I356" s="99" t="n">
        <v>15466</v>
      </c>
      <c r="J356" s="99" t="n">
        <v>773</v>
      </c>
      <c r="K356" s="99" t="n">
        <v>0</v>
      </c>
      <c r="L356" s="99" t="n">
        <v>0</v>
      </c>
      <c r="M356" s="99" t="n">
        <v>0</v>
      </c>
      <c r="N356" s="99" t="n">
        <v>0</v>
      </c>
      <c r="O356" s="42" t="n">
        <v>14693</v>
      </c>
    </row>
    <row r="357" spans="1:15">
      <c r="A357" s="37" t="n">
        <v>354</v>
      </c>
      <c r="B357" s="97" t="s">
        <v>890</v>
      </c>
      <c r="C357" s="121" t="s">
        <v>58</v>
      </c>
      <c r="D357" s="121" t="s">
        <v>20</v>
      </c>
      <c r="E357" s="121" t="s">
        <v>21</v>
      </c>
      <c r="F357" s="121" t="s">
        <v>891</v>
      </c>
      <c r="G357" s="121" t="s">
        <v>893</v>
      </c>
      <c r="H357" s="99" t="n">
        <v>16498</v>
      </c>
      <c r="I357" s="99" t="n">
        <v>16498</v>
      </c>
      <c r="J357" s="99" t="n">
        <v>825</v>
      </c>
      <c r="K357" s="99" t="n">
        <v>0</v>
      </c>
      <c r="L357" s="99" t="n">
        <v>0</v>
      </c>
      <c r="M357" s="99" t="n">
        <v>0</v>
      </c>
      <c r="N357" s="99" t="n">
        <v>0</v>
      </c>
      <c r="O357" s="42" t="n">
        <v>15673</v>
      </c>
    </row>
    <row r="358" spans="1:15">
      <c r="A358" s="37" t="n">
        <v>355</v>
      </c>
      <c r="B358" s="97" t="s">
        <v>1254</v>
      </c>
      <c r="C358" s="121" t="s">
        <v>58</v>
      </c>
      <c r="D358" s="121" t="s">
        <v>20</v>
      </c>
      <c r="E358" s="121" t="s">
        <v>21</v>
      </c>
      <c r="F358" s="121" t="s">
        <v>1255</v>
      </c>
      <c r="G358" s="121" t="s">
        <v>1257</v>
      </c>
      <c r="H358" s="99" t="n">
        <v>15466</v>
      </c>
      <c r="I358" s="99" t="n">
        <v>15466</v>
      </c>
      <c r="J358" s="99" t="n">
        <v>773</v>
      </c>
      <c r="K358" s="99" t="n">
        <v>0</v>
      </c>
      <c r="L358" s="99" t="n">
        <v>0</v>
      </c>
      <c r="M358" s="99" t="n">
        <v>0</v>
      </c>
      <c r="N358" s="99" t="n">
        <v>0</v>
      </c>
      <c r="O358" s="42" t="n">
        <v>14693</v>
      </c>
    </row>
    <row r="359" spans="1:15">
      <c r="A359" s="37" t="n">
        <v>356</v>
      </c>
      <c r="B359" s="97" t="s">
        <v>906</v>
      </c>
      <c r="C359" s="121" t="s">
        <v>283</v>
      </c>
      <c r="D359" s="121" t="s">
        <v>20</v>
      </c>
      <c r="E359" s="121" t="s">
        <v>21</v>
      </c>
      <c r="F359" s="121" t="s">
        <v>2454</v>
      </c>
      <c r="G359" s="121" t="s">
        <v>907</v>
      </c>
      <c r="H359" s="99" t="n">
        <v>15466</v>
      </c>
      <c r="I359" s="99" t="n">
        <v>15466</v>
      </c>
      <c r="J359" s="99" t="n">
        <v>0</v>
      </c>
      <c r="K359" s="99" t="n">
        <v>0</v>
      </c>
      <c r="L359" s="99" t="n">
        <v>0</v>
      </c>
      <c r="M359" s="99" t="n">
        <v>0</v>
      </c>
      <c r="N359" s="99" t="n">
        <v>0</v>
      </c>
      <c r="O359" s="42" t="n">
        <v>15466</v>
      </c>
    </row>
    <row r="360" spans="1:15">
      <c r="A360" s="37" t="n">
        <v>357</v>
      </c>
      <c r="B360" s="97" t="s">
        <v>908</v>
      </c>
      <c r="C360" s="121" t="s">
        <v>283</v>
      </c>
      <c r="D360" s="121" t="s">
        <v>20</v>
      </c>
      <c r="E360" s="121" t="s">
        <v>21</v>
      </c>
      <c r="F360" s="121" t="s">
        <v>2074</v>
      </c>
      <c r="G360" s="121" t="s">
        <v>910</v>
      </c>
      <c r="H360" s="99" t="n">
        <v>15466</v>
      </c>
      <c r="I360" s="99" t="n">
        <v>15466</v>
      </c>
      <c r="J360" s="99" t="n">
        <v>0</v>
      </c>
      <c r="K360" s="99" t="n">
        <v>0</v>
      </c>
      <c r="L360" s="99" t="n">
        <v>0</v>
      </c>
      <c r="M360" s="99" t="n">
        <v>0</v>
      </c>
      <c r="N360" s="99" t="n">
        <v>0</v>
      </c>
      <c r="O360" s="42" t="n">
        <v>15466</v>
      </c>
    </row>
    <row r="361" spans="1:15">
      <c r="A361" s="37" t="n">
        <v>358</v>
      </c>
      <c r="B361" s="97" t="s">
        <v>1070</v>
      </c>
      <c r="C361" s="121" t="s">
        <v>283</v>
      </c>
      <c r="D361" s="121" t="s">
        <v>20</v>
      </c>
      <c r="E361" s="121" t="s">
        <v>21</v>
      </c>
      <c r="F361" s="121" t="s">
        <v>2455</v>
      </c>
      <c r="G361" s="121" t="s">
        <v>1071</v>
      </c>
      <c r="H361" s="99" t="n">
        <v>15466</v>
      </c>
      <c r="I361" s="99" t="n">
        <v>15466</v>
      </c>
      <c r="J361" s="99" t="n">
        <v>0</v>
      </c>
      <c r="K361" s="99" t="n">
        <v>0</v>
      </c>
      <c r="L361" s="99" t="n">
        <v>0</v>
      </c>
      <c r="M361" s="99" t="n">
        <v>0</v>
      </c>
      <c r="N361" s="99" t="n">
        <v>0</v>
      </c>
      <c r="O361" s="42" t="n">
        <v>15466</v>
      </c>
    </row>
    <row r="362" spans="1:15">
      <c r="A362" s="37" t="n">
        <v>359</v>
      </c>
      <c r="B362" s="97" t="s">
        <v>1469</v>
      </c>
      <c r="C362" s="121" t="s">
        <v>283</v>
      </c>
      <c r="D362" s="121" t="s">
        <v>20</v>
      </c>
      <c r="E362" s="121" t="s">
        <v>21</v>
      </c>
      <c r="F362" s="121" t="s">
        <v>2074</v>
      </c>
      <c r="G362" s="121" t="s">
        <v>1471</v>
      </c>
      <c r="H362" s="99" t="n">
        <v>15466</v>
      </c>
      <c r="I362" s="99" t="n">
        <v>15466</v>
      </c>
      <c r="J362" s="99" t="n">
        <v>0</v>
      </c>
      <c r="K362" s="99" t="n">
        <v>0</v>
      </c>
      <c r="L362" s="99" t="n">
        <v>0</v>
      </c>
      <c r="M362" s="99" t="n">
        <v>0</v>
      </c>
      <c r="N362" s="99" t="n">
        <v>0</v>
      </c>
      <c r="O362" s="42" t="n">
        <v>15466</v>
      </c>
    </row>
    <row r="363" spans="1:15">
      <c r="A363" s="37" t="n">
        <v>360</v>
      </c>
      <c r="B363" s="97" t="s">
        <v>1106</v>
      </c>
      <c r="C363" s="121" t="s">
        <v>283</v>
      </c>
      <c r="D363" s="121" t="s">
        <v>20</v>
      </c>
      <c r="E363" s="121" t="s">
        <v>21</v>
      </c>
      <c r="F363" s="121" t="s">
        <v>2456</v>
      </c>
      <c r="G363" s="121" t="s">
        <v>1107</v>
      </c>
      <c r="H363" s="99" t="n">
        <v>15466</v>
      </c>
      <c r="I363" s="99" t="n">
        <v>15466</v>
      </c>
      <c r="J363" s="99" t="n">
        <v>0</v>
      </c>
      <c r="K363" s="99" t="n">
        <v>0</v>
      </c>
      <c r="L363" s="99" t="n">
        <v>0</v>
      </c>
      <c r="M363" s="99" t="n">
        <v>0</v>
      </c>
      <c r="N363" s="99" t="n">
        <v>0</v>
      </c>
      <c r="O363" s="42" t="n">
        <v>15466</v>
      </c>
    </row>
    <row r="364" spans="1:15">
      <c r="A364" s="37" t="n">
        <v>361</v>
      </c>
      <c r="B364" s="97" t="s">
        <v>995</v>
      </c>
      <c r="C364" s="121" t="s">
        <v>58</v>
      </c>
      <c r="D364" s="121" t="s">
        <v>20</v>
      </c>
      <c r="E364" s="121" t="s">
        <v>21</v>
      </c>
      <c r="F364" s="121" t="s">
        <v>996</v>
      </c>
      <c r="G364" s="121" t="s">
        <v>998</v>
      </c>
      <c r="H364" s="99" t="n">
        <v>849722</v>
      </c>
      <c r="I364" s="99" t="n">
        <v>849722</v>
      </c>
      <c r="J364" s="99" t="n">
        <v>42486</v>
      </c>
      <c r="K364" s="99" t="n">
        <v>0</v>
      </c>
      <c r="L364" s="99" t="n">
        <v>0</v>
      </c>
      <c r="M364" s="99" t="n">
        <v>0</v>
      </c>
      <c r="N364" s="99" t="n">
        <v>0</v>
      </c>
      <c r="O364" s="42" t="n">
        <v>807236</v>
      </c>
    </row>
    <row r="365" spans="1:15">
      <c r="A365" s="37" t="n">
        <v>362</v>
      </c>
      <c r="B365" s="97" t="s">
        <v>1574</v>
      </c>
      <c r="C365" s="121" t="s">
        <v>58</v>
      </c>
      <c r="D365" s="121" t="s">
        <v>20</v>
      </c>
      <c r="E365" s="121" t="s">
        <v>21</v>
      </c>
      <c r="F365" s="121" t="s">
        <v>1575</v>
      </c>
      <c r="G365" s="121" t="s">
        <v>1576</v>
      </c>
      <c r="H365" s="99" t="n">
        <v>13917</v>
      </c>
      <c r="I365" s="99" t="n">
        <v>13917</v>
      </c>
      <c r="J365" s="99" t="n">
        <v>696</v>
      </c>
      <c r="K365" s="99" t="n">
        <v>0</v>
      </c>
      <c r="L365" s="99" t="n">
        <v>0</v>
      </c>
      <c r="M365" s="99" t="n">
        <v>0</v>
      </c>
      <c r="N365" s="99" t="n">
        <v>0</v>
      </c>
      <c r="O365" s="42" t="n">
        <v>13221</v>
      </c>
    </row>
    <row r="366" spans="1:15">
      <c r="A366" s="37" t="n">
        <v>363</v>
      </c>
      <c r="B366" s="97" t="s">
        <v>1536</v>
      </c>
      <c r="C366" s="121" t="s">
        <v>58</v>
      </c>
      <c r="D366" s="121" t="s">
        <v>20</v>
      </c>
      <c r="E366" s="121" t="s">
        <v>21</v>
      </c>
      <c r="F366" s="121" t="s">
        <v>1537</v>
      </c>
      <c r="G366" s="121" t="s">
        <v>1539</v>
      </c>
      <c r="H366" s="99" t="n">
        <v>13917</v>
      </c>
      <c r="I366" s="99" t="n">
        <v>13917</v>
      </c>
      <c r="J366" s="99" t="n">
        <v>696</v>
      </c>
      <c r="K366" s="99" t="n">
        <v>0</v>
      </c>
      <c r="L366" s="99" t="n">
        <v>0</v>
      </c>
      <c r="M366" s="99" t="n">
        <v>0</v>
      </c>
      <c r="N366" s="99" t="n">
        <v>0</v>
      </c>
      <c r="O366" s="42" t="n">
        <v>13221</v>
      </c>
    </row>
    <row r="367" spans="1:15">
      <c r="A367" s="37" t="n">
        <v>364</v>
      </c>
      <c r="B367" s="97" t="s">
        <v>1041</v>
      </c>
      <c r="C367" s="121" t="s">
        <v>58</v>
      </c>
      <c r="D367" s="121" t="s">
        <v>20</v>
      </c>
      <c r="E367" s="121" t="s">
        <v>21</v>
      </c>
      <c r="F367" s="121" t="s">
        <v>1042</v>
      </c>
      <c r="G367" s="121" t="s">
        <v>1044</v>
      </c>
      <c r="H367" s="99" t="n">
        <v>683306</v>
      </c>
      <c r="I367" s="99" t="n">
        <v>683306</v>
      </c>
      <c r="J367" s="99" t="n">
        <v>34165</v>
      </c>
      <c r="K367" s="99" t="n">
        <v>0</v>
      </c>
      <c r="L367" s="99" t="n">
        <v>0</v>
      </c>
      <c r="M367" s="99" t="n">
        <v>0</v>
      </c>
      <c r="N367" s="99" t="n">
        <v>0</v>
      </c>
      <c r="O367" s="42" t="n">
        <v>649141</v>
      </c>
    </row>
    <row r="368" spans="1:15">
      <c r="A368" s="37" t="n">
        <v>365</v>
      </c>
      <c r="B368" s="97" t="s">
        <v>968</v>
      </c>
      <c r="C368" s="121" t="s">
        <v>58</v>
      </c>
      <c r="D368" s="121" t="s">
        <v>20</v>
      </c>
      <c r="E368" s="121" t="s">
        <v>21</v>
      </c>
      <c r="F368" s="121" t="s">
        <v>969</v>
      </c>
      <c r="G368" s="121" t="s">
        <v>970</v>
      </c>
      <c r="H368" s="99" t="n">
        <v>516120</v>
      </c>
      <c r="I368" s="99" t="n">
        <v>516120</v>
      </c>
      <c r="J368" s="99" t="n">
        <v>25806</v>
      </c>
      <c r="K368" s="99" t="n">
        <v>0</v>
      </c>
      <c r="L368" s="99" t="n">
        <v>0</v>
      </c>
      <c r="M368" s="99" t="n">
        <v>0</v>
      </c>
      <c r="N368" s="99" t="n">
        <v>0</v>
      </c>
      <c r="O368" s="42" t="n">
        <v>490314</v>
      </c>
    </row>
    <row r="369" spans="1:15">
      <c r="A369" s="37" t="n">
        <v>366</v>
      </c>
      <c r="B369" s="97" t="s">
        <v>1258</v>
      </c>
      <c r="C369" s="121" t="s">
        <v>111</v>
      </c>
      <c r="D369" s="121" t="s">
        <v>20</v>
      </c>
      <c r="E369" s="121" t="s">
        <v>21</v>
      </c>
      <c r="F369" s="121" t="s">
        <v>1259</v>
      </c>
      <c r="G369" s="121" t="s">
        <v>1261</v>
      </c>
      <c r="H369" s="99" t="n">
        <v>348676</v>
      </c>
      <c r="I369" s="99" t="n">
        <v>348676</v>
      </c>
      <c r="J369" s="99" t="n">
        <v>0</v>
      </c>
      <c r="K369" s="99" t="n">
        <v>0</v>
      </c>
      <c r="L369" s="99" t="n">
        <v>0</v>
      </c>
      <c r="M369" s="99" t="n">
        <v>0</v>
      </c>
      <c r="N369" s="99" t="n">
        <v>0</v>
      </c>
      <c r="O369" s="42" t="n">
        <v>348676</v>
      </c>
    </row>
    <row r="370" spans="1:15">
      <c r="A370" s="37" t="n">
        <v>367</v>
      </c>
      <c r="B370" s="97" t="s">
        <v>1462</v>
      </c>
      <c r="C370" s="121" t="s">
        <v>131</v>
      </c>
      <c r="D370" s="121" t="s">
        <v>20</v>
      </c>
      <c r="E370" s="121" t="s">
        <v>21</v>
      </c>
      <c r="F370" s="121" t="s">
        <v>1463</v>
      </c>
      <c r="G370" s="121" t="s">
        <v>1465</v>
      </c>
      <c r="H370" s="99" t="n">
        <v>516120</v>
      </c>
      <c r="I370" s="99" t="n">
        <v>516120</v>
      </c>
      <c r="J370" s="99" t="n">
        <v>25806</v>
      </c>
      <c r="K370" s="99" t="n">
        <v>0</v>
      </c>
      <c r="L370" s="99" t="n">
        <v>0</v>
      </c>
      <c r="M370" s="99" t="n">
        <v>0</v>
      </c>
      <c r="N370" s="99" t="n">
        <v>0</v>
      </c>
      <c r="O370" s="42" t="n">
        <v>490314</v>
      </c>
    </row>
    <row r="371" spans="1:15">
      <c r="A371" s="37" t="n">
        <v>368</v>
      </c>
      <c r="B371" s="97" t="s">
        <v>1049</v>
      </c>
      <c r="C371" s="121" t="s">
        <v>283</v>
      </c>
      <c r="D371" s="121" t="s">
        <v>20</v>
      </c>
      <c r="E371" s="121" t="s">
        <v>21</v>
      </c>
      <c r="F371" s="121" t="s">
        <v>2457</v>
      </c>
      <c r="G371" s="121" t="s">
        <v>1051</v>
      </c>
      <c r="H371" s="99" t="n">
        <v>348676</v>
      </c>
      <c r="I371" s="99" t="n">
        <v>348676</v>
      </c>
      <c r="J371" s="99" t="n">
        <v>0</v>
      </c>
      <c r="K371" s="99" t="n">
        <v>0</v>
      </c>
      <c r="L371" s="99" t="n">
        <v>0</v>
      </c>
      <c r="M371" s="99" t="n">
        <v>0</v>
      </c>
      <c r="N371" s="99" t="n">
        <v>0</v>
      </c>
      <c r="O371" s="42" t="n">
        <v>348676</v>
      </c>
    </row>
    <row r="372" spans="1:15">
      <c r="A372" s="37" t="n">
        <v>369</v>
      </c>
      <c r="B372" s="97" t="s">
        <v>2458</v>
      </c>
      <c r="C372" s="121" t="s">
        <v>120</v>
      </c>
      <c r="D372" s="121" t="s">
        <v>128</v>
      </c>
      <c r="E372" s="121" t="s">
        <v>15</v>
      </c>
      <c r="F372" s="121" t="s">
        <v>2673</v>
      </c>
      <c r="G372" s="121" t="s">
        <v>2459</v>
      </c>
      <c r="H372" s="99" t="n">
        <v>348676</v>
      </c>
      <c r="I372" s="99" t="n">
        <v>348676</v>
      </c>
      <c r="J372" s="99" t="n">
        <v>0</v>
      </c>
      <c r="K372" s="99" t="n">
        <v>0</v>
      </c>
      <c r="L372" s="99" t="n">
        <v>0</v>
      </c>
      <c r="M372" s="99" t="n">
        <v>0</v>
      </c>
      <c r="N372" s="99" t="n">
        <v>0</v>
      </c>
      <c r="O372" s="42" t="n">
        <v>348676</v>
      </c>
    </row>
    <row r="373" spans="1:15">
      <c r="A373" s="37" t="n">
        <v>370</v>
      </c>
      <c r="B373" s="97" t="s">
        <v>1330</v>
      </c>
      <c r="C373" s="121" t="s">
        <v>283</v>
      </c>
      <c r="D373" s="121" t="s">
        <v>20</v>
      </c>
      <c r="E373" s="121" t="s">
        <v>21</v>
      </c>
      <c r="F373" s="121" t="s">
        <v>2460</v>
      </c>
      <c r="G373" s="121" t="s">
        <v>1331</v>
      </c>
      <c r="H373" s="99" t="n">
        <v>348676</v>
      </c>
      <c r="I373" s="99" t="n">
        <v>348676</v>
      </c>
      <c r="J373" s="99" t="n">
        <v>0</v>
      </c>
      <c r="K373" s="99" t="n">
        <v>0</v>
      </c>
      <c r="L373" s="99" t="n">
        <v>0</v>
      </c>
      <c r="M373" s="99" t="n">
        <v>0</v>
      </c>
      <c r="N373" s="99" t="n">
        <v>0</v>
      </c>
      <c r="O373" s="42" t="n">
        <v>348676</v>
      </c>
    </row>
    <row r="374" spans="1:15">
      <c r="A374" s="37" t="n">
        <v>371</v>
      </c>
      <c r="B374" s="97" t="s">
        <v>1216</v>
      </c>
      <c r="C374" s="121" t="s">
        <v>111</v>
      </c>
      <c r="D374" s="121" t="s">
        <v>20</v>
      </c>
      <c r="E374" s="121" t="s">
        <v>21</v>
      </c>
      <c r="F374" s="121" t="s">
        <v>1217</v>
      </c>
      <c r="G374" s="121" t="s">
        <v>1218</v>
      </c>
      <c r="H374" s="99" t="n">
        <v>515088</v>
      </c>
      <c r="I374" s="99" t="n">
        <v>515088</v>
      </c>
      <c r="J374" s="99" t="n">
        <v>0</v>
      </c>
      <c r="K374" s="99" t="n">
        <v>0</v>
      </c>
      <c r="L374" s="99" t="n">
        <v>0</v>
      </c>
      <c r="M374" s="99" t="n">
        <v>0</v>
      </c>
      <c r="N374" s="99" t="n">
        <v>0</v>
      </c>
      <c r="O374" s="42" t="n">
        <v>515088</v>
      </c>
    </row>
    <row r="375" spans="1:15">
      <c r="A375" s="37" t="n">
        <v>372</v>
      </c>
      <c r="B375" s="97" t="s">
        <v>805</v>
      </c>
      <c r="C375" s="121" t="s">
        <v>120</v>
      </c>
      <c r="D375" s="121" t="s">
        <v>278</v>
      </c>
      <c r="E375" s="121" t="s">
        <v>16</v>
      </c>
      <c r="F375" s="121" t="s">
        <v>2674</v>
      </c>
      <c r="G375" s="121" t="s">
        <v>807</v>
      </c>
      <c r="H375" s="99" t="n">
        <v>348676</v>
      </c>
      <c r="I375" s="99" t="n">
        <v>348676</v>
      </c>
      <c r="J375" s="99" t="n">
        <v>0</v>
      </c>
      <c r="K375" s="99" t="n">
        <v>0</v>
      </c>
      <c r="L375" s="99" t="n">
        <v>0</v>
      </c>
      <c r="M375" s="99" t="n">
        <v>0</v>
      </c>
      <c r="N375" s="99" t="n">
        <v>0</v>
      </c>
      <c r="O375" s="42" t="n">
        <v>348676</v>
      </c>
    </row>
    <row r="376" spans="1:15">
      <c r="A376" s="37" t="n">
        <v>373</v>
      </c>
      <c r="B376" s="97" t="s">
        <v>961</v>
      </c>
      <c r="C376" s="121" t="s">
        <v>283</v>
      </c>
      <c r="D376" s="121" t="s">
        <v>20</v>
      </c>
      <c r="E376" s="121" t="s">
        <v>21</v>
      </c>
      <c r="F376" s="121" t="s">
        <v>2398</v>
      </c>
      <c r="G376" s="121" t="s">
        <v>962</v>
      </c>
      <c r="H376" s="99" t="n">
        <v>515088</v>
      </c>
      <c r="I376" s="99" t="n">
        <v>515088</v>
      </c>
      <c r="J376" s="99" t="n">
        <v>0</v>
      </c>
      <c r="K376" s="99" t="n">
        <v>0</v>
      </c>
      <c r="L376" s="99" t="n">
        <v>0</v>
      </c>
      <c r="M376" s="99" t="n">
        <v>0</v>
      </c>
      <c r="N376" s="99" t="n">
        <v>0</v>
      </c>
      <c r="O376" s="42" t="n">
        <v>515088</v>
      </c>
    </row>
    <row r="377" spans="1:15">
      <c r="A377" s="37" t="n">
        <v>374</v>
      </c>
      <c r="B377" s="97" t="s">
        <v>1557</v>
      </c>
      <c r="C377" s="121" t="s">
        <v>283</v>
      </c>
      <c r="D377" s="121" t="s">
        <v>20</v>
      </c>
      <c r="E377" s="121" t="s">
        <v>21</v>
      </c>
      <c r="F377" s="121" t="s">
        <v>2472</v>
      </c>
      <c r="G377" s="121" t="s">
        <v>1558</v>
      </c>
      <c r="H377" s="99" t="n">
        <v>15853</v>
      </c>
      <c r="I377" s="99" t="n">
        <v>15853</v>
      </c>
      <c r="J377" s="99" t="n">
        <v>0</v>
      </c>
      <c r="K377" s="99" t="n">
        <v>0</v>
      </c>
      <c r="L377" s="99" t="n">
        <v>0</v>
      </c>
      <c r="M377" s="99" t="n">
        <v>0</v>
      </c>
      <c r="N377" s="99" t="n">
        <v>0</v>
      </c>
      <c r="O377" s="42" t="n">
        <v>15853</v>
      </c>
    </row>
    <row r="378" spans="1:15">
      <c r="A378" s="37" t="n">
        <v>375</v>
      </c>
      <c r="B378" s="97" t="s">
        <v>2461</v>
      </c>
      <c r="C378" s="121" t="s">
        <v>95</v>
      </c>
      <c r="D378" s="121" t="s">
        <v>20</v>
      </c>
      <c r="E378" s="121" t="s">
        <v>21</v>
      </c>
      <c r="F378" s="121" t="s">
        <v>2675</v>
      </c>
      <c r="G378" s="121" t="s">
        <v>2462</v>
      </c>
      <c r="H378" s="99" t="n">
        <v>348676</v>
      </c>
      <c r="I378" s="99" t="n">
        <v>348676</v>
      </c>
      <c r="J378" s="99" t="n">
        <v>0</v>
      </c>
      <c r="K378" s="99" t="n">
        <v>0</v>
      </c>
      <c r="L378" s="99" t="n">
        <v>0</v>
      </c>
      <c r="M378" s="99" t="n">
        <v>0</v>
      </c>
      <c r="N378" s="99" t="n">
        <v>0</v>
      </c>
      <c r="O378" s="42" t="n">
        <v>348676</v>
      </c>
    </row>
    <row r="379" spans="1:15">
      <c r="A379" s="37" t="n">
        <v>376</v>
      </c>
      <c r="B379" s="97" t="s">
        <v>919</v>
      </c>
      <c r="C379" s="121" t="s">
        <v>131</v>
      </c>
      <c r="D379" s="121" t="s">
        <v>20</v>
      </c>
      <c r="E379" s="121" t="s">
        <v>21</v>
      </c>
      <c r="F379" s="121" t="s">
        <v>920</v>
      </c>
      <c r="G379" s="121" t="s">
        <v>921</v>
      </c>
      <c r="H379" s="99" t="n">
        <v>349708</v>
      </c>
      <c r="I379" s="99" t="n">
        <v>349708</v>
      </c>
      <c r="J379" s="99" t="n">
        <v>17485</v>
      </c>
      <c r="K379" s="99" t="n">
        <v>0</v>
      </c>
      <c r="L379" s="99" t="n">
        <v>0</v>
      </c>
      <c r="M379" s="99" t="n">
        <v>0</v>
      </c>
      <c r="N379" s="99" t="n">
        <v>0</v>
      </c>
      <c r="O379" s="42" t="n">
        <v>332223</v>
      </c>
    </row>
    <row r="380" spans="1:15">
      <c r="A380" s="37" t="n">
        <v>377</v>
      </c>
      <c r="B380" s="97" t="s">
        <v>1492</v>
      </c>
      <c r="C380" s="121" t="s">
        <v>283</v>
      </c>
      <c r="D380" s="121" t="s">
        <v>20</v>
      </c>
      <c r="E380" s="121" t="s">
        <v>21</v>
      </c>
      <c r="F380" s="121" t="s">
        <v>2411</v>
      </c>
      <c r="G380" s="121" t="s">
        <v>1493</v>
      </c>
      <c r="H380" s="99" t="n">
        <v>348676</v>
      </c>
      <c r="I380" s="99" t="n">
        <v>348676</v>
      </c>
      <c r="J380" s="99" t="n">
        <v>0</v>
      </c>
      <c r="K380" s="99" t="n">
        <v>0</v>
      </c>
      <c r="L380" s="99" t="n">
        <v>0</v>
      </c>
      <c r="M380" s="99" t="n">
        <v>0</v>
      </c>
      <c r="N380" s="99" t="n">
        <v>0</v>
      </c>
      <c r="O380" s="42" t="n">
        <v>348676</v>
      </c>
    </row>
    <row r="381" spans="1:15">
      <c r="A381" s="37" t="n">
        <v>378</v>
      </c>
      <c r="B381" s="97" t="s">
        <v>1198</v>
      </c>
      <c r="C381" s="121" t="s">
        <v>19</v>
      </c>
      <c r="D381" s="121" t="s">
        <v>20</v>
      </c>
      <c r="E381" s="121" t="s">
        <v>21</v>
      </c>
      <c r="F381" s="121" t="s">
        <v>1199</v>
      </c>
      <c r="G381" s="121" t="s">
        <v>1200</v>
      </c>
      <c r="H381" s="99" t="n">
        <v>18821</v>
      </c>
      <c r="I381" s="99" t="n">
        <v>18821</v>
      </c>
      <c r="J381" s="99" t="n">
        <v>0</v>
      </c>
      <c r="K381" s="99" t="n">
        <v>2823</v>
      </c>
      <c r="L381" s="99" t="n">
        <v>0</v>
      </c>
      <c r="M381" s="99" t="n">
        <v>0</v>
      </c>
      <c r="N381" s="99" t="n">
        <v>0</v>
      </c>
      <c r="O381" s="42" t="n">
        <v>15998</v>
      </c>
    </row>
    <row r="382" spans="1:15">
      <c r="A382" s="37" t="n">
        <v>379</v>
      </c>
      <c r="B382" s="97" t="s">
        <v>1283</v>
      </c>
      <c r="C382" s="121" t="s">
        <v>58</v>
      </c>
      <c r="D382" s="121" t="s">
        <v>20</v>
      </c>
      <c r="E382" s="121" t="s">
        <v>21</v>
      </c>
      <c r="F382" s="121" t="s">
        <v>1284</v>
      </c>
      <c r="G382" s="121" t="s">
        <v>1285</v>
      </c>
      <c r="H382" s="99" t="n">
        <v>18046</v>
      </c>
      <c r="I382" s="99" t="n">
        <v>18046</v>
      </c>
      <c r="J382" s="99" t="n">
        <v>902</v>
      </c>
      <c r="K382" s="99" t="n">
        <v>0</v>
      </c>
      <c r="L382" s="99" t="n">
        <v>0</v>
      </c>
      <c r="M382" s="99" t="n">
        <v>0</v>
      </c>
      <c r="N382" s="99" t="n">
        <v>0</v>
      </c>
      <c r="O382" s="42" t="n">
        <v>17144</v>
      </c>
    </row>
    <row r="383" spans="1:15">
      <c r="A383" s="37" t="n">
        <v>380</v>
      </c>
      <c r="B383" s="97" t="s">
        <v>1286</v>
      </c>
      <c r="C383" s="121" t="s">
        <v>58</v>
      </c>
      <c r="D383" s="121" t="s">
        <v>20</v>
      </c>
      <c r="E383" s="121" t="s">
        <v>21</v>
      </c>
      <c r="F383" s="121" t="s">
        <v>1287</v>
      </c>
      <c r="G383" s="121" t="s">
        <v>1288</v>
      </c>
      <c r="H383" s="99" t="n">
        <v>17014</v>
      </c>
      <c r="I383" s="99" t="n">
        <v>17014</v>
      </c>
      <c r="J383" s="99" t="n">
        <v>851</v>
      </c>
      <c r="K383" s="99" t="n">
        <v>0</v>
      </c>
      <c r="L383" s="99" t="n">
        <v>0</v>
      </c>
      <c r="M383" s="99" t="n">
        <v>0</v>
      </c>
      <c r="N383" s="99" t="n">
        <v>0</v>
      </c>
      <c r="O383" s="42" t="n">
        <v>16163</v>
      </c>
    </row>
    <row r="384" spans="1:15">
      <c r="A384" s="37" t="n">
        <v>381</v>
      </c>
      <c r="B384" s="97" t="s">
        <v>1250</v>
      </c>
      <c r="C384" s="121" t="s">
        <v>58</v>
      </c>
      <c r="D384" s="121" t="s">
        <v>20</v>
      </c>
      <c r="E384" s="121" t="s">
        <v>21</v>
      </c>
      <c r="F384" s="121" t="s">
        <v>1251</v>
      </c>
      <c r="G384" s="121" t="s">
        <v>1253</v>
      </c>
      <c r="H384" s="99" t="n">
        <v>17014</v>
      </c>
      <c r="I384" s="99" t="n">
        <v>17014</v>
      </c>
      <c r="J384" s="99" t="n">
        <v>851</v>
      </c>
      <c r="K384" s="99" t="n">
        <v>0</v>
      </c>
      <c r="L384" s="99" t="n">
        <v>0</v>
      </c>
      <c r="M384" s="99" t="n">
        <v>0</v>
      </c>
      <c r="N384" s="99" t="n">
        <v>0</v>
      </c>
      <c r="O384" s="42" t="n">
        <v>16163</v>
      </c>
    </row>
    <row r="385" spans="1:15">
      <c r="A385" s="37" t="n">
        <v>382</v>
      </c>
      <c r="B385" s="97" t="s">
        <v>1276</v>
      </c>
      <c r="C385" s="121" t="s">
        <v>58</v>
      </c>
      <c r="D385" s="121" t="s">
        <v>20</v>
      </c>
      <c r="E385" s="121" t="s">
        <v>21</v>
      </c>
      <c r="F385" s="121" t="s">
        <v>1277</v>
      </c>
      <c r="G385" s="121" t="s">
        <v>1279</v>
      </c>
      <c r="H385" s="99" t="n">
        <v>18046</v>
      </c>
      <c r="I385" s="99" t="n">
        <v>18046</v>
      </c>
      <c r="J385" s="99" t="n">
        <v>902</v>
      </c>
      <c r="K385" s="99" t="n">
        <v>0</v>
      </c>
      <c r="L385" s="99" t="n">
        <v>0</v>
      </c>
      <c r="M385" s="99" t="n">
        <v>0</v>
      </c>
      <c r="N385" s="99" t="n">
        <v>0</v>
      </c>
      <c r="O385" s="42" t="n">
        <v>17144</v>
      </c>
    </row>
    <row r="386" spans="1:15">
      <c r="A386" s="37" t="n">
        <v>383</v>
      </c>
      <c r="B386" s="97" t="s">
        <v>1520</v>
      </c>
      <c r="C386" s="121" t="s">
        <v>58</v>
      </c>
      <c r="D386" s="121" t="s">
        <v>20</v>
      </c>
      <c r="E386" s="121" t="s">
        <v>21</v>
      </c>
      <c r="F386" s="121" t="s">
        <v>1521</v>
      </c>
      <c r="G386" s="121" t="s">
        <v>1523</v>
      </c>
      <c r="H386" s="99" t="n">
        <v>18046</v>
      </c>
      <c r="I386" s="99" t="n">
        <v>18046</v>
      </c>
      <c r="J386" s="99" t="n">
        <v>902</v>
      </c>
      <c r="K386" s="99" t="n">
        <v>0</v>
      </c>
      <c r="L386" s="99" t="n">
        <v>0</v>
      </c>
      <c r="M386" s="99" t="n">
        <v>0</v>
      </c>
      <c r="N386" s="99" t="n">
        <v>0</v>
      </c>
      <c r="O386" s="42" t="n">
        <v>17144</v>
      </c>
    </row>
    <row r="387" spans="1:15">
      <c r="A387" s="37" t="n">
        <v>384</v>
      </c>
      <c r="B387" s="97" t="s">
        <v>2463</v>
      </c>
      <c r="C387" s="121" t="s">
        <v>58</v>
      </c>
      <c r="D387" s="121" t="s">
        <v>20</v>
      </c>
      <c r="E387" s="121" t="s">
        <v>21</v>
      </c>
      <c r="F387" s="121" t="s">
        <v>2464</v>
      </c>
      <c r="G387" s="121" t="s">
        <v>2465</v>
      </c>
      <c r="H387" s="99" t="n">
        <v>17014</v>
      </c>
      <c r="I387" s="99" t="n">
        <v>17014</v>
      </c>
      <c r="J387" s="99" t="n">
        <v>851</v>
      </c>
      <c r="K387" s="99" t="n">
        <v>0</v>
      </c>
      <c r="L387" s="99" t="n">
        <v>0</v>
      </c>
      <c r="M387" s="99" t="n">
        <v>0</v>
      </c>
      <c r="N387" s="99" t="n">
        <v>0</v>
      </c>
      <c r="O387" s="42" t="n">
        <v>16163</v>
      </c>
    </row>
    <row r="388" spans="1:15">
      <c r="A388" s="37" t="n">
        <v>385</v>
      </c>
      <c r="B388" s="97" t="s">
        <v>1289</v>
      </c>
      <c r="C388" s="121" t="s">
        <v>58</v>
      </c>
      <c r="D388" s="121" t="s">
        <v>20</v>
      </c>
      <c r="E388" s="121" t="s">
        <v>21</v>
      </c>
      <c r="F388" s="121" t="s">
        <v>1290</v>
      </c>
      <c r="G388" s="121" t="s">
        <v>1292</v>
      </c>
      <c r="H388" s="99" t="n">
        <v>17014</v>
      </c>
      <c r="I388" s="99" t="n">
        <v>17014</v>
      </c>
      <c r="J388" s="99" t="n">
        <v>851</v>
      </c>
      <c r="K388" s="99" t="n">
        <v>0</v>
      </c>
      <c r="L388" s="99" t="n">
        <v>0</v>
      </c>
      <c r="M388" s="99" t="n">
        <v>0</v>
      </c>
      <c r="N388" s="99" t="n">
        <v>0</v>
      </c>
      <c r="O388" s="42" t="n">
        <v>16163</v>
      </c>
    </row>
    <row r="389" spans="1:15">
      <c r="A389" s="37" t="n">
        <v>386</v>
      </c>
      <c r="B389" s="97" t="s">
        <v>793</v>
      </c>
      <c r="C389" s="121" t="s">
        <v>58</v>
      </c>
      <c r="D389" s="121" t="s">
        <v>20</v>
      </c>
      <c r="E389" s="121" t="s">
        <v>21</v>
      </c>
      <c r="F389" s="121" t="s">
        <v>794</v>
      </c>
      <c r="G389" s="121" t="s">
        <v>796</v>
      </c>
      <c r="H389" s="99" t="n">
        <v>18046</v>
      </c>
      <c r="I389" s="99" t="n">
        <v>18046</v>
      </c>
      <c r="J389" s="99" t="n">
        <v>902</v>
      </c>
      <c r="K389" s="99" t="n">
        <v>0</v>
      </c>
      <c r="L389" s="99" t="n">
        <v>0</v>
      </c>
      <c r="M389" s="99" t="n">
        <v>0</v>
      </c>
      <c r="N389" s="99" t="n">
        <v>0</v>
      </c>
      <c r="O389" s="42" t="n">
        <v>17144</v>
      </c>
    </row>
    <row r="390" spans="1:15">
      <c r="A390" s="37" t="n">
        <v>387</v>
      </c>
      <c r="B390" s="97" t="s">
        <v>623</v>
      </c>
      <c r="C390" s="121" t="s">
        <v>58</v>
      </c>
      <c r="D390" s="121" t="s">
        <v>20</v>
      </c>
      <c r="E390" s="121" t="s">
        <v>21</v>
      </c>
      <c r="F390" s="121" t="s">
        <v>624</v>
      </c>
      <c r="G390" s="121" t="s">
        <v>626</v>
      </c>
      <c r="H390" s="99" t="n">
        <v>17530</v>
      </c>
      <c r="I390" s="99" t="n">
        <v>17530</v>
      </c>
      <c r="J390" s="99" t="n">
        <v>877</v>
      </c>
      <c r="K390" s="99" t="n">
        <v>0</v>
      </c>
      <c r="L390" s="99" t="n">
        <v>0</v>
      </c>
      <c r="M390" s="99" t="n">
        <v>0</v>
      </c>
      <c r="N390" s="99" t="n">
        <v>0</v>
      </c>
      <c r="O390" s="42" t="n">
        <v>16653</v>
      </c>
    </row>
    <row r="391" spans="1:15">
      <c r="A391" s="37" t="n">
        <v>388</v>
      </c>
      <c r="B391" s="97" t="s">
        <v>1559</v>
      </c>
      <c r="C391" s="121" t="s">
        <v>58</v>
      </c>
      <c r="D391" s="121" t="s">
        <v>20</v>
      </c>
      <c r="E391" s="121" t="s">
        <v>21</v>
      </c>
      <c r="F391" s="121" t="s">
        <v>1560</v>
      </c>
      <c r="G391" s="121" t="s">
        <v>1561</v>
      </c>
      <c r="H391" s="99" t="n">
        <v>18046</v>
      </c>
      <c r="I391" s="99" t="n">
        <v>18046</v>
      </c>
      <c r="J391" s="99" t="n">
        <v>902</v>
      </c>
      <c r="K391" s="99" t="n">
        <v>0</v>
      </c>
      <c r="L391" s="99" t="n">
        <v>0</v>
      </c>
      <c r="M391" s="99" t="n">
        <v>0</v>
      </c>
      <c r="N391" s="99" t="n">
        <v>0</v>
      </c>
      <c r="O391" s="42" t="n">
        <v>17144</v>
      </c>
    </row>
    <row r="392" spans="1:15">
      <c r="A392" s="37" t="n">
        <v>389</v>
      </c>
      <c r="B392" s="97" t="s">
        <v>1728</v>
      </c>
      <c r="C392" s="121" t="s">
        <v>120</v>
      </c>
      <c r="D392" s="121" t="s">
        <v>128</v>
      </c>
      <c r="E392" s="121" t="s">
        <v>15</v>
      </c>
      <c r="F392" s="121" t="s">
        <v>2676</v>
      </c>
      <c r="G392" s="121" t="s">
        <v>1729</v>
      </c>
      <c r="H392" s="99" t="n">
        <v>17014</v>
      </c>
      <c r="I392" s="99" t="n">
        <v>17014</v>
      </c>
      <c r="J392" s="99" t="n">
        <v>0</v>
      </c>
      <c r="K392" s="99" t="n">
        <v>0</v>
      </c>
      <c r="L392" s="99" t="n">
        <v>0</v>
      </c>
      <c r="M392" s="99" t="n">
        <v>0</v>
      </c>
      <c r="N392" s="99" t="n">
        <v>0</v>
      </c>
      <c r="O392" s="42" t="n">
        <v>17014</v>
      </c>
    </row>
    <row r="393" spans="1:15">
      <c r="A393" s="37" t="n">
        <v>390</v>
      </c>
      <c r="B393" s="97" t="s">
        <v>1460</v>
      </c>
      <c r="C393" s="121" t="s">
        <v>283</v>
      </c>
      <c r="D393" s="121" t="s">
        <v>20</v>
      </c>
      <c r="E393" s="121" t="s">
        <v>21</v>
      </c>
      <c r="F393" s="121" t="s">
        <v>2466</v>
      </c>
      <c r="G393" s="121" t="s">
        <v>1461</v>
      </c>
      <c r="H393" s="99" t="n">
        <v>17014</v>
      </c>
      <c r="I393" s="99" t="n">
        <v>17014</v>
      </c>
      <c r="J393" s="99" t="n">
        <v>0</v>
      </c>
      <c r="K393" s="99" t="n">
        <v>0</v>
      </c>
      <c r="L393" s="99" t="n">
        <v>0</v>
      </c>
      <c r="M393" s="99" t="n">
        <v>0</v>
      </c>
      <c r="N393" s="99" t="n">
        <v>0</v>
      </c>
      <c r="O393" s="42" t="n">
        <v>17014</v>
      </c>
    </row>
    <row r="394" spans="1:15">
      <c r="A394" s="37" t="n">
        <v>391</v>
      </c>
      <c r="B394" s="97" t="s">
        <v>1305</v>
      </c>
      <c r="C394" s="121" t="s">
        <v>283</v>
      </c>
      <c r="D394" s="121" t="s">
        <v>20</v>
      </c>
      <c r="E394" s="121" t="s">
        <v>21</v>
      </c>
      <c r="F394" s="121" t="s">
        <v>2598</v>
      </c>
      <c r="G394" s="121" t="s">
        <v>1307</v>
      </c>
      <c r="H394" s="99" t="n">
        <v>17014</v>
      </c>
      <c r="I394" s="99" t="n">
        <v>17014</v>
      </c>
      <c r="J394" s="99" t="n">
        <v>0</v>
      </c>
      <c r="K394" s="99" t="n">
        <v>0</v>
      </c>
      <c r="L394" s="99" t="n">
        <v>0</v>
      </c>
      <c r="M394" s="99" t="n">
        <v>0</v>
      </c>
      <c r="N394" s="99" t="n">
        <v>0</v>
      </c>
      <c r="O394" s="42" t="n">
        <v>17014</v>
      </c>
    </row>
    <row r="395" spans="1:15">
      <c r="A395" s="37" t="n">
        <v>392</v>
      </c>
      <c r="B395" s="97" t="s">
        <v>1308</v>
      </c>
      <c r="C395" s="121" t="s">
        <v>120</v>
      </c>
      <c r="D395" s="121" t="s">
        <v>278</v>
      </c>
      <c r="E395" s="121" t="s">
        <v>16</v>
      </c>
      <c r="F395" s="121" t="s">
        <v>2677</v>
      </c>
      <c r="G395" s="121" t="s">
        <v>1310</v>
      </c>
      <c r="H395" s="99" t="n">
        <v>18046</v>
      </c>
      <c r="I395" s="99" t="n">
        <v>18046</v>
      </c>
      <c r="J395" s="99" t="n">
        <v>0</v>
      </c>
      <c r="K395" s="99" t="n">
        <v>0</v>
      </c>
      <c r="L395" s="99" t="n">
        <v>0</v>
      </c>
      <c r="M395" s="99" t="n">
        <v>0</v>
      </c>
      <c r="N395" s="99" t="n">
        <v>0</v>
      </c>
      <c r="O395" s="42" t="n">
        <v>18046</v>
      </c>
    </row>
    <row r="396" spans="1:15">
      <c r="A396" s="37" t="n">
        <v>393</v>
      </c>
      <c r="B396" s="97" t="s">
        <v>1321</v>
      </c>
      <c r="C396" s="121" t="s">
        <v>283</v>
      </c>
      <c r="D396" s="121" t="s">
        <v>20</v>
      </c>
      <c r="E396" s="121" t="s">
        <v>21</v>
      </c>
      <c r="F396" s="121" t="s">
        <v>2599</v>
      </c>
      <c r="G396" s="121" t="s">
        <v>1323</v>
      </c>
      <c r="H396" s="99" t="n">
        <v>17014</v>
      </c>
      <c r="I396" s="99" t="n">
        <v>17014</v>
      </c>
      <c r="J396" s="99" t="n">
        <v>0</v>
      </c>
      <c r="K396" s="99" t="n">
        <v>0</v>
      </c>
      <c r="L396" s="99" t="n">
        <v>0</v>
      </c>
      <c r="M396" s="99" t="n">
        <v>0</v>
      </c>
      <c r="N396" s="99" t="n">
        <v>0</v>
      </c>
      <c r="O396" s="42" t="n">
        <v>17014</v>
      </c>
    </row>
    <row r="397" spans="1:15">
      <c r="A397" s="37" t="n">
        <v>394</v>
      </c>
      <c r="B397" s="97" t="s">
        <v>2468</v>
      </c>
      <c r="C397" s="121" t="s">
        <v>120</v>
      </c>
      <c r="D397" s="121" t="s">
        <v>2469</v>
      </c>
      <c r="E397" s="121" t="s">
        <v>21</v>
      </c>
      <c r="F397" s="121" t="s">
        <v>2678</v>
      </c>
      <c r="G397" s="121" t="s">
        <v>2470</v>
      </c>
      <c r="H397" s="99" t="n">
        <v>17014</v>
      </c>
      <c r="I397" s="99" t="n">
        <v>17014</v>
      </c>
      <c r="J397" s="99" t="n">
        <v>0</v>
      </c>
      <c r="K397" s="99" t="n">
        <v>0</v>
      </c>
      <c r="L397" s="99" t="n">
        <v>0</v>
      </c>
      <c r="M397" s="99" t="n">
        <v>0</v>
      </c>
      <c r="N397" s="99" t="n">
        <v>0</v>
      </c>
      <c r="O397" s="42" t="n">
        <v>17014</v>
      </c>
    </row>
    <row r="398" spans="1:15">
      <c r="A398" s="37" t="n">
        <v>395</v>
      </c>
      <c r="B398" s="97" t="s">
        <v>1403</v>
      </c>
      <c r="C398" s="121" t="s">
        <v>283</v>
      </c>
      <c r="D398" s="121" t="s">
        <v>20</v>
      </c>
      <c r="E398" s="121" t="s">
        <v>21</v>
      </c>
      <c r="F398" s="121" t="s">
        <v>2471</v>
      </c>
      <c r="G398" s="121" t="s">
        <v>1404</v>
      </c>
      <c r="H398" s="99" t="n">
        <v>17014</v>
      </c>
      <c r="I398" s="99" t="n">
        <v>17014</v>
      </c>
      <c r="J398" s="99" t="n">
        <v>0</v>
      </c>
      <c r="K398" s="99" t="n">
        <v>0</v>
      </c>
      <c r="L398" s="99" t="n">
        <v>0</v>
      </c>
      <c r="M398" s="99" t="n">
        <v>0</v>
      </c>
      <c r="N398" s="99" t="n">
        <v>0</v>
      </c>
      <c r="O398" s="42" t="n">
        <v>17014</v>
      </c>
    </row>
    <row r="399" spans="1:15">
      <c r="A399" s="37" t="n">
        <v>396</v>
      </c>
      <c r="B399" s="97" t="s">
        <v>1303</v>
      </c>
      <c r="C399" s="121" t="s">
        <v>120</v>
      </c>
      <c r="D399" s="121" t="s">
        <v>128</v>
      </c>
      <c r="E399" s="121" t="s">
        <v>15</v>
      </c>
      <c r="F399" s="121" t="s">
        <v>2679</v>
      </c>
      <c r="G399" s="121" t="s">
        <v>1304</v>
      </c>
      <c r="H399" s="99" t="n">
        <v>18046</v>
      </c>
      <c r="I399" s="99" t="n">
        <v>18046</v>
      </c>
      <c r="J399" s="99" t="n">
        <v>0</v>
      </c>
      <c r="K399" s="99" t="n">
        <v>0</v>
      </c>
      <c r="L399" s="99" t="n">
        <v>0</v>
      </c>
      <c r="M399" s="99" t="n">
        <v>0</v>
      </c>
      <c r="N399" s="99" t="n">
        <v>0</v>
      </c>
      <c r="O399" s="42" t="n">
        <v>18046</v>
      </c>
    </row>
    <row r="400" spans="1:15">
      <c r="A400" s="37" t="n">
        <v>397</v>
      </c>
      <c r="B400" s="97" t="s">
        <v>1213</v>
      </c>
      <c r="C400" s="121" t="s">
        <v>283</v>
      </c>
      <c r="D400" s="121" t="s">
        <v>20</v>
      </c>
      <c r="E400" s="121" t="s">
        <v>21</v>
      </c>
      <c r="F400" s="121" t="s">
        <v>1214</v>
      </c>
      <c r="G400" s="121" t="s">
        <v>1215</v>
      </c>
      <c r="H400" s="99" t="n">
        <v>17014</v>
      </c>
      <c r="I400" s="99" t="n">
        <v>17014</v>
      </c>
      <c r="J400" s="99" t="n">
        <v>0</v>
      </c>
      <c r="K400" s="99" t="n">
        <v>0</v>
      </c>
      <c r="L400" s="99" t="n">
        <v>0</v>
      </c>
      <c r="M400" s="99" t="n">
        <v>0</v>
      </c>
      <c r="N400" s="99" t="n">
        <v>0</v>
      </c>
      <c r="O400" s="42" t="n">
        <v>17014</v>
      </c>
    </row>
    <row r="401" spans="1:15">
      <c r="A401" s="37" t="n">
        <v>398</v>
      </c>
      <c r="B401" s="97" t="s">
        <v>1311</v>
      </c>
      <c r="C401" s="121" t="s">
        <v>283</v>
      </c>
      <c r="D401" s="121" t="s">
        <v>20</v>
      </c>
      <c r="E401" s="121" t="s">
        <v>21</v>
      </c>
      <c r="F401" s="121" t="s">
        <v>2473</v>
      </c>
      <c r="G401" s="121" t="s">
        <v>1313</v>
      </c>
      <c r="H401" s="99" t="n">
        <v>17014</v>
      </c>
      <c r="I401" s="99" t="n">
        <v>17014</v>
      </c>
      <c r="J401" s="99" t="n">
        <v>0</v>
      </c>
      <c r="K401" s="99" t="n">
        <v>0</v>
      </c>
      <c r="L401" s="99" t="n">
        <v>0</v>
      </c>
      <c r="M401" s="99" t="n">
        <v>0</v>
      </c>
      <c r="N401" s="99" t="n">
        <v>0</v>
      </c>
      <c r="O401" s="42" t="n">
        <v>17014</v>
      </c>
    </row>
    <row r="402" spans="1:15">
      <c r="A402" s="37" t="n">
        <v>399</v>
      </c>
      <c r="B402" s="97" t="s">
        <v>646</v>
      </c>
      <c r="C402" s="121" t="s">
        <v>283</v>
      </c>
      <c r="D402" s="121" t="s">
        <v>20</v>
      </c>
      <c r="E402" s="121" t="s">
        <v>21</v>
      </c>
      <c r="F402" s="121" t="s">
        <v>2474</v>
      </c>
      <c r="G402" s="121" t="s">
        <v>647</v>
      </c>
      <c r="H402" s="99" t="n">
        <v>17014</v>
      </c>
      <c r="I402" s="99" t="n">
        <v>17014</v>
      </c>
      <c r="J402" s="99" t="n">
        <v>0</v>
      </c>
      <c r="K402" s="99" t="n">
        <v>0</v>
      </c>
      <c r="L402" s="99" t="n">
        <v>0</v>
      </c>
      <c r="M402" s="99" t="n">
        <v>0</v>
      </c>
      <c r="N402" s="99" t="n">
        <v>0</v>
      </c>
      <c r="O402" s="42" t="n">
        <v>17014</v>
      </c>
    </row>
    <row r="403" spans="1:15">
      <c r="A403" s="37" t="n">
        <v>400</v>
      </c>
      <c r="B403" s="97" t="s">
        <v>2475</v>
      </c>
      <c r="C403" s="121" t="s">
        <v>120</v>
      </c>
      <c r="D403" s="121" t="s">
        <v>20</v>
      </c>
      <c r="E403" s="121" t="s">
        <v>21</v>
      </c>
      <c r="F403" s="121" t="s">
        <v>2680</v>
      </c>
      <c r="G403" s="121" t="s">
        <v>2476</v>
      </c>
      <c r="H403" s="99" t="n">
        <v>17014</v>
      </c>
      <c r="I403" s="99" t="n">
        <v>17014</v>
      </c>
      <c r="J403" s="99" t="n">
        <v>0</v>
      </c>
      <c r="K403" s="99" t="n">
        <v>0</v>
      </c>
      <c r="L403" s="99" t="n">
        <v>0</v>
      </c>
      <c r="M403" s="99" t="n">
        <v>0</v>
      </c>
      <c r="N403" s="99" t="n">
        <v>0</v>
      </c>
      <c r="O403" s="42" t="n">
        <v>17014</v>
      </c>
    </row>
    <row r="404" spans="1:15">
      <c r="A404" s="37" t="n">
        <v>401</v>
      </c>
      <c r="B404" s="97" t="s">
        <v>648</v>
      </c>
      <c r="C404" s="121" t="s">
        <v>283</v>
      </c>
      <c r="D404" s="121" t="s">
        <v>20</v>
      </c>
      <c r="E404" s="121" t="s">
        <v>21</v>
      </c>
      <c r="F404" s="121" t="s">
        <v>2477</v>
      </c>
      <c r="G404" s="121" t="s">
        <v>649</v>
      </c>
      <c r="H404" s="99" t="n">
        <v>17014</v>
      </c>
      <c r="I404" s="99" t="n">
        <v>17014</v>
      </c>
      <c r="J404" s="99" t="n">
        <v>0</v>
      </c>
      <c r="K404" s="99" t="n">
        <v>0</v>
      </c>
      <c r="L404" s="99" t="n">
        <v>0</v>
      </c>
      <c r="M404" s="99" t="n">
        <v>0</v>
      </c>
      <c r="N404" s="99" t="n">
        <v>0</v>
      </c>
      <c r="O404" s="42" t="n">
        <v>17014</v>
      </c>
    </row>
    <row r="405" spans="1:15">
      <c r="A405" s="37" t="n">
        <v>402</v>
      </c>
      <c r="B405" s="97" t="s">
        <v>2478</v>
      </c>
      <c r="C405" s="121" t="s">
        <v>120</v>
      </c>
      <c r="D405" s="121" t="s">
        <v>128</v>
      </c>
      <c r="E405" s="121" t="s">
        <v>15</v>
      </c>
      <c r="F405" s="121" t="s">
        <v>2681</v>
      </c>
      <c r="G405" s="121" t="s">
        <v>2479</v>
      </c>
      <c r="H405" s="99" t="n">
        <v>17014</v>
      </c>
      <c r="I405" s="99" t="n">
        <v>17014</v>
      </c>
      <c r="J405" s="99" t="n">
        <v>0</v>
      </c>
      <c r="K405" s="99" t="n">
        <v>0</v>
      </c>
      <c r="L405" s="99" t="n">
        <v>0</v>
      </c>
      <c r="M405" s="99" t="n">
        <v>0</v>
      </c>
      <c r="N405" s="99" t="n">
        <v>0</v>
      </c>
      <c r="O405" s="42" t="n">
        <v>17014</v>
      </c>
    </row>
    <row r="406" spans="1:15">
      <c r="A406" s="37" t="n">
        <v>403</v>
      </c>
      <c r="B406" s="97" t="s">
        <v>1336</v>
      </c>
      <c r="C406" s="121" t="s">
        <v>131</v>
      </c>
      <c r="D406" s="121" t="s">
        <v>20</v>
      </c>
      <c r="E406" s="121" t="s">
        <v>21</v>
      </c>
      <c r="F406" s="121" t="s">
        <v>1337</v>
      </c>
      <c r="G406" s="121" t="s">
        <v>1338</v>
      </c>
      <c r="H406" s="99" t="n">
        <v>18046</v>
      </c>
      <c r="I406" s="99" t="n">
        <v>18046</v>
      </c>
      <c r="J406" s="99" t="n">
        <v>902</v>
      </c>
      <c r="K406" s="99" t="n">
        <v>0</v>
      </c>
      <c r="L406" s="99" t="n">
        <v>0</v>
      </c>
      <c r="M406" s="99" t="n">
        <v>0</v>
      </c>
      <c r="N406" s="99" t="n">
        <v>0</v>
      </c>
      <c r="O406" s="42" t="n">
        <v>17144</v>
      </c>
    </row>
    <row r="407" spans="1:15">
      <c r="A407" s="37" t="n">
        <v>404</v>
      </c>
      <c r="B407" s="97" t="s">
        <v>1210</v>
      </c>
      <c r="C407" s="121" t="s">
        <v>131</v>
      </c>
      <c r="D407" s="121" t="s">
        <v>20</v>
      </c>
      <c r="E407" s="121" t="s">
        <v>21</v>
      </c>
      <c r="F407" s="121" t="s">
        <v>1211</v>
      </c>
      <c r="G407" s="121" t="s">
        <v>1212</v>
      </c>
      <c r="H407" s="99" t="n">
        <v>18046</v>
      </c>
      <c r="I407" s="99" t="n">
        <v>18046</v>
      </c>
      <c r="J407" s="99" t="n">
        <v>902</v>
      </c>
      <c r="K407" s="99" t="n">
        <v>0</v>
      </c>
      <c r="L407" s="99" t="n">
        <v>0</v>
      </c>
      <c r="M407" s="99" t="n">
        <v>0</v>
      </c>
      <c r="N407" s="99" t="n">
        <v>0</v>
      </c>
      <c r="O407" s="42" t="n">
        <v>17144</v>
      </c>
    </row>
    <row r="408" spans="1:15">
      <c r="A408" s="37" t="n">
        <v>405</v>
      </c>
      <c r="B408" s="97" t="s">
        <v>1341</v>
      </c>
      <c r="C408" s="121" t="s">
        <v>283</v>
      </c>
      <c r="D408" s="121" t="s">
        <v>20</v>
      </c>
      <c r="E408" s="121" t="s">
        <v>21</v>
      </c>
      <c r="F408" s="121" t="s">
        <v>2481</v>
      </c>
      <c r="G408" s="121" t="s">
        <v>1343</v>
      </c>
      <c r="H408" s="99" t="n">
        <v>17014</v>
      </c>
      <c r="I408" s="99" t="n">
        <v>17014</v>
      </c>
      <c r="J408" s="99" t="n">
        <v>0</v>
      </c>
      <c r="K408" s="99" t="n">
        <v>0</v>
      </c>
      <c r="L408" s="99" t="n">
        <v>0</v>
      </c>
      <c r="M408" s="99" t="n">
        <v>0</v>
      </c>
      <c r="N408" s="99" t="n">
        <v>0</v>
      </c>
      <c r="O408" s="42" t="n">
        <v>17014</v>
      </c>
    </row>
    <row r="409" spans="1:15">
      <c r="A409" s="37" t="n">
        <v>406</v>
      </c>
      <c r="B409" s="97" t="s">
        <v>2482</v>
      </c>
      <c r="C409" s="121" t="s">
        <v>95</v>
      </c>
      <c r="D409" s="121" t="s">
        <v>20</v>
      </c>
      <c r="E409" s="121" t="s">
        <v>21</v>
      </c>
      <c r="F409" s="121" t="s">
        <v>2682</v>
      </c>
      <c r="G409" s="121" t="s">
        <v>2483</v>
      </c>
      <c r="H409" s="99" t="n">
        <v>17014</v>
      </c>
      <c r="I409" s="99" t="n">
        <v>17014</v>
      </c>
      <c r="J409" s="99" t="n">
        <v>0</v>
      </c>
      <c r="K409" s="99" t="n">
        <v>0</v>
      </c>
      <c r="L409" s="99" t="n">
        <v>0</v>
      </c>
      <c r="M409" s="99" t="n">
        <v>0</v>
      </c>
      <c r="N409" s="99" t="n">
        <v>0</v>
      </c>
      <c r="O409" s="42" t="n">
        <v>17014</v>
      </c>
    </row>
    <row r="410" spans="1:15">
      <c r="A410" s="37" t="n">
        <v>407</v>
      </c>
      <c r="B410" s="97" t="s">
        <v>620</v>
      </c>
      <c r="C410" s="121" t="s">
        <v>58</v>
      </c>
      <c r="D410" s="121" t="s">
        <v>20</v>
      </c>
      <c r="E410" s="121" t="s">
        <v>21</v>
      </c>
      <c r="F410" s="121" t="s">
        <v>621</v>
      </c>
      <c r="G410" s="121" t="s">
        <v>622</v>
      </c>
      <c r="H410" s="99" t="n">
        <v>17014</v>
      </c>
      <c r="I410" s="99" t="n">
        <v>17014</v>
      </c>
      <c r="J410" s="99" t="n">
        <v>851</v>
      </c>
      <c r="K410" s="99" t="n">
        <v>0</v>
      </c>
      <c r="L410" s="99" t="n">
        <v>0</v>
      </c>
      <c r="M410" s="99" t="n">
        <v>0</v>
      </c>
      <c r="N410" s="99" t="n">
        <v>0</v>
      </c>
      <c r="O410" s="42" t="n">
        <v>16163</v>
      </c>
    </row>
    <row r="411" spans="1:15">
      <c r="A411" s="37" t="n">
        <v>408</v>
      </c>
      <c r="B411" s="97" t="s">
        <v>2484</v>
      </c>
      <c r="C411" s="121" t="s">
        <v>58</v>
      </c>
      <c r="D411" s="121" t="s">
        <v>20</v>
      </c>
      <c r="E411" s="121" t="s">
        <v>21</v>
      </c>
      <c r="F411" s="121" t="s">
        <v>2485</v>
      </c>
      <c r="G411" s="121" t="s">
        <v>2486</v>
      </c>
      <c r="H411" s="99" t="n">
        <v>17014</v>
      </c>
      <c r="I411" s="99" t="n">
        <v>17014</v>
      </c>
      <c r="J411" s="99" t="n">
        <v>851</v>
      </c>
      <c r="K411" s="99" t="n">
        <v>0</v>
      </c>
      <c r="L411" s="99" t="n">
        <v>0</v>
      </c>
      <c r="M411" s="99" t="n">
        <v>0</v>
      </c>
      <c r="N411" s="99" t="n">
        <v>0</v>
      </c>
      <c r="O411" s="42" t="n">
        <v>16163</v>
      </c>
    </row>
    <row r="412" spans="1:15">
      <c r="A412" s="37" t="n">
        <v>409</v>
      </c>
      <c r="B412" s="97" t="s">
        <v>1527</v>
      </c>
      <c r="C412" s="121" t="s">
        <v>283</v>
      </c>
      <c r="D412" s="121" t="s">
        <v>20</v>
      </c>
      <c r="E412" s="121" t="s">
        <v>21</v>
      </c>
      <c r="F412" s="121" t="s">
        <v>2487</v>
      </c>
      <c r="G412" s="121" t="s">
        <v>1528</v>
      </c>
      <c r="H412" s="99" t="n">
        <v>17014</v>
      </c>
      <c r="I412" s="99" t="n">
        <v>17014</v>
      </c>
      <c r="J412" s="99" t="n">
        <v>0</v>
      </c>
      <c r="K412" s="99" t="n">
        <v>0</v>
      </c>
      <c r="L412" s="99" t="n">
        <v>0</v>
      </c>
      <c r="M412" s="99" t="n">
        <v>0</v>
      </c>
      <c r="N412" s="99" t="n">
        <v>0</v>
      </c>
      <c r="O412" s="42" t="n">
        <v>17014</v>
      </c>
    </row>
    <row r="413" spans="1:15">
      <c r="A413" s="37" t="n">
        <v>410</v>
      </c>
      <c r="B413" s="97" t="s">
        <v>681</v>
      </c>
      <c r="C413" s="121" t="s">
        <v>283</v>
      </c>
      <c r="D413" s="121" t="s">
        <v>20</v>
      </c>
      <c r="E413" s="121" t="s">
        <v>21</v>
      </c>
      <c r="F413" s="121" t="s">
        <v>2488</v>
      </c>
      <c r="G413" s="121" t="s">
        <v>683</v>
      </c>
      <c r="H413" s="99" t="n">
        <v>17014</v>
      </c>
      <c r="I413" s="99" t="n">
        <v>17014</v>
      </c>
      <c r="J413" s="99" t="n">
        <v>0</v>
      </c>
      <c r="K413" s="99" t="n">
        <v>0</v>
      </c>
      <c r="L413" s="99" t="n">
        <v>0</v>
      </c>
      <c r="M413" s="99" t="n">
        <v>0</v>
      </c>
      <c r="N413" s="99" t="n">
        <v>0</v>
      </c>
      <c r="O413" s="42" t="n">
        <v>17014</v>
      </c>
    </row>
    <row r="414" spans="1:15">
      <c r="A414" s="37" t="n">
        <v>411</v>
      </c>
      <c r="B414" s="97" t="s">
        <v>1314</v>
      </c>
      <c r="C414" s="121" t="s">
        <v>283</v>
      </c>
      <c r="D414" s="121" t="s">
        <v>20</v>
      </c>
      <c r="E414" s="121" t="s">
        <v>21</v>
      </c>
      <c r="F414" s="121" t="s">
        <v>2493</v>
      </c>
      <c r="G414" s="121" t="s">
        <v>1316</v>
      </c>
      <c r="H414" s="99" t="n">
        <v>17014</v>
      </c>
      <c r="I414" s="99" t="n">
        <v>17014</v>
      </c>
      <c r="J414" s="99" t="n">
        <v>0</v>
      </c>
      <c r="K414" s="99" t="n">
        <v>0</v>
      </c>
      <c r="L414" s="99" t="n">
        <v>0</v>
      </c>
      <c r="M414" s="99" t="n">
        <v>0</v>
      </c>
      <c r="N414" s="99" t="n">
        <v>0</v>
      </c>
      <c r="O414" s="42" t="n">
        <v>17014</v>
      </c>
    </row>
    <row r="415" spans="1:15">
      <c r="A415" s="37" t="n">
        <v>412</v>
      </c>
      <c r="B415" s="97" t="s">
        <v>1299</v>
      </c>
      <c r="C415" s="121" t="s">
        <v>58</v>
      </c>
      <c r="D415" s="121" t="s">
        <v>20</v>
      </c>
      <c r="E415" s="121" t="s">
        <v>21</v>
      </c>
      <c r="F415" s="121" t="s">
        <v>1300</v>
      </c>
      <c r="G415" s="121" t="s">
        <v>1302</v>
      </c>
      <c r="H415" s="99" t="n">
        <v>17530</v>
      </c>
      <c r="I415" s="99" t="n">
        <v>17530</v>
      </c>
      <c r="J415" s="99" t="n">
        <v>877</v>
      </c>
      <c r="K415" s="99" t="n">
        <v>0</v>
      </c>
      <c r="L415" s="99" t="n">
        <v>0</v>
      </c>
      <c r="M415" s="99" t="n">
        <v>0</v>
      </c>
      <c r="N415" s="99" t="n">
        <v>0</v>
      </c>
      <c r="O415" s="42" t="n">
        <v>16653</v>
      </c>
    </row>
    <row r="416" spans="1:15">
      <c r="A416" s="37" t="n">
        <v>413</v>
      </c>
      <c r="B416" s="97" t="s">
        <v>2494</v>
      </c>
      <c r="C416" s="121" t="s">
        <v>19</v>
      </c>
      <c r="D416" s="121" t="s">
        <v>20</v>
      </c>
      <c r="E416" s="121" t="s">
        <v>21</v>
      </c>
      <c r="F416" s="121" t="s">
        <v>2074</v>
      </c>
      <c r="G416" s="121" t="s">
        <v>2495</v>
      </c>
      <c r="H416" s="99" t="n">
        <v>255731</v>
      </c>
      <c r="I416" s="99" t="n">
        <v>255731</v>
      </c>
      <c r="J416" s="99" t="n">
        <v>0</v>
      </c>
      <c r="K416" s="99" t="n">
        <v>38360</v>
      </c>
      <c r="L416" s="99" t="n">
        <v>0</v>
      </c>
      <c r="M416" s="99" t="n">
        <v>0</v>
      </c>
      <c r="N416" s="99" t="n">
        <v>0</v>
      </c>
      <c r="O416" s="42" t="n">
        <v>217371</v>
      </c>
    </row>
    <row r="417" spans="1:15">
      <c r="A417" s="37" t="n">
        <v>414</v>
      </c>
      <c r="B417" s="97" t="s">
        <v>1372</v>
      </c>
      <c r="C417" s="121" t="s">
        <v>58</v>
      </c>
      <c r="D417" s="121" t="s">
        <v>20</v>
      </c>
      <c r="E417" s="121" t="s">
        <v>21</v>
      </c>
      <c r="F417" s="121" t="s">
        <v>1373</v>
      </c>
      <c r="G417" s="121" t="s">
        <v>1374</v>
      </c>
      <c r="H417" s="99" t="n">
        <v>226324</v>
      </c>
      <c r="I417" s="99" t="n">
        <v>226324</v>
      </c>
      <c r="J417" s="99" t="n">
        <v>11316</v>
      </c>
      <c r="K417" s="99" t="n">
        <v>0</v>
      </c>
      <c r="L417" s="99" t="n">
        <v>0</v>
      </c>
      <c r="M417" s="99" t="n">
        <v>0</v>
      </c>
      <c r="N417" s="99" t="n">
        <v>0</v>
      </c>
      <c r="O417" s="42" t="n">
        <v>215008</v>
      </c>
    </row>
    <row r="418" spans="1:15">
      <c r="A418" s="37" t="n">
        <v>415</v>
      </c>
      <c r="B418" s="97" t="s">
        <v>1369</v>
      </c>
      <c r="C418" s="121" t="s">
        <v>58</v>
      </c>
      <c r="D418" s="121" t="s">
        <v>20</v>
      </c>
      <c r="E418" s="121" t="s">
        <v>21</v>
      </c>
      <c r="F418" s="121" t="s">
        <v>1370</v>
      </c>
      <c r="G418" s="121" t="s">
        <v>1371</v>
      </c>
      <c r="H418" s="99" t="n">
        <v>203698</v>
      </c>
      <c r="I418" s="99" t="n">
        <v>203698</v>
      </c>
      <c r="J418" s="99" t="n">
        <v>10185</v>
      </c>
      <c r="K418" s="99" t="n">
        <v>0</v>
      </c>
      <c r="L418" s="99" t="n">
        <v>0</v>
      </c>
      <c r="M418" s="99" t="n">
        <v>0</v>
      </c>
      <c r="N418" s="99" t="n">
        <v>0</v>
      </c>
      <c r="O418" s="42" t="n">
        <v>193513</v>
      </c>
    </row>
    <row r="419" spans="1:15">
      <c r="A419" s="37" t="n">
        <v>416</v>
      </c>
      <c r="B419" s="97" t="s">
        <v>1375</v>
      </c>
      <c r="C419" s="121" t="s">
        <v>58</v>
      </c>
      <c r="D419" s="121" t="s">
        <v>20</v>
      </c>
      <c r="E419" s="121" t="s">
        <v>21</v>
      </c>
      <c r="F419" s="121" t="s">
        <v>1376</v>
      </c>
      <c r="G419" s="121" t="s">
        <v>1378</v>
      </c>
      <c r="H419" s="99" t="n">
        <v>203698</v>
      </c>
      <c r="I419" s="99" t="n">
        <v>203698</v>
      </c>
      <c r="J419" s="99" t="n">
        <v>10185</v>
      </c>
      <c r="K419" s="99" t="n">
        <v>0</v>
      </c>
      <c r="L419" s="99" t="n">
        <v>0</v>
      </c>
      <c r="M419" s="99" t="n">
        <v>0</v>
      </c>
      <c r="N419" s="99" t="n">
        <v>0</v>
      </c>
      <c r="O419" s="42" t="n">
        <v>193513</v>
      </c>
    </row>
    <row r="420" spans="1:15">
      <c r="A420" s="37" t="n">
        <v>417</v>
      </c>
      <c r="B420" s="97" t="s">
        <v>1379</v>
      </c>
      <c r="C420" s="121" t="s">
        <v>58</v>
      </c>
      <c r="D420" s="121" t="s">
        <v>20</v>
      </c>
      <c r="E420" s="121" t="s">
        <v>21</v>
      </c>
      <c r="F420" s="121" t="s">
        <v>1380</v>
      </c>
      <c r="G420" s="121" t="s">
        <v>1381</v>
      </c>
      <c r="H420" s="99" t="n">
        <v>203698</v>
      </c>
      <c r="I420" s="99" t="n">
        <v>203698</v>
      </c>
      <c r="J420" s="99" t="n">
        <v>10185</v>
      </c>
      <c r="K420" s="99" t="n">
        <v>0</v>
      </c>
      <c r="L420" s="99" t="n">
        <v>0</v>
      </c>
      <c r="M420" s="99" t="n">
        <v>0</v>
      </c>
      <c r="N420" s="99" t="n">
        <v>0</v>
      </c>
      <c r="O420" s="42" t="n">
        <v>193513</v>
      </c>
    </row>
    <row r="421" spans="1:15">
      <c r="A421" s="37" t="n">
        <v>418</v>
      </c>
      <c r="B421" s="97" t="s">
        <v>1405</v>
      </c>
      <c r="C421" s="121" t="s">
        <v>58</v>
      </c>
      <c r="D421" s="121" t="s">
        <v>20</v>
      </c>
      <c r="E421" s="121" t="s">
        <v>21</v>
      </c>
      <c r="F421" s="121" t="s">
        <v>1406</v>
      </c>
      <c r="G421" s="121" t="s">
        <v>1408</v>
      </c>
      <c r="H421" s="99" t="n">
        <v>192386</v>
      </c>
      <c r="I421" s="99" t="n">
        <v>192386</v>
      </c>
      <c r="J421" s="99" t="n">
        <v>9619</v>
      </c>
      <c r="K421" s="99" t="n">
        <v>0</v>
      </c>
      <c r="L421" s="99" t="n">
        <v>0</v>
      </c>
      <c r="M421" s="99" t="n">
        <v>0</v>
      </c>
      <c r="N421" s="99" t="n">
        <v>0</v>
      </c>
      <c r="O421" s="42" t="n">
        <v>182767</v>
      </c>
    </row>
    <row r="422" spans="1:15">
      <c r="A422" s="37" t="n">
        <v>419</v>
      </c>
      <c r="B422" s="97" t="s">
        <v>1386</v>
      </c>
      <c r="C422" s="121" t="s">
        <v>283</v>
      </c>
      <c r="D422" s="121" t="s">
        <v>20</v>
      </c>
      <c r="E422" s="121" t="s">
        <v>21</v>
      </c>
      <c r="F422" s="121" t="s">
        <v>2600</v>
      </c>
      <c r="G422" s="121" t="s">
        <v>1388</v>
      </c>
      <c r="H422" s="99" t="n">
        <v>202666</v>
      </c>
      <c r="I422" s="99" t="n">
        <v>202666</v>
      </c>
      <c r="J422" s="99" t="n">
        <v>0</v>
      </c>
      <c r="K422" s="99" t="n">
        <v>0</v>
      </c>
      <c r="L422" s="99" t="n">
        <v>0</v>
      </c>
      <c r="M422" s="99" t="n">
        <v>0</v>
      </c>
      <c r="N422" s="99" t="n">
        <v>0</v>
      </c>
      <c r="O422" s="42" t="n">
        <v>202666</v>
      </c>
    </row>
    <row r="423" spans="1:15">
      <c r="A423" s="37" t="n">
        <v>420</v>
      </c>
      <c r="B423" s="97" t="s">
        <v>2601</v>
      </c>
      <c r="C423" s="121" t="s">
        <v>120</v>
      </c>
      <c r="D423" s="121" t="s">
        <v>2074</v>
      </c>
      <c r="E423" s="121" t="s">
        <v>21</v>
      </c>
      <c r="F423" s="121" t="s">
        <v>2683</v>
      </c>
      <c r="G423" s="121" t="s">
        <v>2602</v>
      </c>
      <c r="H423" s="99" t="n">
        <v>192386</v>
      </c>
      <c r="I423" s="99" t="n">
        <v>192386</v>
      </c>
      <c r="J423" s="99" t="n">
        <v>0</v>
      </c>
      <c r="K423" s="99" t="n">
        <v>0</v>
      </c>
      <c r="L423" s="99" t="n">
        <v>0</v>
      </c>
      <c r="M423" s="99" t="n">
        <v>0</v>
      </c>
      <c r="N423" s="99" t="n">
        <v>0</v>
      </c>
      <c r="O423" s="42" t="n">
        <v>192386</v>
      </c>
    </row>
    <row r="424" spans="1:15">
      <c r="A424" s="37" t="n">
        <v>421</v>
      </c>
      <c r="B424" s="97" t="s">
        <v>1412</v>
      </c>
      <c r="C424" s="121" t="s">
        <v>131</v>
      </c>
      <c r="D424" s="121" t="s">
        <v>20</v>
      </c>
      <c r="E424" s="121" t="s">
        <v>21</v>
      </c>
      <c r="F424" s="121" t="s">
        <v>1413</v>
      </c>
      <c r="G424" s="121" t="s">
        <v>1415</v>
      </c>
      <c r="H424" s="99" t="n">
        <v>181073</v>
      </c>
      <c r="I424" s="99" t="n">
        <v>181073</v>
      </c>
      <c r="J424" s="99" t="n">
        <v>9054</v>
      </c>
      <c r="K424" s="99" t="n">
        <v>0</v>
      </c>
      <c r="L424" s="99" t="n">
        <v>0</v>
      </c>
      <c r="M424" s="99" t="n">
        <v>0</v>
      </c>
      <c r="N424" s="99" t="n">
        <v>0</v>
      </c>
      <c r="O424" s="42" t="n">
        <v>172019</v>
      </c>
    </row>
    <row r="425" spans="1:15">
      <c r="A425" s="37" t="n">
        <v>422</v>
      </c>
      <c r="B425" s="97" t="s">
        <v>1389</v>
      </c>
      <c r="C425" s="121" t="s">
        <v>283</v>
      </c>
      <c r="D425" s="121" t="s">
        <v>20</v>
      </c>
      <c r="E425" s="121" t="s">
        <v>21</v>
      </c>
      <c r="F425" s="121" t="s">
        <v>2603</v>
      </c>
      <c r="G425" s="121" t="s">
        <v>1391</v>
      </c>
      <c r="H425" s="99" t="n">
        <v>180041</v>
      </c>
      <c r="I425" s="99" t="n">
        <v>180041</v>
      </c>
      <c r="J425" s="99" t="n">
        <v>0</v>
      </c>
      <c r="K425" s="99" t="n">
        <v>0</v>
      </c>
      <c r="L425" s="99" t="n">
        <v>0</v>
      </c>
      <c r="M425" s="99" t="n">
        <v>0</v>
      </c>
      <c r="N425" s="99" t="n">
        <v>0</v>
      </c>
      <c r="O425" s="42" t="n">
        <v>180041</v>
      </c>
    </row>
    <row r="426" spans="1:15">
      <c r="A426" s="37" t="n">
        <v>423</v>
      </c>
      <c r="B426" s="97" t="s">
        <v>1416</v>
      </c>
      <c r="C426" s="121" t="s">
        <v>283</v>
      </c>
      <c r="D426" s="121" t="s">
        <v>20</v>
      </c>
      <c r="E426" s="121" t="s">
        <v>21</v>
      </c>
      <c r="F426" s="121" t="s">
        <v>2604</v>
      </c>
      <c r="G426" s="121" t="s">
        <v>1417</v>
      </c>
      <c r="H426" s="99" t="n">
        <v>180041</v>
      </c>
      <c r="I426" s="99" t="n">
        <v>180041</v>
      </c>
      <c r="J426" s="99" t="n">
        <v>0</v>
      </c>
      <c r="K426" s="99" t="n">
        <v>0</v>
      </c>
      <c r="L426" s="99" t="n">
        <v>0</v>
      </c>
      <c r="M426" s="99" t="n">
        <v>0</v>
      </c>
      <c r="N426" s="99" t="n">
        <v>0</v>
      </c>
      <c r="O426" s="42" t="n">
        <v>180041</v>
      </c>
    </row>
    <row r="427" spans="1:15">
      <c r="A427" s="37" t="n">
        <v>424</v>
      </c>
      <c r="B427" s="97" t="s">
        <v>1421</v>
      </c>
      <c r="C427" s="121" t="s">
        <v>283</v>
      </c>
      <c r="D427" s="121" t="s">
        <v>20</v>
      </c>
      <c r="E427" s="121" t="s">
        <v>21</v>
      </c>
      <c r="F427" s="121" t="s">
        <v>2605</v>
      </c>
      <c r="G427" s="121" t="s">
        <v>1423</v>
      </c>
      <c r="H427" s="99" t="n">
        <v>180041</v>
      </c>
      <c r="I427" s="99" t="n">
        <v>180041</v>
      </c>
      <c r="J427" s="99" t="n">
        <v>0</v>
      </c>
      <c r="K427" s="99" t="n">
        <v>0</v>
      </c>
      <c r="L427" s="99" t="n">
        <v>0</v>
      </c>
      <c r="M427" s="99" t="n">
        <v>0</v>
      </c>
      <c r="N427" s="99" t="n">
        <v>0</v>
      </c>
      <c r="O427" s="42" t="n">
        <v>180041</v>
      </c>
    </row>
    <row r="428" spans="1:15">
      <c r="A428" s="37" t="n">
        <v>425</v>
      </c>
      <c r="B428" s="97" t="s">
        <v>1409</v>
      </c>
      <c r="C428" s="121" t="s">
        <v>283</v>
      </c>
      <c r="D428" s="121" t="s">
        <v>20</v>
      </c>
      <c r="E428" s="121" t="s">
        <v>21</v>
      </c>
      <c r="F428" s="121" t="s">
        <v>2606</v>
      </c>
      <c r="G428" s="121" t="s">
        <v>1411</v>
      </c>
      <c r="H428" s="99" t="n">
        <v>180041</v>
      </c>
      <c r="I428" s="99" t="n">
        <v>180041</v>
      </c>
      <c r="J428" s="99" t="n">
        <v>0</v>
      </c>
      <c r="K428" s="99" t="n">
        <v>0</v>
      </c>
      <c r="L428" s="99" t="n">
        <v>0</v>
      </c>
      <c r="M428" s="99" t="n">
        <v>0</v>
      </c>
      <c r="N428" s="99" t="n">
        <v>0</v>
      </c>
      <c r="O428" s="42" t="n">
        <v>180041</v>
      </c>
    </row>
    <row r="429" spans="1:15">
      <c r="A429" s="37" t="n">
        <v>426</v>
      </c>
      <c r="B429" s="97" t="s">
        <v>1382</v>
      </c>
      <c r="C429" s="121" t="s">
        <v>111</v>
      </c>
      <c r="D429" s="121" t="s">
        <v>20</v>
      </c>
      <c r="E429" s="121" t="s">
        <v>21</v>
      </c>
      <c r="F429" s="121" t="s">
        <v>1383</v>
      </c>
      <c r="G429" s="121" t="s">
        <v>1385</v>
      </c>
      <c r="H429" s="99" t="n">
        <v>191354</v>
      </c>
      <c r="I429" s="99" t="n">
        <v>191354</v>
      </c>
      <c r="J429" s="99" t="n">
        <v>0</v>
      </c>
      <c r="K429" s="99" t="n">
        <v>0</v>
      </c>
      <c r="L429" s="99" t="n">
        <v>0</v>
      </c>
      <c r="M429" s="99" t="n">
        <v>0</v>
      </c>
      <c r="N429" s="99" t="n">
        <v>0</v>
      </c>
      <c r="O429" s="42" t="n">
        <v>191354</v>
      </c>
    </row>
    <row r="430" spans="1:15">
      <c r="A430" s="37" t="n">
        <v>427</v>
      </c>
      <c r="B430" s="97" t="s">
        <v>1457</v>
      </c>
      <c r="C430" s="121" t="s">
        <v>111</v>
      </c>
      <c r="D430" s="121" t="s">
        <v>20</v>
      </c>
      <c r="E430" s="121" t="s">
        <v>21</v>
      </c>
      <c r="F430" s="121" t="s">
        <v>1458</v>
      </c>
      <c r="G430" s="121" t="s">
        <v>1459</v>
      </c>
      <c r="H430" s="99" t="n">
        <v>180041</v>
      </c>
      <c r="I430" s="99" t="n">
        <v>180041</v>
      </c>
      <c r="J430" s="99" t="n">
        <v>0</v>
      </c>
      <c r="K430" s="99" t="n">
        <v>0</v>
      </c>
      <c r="L430" s="99" t="n">
        <v>0</v>
      </c>
      <c r="M430" s="99" t="n">
        <v>0</v>
      </c>
      <c r="N430" s="99" t="n">
        <v>0</v>
      </c>
      <c r="O430" s="42" t="n">
        <v>180041</v>
      </c>
    </row>
    <row r="431" spans="1:15">
      <c r="A431" s="37" t="n">
        <v>428</v>
      </c>
      <c r="B431" s="97" t="s">
        <v>2607</v>
      </c>
      <c r="C431" s="121" t="s">
        <v>95</v>
      </c>
      <c r="D431" s="121" t="s">
        <v>128</v>
      </c>
      <c r="E431" s="121" t="s">
        <v>15</v>
      </c>
      <c r="F431" s="121" t="s">
        <v>2684</v>
      </c>
      <c r="G431" s="121" t="s">
        <v>2608</v>
      </c>
      <c r="H431" s="99" t="n">
        <v>180041</v>
      </c>
      <c r="I431" s="99" t="n">
        <v>180041</v>
      </c>
      <c r="J431" s="99" t="n">
        <v>0</v>
      </c>
      <c r="K431" s="99" t="n">
        <v>0</v>
      </c>
      <c r="L431" s="99" t="n">
        <v>0</v>
      </c>
      <c r="M431" s="99" t="n">
        <v>0</v>
      </c>
      <c r="N431" s="99" t="n">
        <v>0</v>
      </c>
      <c r="O431" s="42" t="n">
        <v>180041</v>
      </c>
    </row>
    <row r="432" spans="1:15">
      <c r="A432" s="37" t="n">
        <v>429</v>
      </c>
      <c r="B432" s="97" t="s">
        <v>2496</v>
      </c>
      <c r="C432" s="121" t="s">
        <v>58</v>
      </c>
      <c r="D432" s="121" t="s">
        <v>20</v>
      </c>
      <c r="E432" s="121" t="s">
        <v>21</v>
      </c>
      <c r="F432" s="121" t="s">
        <v>2074</v>
      </c>
      <c r="G432" s="121" t="s">
        <v>2497</v>
      </c>
      <c r="H432" s="99" t="n">
        <v>180041</v>
      </c>
      <c r="I432" s="99" t="n">
        <v>180041</v>
      </c>
      <c r="J432" s="99" t="n">
        <v>9002</v>
      </c>
      <c r="K432" s="99" t="n">
        <v>0</v>
      </c>
      <c r="L432" s="99" t="n">
        <v>0</v>
      </c>
      <c r="M432" s="99" t="n">
        <v>0</v>
      </c>
      <c r="N432" s="99" t="n">
        <v>0</v>
      </c>
      <c r="O432" s="42" t="n">
        <v>171039</v>
      </c>
    </row>
    <row r="433" spans="1:15">
      <c r="A433" s="37" t="n">
        <v>430</v>
      </c>
      <c r="B433" s="97" t="s">
        <v>2498</v>
      </c>
      <c r="C433" s="121" t="s">
        <v>120</v>
      </c>
      <c r="D433" s="121" t="s">
        <v>20</v>
      </c>
      <c r="E433" s="121" t="s">
        <v>21</v>
      </c>
      <c r="F433" s="121" t="s">
        <v>2685</v>
      </c>
      <c r="G433" s="121" t="s">
        <v>2499</v>
      </c>
      <c r="H433" s="99" t="n">
        <v>180041</v>
      </c>
      <c r="I433" s="99" t="n">
        <v>180041</v>
      </c>
      <c r="J433" s="99" t="n">
        <v>0</v>
      </c>
      <c r="K433" s="99" t="n">
        <v>0</v>
      </c>
      <c r="L433" s="99" t="n">
        <v>0</v>
      </c>
      <c r="M433" s="99" t="n">
        <v>0</v>
      </c>
      <c r="N433" s="99" t="n">
        <v>0</v>
      </c>
      <c r="O433" s="42" t="n">
        <v>180041</v>
      </c>
    </row>
    <row r="434" spans="1:15">
      <c r="A434" s="37" t="n">
        <v>431</v>
      </c>
      <c r="B434" s="97" t="s">
        <v>1445</v>
      </c>
      <c r="C434" s="121" t="s">
        <v>58</v>
      </c>
      <c r="D434" s="121" t="s">
        <v>20</v>
      </c>
      <c r="E434" s="121" t="s">
        <v>21</v>
      </c>
      <c r="F434" s="121" t="s">
        <v>1446</v>
      </c>
      <c r="G434" s="121" t="s">
        <v>1448</v>
      </c>
      <c r="H434" s="99" t="n">
        <v>298430</v>
      </c>
      <c r="I434" s="99" t="n">
        <v>298430</v>
      </c>
      <c r="J434" s="99" t="n">
        <v>14922</v>
      </c>
      <c r="K434" s="99" t="n">
        <v>0</v>
      </c>
      <c r="L434" s="99" t="n">
        <v>0</v>
      </c>
      <c r="M434" s="99" t="n">
        <v>0</v>
      </c>
      <c r="N434" s="99" t="n">
        <v>0</v>
      </c>
      <c r="O434" s="42" t="n">
        <v>283508</v>
      </c>
    </row>
    <row r="435" spans="1:15">
      <c r="A435" s="37" t="n">
        <v>432</v>
      </c>
      <c r="B435" s="97" t="s">
        <v>1442</v>
      </c>
      <c r="C435" s="121" t="s">
        <v>58</v>
      </c>
      <c r="D435" s="121" t="s">
        <v>20</v>
      </c>
      <c r="E435" s="121" t="s">
        <v>21</v>
      </c>
      <c r="F435" s="121" t="s">
        <v>1443</v>
      </c>
      <c r="G435" s="121" t="s">
        <v>1444</v>
      </c>
      <c r="H435" s="99" t="n">
        <v>425979</v>
      </c>
      <c r="I435" s="99" t="n">
        <v>425979</v>
      </c>
      <c r="J435" s="99" t="n">
        <v>21299</v>
      </c>
      <c r="K435" s="99" t="n">
        <v>0</v>
      </c>
      <c r="L435" s="99" t="n">
        <v>0</v>
      </c>
      <c r="M435" s="99" t="n">
        <v>0</v>
      </c>
      <c r="N435" s="99" t="n">
        <v>0</v>
      </c>
      <c r="O435" s="42" t="n">
        <v>404680</v>
      </c>
    </row>
    <row r="436" spans="1:15">
      <c r="A436" s="37" t="n">
        <v>433</v>
      </c>
      <c r="B436" s="97" t="s">
        <v>1449</v>
      </c>
      <c r="C436" s="121" t="s">
        <v>58</v>
      </c>
      <c r="D436" s="121" t="s">
        <v>20</v>
      </c>
      <c r="E436" s="121" t="s">
        <v>21</v>
      </c>
      <c r="F436" s="121" t="s">
        <v>1450</v>
      </c>
      <c r="G436" s="121" t="s">
        <v>1452</v>
      </c>
      <c r="H436" s="99" t="n">
        <v>298430</v>
      </c>
      <c r="I436" s="99" t="n">
        <v>298430</v>
      </c>
      <c r="J436" s="99" t="n">
        <v>14922</v>
      </c>
      <c r="K436" s="99" t="n">
        <v>0</v>
      </c>
      <c r="L436" s="99" t="n">
        <v>0</v>
      </c>
      <c r="M436" s="99" t="n">
        <v>0</v>
      </c>
      <c r="N436" s="99" t="n">
        <v>0</v>
      </c>
      <c r="O436" s="42" t="n">
        <v>283508</v>
      </c>
    </row>
    <row r="437" spans="1:15">
      <c r="A437" s="37" t="n">
        <v>434</v>
      </c>
      <c r="B437" s="97" t="s">
        <v>1453</v>
      </c>
      <c r="C437" s="121" t="s">
        <v>58</v>
      </c>
      <c r="D437" s="121" t="s">
        <v>20</v>
      </c>
      <c r="E437" s="121" t="s">
        <v>21</v>
      </c>
      <c r="F437" s="121" t="s">
        <v>1454</v>
      </c>
      <c r="G437" s="121" t="s">
        <v>1456</v>
      </c>
      <c r="H437" s="99" t="n">
        <v>285045</v>
      </c>
      <c r="I437" s="99" t="n">
        <v>285045</v>
      </c>
      <c r="J437" s="99" t="n">
        <v>14252</v>
      </c>
      <c r="K437" s="99" t="n">
        <v>0</v>
      </c>
      <c r="L437" s="99" t="n">
        <v>0</v>
      </c>
      <c r="M437" s="99" t="n">
        <v>0</v>
      </c>
      <c r="N437" s="99" t="n">
        <v>0</v>
      </c>
      <c r="O437" s="42" t="n">
        <v>270793</v>
      </c>
    </row>
    <row r="438" spans="1:15">
      <c r="A438" s="37" t="n">
        <v>435</v>
      </c>
      <c r="B438" s="97" t="s">
        <v>2500</v>
      </c>
      <c r="C438" s="121" t="s">
        <v>120</v>
      </c>
      <c r="D438" s="121" t="s">
        <v>20</v>
      </c>
      <c r="E438" s="121" t="s">
        <v>21</v>
      </c>
      <c r="F438" s="121" t="s">
        <v>2686</v>
      </c>
      <c r="G438" s="121" t="s">
        <v>2501</v>
      </c>
      <c r="H438" s="99" t="n">
        <v>180041</v>
      </c>
      <c r="I438" s="99" t="n">
        <v>180041</v>
      </c>
      <c r="J438" s="99" t="n">
        <v>0</v>
      </c>
      <c r="K438" s="99" t="n">
        <v>0</v>
      </c>
      <c r="L438" s="99" t="n">
        <v>0</v>
      </c>
      <c r="M438" s="99" t="n">
        <v>0</v>
      </c>
      <c r="N438" s="99" t="n">
        <v>0</v>
      </c>
      <c r="O438" s="42" t="n">
        <v>180041</v>
      </c>
    </row>
    <row r="439" spans="1:15">
      <c r="A439" s="37" t="n">
        <v>436</v>
      </c>
      <c r="B439" s="97" t="s">
        <v>1474</v>
      </c>
      <c r="C439" s="121" t="s">
        <v>58</v>
      </c>
      <c r="D439" s="121" t="s">
        <v>20</v>
      </c>
      <c r="E439" s="121" t="s">
        <v>21</v>
      </c>
      <c r="F439" s="121" t="s">
        <v>1475</v>
      </c>
      <c r="G439" s="121" t="s">
        <v>1477</v>
      </c>
      <c r="H439" s="99" t="n">
        <v>175395</v>
      </c>
      <c r="I439" s="99" t="n">
        <v>175395</v>
      </c>
      <c r="J439" s="99" t="n">
        <v>8770</v>
      </c>
      <c r="K439" s="99" t="n">
        <v>0</v>
      </c>
      <c r="L439" s="99" t="n">
        <v>0</v>
      </c>
      <c r="M439" s="99" t="n">
        <v>0</v>
      </c>
      <c r="N439" s="99" t="n">
        <v>0</v>
      </c>
      <c r="O439" s="42" t="n">
        <v>166625</v>
      </c>
    </row>
    <row r="440" spans="1:15">
      <c r="A440" s="37" t="n">
        <v>437</v>
      </c>
      <c r="B440" s="97" t="s">
        <v>2502</v>
      </c>
      <c r="C440" s="121" t="s">
        <v>120</v>
      </c>
      <c r="D440" s="121" t="s">
        <v>124</v>
      </c>
      <c r="E440" s="121" t="s">
        <v>15</v>
      </c>
      <c r="F440" s="121" t="s">
        <v>2687</v>
      </c>
      <c r="G440" s="121" t="s">
        <v>2503</v>
      </c>
      <c r="H440" s="99" t="n">
        <v>175395</v>
      </c>
      <c r="I440" s="99" t="n">
        <v>175395</v>
      </c>
      <c r="J440" s="99" t="n">
        <v>0</v>
      </c>
      <c r="K440" s="99" t="n">
        <v>0</v>
      </c>
      <c r="L440" s="99" t="n">
        <v>0</v>
      </c>
      <c r="M440" s="99" t="n">
        <v>0</v>
      </c>
      <c r="N440" s="99" t="n">
        <v>0</v>
      </c>
      <c r="O440" s="42" t="n">
        <v>175395</v>
      </c>
    </row>
    <row r="441" spans="1:15">
      <c r="A441" s="37" t="n">
        <v>438</v>
      </c>
      <c r="B441" s="97" t="s">
        <v>1478</v>
      </c>
      <c r="C441" s="121" t="s">
        <v>58</v>
      </c>
      <c r="D441" s="121" t="s">
        <v>20</v>
      </c>
      <c r="E441" s="121" t="s">
        <v>21</v>
      </c>
      <c r="F441" s="121" t="s">
        <v>1479</v>
      </c>
      <c r="G441" s="121" t="s">
        <v>1480</v>
      </c>
      <c r="H441" s="99" t="n">
        <v>176427</v>
      </c>
      <c r="I441" s="99" t="n">
        <v>176427</v>
      </c>
      <c r="J441" s="99" t="n">
        <v>8821</v>
      </c>
      <c r="K441" s="99" t="n">
        <v>0</v>
      </c>
      <c r="L441" s="99" t="n">
        <v>0</v>
      </c>
      <c r="M441" s="99" t="n">
        <v>0</v>
      </c>
      <c r="N441" s="99" t="n">
        <v>0</v>
      </c>
      <c r="O441" s="42" t="n">
        <v>167606</v>
      </c>
    </row>
    <row r="442" spans="1:15">
      <c r="A442" s="37" t="n">
        <v>439</v>
      </c>
      <c r="B442" s="97" t="s">
        <v>965</v>
      </c>
      <c r="C442" s="121" t="s">
        <v>58</v>
      </c>
      <c r="D442" s="121" t="s">
        <v>20</v>
      </c>
      <c r="E442" s="121" t="s">
        <v>21</v>
      </c>
      <c r="F442" s="121" t="s">
        <v>966</v>
      </c>
      <c r="G442" s="121" t="s">
        <v>967</v>
      </c>
      <c r="H442" s="99" t="n">
        <v>176427</v>
      </c>
      <c r="I442" s="99" t="n">
        <v>176427</v>
      </c>
      <c r="J442" s="99" t="n">
        <v>8821</v>
      </c>
      <c r="K442" s="99" t="n">
        <v>0</v>
      </c>
      <c r="L442" s="99" t="n">
        <v>0</v>
      </c>
      <c r="M442" s="99" t="n">
        <v>0</v>
      </c>
      <c r="N442" s="99" t="n">
        <v>0</v>
      </c>
      <c r="O442" s="42" t="n">
        <v>167606</v>
      </c>
    </row>
    <row r="443" spans="1:15">
      <c r="A443" s="37" t="n">
        <v>440</v>
      </c>
      <c r="B443" s="97" t="s">
        <v>1484</v>
      </c>
      <c r="C443" s="121" t="s">
        <v>58</v>
      </c>
      <c r="D443" s="121" t="s">
        <v>20</v>
      </c>
      <c r="E443" s="121" t="s">
        <v>21</v>
      </c>
      <c r="F443" s="121" t="s">
        <v>1485</v>
      </c>
      <c r="G443" s="121" t="s">
        <v>1487</v>
      </c>
      <c r="H443" s="99" t="n">
        <v>175395</v>
      </c>
      <c r="I443" s="99" t="n">
        <v>175395</v>
      </c>
      <c r="J443" s="99" t="n">
        <v>8770</v>
      </c>
      <c r="K443" s="99" t="n">
        <v>0</v>
      </c>
      <c r="L443" s="99" t="n">
        <v>0</v>
      </c>
      <c r="M443" s="99" t="n">
        <v>0</v>
      </c>
      <c r="N443" s="99" t="n">
        <v>0</v>
      </c>
      <c r="O443" s="42" t="n">
        <v>166625</v>
      </c>
    </row>
    <row r="444" spans="1:15">
      <c r="A444" s="37" t="n">
        <v>441</v>
      </c>
      <c r="B444" s="97" t="s">
        <v>1481</v>
      </c>
      <c r="C444" s="121" t="s">
        <v>58</v>
      </c>
      <c r="D444" s="121" t="s">
        <v>20</v>
      </c>
      <c r="E444" s="121" t="s">
        <v>21</v>
      </c>
      <c r="F444" s="121" t="s">
        <v>1482</v>
      </c>
      <c r="G444" s="121" t="s">
        <v>1483</v>
      </c>
      <c r="H444" s="99" t="n">
        <v>176427</v>
      </c>
      <c r="I444" s="99" t="n">
        <v>176427</v>
      </c>
      <c r="J444" s="99" t="n">
        <v>8821</v>
      </c>
      <c r="K444" s="99" t="n">
        <v>0</v>
      </c>
      <c r="L444" s="99" t="n">
        <v>0</v>
      </c>
      <c r="M444" s="99" t="n">
        <v>0</v>
      </c>
      <c r="N444" s="99" t="n">
        <v>0</v>
      </c>
      <c r="O444" s="42" t="n">
        <v>167606</v>
      </c>
    </row>
    <row r="445" spans="1:15">
      <c r="A445" s="37" t="n">
        <v>442</v>
      </c>
      <c r="B445" s="97" t="s">
        <v>1122</v>
      </c>
      <c r="C445" s="121" t="s">
        <v>283</v>
      </c>
      <c r="D445" s="121" t="s">
        <v>20</v>
      </c>
      <c r="E445" s="121" t="s">
        <v>21</v>
      </c>
      <c r="F445" s="121" t="s">
        <v>2504</v>
      </c>
      <c r="G445" s="121" t="s">
        <v>1124</v>
      </c>
      <c r="H445" s="99" t="n">
        <v>175395</v>
      </c>
      <c r="I445" s="99" t="n">
        <v>175395</v>
      </c>
      <c r="J445" s="99" t="n">
        <v>0</v>
      </c>
      <c r="K445" s="99" t="n">
        <v>0</v>
      </c>
      <c r="L445" s="99" t="n">
        <v>0</v>
      </c>
      <c r="M445" s="99" t="n">
        <v>0</v>
      </c>
      <c r="N445" s="99" t="n">
        <v>0</v>
      </c>
      <c r="O445" s="42" t="n">
        <v>175395</v>
      </c>
    </row>
    <row r="446" spans="1:15">
      <c r="A446" s="37" t="n">
        <v>443</v>
      </c>
      <c r="B446" s="97" t="s">
        <v>911</v>
      </c>
      <c r="C446" s="121" t="s">
        <v>283</v>
      </c>
      <c r="D446" s="121" t="s">
        <v>20</v>
      </c>
      <c r="E446" s="121" t="s">
        <v>21</v>
      </c>
      <c r="F446" s="121" t="s">
        <v>2505</v>
      </c>
      <c r="G446" s="121" t="s">
        <v>912</v>
      </c>
      <c r="H446" s="99" t="n">
        <v>175395</v>
      </c>
      <c r="I446" s="99" t="n">
        <v>175395</v>
      </c>
      <c r="J446" s="99" t="n">
        <v>0</v>
      </c>
      <c r="K446" s="99" t="n">
        <v>0</v>
      </c>
      <c r="L446" s="99" t="n">
        <v>0</v>
      </c>
      <c r="M446" s="99" t="n">
        <v>0</v>
      </c>
      <c r="N446" s="99" t="n">
        <v>0</v>
      </c>
      <c r="O446" s="42" t="n">
        <v>175395</v>
      </c>
    </row>
    <row r="447" spans="1:15">
      <c r="A447" s="37" t="n">
        <v>444</v>
      </c>
      <c r="B447" s="97" t="s">
        <v>1529</v>
      </c>
      <c r="C447" s="121" t="s">
        <v>58</v>
      </c>
      <c r="D447" s="121" t="s">
        <v>20</v>
      </c>
      <c r="E447" s="121" t="s">
        <v>21</v>
      </c>
      <c r="F447" s="121" t="s">
        <v>1530</v>
      </c>
      <c r="G447" s="121" t="s">
        <v>1532</v>
      </c>
      <c r="H447" s="99" t="n">
        <v>14950</v>
      </c>
      <c r="I447" s="99" t="n">
        <v>14950</v>
      </c>
      <c r="J447" s="99" t="n">
        <v>748</v>
      </c>
      <c r="K447" s="99" t="n">
        <v>0</v>
      </c>
      <c r="L447" s="99" t="n">
        <v>0</v>
      </c>
      <c r="M447" s="99" t="n">
        <v>0</v>
      </c>
      <c r="N447" s="99" t="n">
        <v>0</v>
      </c>
      <c r="O447" s="42" t="n">
        <v>14202</v>
      </c>
    </row>
    <row r="448" spans="1:15">
      <c r="A448" s="37" t="n">
        <v>445</v>
      </c>
      <c r="B448" s="97" t="s">
        <v>2506</v>
      </c>
      <c r="C448" s="121" t="s">
        <v>58</v>
      </c>
      <c r="D448" s="121" t="s">
        <v>20</v>
      </c>
      <c r="E448" s="121" t="s">
        <v>21</v>
      </c>
      <c r="F448" s="121" t="s">
        <v>2507</v>
      </c>
      <c r="G448" s="121" t="s">
        <v>2508</v>
      </c>
      <c r="H448" s="99" t="n">
        <v>12885</v>
      </c>
      <c r="I448" s="99" t="n">
        <v>12885</v>
      </c>
      <c r="J448" s="99" t="n">
        <v>644</v>
      </c>
      <c r="K448" s="99" t="n">
        <v>0</v>
      </c>
      <c r="L448" s="99" t="n">
        <v>0</v>
      </c>
      <c r="M448" s="99" t="n">
        <v>0</v>
      </c>
      <c r="N448" s="99" t="n">
        <v>0</v>
      </c>
      <c r="O448" s="42" t="n">
        <v>12241</v>
      </c>
    </row>
    <row r="449" spans="1:15">
      <c r="A449" s="37" t="n">
        <v>446</v>
      </c>
      <c r="B449" s="97" t="s">
        <v>2509</v>
      </c>
      <c r="C449" s="121" t="s">
        <v>58</v>
      </c>
      <c r="D449" s="121" t="s">
        <v>20</v>
      </c>
      <c r="E449" s="121" t="s">
        <v>21</v>
      </c>
      <c r="F449" s="121" t="s">
        <v>2074</v>
      </c>
      <c r="G449" s="121" t="s">
        <v>2510</v>
      </c>
      <c r="H449" s="99" t="n">
        <v>13917</v>
      </c>
      <c r="I449" s="99" t="n">
        <v>13917</v>
      </c>
      <c r="J449" s="99" t="n">
        <v>696</v>
      </c>
      <c r="K449" s="99" t="n">
        <v>0</v>
      </c>
      <c r="L449" s="99" t="n">
        <v>0</v>
      </c>
      <c r="M449" s="99" t="n">
        <v>0</v>
      </c>
      <c r="N449" s="99" t="n">
        <v>0</v>
      </c>
      <c r="O449" s="42" t="n">
        <v>13221</v>
      </c>
    </row>
    <row r="450" spans="1:15">
      <c r="A450" s="37" t="n">
        <v>447</v>
      </c>
      <c r="B450" s="97" t="s">
        <v>1524</v>
      </c>
      <c r="C450" s="121" t="s">
        <v>19</v>
      </c>
      <c r="D450" s="121" t="s">
        <v>20</v>
      </c>
      <c r="E450" s="121" t="s">
        <v>21</v>
      </c>
      <c r="F450" s="121" t="s">
        <v>1525</v>
      </c>
      <c r="G450" s="121" t="s">
        <v>1526</v>
      </c>
      <c r="H450" s="99" t="n">
        <v>14433</v>
      </c>
      <c r="I450" s="99" t="n">
        <v>14433</v>
      </c>
      <c r="J450" s="99" t="n">
        <v>0</v>
      </c>
      <c r="K450" s="99" t="n">
        <v>2165</v>
      </c>
      <c r="L450" s="99" t="n">
        <v>0</v>
      </c>
      <c r="M450" s="99" t="n">
        <v>0</v>
      </c>
      <c r="N450" s="99" t="n">
        <v>0</v>
      </c>
      <c r="O450" s="42" t="n">
        <v>12268</v>
      </c>
    </row>
    <row r="451" spans="1:15">
      <c r="A451" s="37" t="n">
        <v>448</v>
      </c>
      <c r="B451" s="97" t="s">
        <v>2511</v>
      </c>
      <c r="C451" s="121" t="s">
        <v>58</v>
      </c>
      <c r="D451" s="121" t="s">
        <v>20</v>
      </c>
      <c r="E451" s="121" t="s">
        <v>21</v>
      </c>
      <c r="F451" s="121" t="s">
        <v>2512</v>
      </c>
      <c r="G451" s="121" t="s">
        <v>2513</v>
      </c>
      <c r="H451" s="99" t="n">
        <v>12885</v>
      </c>
      <c r="I451" s="99" t="n">
        <v>12885</v>
      </c>
      <c r="J451" s="99" t="n">
        <v>644</v>
      </c>
      <c r="K451" s="99" t="n">
        <v>0</v>
      </c>
      <c r="L451" s="99" t="n">
        <v>0</v>
      </c>
      <c r="M451" s="99" t="n">
        <v>0</v>
      </c>
      <c r="N451" s="99" t="n">
        <v>0</v>
      </c>
      <c r="O451" s="42" t="n">
        <v>12241</v>
      </c>
    </row>
    <row r="452" spans="1:15">
      <c r="A452" s="37" t="n">
        <v>449</v>
      </c>
      <c r="B452" s="97" t="s">
        <v>894</v>
      </c>
      <c r="C452" s="121" t="s">
        <v>58</v>
      </c>
      <c r="D452" s="121" t="s">
        <v>20</v>
      </c>
      <c r="E452" s="121" t="s">
        <v>21</v>
      </c>
      <c r="F452" s="121" t="s">
        <v>895</v>
      </c>
      <c r="G452" s="121" t="s">
        <v>896</v>
      </c>
      <c r="H452" s="99" t="n">
        <v>14691</v>
      </c>
      <c r="I452" s="99" t="n">
        <v>14691</v>
      </c>
      <c r="J452" s="99" t="n">
        <v>735</v>
      </c>
      <c r="K452" s="99" t="n">
        <v>0</v>
      </c>
      <c r="L452" s="99" t="n">
        <v>0</v>
      </c>
      <c r="M452" s="99" t="n">
        <v>0</v>
      </c>
      <c r="N452" s="99" t="n">
        <v>0</v>
      </c>
      <c r="O452" s="42" t="n">
        <v>13956</v>
      </c>
    </row>
    <row r="453" spans="1:15">
      <c r="A453" s="37" t="n">
        <v>450</v>
      </c>
      <c r="B453" s="97" t="s">
        <v>1570</v>
      </c>
      <c r="C453" s="121" t="s">
        <v>58</v>
      </c>
      <c r="D453" s="121" t="s">
        <v>20</v>
      </c>
      <c r="E453" s="121" t="s">
        <v>21</v>
      </c>
      <c r="F453" s="121" t="s">
        <v>1571</v>
      </c>
      <c r="G453" s="121" t="s">
        <v>1573</v>
      </c>
      <c r="H453" s="99" t="n">
        <v>14950</v>
      </c>
      <c r="I453" s="99" t="n">
        <v>14950</v>
      </c>
      <c r="J453" s="99" t="n">
        <v>748</v>
      </c>
      <c r="K453" s="99" t="n">
        <v>0</v>
      </c>
      <c r="L453" s="99" t="n">
        <v>0</v>
      </c>
      <c r="M453" s="99" t="n">
        <v>0</v>
      </c>
      <c r="N453" s="99" t="n">
        <v>0</v>
      </c>
      <c r="O453" s="42" t="n">
        <v>14202</v>
      </c>
    </row>
    <row r="454" spans="1:15">
      <c r="A454" s="37" t="n">
        <v>451</v>
      </c>
      <c r="B454" s="97" t="s">
        <v>1494</v>
      </c>
      <c r="C454" s="121" t="s">
        <v>58</v>
      </c>
      <c r="D454" s="121" t="s">
        <v>20</v>
      </c>
      <c r="E454" s="121" t="s">
        <v>21</v>
      </c>
      <c r="F454" s="121" t="s">
        <v>1495</v>
      </c>
      <c r="G454" s="121" t="s">
        <v>1496</v>
      </c>
      <c r="H454" s="99" t="n">
        <v>15724</v>
      </c>
      <c r="I454" s="99" t="n">
        <v>15724</v>
      </c>
      <c r="J454" s="99" t="n">
        <v>786</v>
      </c>
      <c r="K454" s="99" t="n">
        <v>0</v>
      </c>
      <c r="L454" s="99" t="n">
        <v>0</v>
      </c>
      <c r="M454" s="99" t="n">
        <v>0</v>
      </c>
      <c r="N454" s="99" t="n">
        <v>0</v>
      </c>
      <c r="O454" s="42" t="n">
        <v>14938</v>
      </c>
    </row>
    <row r="455" spans="1:15">
      <c r="A455" s="37" t="n">
        <v>452</v>
      </c>
      <c r="B455" s="97" t="s">
        <v>1517</v>
      </c>
      <c r="C455" s="121" t="s">
        <v>58</v>
      </c>
      <c r="D455" s="121" t="s">
        <v>20</v>
      </c>
      <c r="E455" s="121" t="s">
        <v>21</v>
      </c>
      <c r="F455" s="121" t="s">
        <v>1518</v>
      </c>
      <c r="G455" s="121" t="s">
        <v>1519</v>
      </c>
      <c r="H455" s="99" t="n">
        <v>14950</v>
      </c>
      <c r="I455" s="99" t="n">
        <v>14950</v>
      </c>
      <c r="J455" s="99" t="n">
        <v>748</v>
      </c>
      <c r="K455" s="99" t="n">
        <v>0</v>
      </c>
      <c r="L455" s="99" t="n">
        <v>0</v>
      </c>
      <c r="M455" s="99" t="n">
        <v>0</v>
      </c>
      <c r="N455" s="99" t="n">
        <v>0</v>
      </c>
      <c r="O455" s="42" t="n">
        <v>14202</v>
      </c>
    </row>
    <row r="456" spans="1:15">
      <c r="A456" s="37" t="n">
        <v>453</v>
      </c>
      <c r="B456" s="97" t="s">
        <v>1501</v>
      </c>
      <c r="C456" s="121" t="s">
        <v>58</v>
      </c>
      <c r="D456" s="121" t="s">
        <v>20</v>
      </c>
      <c r="E456" s="121" t="s">
        <v>21</v>
      </c>
      <c r="F456" s="121" t="s">
        <v>1502</v>
      </c>
      <c r="G456" s="121" t="s">
        <v>1503</v>
      </c>
      <c r="H456" s="99" t="n">
        <v>14433</v>
      </c>
      <c r="I456" s="99" t="n">
        <v>14433</v>
      </c>
      <c r="J456" s="99" t="n">
        <v>722</v>
      </c>
      <c r="K456" s="99" t="n">
        <v>0</v>
      </c>
      <c r="L456" s="99" t="n">
        <v>0</v>
      </c>
      <c r="M456" s="99" t="n">
        <v>0</v>
      </c>
      <c r="N456" s="99" t="n">
        <v>0</v>
      </c>
      <c r="O456" s="42" t="n">
        <v>13711</v>
      </c>
    </row>
    <row r="457" spans="1:15">
      <c r="A457" s="37" t="n">
        <v>454</v>
      </c>
      <c r="B457" s="97" t="s">
        <v>1554</v>
      </c>
      <c r="C457" s="121" t="s">
        <v>58</v>
      </c>
      <c r="D457" s="121" t="s">
        <v>20</v>
      </c>
      <c r="E457" s="121" t="s">
        <v>21</v>
      </c>
      <c r="F457" s="121" t="s">
        <v>1555</v>
      </c>
      <c r="G457" s="121" t="s">
        <v>1556</v>
      </c>
      <c r="H457" s="99" t="n">
        <v>13917</v>
      </c>
      <c r="I457" s="99" t="n">
        <v>13917</v>
      </c>
      <c r="J457" s="99" t="n">
        <v>696</v>
      </c>
      <c r="K457" s="99" t="n">
        <v>0</v>
      </c>
      <c r="L457" s="99" t="n">
        <v>0</v>
      </c>
      <c r="M457" s="99" t="n">
        <v>0</v>
      </c>
      <c r="N457" s="99" t="n">
        <v>0</v>
      </c>
      <c r="O457" s="42" t="n">
        <v>13221</v>
      </c>
    </row>
    <row r="458" spans="1:15">
      <c r="A458" s="37" t="n">
        <v>455</v>
      </c>
      <c r="B458" s="97" t="s">
        <v>1497</v>
      </c>
      <c r="C458" s="121" t="s">
        <v>58</v>
      </c>
      <c r="D458" s="121" t="s">
        <v>20</v>
      </c>
      <c r="E458" s="121" t="s">
        <v>21</v>
      </c>
      <c r="F458" s="121" t="s">
        <v>1498</v>
      </c>
      <c r="G458" s="121" t="s">
        <v>1500</v>
      </c>
      <c r="H458" s="99" t="n">
        <v>14950</v>
      </c>
      <c r="I458" s="99" t="n">
        <v>14950</v>
      </c>
      <c r="J458" s="99" t="n">
        <v>748</v>
      </c>
      <c r="K458" s="99" t="n">
        <v>0</v>
      </c>
      <c r="L458" s="99" t="n">
        <v>0</v>
      </c>
      <c r="M458" s="99" t="n">
        <v>0</v>
      </c>
      <c r="N458" s="99" t="n">
        <v>0</v>
      </c>
      <c r="O458" s="42" t="n">
        <v>14202</v>
      </c>
    </row>
    <row r="459" spans="1:15">
      <c r="A459" s="37" t="n">
        <v>456</v>
      </c>
      <c r="B459" s="97" t="s">
        <v>1045</v>
      </c>
      <c r="C459" s="121" t="s">
        <v>58</v>
      </c>
      <c r="D459" s="121" t="s">
        <v>20</v>
      </c>
      <c r="E459" s="121" t="s">
        <v>21</v>
      </c>
      <c r="F459" s="121" t="s">
        <v>1046</v>
      </c>
      <c r="G459" s="121" t="s">
        <v>1048</v>
      </c>
      <c r="H459" s="99" t="n">
        <v>14433</v>
      </c>
      <c r="I459" s="99" t="n">
        <v>14433</v>
      </c>
      <c r="J459" s="99" t="n">
        <v>722</v>
      </c>
      <c r="K459" s="99" t="n">
        <v>0</v>
      </c>
      <c r="L459" s="99" t="n">
        <v>0</v>
      </c>
      <c r="M459" s="99" t="n">
        <v>0</v>
      </c>
      <c r="N459" s="99" t="n">
        <v>0</v>
      </c>
      <c r="O459" s="42" t="n">
        <v>13711</v>
      </c>
    </row>
    <row r="460" spans="1:15">
      <c r="A460" s="37" t="n">
        <v>457</v>
      </c>
      <c r="B460" s="97" t="s">
        <v>1540</v>
      </c>
      <c r="C460" s="121" t="s">
        <v>58</v>
      </c>
      <c r="D460" s="121" t="s">
        <v>20</v>
      </c>
      <c r="E460" s="121" t="s">
        <v>21</v>
      </c>
      <c r="F460" s="121" t="s">
        <v>1541</v>
      </c>
      <c r="G460" s="121" t="s">
        <v>1543</v>
      </c>
      <c r="H460" s="99" t="n">
        <v>13917</v>
      </c>
      <c r="I460" s="99" t="n">
        <v>13917</v>
      </c>
      <c r="J460" s="99" t="n">
        <v>696</v>
      </c>
      <c r="K460" s="99" t="n">
        <v>0</v>
      </c>
      <c r="L460" s="99" t="n">
        <v>0</v>
      </c>
      <c r="M460" s="99" t="n">
        <v>0</v>
      </c>
      <c r="N460" s="99" t="n">
        <v>0</v>
      </c>
      <c r="O460" s="42" t="n">
        <v>13221</v>
      </c>
    </row>
    <row r="461" spans="1:15">
      <c r="A461" s="37" t="n">
        <v>458</v>
      </c>
      <c r="B461" s="97" t="s">
        <v>1514</v>
      </c>
      <c r="C461" s="121" t="s">
        <v>58</v>
      </c>
      <c r="D461" s="121" t="s">
        <v>20</v>
      </c>
      <c r="E461" s="121" t="s">
        <v>21</v>
      </c>
      <c r="F461" s="121" t="s">
        <v>1515</v>
      </c>
      <c r="G461" s="121" t="s">
        <v>1516</v>
      </c>
      <c r="H461" s="99" t="n">
        <v>13917</v>
      </c>
      <c r="I461" s="99" t="n">
        <v>13917</v>
      </c>
      <c r="J461" s="99" t="n">
        <v>696</v>
      </c>
      <c r="K461" s="99" t="n">
        <v>0</v>
      </c>
      <c r="L461" s="99" t="n">
        <v>0</v>
      </c>
      <c r="M461" s="99" t="n">
        <v>0</v>
      </c>
      <c r="N461" s="99" t="n">
        <v>0</v>
      </c>
      <c r="O461" s="42" t="n">
        <v>13221</v>
      </c>
    </row>
    <row r="462" spans="1:15">
      <c r="A462" s="37" t="n">
        <v>459</v>
      </c>
      <c r="B462" s="97" t="s">
        <v>2514</v>
      </c>
      <c r="C462" s="121" t="s">
        <v>58</v>
      </c>
      <c r="D462" s="121" t="s">
        <v>20</v>
      </c>
      <c r="E462" s="121" t="s">
        <v>21</v>
      </c>
      <c r="F462" s="121" t="s">
        <v>2515</v>
      </c>
      <c r="G462" s="121" t="s">
        <v>2516</v>
      </c>
      <c r="H462" s="99" t="n">
        <v>13917</v>
      </c>
      <c r="I462" s="99" t="n">
        <v>13917</v>
      </c>
      <c r="J462" s="99" t="n">
        <v>696</v>
      </c>
      <c r="K462" s="99" t="n">
        <v>0</v>
      </c>
      <c r="L462" s="99" t="n">
        <v>0</v>
      </c>
      <c r="M462" s="99" t="n">
        <v>0</v>
      </c>
      <c r="N462" s="99" t="n">
        <v>0</v>
      </c>
      <c r="O462" s="42" t="n">
        <v>13221</v>
      </c>
    </row>
    <row r="463" spans="1:15">
      <c r="A463" s="37" t="n">
        <v>460</v>
      </c>
      <c r="B463" s="97" t="s">
        <v>1551</v>
      </c>
      <c r="C463" s="121" t="s">
        <v>283</v>
      </c>
      <c r="D463" s="121" t="s">
        <v>20</v>
      </c>
      <c r="E463" s="121" t="s">
        <v>21</v>
      </c>
      <c r="F463" s="121" t="s">
        <v>2467</v>
      </c>
      <c r="G463" s="121" t="s">
        <v>1553</v>
      </c>
      <c r="H463" s="99" t="n">
        <v>17014</v>
      </c>
      <c r="I463" s="99" t="n">
        <v>17014</v>
      </c>
      <c r="J463" s="99" t="n">
        <v>0</v>
      </c>
      <c r="K463" s="99" t="n">
        <v>0</v>
      </c>
      <c r="L463" s="99" t="n">
        <v>0</v>
      </c>
      <c r="M463" s="99" t="n">
        <v>0</v>
      </c>
      <c r="N463" s="99" t="n">
        <v>0</v>
      </c>
      <c r="O463" s="42" t="n">
        <v>17014</v>
      </c>
    </row>
    <row r="464" spans="1:15">
      <c r="A464" s="37" t="n">
        <v>461</v>
      </c>
      <c r="B464" s="97" t="s">
        <v>2480</v>
      </c>
      <c r="C464" s="121" t="s">
        <v>120</v>
      </c>
      <c r="D464" s="121" t="s">
        <v>20</v>
      </c>
      <c r="E464" s="121" t="s">
        <v>21</v>
      </c>
      <c r="F464" s="121" t="s">
        <v>2688</v>
      </c>
      <c r="G464" s="98" t="n">
        <v>1612007744</v>
      </c>
      <c r="H464" s="99" t="n">
        <v>17014</v>
      </c>
      <c r="I464" s="99" t="n">
        <v>17014</v>
      </c>
      <c r="J464" s="99" t="n">
        <v>0</v>
      </c>
      <c r="K464" s="99" t="n">
        <v>0</v>
      </c>
      <c r="L464" s="99" t="n">
        <v>0</v>
      </c>
      <c r="M464" s="99" t="n">
        <v>0</v>
      </c>
      <c r="N464" s="99" t="n">
        <v>0</v>
      </c>
      <c r="O464" s="42" t="n">
        <v>17014</v>
      </c>
    </row>
    <row r="465" spans="1:15">
      <c r="A465" s="37" t="n">
        <v>462</v>
      </c>
      <c r="B465" s="97" t="s">
        <v>2269</v>
      </c>
      <c r="C465" s="121" t="s">
        <v>95</v>
      </c>
      <c r="D465" s="121" t="s">
        <v>128</v>
      </c>
      <c r="E465" s="121" t="s">
        <v>15</v>
      </c>
      <c r="F465" s="121" t="s">
        <v>2689</v>
      </c>
      <c r="G465" s="121" t="s">
        <v>2270</v>
      </c>
      <c r="H465" s="99" t="n">
        <v>15853</v>
      </c>
      <c r="I465" s="99" t="n">
        <v>15853</v>
      </c>
      <c r="J465" s="99" t="n">
        <v>0</v>
      </c>
      <c r="K465" s="99" t="n">
        <v>0</v>
      </c>
      <c r="L465" s="99" t="n">
        <v>0</v>
      </c>
      <c r="M465" s="99" t="n">
        <v>0</v>
      </c>
      <c r="N465" s="99" t="n">
        <v>0</v>
      </c>
      <c r="O465" s="42" t="n">
        <v>15853</v>
      </c>
    </row>
    <row r="466" spans="1:15">
      <c r="A466" s="37" t="n">
        <v>463</v>
      </c>
      <c r="B466" s="97" t="s">
        <v>2393</v>
      </c>
      <c r="C466" s="121" t="s">
        <v>120</v>
      </c>
      <c r="D466" s="121" t="s">
        <v>128</v>
      </c>
      <c r="E466" s="121" t="s">
        <v>15</v>
      </c>
      <c r="F466" s="121" t="s">
        <v>2690</v>
      </c>
      <c r="G466" s="121" t="s">
        <v>2394</v>
      </c>
      <c r="H466" s="99" t="n">
        <v>11789</v>
      </c>
      <c r="I466" s="99" t="n">
        <v>11789</v>
      </c>
      <c r="J466" s="99" t="n">
        <v>0</v>
      </c>
      <c r="K466" s="99" t="n">
        <v>0</v>
      </c>
      <c r="L466" s="99" t="n">
        <v>0</v>
      </c>
      <c r="M466" s="99" t="n">
        <v>0</v>
      </c>
      <c r="N466" s="99" t="n">
        <v>0</v>
      </c>
      <c r="O466" s="42" t="n">
        <v>11789</v>
      </c>
    </row>
    <row r="467" spans="1:15">
      <c r="A467" s="37" t="n">
        <v>464</v>
      </c>
      <c r="B467" s="97" t="s">
        <v>465</v>
      </c>
      <c r="C467" s="121" t="s">
        <v>111</v>
      </c>
      <c r="D467" s="121" t="s">
        <v>20</v>
      </c>
      <c r="E467" s="121" t="s">
        <v>21</v>
      </c>
      <c r="F467" s="121" t="s">
        <v>466</v>
      </c>
      <c r="G467" s="121" t="s">
        <v>467</v>
      </c>
      <c r="H467" s="99" t="n">
        <v>69259</v>
      </c>
      <c r="I467" s="99" t="n">
        <v>69259</v>
      </c>
      <c r="J467" s="99" t="n">
        <v>0</v>
      </c>
      <c r="K467" s="99" t="n">
        <v>0</v>
      </c>
      <c r="L467" s="99" t="n">
        <v>0</v>
      </c>
      <c r="M467" s="99" t="n">
        <v>0</v>
      </c>
      <c r="N467" s="99" t="n">
        <v>0</v>
      </c>
      <c r="O467" s="42" t="n">
        <v>69259</v>
      </c>
    </row>
    <row r="468" spans="1:15">
      <c r="A468" s="37" t="n">
        <v>465</v>
      </c>
      <c r="B468" s="97" t="s">
        <v>1583</v>
      </c>
      <c r="C468" s="121" t="s">
        <v>1584</v>
      </c>
      <c r="D468" s="121" t="s">
        <v>20</v>
      </c>
      <c r="E468" s="121" t="s">
        <v>21</v>
      </c>
      <c r="F468" s="121" t="s">
        <v>1585</v>
      </c>
      <c r="G468" s="121" t="s">
        <v>1586</v>
      </c>
      <c r="H468" s="99" t="n">
        <v>15035</v>
      </c>
      <c r="I468" s="99" t="n">
        <v>15035</v>
      </c>
      <c r="J468" s="99" t="n">
        <v>0</v>
      </c>
      <c r="K468" s="99" t="n">
        <v>0</v>
      </c>
      <c r="L468" s="99" t="n">
        <v>0</v>
      </c>
      <c r="M468" s="99" t="n">
        <v>0</v>
      </c>
      <c r="N468" s="99" t="n">
        <v>0</v>
      </c>
      <c r="O468" s="42" t="n">
        <v>15035</v>
      </c>
    </row>
    <row r="469" spans="1:15">
      <c r="A469" s="37" t="n">
        <v>466</v>
      </c>
      <c r="B469" s="97" t="s">
        <v>1587</v>
      </c>
      <c r="C469" s="121" t="s">
        <v>95</v>
      </c>
      <c r="D469" s="121" t="s">
        <v>278</v>
      </c>
      <c r="E469" s="121" t="s">
        <v>16</v>
      </c>
      <c r="F469" s="98" t="n">
        <v>0</v>
      </c>
      <c r="G469" s="121" t="s">
        <v>1588</v>
      </c>
      <c r="H469" s="99" t="n">
        <v>16067</v>
      </c>
      <c r="I469" s="99" t="n">
        <v>16067</v>
      </c>
      <c r="J469" s="99" t="n">
        <v>0</v>
      </c>
      <c r="K469" s="99" t="n">
        <v>0</v>
      </c>
      <c r="L469" s="99" t="n">
        <v>0</v>
      </c>
      <c r="M469" s="99" t="n">
        <v>0</v>
      </c>
      <c r="N469" s="99" t="n">
        <v>0</v>
      </c>
      <c r="O469" s="42" t="n">
        <v>16067</v>
      </c>
    </row>
    <row r="470" spans="1:15">
      <c r="A470" s="37" t="n">
        <v>467</v>
      </c>
      <c r="B470" s="97" t="s">
        <v>1589</v>
      </c>
      <c r="C470" s="121" t="s">
        <v>95</v>
      </c>
      <c r="D470" s="121" t="s">
        <v>124</v>
      </c>
      <c r="E470" s="121" t="s">
        <v>15</v>
      </c>
      <c r="F470" s="98" t="n">
        <v>0</v>
      </c>
      <c r="G470" s="121" t="s">
        <v>1590</v>
      </c>
      <c r="H470" s="99" t="n">
        <v>16067</v>
      </c>
      <c r="I470" s="99" t="n">
        <v>16067</v>
      </c>
      <c r="J470" s="99" t="n">
        <v>0</v>
      </c>
      <c r="K470" s="99" t="n">
        <v>0</v>
      </c>
      <c r="L470" s="99" t="n">
        <v>0</v>
      </c>
      <c r="M470" s="99" t="n">
        <v>0</v>
      </c>
      <c r="N470" s="99" t="n">
        <v>0</v>
      </c>
      <c r="O470" s="42" t="n">
        <v>16067</v>
      </c>
    </row>
    <row r="471" spans="1:15">
      <c r="A471" s="37" t="n">
        <v>468</v>
      </c>
      <c r="B471" s="97" t="s">
        <v>468</v>
      </c>
      <c r="C471" s="121" t="s">
        <v>58</v>
      </c>
      <c r="D471" s="121" t="s">
        <v>20</v>
      </c>
      <c r="E471" s="121" t="s">
        <v>21</v>
      </c>
      <c r="F471" s="121" t="s">
        <v>469</v>
      </c>
      <c r="G471" s="121" t="s">
        <v>470</v>
      </c>
      <c r="H471" s="99" t="n">
        <v>64803</v>
      </c>
      <c r="I471" s="99" t="n">
        <v>64803</v>
      </c>
      <c r="J471" s="99" t="n">
        <v>3240</v>
      </c>
      <c r="K471" s="99" t="n">
        <v>0</v>
      </c>
      <c r="L471" s="99" t="n">
        <v>0</v>
      </c>
      <c r="M471" s="99" t="n">
        <v>0</v>
      </c>
      <c r="N471" s="99" t="n">
        <v>0</v>
      </c>
      <c r="O471" s="42" t="n">
        <v>61563</v>
      </c>
    </row>
    <row r="472" spans="1:15">
      <c r="A472" s="37" t="n">
        <v>469</v>
      </c>
      <c r="B472" s="97" t="s">
        <v>1594</v>
      </c>
      <c r="C472" s="121" t="s">
        <v>58</v>
      </c>
      <c r="D472" s="121" t="s">
        <v>20</v>
      </c>
      <c r="E472" s="121" t="s">
        <v>21</v>
      </c>
      <c r="F472" s="121" t="s">
        <v>1595</v>
      </c>
      <c r="G472" s="121" t="s">
        <v>1596</v>
      </c>
      <c r="H472" s="99" t="n">
        <v>42505</v>
      </c>
      <c r="I472" s="99" t="n">
        <v>42505</v>
      </c>
      <c r="J472" s="99" t="n">
        <v>2125</v>
      </c>
      <c r="K472" s="99" t="n">
        <v>0</v>
      </c>
      <c r="L472" s="99" t="n">
        <v>0</v>
      </c>
      <c r="M472" s="99" t="n">
        <v>0</v>
      </c>
      <c r="N472" s="99" t="n">
        <v>0</v>
      </c>
      <c r="O472" s="42" t="n">
        <v>40380</v>
      </c>
    </row>
    <row r="473" spans="1:15">
      <c r="A473" s="37" t="n">
        <v>470</v>
      </c>
      <c r="B473" s="97" t="s">
        <v>614</v>
      </c>
      <c r="C473" s="121" t="s">
        <v>58</v>
      </c>
      <c r="D473" s="121" t="s">
        <v>20</v>
      </c>
      <c r="E473" s="121" t="s">
        <v>21</v>
      </c>
      <c r="F473" s="121" t="s">
        <v>615</v>
      </c>
      <c r="G473" s="121" t="s">
        <v>616</v>
      </c>
      <c r="H473" s="99" t="n">
        <v>41989</v>
      </c>
      <c r="I473" s="99" t="n">
        <v>41989</v>
      </c>
      <c r="J473" s="99" t="n">
        <v>2099</v>
      </c>
      <c r="K473" s="99" t="n">
        <v>0</v>
      </c>
      <c r="L473" s="99" t="n">
        <v>0</v>
      </c>
      <c r="M473" s="99" t="n">
        <v>0</v>
      </c>
      <c r="N473" s="99" t="n">
        <v>0</v>
      </c>
      <c r="O473" s="42" t="n">
        <v>39890</v>
      </c>
    </row>
    <row r="474" spans="1:15">
      <c r="A474" s="37" t="n">
        <v>471</v>
      </c>
      <c r="B474" s="97" t="s">
        <v>1597</v>
      </c>
      <c r="C474" s="121" t="s">
        <v>111</v>
      </c>
      <c r="D474" s="121" t="s">
        <v>20</v>
      </c>
      <c r="E474" s="121" t="s">
        <v>21</v>
      </c>
      <c r="F474" s="121" t="s">
        <v>1598</v>
      </c>
      <c r="G474" s="121" t="s">
        <v>1599</v>
      </c>
      <c r="H474" s="99" t="n">
        <v>40956</v>
      </c>
      <c r="I474" s="99" t="n">
        <v>40956</v>
      </c>
      <c r="J474" s="99" t="n">
        <v>0</v>
      </c>
      <c r="K474" s="99" t="n">
        <v>0</v>
      </c>
      <c r="L474" s="99" t="n">
        <v>0</v>
      </c>
      <c r="M474" s="99" t="n">
        <v>0</v>
      </c>
      <c r="N474" s="99" t="n">
        <v>0</v>
      </c>
      <c r="O474" s="42" t="n">
        <v>40956</v>
      </c>
    </row>
    <row r="475" spans="1:15">
      <c r="A475" s="37" t="n">
        <v>472</v>
      </c>
      <c r="B475" s="97" t="s">
        <v>1600</v>
      </c>
      <c r="C475" s="121" t="s">
        <v>111</v>
      </c>
      <c r="D475" s="121" t="s">
        <v>20</v>
      </c>
      <c r="E475" s="121" t="s">
        <v>21</v>
      </c>
      <c r="F475" s="121" t="s">
        <v>1601</v>
      </c>
      <c r="G475" s="121" t="s">
        <v>1602</v>
      </c>
      <c r="H475" s="99" t="n">
        <v>40440</v>
      </c>
      <c r="I475" s="99" t="n">
        <v>40440</v>
      </c>
      <c r="J475" s="99" t="n">
        <v>0</v>
      </c>
      <c r="K475" s="99" t="n">
        <v>0</v>
      </c>
      <c r="L475" s="99" t="n">
        <v>0</v>
      </c>
      <c r="M475" s="99" t="n">
        <v>0</v>
      </c>
      <c r="N475" s="99" t="n">
        <v>0</v>
      </c>
      <c r="O475" s="42" t="n">
        <v>40440</v>
      </c>
    </row>
    <row r="476" spans="1:15">
      <c r="A476" s="37" t="n">
        <v>473</v>
      </c>
      <c r="B476" s="97" t="s">
        <v>1603</v>
      </c>
      <c r="C476" s="121" t="s">
        <v>111</v>
      </c>
      <c r="D476" s="121" t="s">
        <v>20</v>
      </c>
      <c r="E476" s="121" t="s">
        <v>21</v>
      </c>
      <c r="F476" s="121" t="s">
        <v>1604</v>
      </c>
      <c r="G476" s="121" t="s">
        <v>1605</v>
      </c>
      <c r="H476" s="99" t="n">
        <v>35146</v>
      </c>
      <c r="I476" s="99" t="n">
        <v>35146</v>
      </c>
      <c r="J476" s="99" t="n">
        <v>0</v>
      </c>
      <c r="K476" s="99" t="n">
        <v>0</v>
      </c>
      <c r="L476" s="99" t="n">
        <v>0</v>
      </c>
      <c r="M476" s="99" t="n">
        <v>0</v>
      </c>
      <c r="N476" s="99" t="n">
        <v>0</v>
      </c>
      <c r="O476" s="42" t="n">
        <v>35146</v>
      </c>
    </row>
    <row r="477" spans="1:15">
      <c r="A477" s="37" t="n">
        <v>474</v>
      </c>
      <c r="B477" s="97" t="s">
        <v>2517</v>
      </c>
      <c r="C477" s="121" t="s">
        <v>111</v>
      </c>
      <c r="D477" s="121" t="s">
        <v>20</v>
      </c>
      <c r="E477" s="121" t="s">
        <v>21</v>
      </c>
      <c r="F477" s="121" t="s">
        <v>2518</v>
      </c>
      <c r="G477" s="121" t="s">
        <v>2519</v>
      </c>
      <c r="H477" s="99" t="n">
        <v>35146</v>
      </c>
      <c r="I477" s="99" t="n">
        <v>35146</v>
      </c>
      <c r="J477" s="99" t="n">
        <v>0</v>
      </c>
      <c r="K477" s="99" t="n">
        <v>0</v>
      </c>
      <c r="L477" s="99" t="n">
        <v>0</v>
      </c>
      <c r="M477" s="99" t="n">
        <v>0</v>
      </c>
      <c r="N477" s="99" t="n">
        <v>0</v>
      </c>
      <c r="O477" s="42" t="n">
        <v>35146</v>
      </c>
    </row>
    <row r="478" spans="1:15">
      <c r="A478" s="37" t="n">
        <v>475</v>
      </c>
      <c r="B478" s="97" t="s">
        <v>1606</v>
      </c>
      <c r="C478" s="121" t="s">
        <v>120</v>
      </c>
      <c r="D478" s="121" t="s">
        <v>128</v>
      </c>
      <c r="E478" s="121" t="s">
        <v>15</v>
      </c>
      <c r="F478" s="121" t="s">
        <v>2691</v>
      </c>
      <c r="G478" s="121" t="s">
        <v>1607</v>
      </c>
      <c r="H478" s="99" t="n">
        <v>33694</v>
      </c>
      <c r="I478" s="99" t="n">
        <v>33694</v>
      </c>
      <c r="J478" s="99" t="n">
        <v>0</v>
      </c>
      <c r="K478" s="99" t="n">
        <v>0</v>
      </c>
      <c r="L478" s="99" t="n">
        <v>0</v>
      </c>
      <c r="M478" s="99" t="n">
        <v>0</v>
      </c>
      <c r="N478" s="99" t="n">
        <v>0</v>
      </c>
      <c r="O478" s="42" t="n">
        <v>33694</v>
      </c>
    </row>
    <row r="479" spans="1:15">
      <c r="A479" s="37" t="n">
        <v>476</v>
      </c>
      <c r="B479" s="97" t="s">
        <v>1610</v>
      </c>
      <c r="C479" s="121" t="s">
        <v>95</v>
      </c>
      <c r="D479" s="121" t="s">
        <v>124</v>
      </c>
      <c r="E479" s="121" t="s">
        <v>15</v>
      </c>
      <c r="F479" s="121" t="s">
        <v>2692</v>
      </c>
      <c r="G479" s="121" t="s">
        <v>1611</v>
      </c>
      <c r="H479" s="99" t="n">
        <v>33694</v>
      </c>
      <c r="I479" s="99" t="n">
        <v>33694</v>
      </c>
      <c r="J479" s="99" t="n">
        <v>0</v>
      </c>
      <c r="K479" s="99" t="n">
        <v>0</v>
      </c>
      <c r="L479" s="99" t="n">
        <v>0</v>
      </c>
      <c r="M479" s="99" t="n">
        <v>0</v>
      </c>
      <c r="N479" s="99" t="n">
        <v>0</v>
      </c>
      <c r="O479" s="42" t="n">
        <v>33694</v>
      </c>
    </row>
    <row r="480" spans="1:15">
      <c r="A480" s="37" t="n">
        <v>477</v>
      </c>
      <c r="B480" s="97" t="s">
        <v>1612</v>
      </c>
      <c r="C480" s="121" t="s">
        <v>95</v>
      </c>
      <c r="D480" s="121" t="s">
        <v>278</v>
      </c>
      <c r="E480" s="121" t="s">
        <v>16</v>
      </c>
      <c r="F480" s="121" t="s">
        <v>2693</v>
      </c>
      <c r="G480" s="121" t="s">
        <v>1613</v>
      </c>
      <c r="H480" s="99" t="n">
        <v>33694</v>
      </c>
      <c r="I480" s="99" t="n">
        <v>33694</v>
      </c>
      <c r="J480" s="99" t="n">
        <v>0</v>
      </c>
      <c r="K480" s="99" t="n">
        <v>0</v>
      </c>
      <c r="L480" s="99" t="n">
        <v>0</v>
      </c>
      <c r="M480" s="99" t="n">
        <v>0</v>
      </c>
      <c r="N480" s="99" t="n">
        <v>0</v>
      </c>
      <c r="O480" s="42" t="n">
        <v>33694</v>
      </c>
    </row>
    <row r="481" spans="1:15">
      <c r="A481" s="37" t="n">
        <v>478</v>
      </c>
      <c r="B481" s="97" t="s">
        <v>1614</v>
      </c>
      <c r="C481" s="121" t="s">
        <v>95</v>
      </c>
      <c r="D481" s="121" t="s">
        <v>278</v>
      </c>
      <c r="E481" s="121" t="s">
        <v>16</v>
      </c>
      <c r="F481" s="121" t="s">
        <v>2694</v>
      </c>
      <c r="G481" s="121" t="s">
        <v>1615</v>
      </c>
      <c r="H481" s="99" t="n">
        <v>33694</v>
      </c>
      <c r="I481" s="99" t="n">
        <v>33694</v>
      </c>
      <c r="J481" s="99" t="n">
        <v>0</v>
      </c>
      <c r="K481" s="99" t="n">
        <v>0</v>
      </c>
      <c r="L481" s="99" t="n">
        <v>0</v>
      </c>
      <c r="M481" s="99" t="n">
        <v>0</v>
      </c>
      <c r="N481" s="99" t="n">
        <v>0</v>
      </c>
      <c r="O481" s="42" t="n">
        <v>33694</v>
      </c>
    </row>
    <row r="482" spans="1:15">
      <c r="A482" s="37" t="n">
        <v>479</v>
      </c>
      <c r="B482" s="97" t="s">
        <v>1616</v>
      </c>
      <c r="C482" s="121" t="s">
        <v>95</v>
      </c>
      <c r="D482" s="121" t="s">
        <v>124</v>
      </c>
      <c r="E482" s="121" t="s">
        <v>15</v>
      </c>
      <c r="F482" s="121" t="s">
        <v>2695</v>
      </c>
      <c r="G482" s="121" t="s">
        <v>1617</v>
      </c>
      <c r="H482" s="99" t="n">
        <v>33694</v>
      </c>
      <c r="I482" s="99" t="n">
        <v>33694</v>
      </c>
      <c r="J482" s="99" t="n">
        <v>0</v>
      </c>
      <c r="K482" s="99" t="n">
        <v>0</v>
      </c>
      <c r="L482" s="99" t="n">
        <v>0</v>
      </c>
      <c r="M482" s="99" t="n">
        <v>0</v>
      </c>
      <c r="N482" s="99" t="n">
        <v>0</v>
      </c>
      <c r="O482" s="42" t="n">
        <v>33694</v>
      </c>
    </row>
    <row r="483" spans="1:15">
      <c r="A483" s="37" t="n">
        <v>480</v>
      </c>
      <c r="B483" s="97" t="s">
        <v>1627</v>
      </c>
      <c r="C483" s="121" t="s">
        <v>58</v>
      </c>
      <c r="D483" s="121" t="s">
        <v>20</v>
      </c>
      <c r="E483" s="121" t="s">
        <v>21</v>
      </c>
      <c r="F483" s="121" t="s">
        <v>1628</v>
      </c>
      <c r="G483" s="121" t="s">
        <v>1629</v>
      </c>
      <c r="H483" s="99" t="n">
        <v>48093</v>
      </c>
      <c r="I483" s="99" t="n">
        <v>48093</v>
      </c>
      <c r="J483" s="99" t="n">
        <v>2405</v>
      </c>
      <c r="K483" s="99" t="n">
        <v>0</v>
      </c>
      <c r="L483" s="99" t="n">
        <v>0</v>
      </c>
      <c r="M483" s="99" t="n">
        <v>0</v>
      </c>
      <c r="N483" s="99" t="n">
        <v>0</v>
      </c>
      <c r="O483" s="42" t="n">
        <v>45688</v>
      </c>
    </row>
    <row r="484" spans="1:15">
      <c r="A484" s="37" t="n">
        <v>481</v>
      </c>
      <c r="B484" s="97" t="s">
        <v>1630</v>
      </c>
      <c r="C484" s="121" t="s">
        <v>58</v>
      </c>
      <c r="D484" s="121" t="s">
        <v>20</v>
      </c>
      <c r="E484" s="121" t="s">
        <v>21</v>
      </c>
      <c r="F484" s="121" t="s">
        <v>1631</v>
      </c>
      <c r="G484" s="121" t="s">
        <v>1633</v>
      </c>
      <c r="H484" s="99" t="n">
        <v>41184</v>
      </c>
      <c r="I484" s="99" t="n">
        <v>41184</v>
      </c>
      <c r="J484" s="99" t="n">
        <v>2059</v>
      </c>
      <c r="K484" s="99" t="n">
        <v>0</v>
      </c>
      <c r="L484" s="99" t="n">
        <v>0</v>
      </c>
      <c r="M484" s="99" t="n">
        <v>0</v>
      </c>
      <c r="N484" s="99" t="n">
        <v>0</v>
      </c>
      <c r="O484" s="42" t="n">
        <v>39125</v>
      </c>
    </row>
    <row r="485" spans="1:15">
      <c r="A485" s="37" t="n">
        <v>482</v>
      </c>
      <c r="B485" s="97" t="s">
        <v>1637</v>
      </c>
      <c r="C485" s="121" t="s">
        <v>58</v>
      </c>
      <c r="D485" s="121" t="s">
        <v>20</v>
      </c>
      <c r="E485" s="121" t="s">
        <v>21</v>
      </c>
      <c r="F485" s="121" t="s">
        <v>1638</v>
      </c>
      <c r="G485" s="121" t="s">
        <v>1640</v>
      </c>
      <c r="H485" s="99" t="n">
        <v>47449</v>
      </c>
      <c r="I485" s="99" t="n">
        <v>47449</v>
      </c>
      <c r="J485" s="99" t="n">
        <v>2372</v>
      </c>
      <c r="K485" s="99" t="n">
        <v>0</v>
      </c>
      <c r="L485" s="99" t="n">
        <v>0</v>
      </c>
      <c r="M485" s="99" t="n">
        <v>0</v>
      </c>
      <c r="N485" s="99" t="n">
        <v>0</v>
      </c>
      <c r="O485" s="42" t="n">
        <v>45077</v>
      </c>
    </row>
    <row r="486" spans="1:15">
      <c r="A486" s="37" t="n">
        <v>483</v>
      </c>
      <c r="B486" s="97" t="s">
        <v>1641</v>
      </c>
      <c r="C486" s="121" t="s">
        <v>58</v>
      </c>
      <c r="D486" s="121" t="s">
        <v>20</v>
      </c>
      <c r="E486" s="121" t="s">
        <v>21</v>
      </c>
      <c r="F486" s="121" t="s">
        <v>1642</v>
      </c>
      <c r="G486" s="121" t="s">
        <v>1644</v>
      </c>
      <c r="H486" s="99" t="n">
        <v>49154</v>
      </c>
      <c r="I486" s="99" t="n">
        <v>49154</v>
      </c>
      <c r="J486" s="99" t="n">
        <v>2458</v>
      </c>
      <c r="K486" s="99" t="n">
        <v>0</v>
      </c>
      <c r="L486" s="99" t="n">
        <v>0</v>
      </c>
      <c r="M486" s="99" t="n">
        <v>0</v>
      </c>
      <c r="N486" s="99" t="n">
        <v>0</v>
      </c>
      <c r="O486" s="42" t="n">
        <v>46696</v>
      </c>
    </row>
    <row r="487" spans="1:15">
      <c r="A487" s="37" t="n">
        <v>484</v>
      </c>
      <c r="B487" s="97" t="s">
        <v>1645</v>
      </c>
      <c r="C487" s="121" t="s">
        <v>58</v>
      </c>
      <c r="D487" s="121" t="s">
        <v>20</v>
      </c>
      <c r="E487" s="121" t="s">
        <v>21</v>
      </c>
      <c r="F487" s="121" t="s">
        <v>1646</v>
      </c>
      <c r="G487" s="121" t="s">
        <v>1648</v>
      </c>
      <c r="H487" s="99" t="n">
        <v>49154</v>
      </c>
      <c r="I487" s="99" t="n">
        <v>49154</v>
      </c>
      <c r="J487" s="99" t="n">
        <v>2458</v>
      </c>
      <c r="K487" s="99" t="n">
        <v>0</v>
      </c>
      <c r="L487" s="99" t="n">
        <v>0</v>
      </c>
      <c r="M487" s="99" t="n">
        <v>0</v>
      </c>
      <c r="N487" s="99" t="n">
        <v>0</v>
      </c>
      <c r="O487" s="42" t="n">
        <v>46696</v>
      </c>
    </row>
    <row r="488" spans="1:15">
      <c r="A488" s="37" t="n">
        <v>485</v>
      </c>
      <c r="B488" s="97" t="s">
        <v>1649</v>
      </c>
      <c r="C488" s="121" t="s">
        <v>58</v>
      </c>
      <c r="D488" s="121" t="s">
        <v>20</v>
      </c>
      <c r="E488" s="121" t="s">
        <v>21</v>
      </c>
      <c r="F488" s="121" t="s">
        <v>1650</v>
      </c>
      <c r="G488" s="121" t="s">
        <v>1652</v>
      </c>
      <c r="H488" s="99" t="n">
        <v>40640</v>
      </c>
      <c r="I488" s="99" t="n">
        <v>40640</v>
      </c>
      <c r="J488" s="99" t="n">
        <v>2032</v>
      </c>
      <c r="K488" s="99" t="n">
        <v>0</v>
      </c>
      <c r="L488" s="99" t="n">
        <v>0</v>
      </c>
      <c r="M488" s="99" t="n">
        <v>0</v>
      </c>
      <c r="N488" s="99" t="n">
        <v>0</v>
      </c>
      <c r="O488" s="42" t="n">
        <v>38608</v>
      </c>
    </row>
    <row r="489" spans="1:15">
      <c r="A489" s="37" t="n">
        <v>486</v>
      </c>
      <c r="B489" s="97" t="s">
        <v>2520</v>
      </c>
      <c r="C489" s="121" t="s">
        <v>120</v>
      </c>
      <c r="D489" s="121" t="s">
        <v>124</v>
      </c>
      <c r="E489" s="121" t="s">
        <v>15</v>
      </c>
      <c r="F489" s="121" t="s">
        <v>2696</v>
      </c>
      <c r="G489" s="121" t="s">
        <v>2521</v>
      </c>
      <c r="H489" s="99" t="n">
        <v>37953</v>
      </c>
      <c r="I489" s="99" t="n">
        <v>37953</v>
      </c>
      <c r="J489" s="99" t="n">
        <v>0</v>
      </c>
      <c r="K489" s="99" t="n">
        <v>0</v>
      </c>
      <c r="L489" s="99" t="n">
        <v>0</v>
      </c>
      <c r="M489" s="99" t="n">
        <v>0</v>
      </c>
      <c r="N489" s="99" t="n">
        <v>0</v>
      </c>
      <c r="O489" s="42" t="n">
        <v>37953</v>
      </c>
    </row>
    <row r="490" spans="1:15">
      <c r="A490" s="37" t="n">
        <v>487</v>
      </c>
      <c r="B490" s="97" t="s">
        <v>2522</v>
      </c>
      <c r="C490" s="121" t="s">
        <v>120</v>
      </c>
      <c r="D490" s="121" t="s">
        <v>124</v>
      </c>
      <c r="E490" s="121" t="s">
        <v>15</v>
      </c>
      <c r="F490" s="121" t="s">
        <v>2697</v>
      </c>
      <c r="G490" s="121" t="s">
        <v>2523</v>
      </c>
      <c r="H490" s="99" t="n">
        <v>40661</v>
      </c>
      <c r="I490" s="99" t="n">
        <v>40661</v>
      </c>
      <c r="J490" s="99" t="n">
        <v>0</v>
      </c>
      <c r="K490" s="99" t="n">
        <v>0</v>
      </c>
      <c r="L490" s="99" t="n">
        <v>0</v>
      </c>
      <c r="M490" s="99" t="n">
        <v>0</v>
      </c>
      <c r="N490" s="99" t="n">
        <v>0</v>
      </c>
      <c r="O490" s="42" t="n">
        <v>40661</v>
      </c>
    </row>
    <row r="491" spans="1:15">
      <c r="A491" s="37" t="n">
        <v>488</v>
      </c>
      <c r="B491" s="97" t="s">
        <v>2524</v>
      </c>
      <c r="C491" s="121" t="s">
        <v>120</v>
      </c>
      <c r="D491" s="121" t="s">
        <v>124</v>
      </c>
      <c r="E491" s="121" t="s">
        <v>15</v>
      </c>
      <c r="F491" s="121" t="s">
        <v>2698</v>
      </c>
      <c r="G491" s="121" t="s">
        <v>2525</v>
      </c>
      <c r="H491" s="99" t="n">
        <v>29939</v>
      </c>
      <c r="I491" s="99" t="n">
        <v>29939</v>
      </c>
      <c r="J491" s="99" t="n">
        <v>0</v>
      </c>
      <c r="K491" s="99" t="n">
        <v>0</v>
      </c>
      <c r="L491" s="99" t="n">
        <v>0</v>
      </c>
      <c r="M491" s="99" t="n">
        <v>0</v>
      </c>
      <c r="N491" s="99" t="n">
        <v>0</v>
      </c>
      <c r="O491" s="42" t="n">
        <v>29939</v>
      </c>
    </row>
    <row r="492" spans="1:15">
      <c r="A492" s="37" t="n">
        <v>489</v>
      </c>
      <c r="B492" s="97" t="s">
        <v>2526</v>
      </c>
      <c r="C492" s="121" t="s">
        <v>95</v>
      </c>
      <c r="D492" s="121" t="s">
        <v>124</v>
      </c>
      <c r="E492" s="121" t="s">
        <v>15</v>
      </c>
      <c r="F492" s="121" t="s">
        <v>2699</v>
      </c>
      <c r="G492" s="121" t="s">
        <v>2527</v>
      </c>
      <c r="H492" s="99" t="n">
        <v>29939</v>
      </c>
      <c r="I492" s="99" t="n">
        <v>29939</v>
      </c>
      <c r="J492" s="99" t="n">
        <v>0</v>
      </c>
      <c r="K492" s="99" t="n">
        <v>0</v>
      </c>
      <c r="L492" s="99" t="n">
        <v>0</v>
      </c>
      <c r="M492" s="99" t="n">
        <v>0</v>
      </c>
      <c r="N492" s="99" t="n">
        <v>0</v>
      </c>
      <c r="O492" s="42" t="n">
        <v>29939</v>
      </c>
    </row>
    <row r="493" spans="1:15">
      <c r="A493" s="37" t="n">
        <v>496</v>
      </c>
      <c r="B493" s="97" t="s">
        <v>1681</v>
      </c>
      <c r="C493" s="121" t="s">
        <v>58</v>
      </c>
      <c r="D493" s="121" t="s">
        <v>20</v>
      </c>
      <c r="E493" s="121" t="s">
        <v>21</v>
      </c>
      <c r="F493" s="121" t="s">
        <v>1682</v>
      </c>
      <c r="G493" s="121" t="s">
        <v>1684</v>
      </c>
      <c r="H493" s="99" t="n">
        <v>24881</v>
      </c>
      <c r="I493" s="99" t="n">
        <v>24881</v>
      </c>
      <c r="J493" s="99" t="n">
        <v>1244</v>
      </c>
      <c r="K493" s="99" t="n">
        <v>0</v>
      </c>
      <c r="L493" s="99" t="n">
        <v>0</v>
      </c>
      <c r="M493" s="99" t="n">
        <v>0</v>
      </c>
      <c r="N493" s="99" t="n">
        <v>0</v>
      </c>
      <c r="O493" s="42" t="n">
        <v>23637</v>
      </c>
    </row>
    <row r="494" spans="1:15">
      <c r="A494" s="37" t="n">
        <v>497</v>
      </c>
      <c r="B494" s="97" t="s">
        <v>1685</v>
      </c>
      <c r="C494" s="121" t="s">
        <v>283</v>
      </c>
      <c r="D494" s="121" t="s">
        <v>20</v>
      </c>
      <c r="E494" s="121" t="s">
        <v>21</v>
      </c>
      <c r="F494" s="121" t="s">
        <v>2528</v>
      </c>
      <c r="G494" s="121" t="s">
        <v>1687</v>
      </c>
      <c r="H494" s="99" t="n">
        <v>19983</v>
      </c>
      <c r="I494" s="99" t="n">
        <v>19983</v>
      </c>
      <c r="J494" s="99" t="n">
        <v>0</v>
      </c>
      <c r="K494" s="99" t="n">
        <v>0</v>
      </c>
      <c r="L494" s="99" t="n">
        <v>0</v>
      </c>
      <c r="M494" s="99" t="n">
        <v>0</v>
      </c>
      <c r="N494" s="99" t="n">
        <v>0</v>
      </c>
      <c r="O494" s="42" t="n">
        <v>19983</v>
      </c>
    </row>
    <row r="495" spans="1:15">
      <c r="A495" s="37" t="n">
        <v>500</v>
      </c>
      <c r="B495" s="97" t="s">
        <v>2609</v>
      </c>
      <c r="C495" s="121" t="s">
        <v>58</v>
      </c>
      <c r="D495" s="121" t="s">
        <v>20</v>
      </c>
      <c r="E495" s="121" t="s">
        <v>21</v>
      </c>
      <c r="F495" s="121" t="s">
        <v>2074</v>
      </c>
      <c r="G495" s="121" t="s">
        <v>2610</v>
      </c>
      <c r="H495" s="99" t="n">
        <v>46732</v>
      </c>
      <c r="I495" s="99" t="n">
        <v>46732</v>
      </c>
      <c r="J495" s="99" t="n">
        <v>2337</v>
      </c>
      <c r="K495" s="99" t="n">
        <v>0</v>
      </c>
      <c r="L495" s="99" t="n">
        <v>0</v>
      </c>
      <c r="M495" s="99" t="n">
        <v>0</v>
      </c>
      <c r="N495" s="99" t="n">
        <v>0</v>
      </c>
      <c r="O495" s="42" t="n">
        <v>44395</v>
      </c>
    </row>
    <row r="496" spans="1:15">
      <c r="A496" s="37" t="n">
        <v>501</v>
      </c>
      <c r="B496" s="97" t="s">
        <v>2611</v>
      </c>
      <c r="C496" s="121" t="s">
        <v>95</v>
      </c>
      <c r="D496" s="121" t="s">
        <v>137</v>
      </c>
      <c r="E496" s="121" t="s">
        <v>14</v>
      </c>
      <c r="F496" s="121" t="s">
        <v>2074</v>
      </c>
      <c r="G496" s="121" t="s">
        <v>2612</v>
      </c>
      <c r="H496" s="99" t="n">
        <v>37953</v>
      </c>
      <c r="I496" s="99" t="n">
        <v>37953</v>
      </c>
      <c r="J496" s="99" t="n">
        <v>0</v>
      </c>
      <c r="K496" s="99" t="n">
        <v>0</v>
      </c>
      <c r="L496" s="99" t="n">
        <v>0</v>
      </c>
      <c r="M496" s="99" t="n">
        <v>0</v>
      </c>
      <c r="N496" s="99" t="n">
        <v>0</v>
      </c>
      <c r="O496" s="42" t="n">
        <v>37953</v>
      </c>
    </row>
    <row r="497" spans="1:15">
      <c r="A497" s="37" t="n">
        <v>502</v>
      </c>
      <c r="B497" s="97" t="s">
        <v>2613</v>
      </c>
      <c r="C497" s="121" t="s">
        <v>95</v>
      </c>
      <c r="D497" s="121" t="s">
        <v>137</v>
      </c>
      <c r="E497" s="121" t="s">
        <v>14</v>
      </c>
      <c r="F497" s="121" t="s">
        <v>2074</v>
      </c>
      <c r="G497" s="121" t="s">
        <v>2614</v>
      </c>
      <c r="H497" s="99" t="n">
        <v>40661</v>
      </c>
      <c r="I497" s="99" t="n">
        <v>40661</v>
      </c>
      <c r="J497" s="99" t="n">
        <v>0</v>
      </c>
      <c r="K497" s="99" t="n">
        <v>0</v>
      </c>
      <c r="L497" s="99" t="n">
        <v>0</v>
      </c>
      <c r="M497" s="99" t="n">
        <v>0</v>
      </c>
      <c r="N497" s="99" t="n">
        <v>0</v>
      </c>
      <c r="O497" s="42" t="n">
        <v>40661</v>
      </c>
    </row>
    <row r="498" spans="1:15">
      <c r="A498" s="37" t="n">
        <v>504</v>
      </c>
      <c r="B498" s="97" t="s">
        <v>1698</v>
      </c>
      <c r="C498" s="121" t="s">
        <v>19</v>
      </c>
      <c r="D498" s="121" t="s">
        <v>20</v>
      </c>
      <c r="E498" s="121" t="s">
        <v>21</v>
      </c>
      <c r="F498" s="121" t="s">
        <v>1699</v>
      </c>
      <c r="G498" s="121" t="s">
        <v>1701</v>
      </c>
      <c r="H498" s="99" t="n">
        <v>49053</v>
      </c>
      <c r="I498" s="99" t="n">
        <v>49053</v>
      </c>
      <c r="J498" s="99" t="n">
        <v>0</v>
      </c>
      <c r="K498" s="99" t="n">
        <v>7358</v>
      </c>
      <c r="L498" s="99" t="n">
        <v>0</v>
      </c>
      <c r="M498" s="99" t="n">
        <v>0</v>
      </c>
      <c r="N498" s="99" t="n">
        <v>0</v>
      </c>
      <c r="O498" s="42" t="n">
        <v>41695</v>
      </c>
    </row>
    <row r="499" spans="1:15">
      <c r="A499" s="37" t="n">
        <v>505</v>
      </c>
      <c r="B499" s="97" t="s">
        <v>1702</v>
      </c>
      <c r="C499" s="121" t="s">
        <v>58</v>
      </c>
      <c r="D499" s="121" t="s">
        <v>20</v>
      </c>
      <c r="E499" s="121" t="s">
        <v>21</v>
      </c>
      <c r="F499" s="121" t="s">
        <v>1703</v>
      </c>
      <c r="G499" s="121" t="s">
        <v>1705</v>
      </c>
      <c r="H499" s="99" t="n">
        <v>41592</v>
      </c>
      <c r="I499" s="99" t="n">
        <v>41592</v>
      </c>
      <c r="J499" s="99" t="n">
        <v>2080</v>
      </c>
      <c r="K499" s="99" t="n">
        <v>0</v>
      </c>
      <c r="L499" s="99" t="n">
        <v>0</v>
      </c>
      <c r="M499" s="99" t="n">
        <v>0</v>
      </c>
      <c r="N499" s="99" t="n">
        <v>0</v>
      </c>
      <c r="O499" s="42" t="n">
        <v>39512</v>
      </c>
    </row>
    <row r="500" spans="1:15">
      <c r="A500" s="37" t="n">
        <v>506</v>
      </c>
      <c r="B500" s="97" t="s">
        <v>1706</v>
      </c>
      <c r="C500" s="121" t="s">
        <v>58</v>
      </c>
      <c r="D500" s="121" t="s">
        <v>20</v>
      </c>
      <c r="E500" s="121" t="s">
        <v>21</v>
      </c>
      <c r="F500" s="121" t="s">
        <v>1707</v>
      </c>
      <c r="G500" s="121" t="s">
        <v>1709</v>
      </c>
      <c r="H500" s="99" t="n">
        <v>41592</v>
      </c>
      <c r="I500" s="99" t="n">
        <v>41592</v>
      </c>
      <c r="J500" s="99" t="n">
        <v>2080</v>
      </c>
      <c r="K500" s="99" t="n">
        <v>0</v>
      </c>
      <c r="L500" s="99" t="n">
        <v>0</v>
      </c>
      <c r="M500" s="99" t="n">
        <v>0</v>
      </c>
      <c r="N500" s="99" t="n">
        <v>0</v>
      </c>
      <c r="O500" s="42" t="n">
        <v>39512</v>
      </c>
    </row>
    <row r="501" spans="1:15">
      <c r="A501" s="37" t="n">
        <v>507</v>
      </c>
      <c r="B501" s="97" t="s">
        <v>1710</v>
      </c>
      <c r="C501" s="121" t="s">
        <v>58</v>
      </c>
      <c r="D501" s="121" t="s">
        <v>20</v>
      </c>
      <c r="E501" s="121" t="s">
        <v>21</v>
      </c>
      <c r="F501" s="121" t="s">
        <v>1711</v>
      </c>
      <c r="G501" s="121" t="s">
        <v>1713</v>
      </c>
      <c r="H501" s="99" t="n">
        <v>41592</v>
      </c>
      <c r="I501" s="99" t="n">
        <v>41592</v>
      </c>
      <c r="J501" s="99" t="n">
        <v>2080</v>
      </c>
      <c r="K501" s="99" t="n">
        <v>0</v>
      </c>
      <c r="L501" s="99" t="n">
        <v>0</v>
      </c>
      <c r="M501" s="99" t="n">
        <v>0</v>
      </c>
      <c r="N501" s="99" t="n">
        <v>0</v>
      </c>
      <c r="O501" s="42" t="n">
        <v>39512</v>
      </c>
    </row>
    <row r="502" spans="1:15">
      <c r="A502" s="37" t="n">
        <v>508</v>
      </c>
      <c r="B502" s="97" t="s">
        <v>1714</v>
      </c>
      <c r="C502" s="121" t="s">
        <v>58</v>
      </c>
      <c r="D502" s="121" t="s">
        <v>20</v>
      </c>
      <c r="E502" s="121" t="s">
        <v>21</v>
      </c>
      <c r="F502" s="121" t="s">
        <v>1715</v>
      </c>
      <c r="G502" s="121" t="s">
        <v>1717</v>
      </c>
      <c r="H502" s="99" t="n">
        <v>41592</v>
      </c>
      <c r="I502" s="99" t="n">
        <v>41592</v>
      </c>
      <c r="J502" s="99" t="n">
        <v>2080</v>
      </c>
      <c r="K502" s="99" t="n">
        <v>0</v>
      </c>
      <c r="L502" s="99" t="n">
        <v>0</v>
      </c>
      <c r="M502" s="99" t="n">
        <v>0</v>
      </c>
      <c r="N502" s="99" t="n">
        <v>0</v>
      </c>
      <c r="O502" s="42" t="n">
        <v>39512</v>
      </c>
    </row>
    <row r="503" spans="1:15">
      <c r="A503" s="37" t="n">
        <v>509</v>
      </c>
      <c r="B503" s="97" t="s">
        <v>1718</v>
      </c>
      <c r="C503" s="121" t="s">
        <v>58</v>
      </c>
      <c r="D503" s="121" t="s">
        <v>20</v>
      </c>
      <c r="E503" s="121" t="s">
        <v>21</v>
      </c>
      <c r="F503" s="121" t="s">
        <v>1719</v>
      </c>
      <c r="G503" s="121" t="s">
        <v>1720</v>
      </c>
      <c r="H503" s="99" t="n">
        <v>41592</v>
      </c>
      <c r="I503" s="99" t="n">
        <v>41592</v>
      </c>
      <c r="J503" s="99" t="n">
        <v>2080</v>
      </c>
      <c r="K503" s="99" t="n">
        <v>0</v>
      </c>
      <c r="L503" s="99" t="n">
        <v>0</v>
      </c>
      <c r="M503" s="99" t="n">
        <v>0</v>
      </c>
      <c r="N503" s="99" t="n">
        <v>0</v>
      </c>
      <c r="O503" s="42" t="n">
        <v>39512</v>
      </c>
    </row>
    <row r="504" spans="1:15">
      <c r="A504" s="37" t="n">
        <v>510</v>
      </c>
      <c r="B504" s="97" t="s">
        <v>1721</v>
      </c>
      <c r="C504" s="121" t="s">
        <v>58</v>
      </c>
      <c r="D504" s="121" t="s">
        <v>20</v>
      </c>
      <c r="E504" s="121" t="s">
        <v>21</v>
      </c>
      <c r="F504" s="121" t="s">
        <v>1722</v>
      </c>
      <c r="G504" s="121" t="s">
        <v>1723</v>
      </c>
      <c r="H504" s="99" t="n">
        <v>41592</v>
      </c>
      <c r="I504" s="99" t="n">
        <v>41592</v>
      </c>
      <c r="J504" s="99" t="n">
        <v>2080</v>
      </c>
      <c r="K504" s="99" t="n">
        <v>0</v>
      </c>
      <c r="L504" s="99" t="n">
        <v>0</v>
      </c>
      <c r="M504" s="99" t="n">
        <v>0</v>
      </c>
      <c r="N504" s="99" t="n">
        <v>0</v>
      </c>
      <c r="O504" s="42" t="n">
        <v>39512</v>
      </c>
    </row>
    <row r="505" spans="1:15">
      <c r="A505" s="37" t="n">
        <v>513</v>
      </c>
      <c r="B505" s="97" t="s">
        <v>1730</v>
      </c>
      <c r="C505" s="121" t="s">
        <v>58</v>
      </c>
      <c r="D505" s="121" t="s">
        <v>20</v>
      </c>
      <c r="E505" s="121" t="s">
        <v>21</v>
      </c>
      <c r="F505" s="121" t="s">
        <v>1731</v>
      </c>
      <c r="G505" s="121" t="s">
        <v>1732</v>
      </c>
      <c r="H505" s="99" t="n">
        <v>32540</v>
      </c>
      <c r="I505" s="99" t="n">
        <v>32540</v>
      </c>
      <c r="J505" s="99" t="n">
        <v>1627</v>
      </c>
      <c r="K505" s="99" t="n">
        <v>0</v>
      </c>
      <c r="L505" s="99" t="n">
        <v>0</v>
      </c>
      <c r="M505" s="99" t="n">
        <v>0</v>
      </c>
      <c r="N505" s="99" t="n">
        <v>0</v>
      </c>
      <c r="O505" s="42" t="n">
        <v>30913</v>
      </c>
    </row>
    <row r="506" spans="1:15">
      <c r="A506" s="37" t="n">
        <v>514</v>
      </c>
      <c r="B506" s="97" t="s">
        <v>1733</v>
      </c>
      <c r="C506" s="121" t="s">
        <v>58</v>
      </c>
      <c r="D506" s="121" t="s">
        <v>20</v>
      </c>
      <c r="E506" s="121" t="s">
        <v>21</v>
      </c>
      <c r="F506" s="121" t="s">
        <v>1734</v>
      </c>
      <c r="G506" s="121" t="s">
        <v>1735</v>
      </c>
      <c r="H506" s="99" t="n">
        <v>42444</v>
      </c>
      <c r="I506" s="99" t="n">
        <v>42444</v>
      </c>
      <c r="J506" s="99" t="n">
        <v>2122</v>
      </c>
      <c r="K506" s="99" t="n">
        <v>0</v>
      </c>
      <c r="L506" s="99" t="n">
        <v>0</v>
      </c>
      <c r="M506" s="99" t="n">
        <v>0</v>
      </c>
      <c r="N506" s="99" t="n">
        <v>0</v>
      </c>
      <c r="O506" s="42" t="n">
        <v>40322</v>
      </c>
    </row>
    <row r="507" spans="1:15">
      <c r="A507" s="37" t="n">
        <v>515</v>
      </c>
      <c r="B507" s="97" t="s">
        <v>1736</v>
      </c>
      <c r="C507" s="121" t="s">
        <v>283</v>
      </c>
      <c r="D507" s="121" t="s">
        <v>20</v>
      </c>
      <c r="E507" s="121" t="s">
        <v>21</v>
      </c>
      <c r="F507" s="121" t="s">
        <v>2529</v>
      </c>
      <c r="G507" s="121" t="s">
        <v>1737</v>
      </c>
      <c r="H507" s="99" t="n">
        <v>42444</v>
      </c>
      <c r="I507" s="99" t="n">
        <v>42444</v>
      </c>
      <c r="J507" s="99" t="n">
        <v>0</v>
      </c>
      <c r="K507" s="99" t="n">
        <v>0</v>
      </c>
      <c r="L507" s="99" t="n">
        <v>0</v>
      </c>
      <c r="M507" s="99" t="n">
        <v>0</v>
      </c>
      <c r="N507" s="99" t="n">
        <v>0</v>
      </c>
      <c r="O507" s="42" t="n">
        <v>42444</v>
      </c>
    </row>
    <row r="508" spans="1:15">
      <c r="A508" s="37" t="n">
        <v>517</v>
      </c>
      <c r="B508" s="97" t="s">
        <v>458</v>
      </c>
      <c r="C508" s="121" t="s">
        <v>58</v>
      </c>
      <c r="D508" s="121" t="s">
        <v>20</v>
      </c>
      <c r="E508" s="121" t="s">
        <v>21</v>
      </c>
      <c r="F508" s="121" t="s">
        <v>459</v>
      </c>
      <c r="G508" s="121" t="s">
        <v>460</v>
      </c>
      <c r="H508" s="99" t="n">
        <v>35334</v>
      </c>
      <c r="I508" s="99" t="n">
        <v>35334</v>
      </c>
      <c r="J508" s="99" t="n">
        <v>1767</v>
      </c>
      <c r="K508" s="99" t="n">
        <v>0</v>
      </c>
      <c r="L508" s="99" t="n">
        <v>0</v>
      </c>
      <c r="M508" s="99" t="n">
        <v>0</v>
      </c>
      <c r="N508" s="99" t="n">
        <v>0</v>
      </c>
      <c r="O508" s="42" t="n">
        <v>33567</v>
      </c>
    </row>
    <row r="509" spans="1:15">
      <c r="A509" s="37" t="n">
        <v>518</v>
      </c>
      <c r="B509" s="97" t="s">
        <v>1740</v>
      </c>
      <c r="C509" s="121" t="s">
        <v>19</v>
      </c>
      <c r="D509" s="121" t="s">
        <v>20</v>
      </c>
      <c r="E509" s="121" t="s">
        <v>21</v>
      </c>
      <c r="F509" s="121" t="s">
        <v>1741</v>
      </c>
      <c r="G509" s="121" t="s">
        <v>1742</v>
      </c>
      <c r="H509" s="99" t="n">
        <v>30515</v>
      </c>
      <c r="I509" s="99" t="n">
        <v>30515</v>
      </c>
      <c r="J509" s="99" t="n">
        <v>0</v>
      </c>
      <c r="K509" s="99" t="n">
        <v>4577</v>
      </c>
      <c r="L509" s="99" t="n">
        <v>0</v>
      </c>
      <c r="M509" s="99" t="n">
        <v>0</v>
      </c>
      <c r="N509" s="99" t="n">
        <v>0</v>
      </c>
      <c r="O509" s="42" t="n">
        <v>25938</v>
      </c>
    </row>
    <row r="510" spans="1:15">
      <c r="A510" s="37" t="n">
        <v>519</v>
      </c>
      <c r="B510" s="97" t="s">
        <v>1743</v>
      </c>
      <c r="C510" s="121" t="s">
        <v>58</v>
      </c>
      <c r="D510" s="121" t="s">
        <v>20</v>
      </c>
      <c r="E510" s="121" t="s">
        <v>21</v>
      </c>
      <c r="F510" s="121" t="s">
        <v>1744</v>
      </c>
      <c r="G510" s="121" t="s">
        <v>1745</v>
      </c>
      <c r="H510" s="99" t="n">
        <v>26723</v>
      </c>
      <c r="I510" s="99" t="n">
        <v>26723</v>
      </c>
      <c r="J510" s="99" t="n">
        <v>1336</v>
      </c>
      <c r="K510" s="99" t="n">
        <v>0</v>
      </c>
      <c r="L510" s="99" t="n">
        <v>0</v>
      </c>
      <c r="M510" s="99" t="n">
        <v>0</v>
      </c>
      <c r="N510" s="99" t="n">
        <v>0</v>
      </c>
      <c r="O510" s="42" t="n">
        <v>25387</v>
      </c>
    </row>
    <row r="511" spans="1:15">
      <c r="A511" s="37" t="n">
        <v>520</v>
      </c>
      <c r="B511" s="97" t="s">
        <v>2530</v>
      </c>
      <c r="C511" s="121" t="s">
        <v>58</v>
      </c>
      <c r="D511" s="121" t="s">
        <v>20</v>
      </c>
      <c r="E511" s="121" t="s">
        <v>21</v>
      </c>
      <c r="F511" s="121" t="s">
        <v>2531</v>
      </c>
      <c r="G511" s="121" t="s">
        <v>2532</v>
      </c>
      <c r="H511" s="99" t="n">
        <v>26723</v>
      </c>
      <c r="I511" s="99" t="n">
        <v>26723</v>
      </c>
      <c r="J511" s="99" t="n">
        <v>1336</v>
      </c>
      <c r="K511" s="99" t="n">
        <v>0</v>
      </c>
      <c r="L511" s="99" t="n">
        <v>0</v>
      </c>
      <c r="M511" s="99" t="n">
        <v>0</v>
      </c>
      <c r="N511" s="99" t="n">
        <v>0</v>
      </c>
      <c r="O511" s="42" t="n">
        <v>25387</v>
      </c>
    </row>
    <row r="512" spans="1:15">
      <c r="A512" s="37" t="n">
        <v>521</v>
      </c>
      <c r="B512" s="97" t="s">
        <v>2533</v>
      </c>
      <c r="C512" s="121" t="s">
        <v>58</v>
      </c>
      <c r="D512" s="121" t="s">
        <v>20</v>
      </c>
      <c r="E512" s="121" t="s">
        <v>21</v>
      </c>
      <c r="F512" s="121" t="s">
        <v>2534</v>
      </c>
      <c r="G512" s="121" t="s">
        <v>2535</v>
      </c>
      <c r="H512" s="99" t="n">
        <v>26207</v>
      </c>
      <c r="I512" s="99" t="n">
        <v>26207</v>
      </c>
      <c r="J512" s="99" t="n">
        <v>1310</v>
      </c>
      <c r="K512" s="99" t="n">
        <v>0</v>
      </c>
      <c r="L512" s="99" t="n">
        <v>0</v>
      </c>
      <c r="M512" s="99" t="n">
        <v>0</v>
      </c>
      <c r="N512" s="99" t="n">
        <v>0</v>
      </c>
      <c r="O512" s="42" t="n">
        <v>24897</v>
      </c>
    </row>
    <row r="513" spans="1:15">
      <c r="A513" s="37" t="n">
        <v>522</v>
      </c>
      <c r="B513" s="97" t="s">
        <v>2536</v>
      </c>
      <c r="C513" s="121" t="s">
        <v>58</v>
      </c>
      <c r="D513" s="121" t="s">
        <v>20</v>
      </c>
      <c r="E513" s="121" t="s">
        <v>21</v>
      </c>
      <c r="F513" s="121" t="s">
        <v>2537</v>
      </c>
      <c r="G513" s="121" t="s">
        <v>2538</v>
      </c>
      <c r="H513" s="99" t="n">
        <v>23963</v>
      </c>
      <c r="I513" s="99" t="n">
        <v>23963</v>
      </c>
      <c r="J513" s="99" t="n">
        <v>1198</v>
      </c>
      <c r="K513" s="99" t="n">
        <v>0</v>
      </c>
      <c r="L513" s="99" t="n">
        <v>0</v>
      </c>
      <c r="M513" s="99" t="n">
        <v>0</v>
      </c>
      <c r="N513" s="99" t="n">
        <v>0</v>
      </c>
      <c r="O513" s="42" t="n">
        <v>22765</v>
      </c>
    </row>
    <row r="514" spans="1:15">
      <c r="A514" s="37" t="n">
        <v>523</v>
      </c>
      <c r="B514" s="97" t="s">
        <v>1746</v>
      </c>
      <c r="C514" s="121" t="s">
        <v>58</v>
      </c>
      <c r="D514" s="121" t="s">
        <v>20</v>
      </c>
      <c r="E514" s="121" t="s">
        <v>21</v>
      </c>
      <c r="F514" s="121" t="s">
        <v>1747</v>
      </c>
      <c r="G514" s="121" t="s">
        <v>1748</v>
      </c>
      <c r="H514" s="99" t="n">
        <v>23963</v>
      </c>
      <c r="I514" s="99" t="n">
        <v>23963</v>
      </c>
      <c r="J514" s="99" t="n">
        <v>1198</v>
      </c>
      <c r="K514" s="99" t="n">
        <v>0</v>
      </c>
      <c r="L514" s="99" t="n">
        <v>0</v>
      </c>
      <c r="M514" s="99" t="n">
        <v>0</v>
      </c>
      <c r="N514" s="99" t="n">
        <v>0</v>
      </c>
      <c r="O514" s="42" t="n">
        <v>22765</v>
      </c>
    </row>
    <row r="515" spans="1:15">
      <c r="A515" s="37" t="n">
        <v>524</v>
      </c>
      <c r="B515" s="97" t="s">
        <v>1749</v>
      </c>
      <c r="C515" s="121" t="s">
        <v>58</v>
      </c>
      <c r="D515" s="121" t="s">
        <v>20</v>
      </c>
      <c r="E515" s="121" t="s">
        <v>21</v>
      </c>
      <c r="F515" s="121" t="s">
        <v>1750</v>
      </c>
      <c r="G515" s="121" t="s">
        <v>1752</v>
      </c>
      <c r="H515" s="99" t="n">
        <v>23447</v>
      </c>
      <c r="I515" s="99" t="n">
        <v>23447</v>
      </c>
      <c r="J515" s="99" t="n">
        <v>1172</v>
      </c>
      <c r="K515" s="99" t="n">
        <v>0</v>
      </c>
      <c r="L515" s="99" t="n">
        <v>0</v>
      </c>
      <c r="M515" s="99" t="n">
        <v>0</v>
      </c>
      <c r="N515" s="99" t="n">
        <v>0</v>
      </c>
      <c r="O515" s="42" t="n">
        <v>22275</v>
      </c>
    </row>
    <row r="516" spans="1:15">
      <c r="A516" s="37" t="n">
        <v>525</v>
      </c>
      <c r="B516" s="97" t="s">
        <v>2539</v>
      </c>
      <c r="C516" s="121" t="s">
        <v>120</v>
      </c>
      <c r="D516" s="121" t="s">
        <v>128</v>
      </c>
      <c r="E516" s="121" t="s">
        <v>15</v>
      </c>
      <c r="F516" s="121" t="s">
        <v>2700</v>
      </c>
      <c r="G516" s="121" t="s">
        <v>2540</v>
      </c>
      <c r="H516" s="99" t="n">
        <v>23447</v>
      </c>
      <c r="I516" s="99" t="n">
        <v>23447</v>
      </c>
      <c r="J516" s="99" t="n">
        <v>0</v>
      </c>
      <c r="K516" s="99" t="n">
        <v>0</v>
      </c>
      <c r="L516" s="99" t="n">
        <v>0</v>
      </c>
      <c r="M516" s="99" t="n">
        <v>0</v>
      </c>
      <c r="N516" s="99" t="n">
        <v>0</v>
      </c>
      <c r="O516" s="42" t="n">
        <v>23447</v>
      </c>
    </row>
    <row r="517" spans="1:15">
      <c r="A517" s="37" t="n">
        <v>526</v>
      </c>
      <c r="B517" s="97" t="s">
        <v>2541</v>
      </c>
      <c r="C517" s="121" t="s">
        <v>120</v>
      </c>
      <c r="D517" s="121" t="s">
        <v>128</v>
      </c>
      <c r="E517" s="121" t="s">
        <v>15</v>
      </c>
      <c r="F517" s="121" t="s">
        <v>2701</v>
      </c>
      <c r="G517" s="121" t="s">
        <v>2542</v>
      </c>
      <c r="H517" s="99" t="n">
        <v>23447</v>
      </c>
      <c r="I517" s="99" t="n">
        <v>23447</v>
      </c>
      <c r="J517" s="99" t="n">
        <v>0</v>
      </c>
      <c r="K517" s="99" t="n">
        <v>0</v>
      </c>
      <c r="L517" s="99" t="n">
        <v>0</v>
      </c>
      <c r="M517" s="99" t="n">
        <v>0</v>
      </c>
      <c r="N517" s="99" t="n">
        <v>0</v>
      </c>
      <c r="O517" s="42" t="n">
        <v>23447</v>
      </c>
    </row>
    <row r="518" spans="1:15">
      <c r="A518" s="37" t="n">
        <v>527</v>
      </c>
      <c r="B518" s="97" t="s">
        <v>1761</v>
      </c>
      <c r="C518" s="121" t="s">
        <v>95</v>
      </c>
      <c r="D518" s="121" t="s">
        <v>128</v>
      </c>
      <c r="E518" s="121" t="s">
        <v>15</v>
      </c>
      <c r="F518" s="121" t="s">
        <v>2074</v>
      </c>
      <c r="G518" s="121" t="s">
        <v>1763</v>
      </c>
      <c r="H518" s="99" t="n">
        <v>19547</v>
      </c>
      <c r="I518" s="99" t="n">
        <v>19547</v>
      </c>
      <c r="J518" s="99" t="n">
        <v>0</v>
      </c>
      <c r="K518" s="99" t="n">
        <v>0</v>
      </c>
      <c r="L518" s="99" t="n">
        <v>0</v>
      </c>
      <c r="M518" s="99" t="n">
        <v>0</v>
      </c>
      <c r="N518" s="99" t="n">
        <v>0</v>
      </c>
      <c r="O518" s="42" t="n">
        <v>19547</v>
      </c>
    </row>
    <row r="519" spans="1:15">
      <c r="A519" s="37" t="n">
        <v>528</v>
      </c>
      <c r="B519" s="97" t="s">
        <v>1753</v>
      </c>
      <c r="C519" s="121" t="s">
        <v>111</v>
      </c>
      <c r="D519" s="121" t="s">
        <v>20</v>
      </c>
      <c r="E519" s="121" t="s">
        <v>21</v>
      </c>
      <c r="F519" s="121" t="s">
        <v>1754</v>
      </c>
      <c r="G519" s="121" t="s">
        <v>1756</v>
      </c>
      <c r="H519" s="99" t="n">
        <v>23447</v>
      </c>
      <c r="I519" s="99" t="n">
        <v>23447</v>
      </c>
      <c r="J519" s="99" t="n">
        <v>0</v>
      </c>
      <c r="K519" s="99" t="n">
        <v>0</v>
      </c>
      <c r="L519" s="99" t="n">
        <v>0</v>
      </c>
      <c r="M519" s="99" t="n">
        <v>0</v>
      </c>
      <c r="N519" s="99" t="n">
        <v>0</v>
      </c>
      <c r="O519" s="42" t="n">
        <v>23447</v>
      </c>
    </row>
    <row r="520" spans="1:15">
      <c r="A520" s="37" t="n">
        <v>529</v>
      </c>
      <c r="B520" s="97" t="s">
        <v>1774</v>
      </c>
      <c r="C520" s="121" t="s">
        <v>58</v>
      </c>
      <c r="D520" s="121" t="s">
        <v>20</v>
      </c>
      <c r="E520" s="121" t="s">
        <v>21</v>
      </c>
      <c r="F520" s="121" t="s">
        <v>1775</v>
      </c>
      <c r="G520" s="121" t="s">
        <v>1777</v>
      </c>
      <c r="H520" s="99" t="n">
        <v>19547</v>
      </c>
      <c r="I520" s="99" t="n">
        <v>19547</v>
      </c>
      <c r="J520" s="99" t="n">
        <v>977</v>
      </c>
      <c r="K520" s="99" t="n">
        <v>0</v>
      </c>
      <c r="L520" s="99" t="n">
        <v>0</v>
      </c>
      <c r="M520" s="99" t="n">
        <v>0</v>
      </c>
      <c r="N520" s="99" t="n">
        <v>0</v>
      </c>
      <c r="O520" s="42" t="n">
        <v>18570</v>
      </c>
    </row>
    <row r="521" spans="1:15">
      <c r="A521" s="37" t="n">
        <v>530</v>
      </c>
      <c r="B521" s="97" t="s">
        <v>1778</v>
      </c>
      <c r="C521" s="121" t="s">
        <v>111</v>
      </c>
      <c r="D521" s="121" t="s">
        <v>20</v>
      </c>
      <c r="E521" s="121" t="s">
        <v>21</v>
      </c>
      <c r="F521" s="121" t="s">
        <v>1779</v>
      </c>
      <c r="G521" s="121" t="s">
        <v>1781</v>
      </c>
      <c r="H521" s="99" t="n">
        <v>17448</v>
      </c>
      <c r="I521" s="99" t="n">
        <v>17448</v>
      </c>
      <c r="J521" s="99" t="n">
        <v>0</v>
      </c>
      <c r="K521" s="99" t="n">
        <v>0</v>
      </c>
      <c r="L521" s="99" t="n">
        <v>0</v>
      </c>
      <c r="M521" s="99" t="n">
        <v>0</v>
      </c>
      <c r="N521" s="99" t="n">
        <v>0</v>
      </c>
      <c r="O521" s="42" t="n">
        <v>17448</v>
      </c>
    </row>
    <row r="522" spans="1:15">
      <c r="A522" s="37" t="n">
        <v>531</v>
      </c>
      <c r="B522" s="97" t="s">
        <v>1782</v>
      </c>
      <c r="C522" s="121" t="s">
        <v>111</v>
      </c>
      <c r="D522" s="121" t="s">
        <v>20</v>
      </c>
      <c r="E522" s="121" t="s">
        <v>21</v>
      </c>
      <c r="F522" s="121" t="s">
        <v>1783</v>
      </c>
      <c r="G522" s="121" t="s">
        <v>1784</v>
      </c>
      <c r="H522" s="99" t="n">
        <v>17448</v>
      </c>
      <c r="I522" s="99" t="n">
        <v>17448</v>
      </c>
      <c r="J522" s="99" t="n">
        <v>0</v>
      </c>
      <c r="K522" s="99" t="n">
        <v>0</v>
      </c>
      <c r="L522" s="99" t="n">
        <v>0</v>
      </c>
      <c r="M522" s="99" t="n">
        <v>0</v>
      </c>
      <c r="N522" s="99" t="n">
        <v>0</v>
      </c>
      <c r="O522" s="42" t="n">
        <v>17448</v>
      </c>
    </row>
    <row r="523" spans="1:15">
      <c r="A523" s="37" t="n">
        <v>533</v>
      </c>
      <c r="B523" s="97" t="s">
        <v>585</v>
      </c>
      <c r="C523" s="121" t="s">
        <v>111</v>
      </c>
      <c r="D523" s="121" t="s">
        <v>20</v>
      </c>
      <c r="E523" s="121" t="s">
        <v>21</v>
      </c>
      <c r="F523" s="121" t="s">
        <v>586</v>
      </c>
      <c r="G523" s="121" t="s">
        <v>588</v>
      </c>
      <c r="H523" s="99" t="n">
        <v>17448</v>
      </c>
      <c r="I523" s="99" t="n">
        <v>17448</v>
      </c>
      <c r="J523" s="99" t="n">
        <v>0</v>
      </c>
      <c r="K523" s="99" t="n">
        <v>0</v>
      </c>
      <c r="L523" s="99" t="n">
        <v>0</v>
      </c>
      <c r="M523" s="99" t="n">
        <v>0</v>
      </c>
      <c r="N523" s="99" t="n">
        <v>0</v>
      </c>
      <c r="O523" s="42" t="n">
        <v>17448</v>
      </c>
    </row>
    <row r="524" spans="1:15">
      <c r="A524" s="37" t="n">
        <v>534</v>
      </c>
      <c r="B524" s="97" t="s">
        <v>2546</v>
      </c>
      <c r="C524" s="121" t="s">
        <v>120</v>
      </c>
      <c r="D524" s="121" t="s">
        <v>128</v>
      </c>
      <c r="E524" s="121" t="s">
        <v>15</v>
      </c>
      <c r="F524" s="121" t="s">
        <v>2702</v>
      </c>
      <c r="G524" s="121" t="s">
        <v>2547</v>
      </c>
      <c r="H524" s="99" t="n">
        <v>15276</v>
      </c>
      <c r="I524" s="99" t="n">
        <v>15276</v>
      </c>
      <c r="J524" s="99" t="n">
        <v>0</v>
      </c>
      <c r="K524" s="99" t="n">
        <v>0</v>
      </c>
      <c r="L524" s="99" t="n">
        <v>0</v>
      </c>
      <c r="M524" s="99" t="n">
        <v>0</v>
      </c>
      <c r="N524" s="99" t="n">
        <v>0</v>
      </c>
      <c r="O524" s="42" t="n">
        <v>15276</v>
      </c>
    </row>
    <row r="525" spans="1:15">
      <c r="A525" s="37" t="n">
        <v>535</v>
      </c>
      <c r="B525" s="97" t="s">
        <v>1785</v>
      </c>
      <c r="C525" s="121" t="s">
        <v>120</v>
      </c>
      <c r="D525" s="121" t="s">
        <v>128</v>
      </c>
      <c r="E525" s="121" t="s">
        <v>15</v>
      </c>
      <c r="F525" s="121" t="s">
        <v>2703</v>
      </c>
      <c r="G525" s="121" t="s">
        <v>1787</v>
      </c>
      <c r="H525" s="99" t="n">
        <v>14760</v>
      </c>
      <c r="I525" s="99" t="n">
        <v>14760</v>
      </c>
      <c r="J525" s="99" t="n">
        <v>0</v>
      </c>
      <c r="K525" s="99" t="n">
        <v>0</v>
      </c>
      <c r="L525" s="99" t="n">
        <v>0</v>
      </c>
      <c r="M525" s="99" t="n">
        <v>0</v>
      </c>
      <c r="N525" s="99" t="n">
        <v>0</v>
      </c>
      <c r="O525" s="42" t="n">
        <v>14760</v>
      </c>
    </row>
    <row r="526" spans="1:15">
      <c r="A526" s="37" t="n">
        <v>536</v>
      </c>
      <c r="B526" s="97" t="s">
        <v>1788</v>
      </c>
      <c r="C526" s="121" t="s">
        <v>120</v>
      </c>
      <c r="D526" s="121" t="s">
        <v>128</v>
      </c>
      <c r="E526" s="121" t="s">
        <v>15</v>
      </c>
      <c r="F526" s="121" t="s">
        <v>2704</v>
      </c>
      <c r="G526" s="121" t="s">
        <v>1789</v>
      </c>
      <c r="H526" s="99" t="n">
        <v>15792</v>
      </c>
      <c r="I526" s="99" t="n">
        <v>15792</v>
      </c>
      <c r="J526" s="99" t="n">
        <v>0</v>
      </c>
      <c r="K526" s="99" t="n">
        <v>0</v>
      </c>
      <c r="L526" s="99" t="n">
        <v>0</v>
      </c>
      <c r="M526" s="99" t="n">
        <v>0</v>
      </c>
      <c r="N526" s="99" t="n">
        <v>0</v>
      </c>
      <c r="O526" s="42" t="n">
        <v>15792</v>
      </c>
    </row>
    <row r="527" spans="1:15">
      <c r="A527" s="37" t="n">
        <v>537</v>
      </c>
      <c r="B527" s="97" t="s">
        <v>1790</v>
      </c>
      <c r="C527" s="121" t="s">
        <v>120</v>
      </c>
      <c r="D527" s="121" t="s">
        <v>278</v>
      </c>
      <c r="E527" s="121" t="s">
        <v>16</v>
      </c>
      <c r="F527" s="121" t="s">
        <v>2074</v>
      </c>
      <c r="G527" s="121" t="s">
        <v>1792</v>
      </c>
      <c r="H527" s="99" t="n">
        <v>15276</v>
      </c>
      <c r="I527" s="99" t="n">
        <v>15276</v>
      </c>
      <c r="J527" s="99" t="n">
        <v>0</v>
      </c>
      <c r="K527" s="99" t="n">
        <v>0</v>
      </c>
      <c r="L527" s="99" t="n">
        <v>0</v>
      </c>
      <c r="M527" s="99" t="n">
        <v>0</v>
      </c>
      <c r="N527" s="99" t="n">
        <v>0</v>
      </c>
      <c r="O527" s="42" t="n">
        <v>15276</v>
      </c>
    </row>
    <row r="528" spans="1:15">
      <c r="A528" s="37" t="n">
        <v>538</v>
      </c>
      <c r="B528" s="97" t="s">
        <v>1795</v>
      </c>
      <c r="C528" s="121" t="s">
        <v>120</v>
      </c>
      <c r="D528" s="121" t="s">
        <v>128</v>
      </c>
      <c r="E528" s="121" t="s">
        <v>15</v>
      </c>
      <c r="F528" s="121" t="s">
        <v>2705</v>
      </c>
      <c r="G528" s="121" t="s">
        <v>1796</v>
      </c>
      <c r="H528" s="99" t="n">
        <v>15792</v>
      </c>
      <c r="I528" s="99" t="n">
        <v>15792</v>
      </c>
      <c r="J528" s="99" t="n">
        <v>0</v>
      </c>
      <c r="K528" s="99" t="n">
        <v>0</v>
      </c>
      <c r="L528" s="99" t="n">
        <v>0</v>
      </c>
      <c r="M528" s="99" t="n">
        <v>0</v>
      </c>
      <c r="N528" s="99" t="n">
        <v>0</v>
      </c>
      <c r="O528" s="42" t="n">
        <v>15792</v>
      </c>
    </row>
    <row r="529" spans="1:15">
      <c r="A529" s="37" t="n">
        <v>539</v>
      </c>
      <c r="B529" s="97" t="s">
        <v>1799</v>
      </c>
      <c r="C529" s="121" t="s">
        <v>120</v>
      </c>
      <c r="D529" s="121" t="s">
        <v>278</v>
      </c>
      <c r="E529" s="121" t="s">
        <v>16</v>
      </c>
      <c r="F529" s="121" t="s">
        <v>2706</v>
      </c>
      <c r="G529" s="121" t="s">
        <v>1800</v>
      </c>
      <c r="H529" s="99" t="n">
        <v>15276</v>
      </c>
      <c r="I529" s="99" t="n">
        <v>15276</v>
      </c>
      <c r="J529" s="99" t="n">
        <v>0</v>
      </c>
      <c r="K529" s="99" t="n">
        <v>0</v>
      </c>
      <c r="L529" s="99" t="n">
        <v>0</v>
      </c>
      <c r="M529" s="99" t="n">
        <v>0</v>
      </c>
      <c r="N529" s="99" t="n">
        <v>0</v>
      </c>
      <c r="O529" s="42" t="n">
        <v>15276</v>
      </c>
    </row>
    <row r="530" spans="1:15">
      <c r="A530" s="37" t="n">
        <v>540</v>
      </c>
      <c r="B530" s="97" t="s">
        <v>1793</v>
      </c>
      <c r="C530" s="121" t="s">
        <v>120</v>
      </c>
      <c r="D530" s="121" t="s">
        <v>128</v>
      </c>
      <c r="E530" s="121" t="s">
        <v>15</v>
      </c>
      <c r="F530" s="121" t="s">
        <v>2707</v>
      </c>
      <c r="G530" s="121" t="s">
        <v>1794</v>
      </c>
      <c r="H530" s="99" t="n">
        <v>15792</v>
      </c>
      <c r="I530" s="99" t="n">
        <v>15792</v>
      </c>
      <c r="J530" s="99" t="n">
        <v>0</v>
      </c>
      <c r="K530" s="99" t="n">
        <v>0</v>
      </c>
      <c r="L530" s="99" t="n">
        <v>0</v>
      </c>
      <c r="M530" s="99" t="n">
        <v>0</v>
      </c>
      <c r="N530" s="99" t="n">
        <v>0</v>
      </c>
      <c r="O530" s="42" t="n">
        <v>15792</v>
      </c>
    </row>
    <row r="531" spans="1:15">
      <c r="A531" s="37" t="n">
        <v>541</v>
      </c>
      <c r="B531" s="97" t="s">
        <v>1806</v>
      </c>
      <c r="C531" s="121" t="s">
        <v>95</v>
      </c>
      <c r="D531" s="121" t="s">
        <v>278</v>
      </c>
      <c r="E531" s="121" t="s">
        <v>16</v>
      </c>
      <c r="F531" s="121" t="s">
        <v>2708</v>
      </c>
      <c r="G531" s="121" t="s">
        <v>1807</v>
      </c>
      <c r="H531" s="99" t="n">
        <v>15792</v>
      </c>
      <c r="I531" s="99" t="n">
        <v>15792</v>
      </c>
      <c r="J531" s="99" t="n">
        <v>0</v>
      </c>
      <c r="K531" s="99" t="n">
        <v>0</v>
      </c>
      <c r="L531" s="99" t="n">
        <v>0</v>
      </c>
      <c r="M531" s="99" t="n">
        <v>0</v>
      </c>
      <c r="N531" s="99" t="n">
        <v>0</v>
      </c>
      <c r="O531" s="42" t="n">
        <v>15792</v>
      </c>
    </row>
    <row r="532" spans="1:15">
      <c r="A532" s="37" t="n">
        <v>542</v>
      </c>
      <c r="B532" s="97" t="s">
        <v>1797</v>
      </c>
      <c r="C532" s="121" t="s">
        <v>120</v>
      </c>
      <c r="D532" s="121" t="s">
        <v>278</v>
      </c>
      <c r="E532" s="121" t="s">
        <v>16</v>
      </c>
      <c r="F532" s="121" t="s">
        <v>2709</v>
      </c>
      <c r="G532" s="121" t="s">
        <v>1798</v>
      </c>
      <c r="H532" s="99" t="n">
        <v>15792</v>
      </c>
      <c r="I532" s="99" t="n">
        <v>15792</v>
      </c>
      <c r="J532" s="99" t="n">
        <v>0</v>
      </c>
      <c r="K532" s="99" t="n">
        <v>0</v>
      </c>
      <c r="L532" s="99" t="n">
        <v>0</v>
      </c>
      <c r="M532" s="99" t="n">
        <v>0</v>
      </c>
      <c r="N532" s="99" t="n">
        <v>0</v>
      </c>
      <c r="O532" s="42" t="n">
        <v>15792</v>
      </c>
    </row>
    <row r="533" spans="1:15">
      <c r="A533" s="37" t="n">
        <v>543</v>
      </c>
      <c r="B533" s="97" t="s">
        <v>1803</v>
      </c>
      <c r="C533" s="121" t="s">
        <v>120</v>
      </c>
      <c r="D533" s="121" t="s">
        <v>128</v>
      </c>
      <c r="E533" s="121" t="s">
        <v>15</v>
      </c>
      <c r="F533" s="121" t="s">
        <v>2710</v>
      </c>
      <c r="G533" s="121" t="s">
        <v>1805</v>
      </c>
      <c r="H533" s="99" t="n">
        <v>15792</v>
      </c>
      <c r="I533" s="99" t="n">
        <v>15792</v>
      </c>
      <c r="J533" s="99" t="n">
        <v>0</v>
      </c>
      <c r="K533" s="99" t="n">
        <v>0</v>
      </c>
      <c r="L533" s="99" t="n">
        <v>0</v>
      </c>
      <c r="M533" s="99" t="n">
        <v>0</v>
      </c>
      <c r="N533" s="99" t="n">
        <v>0</v>
      </c>
      <c r="O533" s="42" t="n">
        <v>15792</v>
      </c>
    </row>
    <row r="534" spans="1:15">
      <c r="A534" s="37" t="n">
        <v>544</v>
      </c>
      <c r="B534" s="97" t="s">
        <v>1808</v>
      </c>
      <c r="C534" s="121" t="s">
        <v>95</v>
      </c>
      <c r="D534" s="121" t="s">
        <v>124</v>
      </c>
      <c r="E534" s="121" t="s">
        <v>15</v>
      </c>
      <c r="F534" s="121" t="s">
        <v>2711</v>
      </c>
      <c r="G534" s="121" t="s">
        <v>1809</v>
      </c>
      <c r="H534" s="99" t="n">
        <v>15792</v>
      </c>
      <c r="I534" s="99" t="n">
        <v>15792</v>
      </c>
      <c r="J534" s="99" t="n">
        <v>0</v>
      </c>
      <c r="K534" s="99" t="n">
        <v>0</v>
      </c>
      <c r="L534" s="99" t="n">
        <v>0</v>
      </c>
      <c r="M534" s="99" t="n">
        <v>0</v>
      </c>
      <c r="N534" s="99" t="n">
        <v>0</v>
      </c>
      <c r="O534" s="42" t="n">
        <v>15792</v>
      </c>
    </row>
    <row r="535" spans="1:15">
      <c r="A535" s="37" t="n">
        <v>545</v>
      </c>
      <c r="B535" s="97" t="s">
        <v>1810</v>
      </c>
      <c r="C535" s="121" t="s">
        <v>95</v>
      </c>
      <c r="D535" s="121" t="s">
        <v>124</v>
      </c>
      <c r="E535" s="121" t="s">
        <v>15</v>
      </c>
      <c r="F535" s="121" t="s">
        <v>2712</v>
      </c>
      <c r="G535" s="121" t="s">
        <v>1811</v>
      </c>
      <c r="H535" s="99" t="n">
        <v>15792</v>
      </c>
      <c r="I535" s="99" t="n">
        <v>15792</v>
      </c>
      <c r="J535" s="99" t="n">
        <v>0</v>
      </c>
      <c r="K535" s="99" t="n">
        <v>0</v>
      </c>
      <c r="L535" s="99" t="n">
        <v>0</v>
      </c>
      <c r="M535" s="99" t="n">
        <v>0</v>
      </c>
      <c r="N535" s="99" t="n">
        <v>0</v>
      </c>
      <c r="O535" s="42" t="n">
        <v>15792</v>
      </c>
    </row>
    <row r="536" spans="1:15">
      <c r="A536" s="37" t="n">
        <v>546</v>
      </c>
      <c r="B536" s="97" t="s">
        <v>1812</v>
      </c>
      <c r="C536" s="121" t="s">
        <v>95</v>
      </c>
      <c r="D536" s="121" t="s">
        <v>128</v>
      </c>
      <c r="E536" s="121" t="s">
        <v>15</v>
      </c>
      <c r="F536" s="121" t="s">
        <v>2713</v>
      </c>
      <c r="G536" s="121" t="s">
        <v>1813</v>
      </c>
      <c r="H536" s="99" t="n">
        <v>15792</v>
      </c>
      <c r="I536" s="99" t="n">
        <v>15792</v>
      </c>
      <c r="J536" s="99" t="n">
        <v>0</v>
      </c>
      <c r="K536" s="99" t="n">
        <v>0</v>
      </c>
      <c r="L536" s="99" t="n">
        <v>0</v>
      </c>
      <c r="M536" s="99" t="n">
        <v>0</v>
      </c>
      <c r="N536" s="99" t="n">
        <v>0</v>
      </c>
      <c r="O536" s="42" t="n">
        <v>15792</v>
      </c>
    </row>
    <row r="537" spans="1:15">
      <c r="A537" s="37" t="n">
        <v>547</v>
      </c>
      <c r="B537" s="97" t="s">
        <v>1801</v>
      </c>
      <c r="C537" s="121" t="s">
        <v>95</v>
      </c>
      <c r="D537" s="121" t="s">
        <v>128</v>
      </c>
      <c r="E537" s="121" t="s">
        <v>15</v>
      </c>
      <c r="F537" s="121" t="s">
        <v>2714</v>
      </c>
      <c r="G537" s="121" t="s">
        <v>1802</v>
      </c>
      <c r="H537" s="99" t="n">
        <v>15792</v>
      </c>
      <c r="I537" s="99" t="n">
        <v>15792</v>
      </c>
      <c r="J537" s="99" t="n">
        <v>0</v>
      </c>
      <c r="K537" s="99" t="n">
        <v>0</v>
      </c>
      <c r="L537" s="99" t="n">
        <v>0</v>
      </c>
      <c r="M537" s="99" t="n">
        <v>0</v>
      </c>
      <c r="N537" s="99" t="n">
        <v>0</v>
      </c>
      <c r="O537" s="42" t="n">
        <v>15792</v>
      </c>
    </row>
    <row r="538" spans="1:15">
      <c r="A538" s="37" t="n">
        <v>548</v>
      </c>
      <c r="B538" s="97" t="s">
        <v>1814</v>
      </c>
      <c r="C538" s="121" t="s">
        <v>95</v>
      </c>
      <c r="D538" s="121" t="s">
        <v>278</v>
      </c>
      <c r="E538" s="121" t="s">
        <v>16</v>
      </c>
      <c r="F538" s="121" t="s">
        <v>2715</v>
      </c>
      <c r="G538" s="121" t="s">
        <v>1816</v>
      </c>
      <c r="H538" s="99" t="n">
        <v>15792</v>
      </c>
      <c r="I538" s="99" t="n">
        <v>15792</v>
      </c>
      <c r="J538" s="99" t="n">
        <v>0</v>
      </c>
      <c r="K538" s="99" t="n">
        <v>0</v>
      </c>
      <c r="L538" s="99" t="n">
        <v>0</v>
      </c>
      <c r="M538" s="99" t="n">
        <v>0</v>
      </c>
      <c r="N538" s="99" t="n">
        <v>0</v>
      </c>
      <c r="O538" s="42" t="n">
        <v>15792</v>
      </c>
    </row>
    <row r="539" spans="1:15">
      <c r="A539" s="37" t="n">
        <v>549</v>
      </c>
      <c r="B539" s="97" t="s">
        <v>2548</v>
      </c>
      <c r="C539" s="121" t="s">
        <v>58</v>
      </c>
      <c r="D539" s="121" t="s">
        <v>128</v>
      </c>
      <c r="E539" s="121" t="s">
        <v>15</v>
      </c>
      <c r="F539" s="121" t="s">
        <v>2549</v>
      </c>
      <c r="G539" s="121" t="s">
        <v>2550</v>
      </c>
      <c r="H539" s="99" t="n">
        <v>64446</v>
      </c>
      <c r="I539" s="99" t="n">
        <v>64446</v>
      </c>
      <c r="J539" s="99" t="n">
        <v>3222</v>
      </c>
      <c r="K539" s="99" t="n">
        <v>0</v>
      </c>
      <c r="L539" s="99" t="n">
        <v>0</v>
      </c>
      <c r="M539" s="99" t="n">
        <v>0</v>
      </c>
      <c r="N539" s="99" t="n">
        <v>0</v>
      </c>
      <c r="O539" s="42" t="n">
        <v>61224</v>
      </c>
    </row>
    <row r="540" spans="1:15">
      <c r="A540" s="37" t="n">
        <v>550</v>
      </c>
      <c r="B540" s="97" t="s">
        <v>1820</v>
      </c>
      <c r="C540" s="121" t="s">
        <v>19</v>
      </c>
      <c r="D540" s="121" t="s">
        <v>20</v>
      </c>
      <c r="E540" s="121" t="s">
        <v>21</v>
      </c>
      <c r="F540" s="121" t="s">
        <v>1821</v>
      </c>
      <c r="G540" s="121" t="s">
        <v>1823</v>
      </c>
      <c r="H540" s="99" t="n">
        <v>55974</v>
      </c>
      <c r="I540" s="99" t="n">
        <v>55974</v>
      </c>
      <c r="J540" s="99" t="n">
        <v>0</v>
      </c>
      <c r="K540" s="99" t="n">
        <v>8396</v>
      </c>
      <c r="L540" s="99" t="n">
        <v>0</v>
      </c>
      <c r="M540" s="99" t="n">
        <v>0</v>
      </c>
      <c r="N540" s="99" t="n">
        <v>0</v>
      </c>
      <c r="O540" s="42" t="n">
        <v>47578</v>
      </c>
    </row>
    <row r="541" spans="1:15">
      <c r="A541" s="37" t="n">
        <v>551</v>
      </c>
      <c r="B541" s="97" t="s">
        <v>452</v>
      </c>
      <c r="C541" s="121" t="s">
        <v>19</v>
      </c>
      <c r="D541" s="121" t="s">
        <v>20</v>
      </c>
      <c r="E541" s="121" t="s">
        <v>21</v>
      </c>
      <c r="F541" s="121" t="s">
        <v>453</v>
      </c>
      <c r="G541" s="121" t="s">
        <v>454</v>
      </c>
      <c r="H541" s="99" t="n">
        <v>53151</v>
      </c>
      <c r="I541" s="99" t="n">
        <v>53151</v>
      </c>
      <c r="J541" s="99" t="n">
        <v>0</v>
      </c>
      <c r="K541" s="99" t="n">
        <v>7973</v>
      </c>
      <c r="L541" s="99" t="n">
        <v>0</v>
      </c>
      <c r="M541" s="99" t="n">
        <v>0</v>
      </c>
      <c r="N541" s="99" t="n">
        <v>0</v>
      </c>
      <c r="O541" s="42" t="n">
        <v>45178</v>
      </c>
    </row>
    <row r="542" spans="1:15">
      <c r="A542" s="37" t="n">
        <v>552</v>
      </c>
      <c r="B542" s="97" t="s">
        <v>2551</v>
      </c>
      <c r="C542" s="121" t="s">
        <v>95</v>
      </c>
      <c r="D542" s="121" t="s">
        <v>128</v>
      </c>
      <c r="E542" s="121" t="s">
        <v>15</v>
      </c>
      <c r="F542" s="121" t="s">
        <v>2716</v>
      </c>
      <c r="G542" s="121" t="s">
        <v>2552</v>
      </c>
      <c r="H542" s="99" t="n">
        <v>50328</v>
      </c>
      <c r="I542" s="99" t="n">
        <v>50328</v>
      </c>
      <c r="J542" s="99" t="n">
        <v>0</v>
      </c>
      <c r="K542" s="99" t="n">
        <v>0</v>
      </c>
      <c r="L542" s="99" t="n">
        <v>0</v>
      </c>
      <c r="M542" s="99" t="n">
        <v>0</v>
      </c>
      <c r="N542" s="99" t="n">
        <v>0</v>
      </c>
      <c r="O542" s="42" t="n">
        <v>50328</v>
      </c>
    </row>
    <row r="543" spans="1:15">
      <c r="A543" s="37" t="n">
        <v>553</v>
      </c>
      <c r="B543" s="97" t="s">
        <v>1835</v>
      </c>
      <c r="C543" s="121" t="s">
        <v>131</v>
      </c>
      <c r="D543" s="121" t="s">
        <v>20</v>
      </c>
      <c r="E543" s="121" t="s">
        <v>21</v>
      </c>
      <c r="F543" s="121" t="s">
        <v>1836</v>
      </c>
      <c r="G543" s="121" t="s">
        <v>1838</v>
      </c>
      <c r="H543" s="99" t="n">
        <v>47505</v>
      </c>
      <c r="I543" s="99" t="n">
        <v>47505</v>
      </c>
      <c r="J543" s="99" t="n">
        <v>2375</v>
      </c>
      <c r="K543" s="99" t="n">
        <v>0</v>
      </c>
      <c r="L543" s="99" t="n">
        <v>0</v>
      </c>
      <c r="M543" s="99" t="n">
        <v>0</v>
      </c>
      <c r="N543" s="99" t="n">
        <v>0</v>
      </c>
      <c r="O543" s="42" t="n">
        <v>45130</v>
      </c>
    </row>
    <row r="544" spans="1:15">
      <c r="A544" s="37" t="n">
        <v>554</v>
      </c>
      <c r="B544" s="97" t="s">
        <v>2553</v>
      </c>
      <c r="C544" s="121" t="s">
        <v>95</v>
      </c>
      <c r="D544" s="121" t="s">
        <v>128</v>
      </c>
      <c r="E544" s="121" t="s">
        <v>15</v>
      </c>
      <c r="F544" s="121" t="s">
        <v>2717</v>
      </c>
      <c r="G544" s="121" t="s">
        <v>2554</v>
      </c>
      <c r="H544" s="99" t="n">
        <v>47505</v>
      </c>
      <c r="I544" s="99" t="n">
        <v>47505</v>
      </c>
      <c r="J544" s="99" t="n">
        <v>0</v>
      </c>
      <c r="K544" s="99" t="n">
        <v>0</v>
      </c>
      <c r="L544" s="99" t="n">
        <v>0</v>
      </c>
      <c r="M544" s="99" t="n">
        <v>0</v>
      </c>
      <c r="N544" s="99" t="n">
        <v>0</v>
      </c>
      <c r="O544" s="42" t="n">
        <v>47505</v>
      </c>
    </row>
    <row r="545" spans="1:15">
      <c r="A545" s="37" t="n">
        <v>555</v>
      </c>
      <c r="B545" s="97" t="s">
        <v>1839</v>
      </c>
      <c r="C545" s="121" t="s">
        <v>131</v>
      </c>
      <c r="D545" s="121" t="s">
        <v>20</v>
      </c>
      <c r="E545" s="121" t="s">
        <v>21</v>
      </c>
      <c r="F545" s="121" t="s">
        <v>1840</v>
      </c>
      <c r="G545" s="121" t="s">
        <v>1842</v>
      </c>
      <c r="H545" s="99" t="n">
        <v>45247</v>
      </c>
      <c r="I545" s="99" t="n">
        <v>45247</v>
      </c>
      <c r="J545" s="99" t="n">
        <v>2262</v>
      </c>
      <c r="K545" s="99" t="n">
        <v>0</v>
      </c>
      <c r="L545" s="99" t="n">
        <v>0</v>
      </c>
      <c r="M545" s="99" t="n">
        <v>0</v>
      </c>
      <c r="N545" s="99" t="n">
        <v>0</v>
      </c>
      <c r="O545" s="42" t="n">
        <v>42985</v>
      </c>
    </row>
    <row r="546" spans="1:15">
      <c r="A546" s="37" t="n">
        <v>556</v>
      </c>
      <c r="B546" s="97" t="s">
        <v>2555</v>
      </c>
      <c r="C546" s="121" t="s">
        <v>95</v>
      </c>
      <c r="D546" s="121" t="s">
        <v>128</v>
      </c>
      <c r="E546" s="121" t="s">
        <v>15</v>
      </c>
      <c r="F546" s="121" t="s">
        <v>2074</v>
      </c>
      <c r="G546" s="121" t="s">
        <v>2556</v>
      </c>
      <c r="H546" s="99" t="n">
        <v>45247</v>
      </c>
      <c r="I546" s="99" t="n">
        <v>45247</v>
      </c>
      <c r="J546" s="99" t="n">
        <v>0</v>
      </c>
      <c r="K546" s="99" t="n">
        <v>0</v>
      </c>
      <c r="L546" s="99" t="n">
        <v>0</v>
      </c>
      <c r="M546" s="99" t="n">
        <v>0</v>
      </c>
      <c r="N546" s="99" t="n">
        <v>0</v>
      </c>
      <c r="O546" s="42" t="n">
        <v>45247</v>
      </c>
    </row>
    <row r="547" spans="1:15">
      <c r="A547" s="37" t="n">
        <v>557</v>
      </c>
      <c r="B547" s="97" t="s">
        <v>2557</v>
      </c>
      <c r="C547" s="121" t="s">
        <v>95</v>
      </c>
      <c r="D547" s="121" t="s">
        <v>128</v>
      </c>
      <c r="E547" s="121" t="s">
        <v>15</v>
      </c>
      <c r="F547" s="121" t="s">
        <v>2074</v>
      </c>
      <c r="G547" s="121" t="s">
        <v>2558</v>
      </c>
      <c r="H547" s="99" t="n">
        <v>45247</v>
      </c>
      <c r="I547" s="99" t="n">
        <v>45247</v>
      </c>
      <c r="J547" s="99" t="n">
        <v>0</v>
      </c>
      <c r="K547" s="99" t="n">
        <v>0</v>
      </c>
      <c r="L547" s="99" t="n">
        <v>0</v>
      </c>
      <c r="M547" s="99" t="n">
        <v>0</v>
      </c>
      <c r="N547" s="99" t="n">
        <v>0</v>
      </c>
      <c r="O547" s="42" t="n">
        <v>45247</v>
      </c>
    </row>
    <row r="548" spans="1:15">
      <c r="A548" s="37" t="n">
        <v>558</v>
      </c>
      <c r="B548" s="97" t="s">
        <v>2559</v>
      </c>
      <c r="C548" s="121" t="s">
        <v>95</v>
      </c>
      <c r="D548" s="121" t="s">
        <v>128</v>
      </c>
      <c r="E548" s="121" t="s">
        <v>15</v>
      </c>
      <c r="F548" s="121" t="s">
        <v>2074</v>
      </c>
      <c r="G548" s="121" t="s">
        <v>2560</v>
      </c>
      <c r="H548" s="99" t="n">
        <v>45247</v>
      </c>
      <c r="I548" s="99" t="n">
        <v>45247</v>
      </c>
      <c r="J548" s="99" t="n">
        <v>0</v>
      </c>
      <c r="K548" s="99" t="n">
        <v>0</v>
      </c>
      <c r="L548" s="99" t="n">
        <v>0</v>
      </c>
      <c r="M548" s="99" t="n">
        <v>0</v>
      </c>
      <c r="N548" s="99" t="n">
        <v>0</v>
      </c>
      <c r="O548" s="42" t="n">
        <v>45247</v>
      </c>
    </row>
    <row r="549" spans="1:15">
      <c r="A549" s="37" t="n">
        <v>559</v>
      </c>
      <c r="B549" s="97" t="s">
        <v>1853</v>
      </c>
      <c r="C549" s="121" t="s">
        <v>58</v>
      </c>
      <c r="D549" s="121" t="s">
        <v>20</v>
      </c>
      <c r="E549" s="121" t="s">
        <v>21</v>
      </c>
      <c r="F549" s="121" t="s">
        <v>1854</v>
      </c>
      <c r="G549" s="121" t="s">
        <v>1855</v>
      </c>
      <c r="H549" s="99" t="n">
        <v>38520</v>
      </c>
      <c r="I549" s="99" t="n">
        <v>38520</v>
      </c>
      <c r="J549" s="99" t="n">
        <v>1926</v>
      </c>
      <c r="K549" s="99" t="n">
        <v>0</v>
      </c>
      <c r="L549" s="99" t="n">
        <v>0</v>
      </c>
      <c r="M549" s="99" t="n">
        <v>0</v>
      </c>
      <c r="N549" s="99" t="n">
        <v>0</v>
      </c>
      <c r="O549" s="42" t="n">
        <v>36594</v>
      </c>
    </row>
    <row r="550" spans="1:15">
      <c r="A550" s="37" t="n">
        <v>560</v>
      </c>
      <c r="B550" s="97" t="s">
        <v>2561</v>
      </c>
      <c r="C550" s="121" t="s">
        <v>58</v>
      </c>
      <c r="D550" s="121" t="s">
        <v>20</v>
      </c>
      <c r="E550" s="121" t="s">
        <v>21</v>
      </c>
      <c r="F550" s="121" t="s">
        <v>2562</v>
      </c>
      <c r="G550" s="121" t="s">
        <v>2563</v>
      </c>
      <c r="H550" s="99" t="n">
        <v>37390</v>
      </c>
      <c r="I550" s="99" t="n">
        <v>37390</v>
      </c>
      <c r="J550" s="99" t="n">
        <v>1870</v>
      </c>
      <c r="K550" s="99" t="n">
        <v>0</v>
      </c>
      <c r="L550" s="99" t="n">
        <v>0</v>
      </c>
      <c r="M550" s="99" t="n">
        <v>0</v>
      </c>
      <c r="N550" s="99" t="n">
        <v>0</v>
      </c>
      <c r="O550" s="42" t="n">
        <v>35520</v>
      </c>
    </row>
    <row r="551" spans="1:15">
      <c r="A551" s="37" t="n">
        <v>561</v>
      </c>
      <c r="B551" s="97" t="s">
        <v>1856</v>
      </c>
      <c r="C551" s="121" t="s">
        <v>58</v>
      </c>
      <c r="D551" s="121" t="s">
        <v>20</v>
      </c>
      <c r="E551" s="121" t="s">
        <v>21</v>
      </c>
      <c r="F551" s="121" t="s">
        <v>1857</v>
      </c>
      <c r="G551" s="121" t="s">
        <v>1858</v>
      </c>
      <c r="H551" s="99" t="n">
        <v>36874</v>
      </c>
      <c r="I551" s="99" t="n">
        <v>36874</v>
      </c>
      <c r="J551" s="99" t="n">
        <v>1844</v>
      </c>
      <c r="K551" s="99" t="n">
        <v>0</v>
      </c>
      <c r="L551" s="99" t="n">
        <v>0</v>
      </c>
      <c r="M551" s="99" t="n">
        <v>0</v>
      </c>
      <c r="N551" s="99" t="n">
        <v>0</v>
      </c>
      <c r="O551" s="42" t="n">
        <v>35030</v>
      </c>
    </row>
    <row r="552" spans="1:15">
      <c r="A552" s="37" t="n">
        <v>562</v>
      </c>
      <c r="B552" s="97" t="s">
        <v>1859</v>
      </c>
      <c r="C552" s="121" t="s">
        <v>58</v>
      </c>
      <c r="D552" s="121" t="s">
        <v>20</v>
      </c>
      <c r="E552" s="121" t="s">
        <v>21</v>
      </c>
      <c r="F552" s="121" t="s">
        <v>1860</v>
      </c>
      <c r="G552" s="121" t="s">
        <v>1861</v>
      </c>
      <c r="H552" s="99" t="n">
        <v>36874</v>
      </c>
      <c r="I552" s="99" t="n">
        <v>36874</v>
      </c>
      <c r="J552" s="99" t="n">
        <v>1844</v>
      </c>
      <c r="K552" s="99" t="n">
        <v>0</v>
      </c>
      <c r="L552" s="99" t="n">
        <v>0</v>
      </c>
      <c r="M552" s="99" t="n">
        <v>0</v>
      </c>
      <c r="N552" s="99" t="n">
        <v>0</v>
      </c>
      <c r="O552" s="42" t="n">
        <v>35030</v>
      </c>
    </row>
    <row r="553" spans="1:15">
      <c r="A553" s="37" t="n">
        <v>563</v>
      </c>
      <c r="B553" s="97" t="s">
        <v>1862</v>
      </c>
      <c r="C553" s="121" t="s">
        <v>58</v>
      </c>
      <c r="D553" s="121" t="s">
        <v>20</v>
      </c>
      <c r="E553" s="121" t="s">
        <v>21</v>
      </c>
      <c r="F553" s="121" t="s">
        <v>1863</v>
      </c>
      <c r="G553" s="121" t="s">
        <v>1865</v>
      </c>
      <c r="H553" s="99" t="n">
        <v>36874</v>
      </c>
      <c r="I553" s="99" t="n">
        <v>36874</v>
      </c>
      <c r="J553" s="99" t="n">
        <v>1844</v>
      </c>
      <c r="K553" s="99" t="n">
        <v>0</v>
      </c>
      <c r="L553" s="99" t="n">
        <v>0</v>
      </c>
      <c r="M553" s="99" t="n">
        <v>0</v>
      </c>
      <c r="N553" s="99" t="n">
        <v>0</v>
      </c>
      <c r="O553" s="42" t="n">
        <v>35030</v>
      </c>
    </row>
    <row r="554" spans="1:15">
      <c r="A554" s="37" t="n">
        <v>564</v>
      </c>
      <c r="B554" s="97" t="s">
        <v>1866</v>
      </c>
      <c r="C554" s="121" t="s">
        <v>58</v>
      </c>
      <c r="D554" s="121" t="s">
        <v>20</v>
      </c>
      <c r="E554" s="121" t="s">
        <v>21</v>
      </c>
      <c r="F554" s="121" t="s">
        <v>1867</v>
      </c>
      <c r="G554" s="121" t="s">
        <v>1869</v>
      </c>
      <c r="H554" s="99" t="n">
        <v>34616</v>
      </c>
      <c r="I554" s="99" t="n">
        <v>34616</v>
      </c>
      <c r="J554" s="99" t="n">
        <v>1731</v>
      </c>
      <c r="K554" s="99" t="n">
        <v>0</v>
      </c>
      <c r="L554" s="99" t="n">
        <v>0</v>
      </c>
      <c r="M554" s="99" t="n">
        <v>0</v>
      </c>
      <c r="N554" s="99" t="n">
        <v>0</v>
      </c>
      <c r="O554" s="42" t="n">
        <v>32885</v>
      </c>
    </row>
    <row r="555" spans="1:15">
      <c r="A555" s="37" t="n">
        <v>565</v>
      </c>
      <c r="B555" s="97" t="s">
        <v>1888</v>
      </c>
      <c r="C555" s="121" t="s">
        <v>283</v>
      </c>
      <c r="D555" s="121" t="s">
        <v>20</v>
      </c>
      <c r="E555" s="121" t="s">
        <v>21</v>
      </c>
      <c r="F555" s="121" t="s">
        <v>2074</v>
      </c>
      <c r="G555" s="121" t="s">
        <v>1889</v>
      </c>
      <c r="H555" s="99" t="n">
        <v>34616</v>
      </c>
      <c r="I555" s="99" t="n">
        <v>34616</v>
      </c>
      <c r="J555" s="99" t="n">
        <v>0</v>
      </c>
      <c r="K555" s="99" t="n">
        <v>0</v>
      </c>
      <c r="L555" s="99" t="n">
        <v>0</v>
      </c>
      <c r="M555" s="99" t="n">
        <v>0</v>
      </c>
      <c r="N555" s="99" t="n">
        <v>0</v>
      </c>
      <c r="O555" s="42" t="n">
        <v>34616</v>
      </c>
    </row>
    <row r="556" spans="1:15">
      <c r="A556" s="37" t="n">
        <v>566</v>
      </c>
      <c r="B556" s="97" t="s">
        <v>1890</v>
      </c>
      <c r="C556" s="121" t="s">
        <v>283</v>
      </c>
      <c r="D556" s="121" t="s">
        <v>20</v>
      </c>
      <c r="E556" s="121" t="s">
        <v>21</v>
      </c>
      <c r="F556" s="121" t="s">
        <v>2564</v>
      </c>
      <c r="G556" s="121" t="s">
        <v>1891</v>
      </c>
      <c r="H556" s="99" t="n">
        <v>34616</v>
      </c>
      <c r="I556" s="99" t="n">
        <v>34616</v>
      </c>
      <c r="J556" s="99" t="n">
        <v>0</v>
      </c>
      <c r="K556" s="99" t="n">
        <v>0</v>
      </c>
      <c r="L556" s="99" t="n">
        <v>0</v>
      </c>
      <c r="M556" s="99" t="n">
        <v>0</v>
      </c>
      <c r="N556" s="99" t="n">
        <v>0</v>
      </c>
      <c r="O556" s="42" t="n">
        <v>34616</v>
      </c>
    </row>
    <row r="557" spans="1:15">
      <c r="A557" s="37" t="n">
        <v>567</v>
      </c>
      <c r="B557" s="97" t="s">
        <v>2565</v>
      </c>
      <c r="C557" s="121" t="s">
        <v>120</v>
      </c>
      <c r="D557" s="121" t="s">
        <v>128</v>
      </c>
      <c r="E557" s="121" t="s">
        <v>15</v>
      </c>
      <c r="F557" s="121" t="s">
        <v>2718</v>
      </c>
      <c r="G557" s="121" t="s">
        <v>2566</v>
      </c>
      <c r="H557" s="99" t="n">
        <v>35745</v>
      </c>
      <c r="I557" s="99" t="n">
        <v>35745</v>
      </c>
      <c r="J557" s="99" t="n">
        <v>0</v>
      </c>
      <c r="K557" s="99" t="n">
        <v>0</v>
      </c>
      <c r="L557" s="99" t="n">
        <v>0</v>
      </c>
      <c r="M557" s="99" t="n">
        <v>0</v>
      </c>
      <c r="N557" s="99" t="n">
        <v>0</v>
      </c>
      <c r="O557" s="42" t="n">
        <v>35745</v>
      </c>
    </row>
    <row r="558" spans="1:15">
      <c r="A558" s="37" t="n">
        <v>568</v>
      </c>
      <c r="B558" s="97" t="s">
        <v>1892</v>
      </c>
      <c r="C558" s="121" t="s">
        <v>283</v>
      </c>
      <c r="D558" s="121" t="s">
        <v>20</v>
      </c>
      <c r="E558" s="121" t="s">
        <v>21</v>
      </c>
      <c r="F558" s="121" t="s">
        <v>2567</v>
      </c>
      <c r="G558" s="121" t="s">
        <v>1893</v>
      </c>
      <c r="H558" s="99" t="n">
        <v>35745</v>
      </c>
      <c r="I558" s="99" t="n">
        <v>35745</v>
      </c>
      <c r="J558" s="99" t="n">
        <v>0</v>
      </c>
      <c r="K558" s="99" t="n">
        <v>0</v>
      </c>
      <c r="L558" s="99" t="n">
        <v>0</v>
      </c>
      <c r="M558" s="99" t="n">
        <v>0</v>
      </c>
      <c r="N558" s="99" t="n">
        <v>0</v>
      </c>
      <c r="O558" s="42" t="n">
        <v>35745</v>
      </c>
    </row>
    <row r="559" spans="1:15">
      <c r="A559" s="37" t="n">
        <v>569</v>
      </c>
      <c r="B559" s="97" t="s">
        <v>1894</v>
      </c>
      <c r="C559" s="121" t="s">
        <v>283</v>
      </c>
      <c r="D559" s="121" t="s">
        <v>20</v>
      </c>
      <c r="E559" s="121" t="s">
        <v>21</v>
      </c>
      <c r="F559" s="121" t="s">
        <v>2074</v>
      </c>
      <c r="G559" s="121" t="s">
        <v>1895</v>
      </c>
      <c r="H559" s="99" t="n">
        <v>34616</v>
      </c>
      <c r="I559" s="99" t="n">
        <v>34616</v>
      </c>
      <c r="J559" s="99" t="n">
        <v>0</v>
      </c>
      <c r="K559" s="99" t="n">
        <v>0</v>
      </c>
      <c r="L559" s="99" t="n">
        <v>0</v>
      </c>
      <c r="M559" s="99" t="n">
        <v>0</v>
      </c>
      <c r="N559" s="99" t="n">
        <v>0</v>
      </c>
      <c r="O559" s="42" t="n">
        <v>34616</v>
      </c>
    </row>
    <row r="560" spans="1:15">
      <c r="A560" s="37" t="n">
        <v>570</v>
      </c>
      <c r="B560" s="97" t="s">
        <v>461</v>
      </c>
      <c r="C560" s="121" t="s">
        <v>58</v>
      </c>
      <c r="D560" s="121" t="s">
        <v>20</v>
      </c>
      <c r="E560" s="121" t="s">
        <v>21</v>
      </c>
      <c r="F560" s="121" t="s">
        <v>462</v>
      </c>
      <c r="G560" s="121" t="s">
        <v>464</v>
      </c>
      <c r="H560" s="99" t="n">
        <v>73788</v>
      </c>
      <c r="I560" s="99" t="n">
        <v>73788</v>
      </c>
      <c r="J560" s="99" t="n">
        <v>3689</v>
      </c>
      <c r="K560" s="99" t="n">
        <v>0</v>
      </c>
      <c r="L560" s="99" t="n">
        <v>0</v>
      </c>
      <c r="M560" s="99" t="n">
        <v>0</v>
      </c>
      <c r="N560" s="99" t="n">
        <v>0</v>
      </c>
      <c r="O560" s="42" t="n">
        <v>70099</v>
      </c>
    </row>
    <row r="561" spans="1:15">
      <c r="A561" s="37" t="n">
        <v>571</v>
      </c>
      <c r="B561" s="97" t="s">
        <v>1896</v>
      </c>
      <c r="C561" s="121" t="s">
        <v>58</v>
      </c>
      <c r="D561" s="121" t="s">
        <v>20</v>
      </c>
      <c r="E561" s="121" t="s">
        <v>21</v>
      </c>
      <c r="F561" s="121" t="s">
        <v>1897</v>
      </c>
      <c r="G561" s="121" t="s">
        <v>1898</v>
      </c>
      <c r="H561" s="99" t="n">
        <v>55793</v>
      </c>
      <c r="I561" s="99" t="n">
        <v>55793</v>
      </c>
      <c r="J561" s="99" t="n">
        <v>2790</v>
      </c>
      <c r="K561" s="99" t="n">
        <v>0</v>
      </c>
      <c r="L561" s="99" t="n">
        <v>0</v>
      </c>
      <c r="M561" s="99" t="n">
        <v>0</v>
      </c>
      <c r="N561" s="99" t="n">
        <v>0</v>
      </c>
      <c r="O561" s="42" t="n">
        <v>53003</v>
      </c>
    </row>
    <row r="562" spans="1:15">
      <c r="A562" s="37" t="n">
        <v>572</v>
      </c>
      <c r="B562" s="97" t="s">
        <v>1899</v>
      </c>
      <c r="C562" s="121" t="s">
        <v>58</v>
      </c>
      <c r="D562" s="121" t="s">
        <v>20</v>
      </c>
      <c r="E562" s="121" t="s">
        <v>21</v>
      </c>
      <c r="F562" s="121" t="s">
        <v>1900</v>
      </c>
      <c r="G562" s="121" t="s">
        <v>1901</v>
      </c>
      <c r="H562" s="99" t="n">
        <v>54457</v>
      </c>
      <c r="I562" s="99" t="n">
        <v>54457</v>
      </c>
      <c r="J562" s="99" t="n">
        <v>2723</v>
      </c>
      <c r="K562" s="99" t="n">
        <v>0</v>
      </c>
      <c r="L562" s="99" t="n">
        <v>0</v>
      </c>
      <c r="M562" s="99" t="n">
        <v>0</v>
      </c>
      <c r="N562" s="99" t="n">
        <v>0</v>
      </c>
      <c r="O562" s="42" t="n">
        <v>51734</v>
      </c>
    </row>
    <row r="563" spans="1:15">
      <c r="A563" s="37" t="n">
        <v>573</v>
      </c>
      <c r="B563" s="97" t="s">
        <v>1902</v>
      </c>
      <c r="C563" s="121" t="s">
        <v>58</v>
      </c>
      <c r="D563" s="121" t="s">
        <v>20</v>
      </c>
      <c r="E563" s="121" t="s">
        <v>21</v>
      </c>
      <c r="F563" s="121" t="s">
        <v>1903</v>
      </c>
      <c r="G563" s="121" t="s">
        <v>1904</v>
      </c>
      <c r="H563" s="99" t="n">
        <v>54457</v>
      </c>
      <c r="I563" s="99" t="n">
        <v>54457</v>
      </c>
      <c r="J563" s="99" t="n">
        <v>2723</v>
      </c>
      <c r="K563" s="99" t="n">
        <v>0</v>
      </c>
      <c r="L563" s="99" t="n">
        <v>0</v>
      </c>
      <c r="M563" s="99" t="n">
        <v>0</v>
      </c>
      <c r="N563" s="99" t="n">
        <v>0</v>
      </c>
      <c r="O563" s="42" t="n">
        <v>51734</v>
      </c>
    </row>
    <row r="564" spans="1:15">
      <c r="A564" s="37" t="n">
        <v>574</v>
      </c>
      <c r="B564" s="97" t="s">
        <v>1907</v>
      </c>
      <c r="C564" s="121" t="s">
        <v>120</v>
      </c>
      <c r="D564" s="121" t="s">
        <v>124</v>
      </c>
      <c r="E564" s="121" t="s">
        <v>15</v>
      </c>
      <c r="F564" s="121" t="s">
        <v>2719</v>
      </c>
      <c r="G564" s="121" t="s">
        <v>1908</v>
      </c>
      <c r="H564" s="99" t="n">
        <v>44526</v>
      </c>
      <c r="I564" s="99" t="n">
        <v>44526</v>
      </c>
      <c r="J564" s="99" t="n">
        <v>0</v>
      </c>
      <c r="K564" s="99" t="n">
        <v>0</v>
      </c>
      <c r="L564" s="99" t="n">
        <v>0</v>
      </c>
      <c r="M564" s="99" t="n">
        <v>0</v>
      </c>
      <c r="N564" s="99" t="n">
        <v>0</v>
      </c>
      <c r="O564" s="42" t="n">
        <v>44526</v>
      </c>
    </row>
    <row r="565" spans="1:15">
      <c r="A565" s="37" t="n">
        <v>575</v>
      </c>
      <c r="B565" s="97" t="s">
        <v>2568</v>
      </c>
      <c r="C565" s="121" t="s">
        <v>120</v>
      </c>
      <c r="D565" s="121" t="s">
        <v>128</v>
      </c>
      <c r="E565" s="121" t="s">
        <v>15</v>
      </c>
      <c r="F565" s="121" t="s">
        <v>2720</v>
      </c>
      <c r="G565" s="121" t="s">
        <v>2569</v>
      </c>
      <c r="H565" s="99" t="n">
        <v>41185</v>
      </c>
      <c r="I565" s="99" t="n">
        <v>41185</v>
      </c>
      <c r="J565" s="99" t="n">
        <v>0</v>
      </c>
      <c r="K565" s="99" t="n">
        <v>0</v>
      </c>
      <c r="L565" s="99" t="n">
        <v>0</v>
      </c>
      <c r="M565" s="99" t="n">
        <v>0</v>
      </c>
      <c r="N565" s="99" t="n">
        <v>0</v>
      </c>
      <c r="O565" s="42" t="n">
        <v>41185</v>
      </c>
    </row>
    <row r="566" spans="1:15">
      <c r="A566" s="37" t="n">
        <v>576</v>
      </c>
      <c r="B566" s="97" t="s">
        <v>1905</v>
      </c>
      <c r="C566" s="121" t="s">
        <v>120</v>
      </c>
      <c r="D566" s="121" t="s">
        <v>128</v>
      </c>
      <c r="E566" s="121" t="s">
        <v>15</v>
      </c>
      <c r="F566" s="121" t="s">
        <v>2721</v>
      </c>
      <c r="G566" s="121" t="s">
        <v>1906</v>
      </c>
      <c r="H566" s="99" t="n">
        <v>42733</v>
      </c>
      <c r="I566" s="99" t="n">
        <v>42733</v>
      </c>
      <c r="J566" s="99" t="n">
        <v>0</v>
      </c>
      <c r="K566" s="99" t="n">
        <v>0</v>
      </c>
      <c r="L566" s="99" t="n">
        <v>0</v>
      </c>
      <c r="M566" s="99" t="n">
        <v>0</v>
      </c>
      <c r="N566" s="99" t="n">
        <v>0</v>
      </c>
      <c r="O566" s="42" t="n">
        <v>42733</v>
      </c>
    </row>
    <row r="567" spans="1:15">
      <c r="A567" s="37" t="n">
        <v>577</v>
      </c>
      <c r="B567" s="97" t="s">
        <v>1909</v>
      </c>
      <c r="C567" s="121" t="s">
        <v>95</v>
      </c>
      <c r="D567" s="121" t="s">
        <v>124</v>
      </c>
      <c r="E567" s="121" t="s">
        <v>15</v>
      </c>
      <c r="F567" s="121" t="s">
        <v>2722</v>
      </c>
      <c r="G567" s="121" t="s">
        <v>1910</v>
      </c>
      <c r="H567" s="99" t="n">
        <v>41185</v>
      </c>
      <c r="I567" s="99" t="n">
        <v>41185</v>
      </c>
      <c r="J567" s="99" t="n">
        <v>0</v>
      </c>
      <c r="K567" s="99" t="n">
        <v>0</v>
      </c>
      <c r="L567" s="99" t="n">
        <v>0</v>
      </c>
      <c r="M567" s="99" t="n">
        <v>0</v>
      </c>
      <c r="N567" s="99" t="n">
        <v>0</v>
      </c>
      <c r="O567" s="42" t="n">
        <v>41185</v>
      </c>
    </row>
    <row r="568" spans="1:15">
      <c r="A568" s="37" t="n">
        <v>578</v>
      </c>
      <c r="B568" s="97" t="s">
        <v>2570</v>
      </c>
      <c r="C568" s="121" t="s">
        <v>95</v>
      </c>
      <c r="D568" s="121" t="s">
        <v>128</v>
      </c>
      <c r="E568" s="121" t="s">
        <v>15</v>
      </c>
      <c r="F568" s="121" t="s">
        <v>2074</v>
      </c>
      <c r="G568" s="121" t="s">
        <v>2571</v>
      </c>
      <c r="H568" s="99" t="n">
        <v>42217</v>
      </c>
      <c r="I568" s="99" t="n">
        <v>42217</v>
      </c>
      <c r="J568" s="99" t="n">
        <v>0</v>
      </c>
      <c r="K568" s="99" t="n">
        <v>0</v>
      </c>
      <c r="L568" s="99" t="n">
        <v>0</v>
      </c>
      <c r="M568" s="99" t="n">
        <v>0</v>
      </c>
      <c r="N568" s="99" t="n">
        <v>0</v>
      </c>
      <c r="O568" s="42" t="n">
        <v>42217</v>
      </c>
    </row>
    <row r="569" spans="1:15">
      <c r="A569" s="37" t="n">
        <v>579</v>
      </c>
      <c r="B569" s="97" t="s">
        <v>1911</v>
      </c>
      <c r="C569" s="121" t="s">
        <v>95</v>
      </c>
      <c r="D569" s="121" t="s">
        <v>124</v>
      </c>
      <c r="E569" s="121" t="s">
        <v>15</v>
      </c>
      <c r="F569" s="121" t="s">
        <v>2074</v>
      </c>
      <c r="G569" s="121" t="s">
        <v>1912</v>
      </c>
      <c r="H569" s="99" t="n">
        <v>39180</v>
      </c>
      <c r="I569" s="99" t="n">
        <v>39180</v>
      </c>
      <c r="J569" s="99" t="n">
        <v>0</v>
      </c>
      <c r="K569" s="99" t="n">
        <v>0</v>
      </c>
      <c r="L569" s="99" t="n">
        <v>0</v>
      </c>
      <c r="M569" s="99" t="n">
        <v>0</v>
      </c>
      <c r="N569" s="99" t="n">
        <v>0</v>
      </c>
      <c r="O569" s="42" t="n">
        <v>39180</v>
      </c>
    </row>
    <row r="570" spans="1:15">
      <c r="A570" s="37" t="n">
        <v>580</v>
      </c>
      <c r="B570" s="97" t="s">
        <v>1924</v>
      </c>
      <c r="C570" s="121" t="s">
        <v>120</v>
      </c>
      <c r="D570" s="121" t="s">
        <v>278</v>
      </c>
      <c r="E570" s="121" t="s">
        <v>16</v>
      </c>
      <c r="F570" s="121" t="s">
        <v>2723</v>
      </c>
      <c r="G570" s="121" t="s">
        <v>1925</v>
      </c>
      <c r="H570" s="99" t="n">
        <v>11226</v>
      </c>
      <c r="I570" s="99" t="n">
        <v>11226</v>
      </c>
      <c r="J570" s="99" t="n">
        <v>0</v>
      </c>
      <c r="K570" s="99" t="n">
        <v>0</v>
      </c>
      <c r="L570" s="99" t="n">
        <v>0</v>
      </c>
      <c r="M570" s="99" t="n">
        <v>0</v>
      </c>
      <c r="N570" s="99" t="n">
        <v>0</v>
      </c>
      <c r="O570" s="42" t="n">
        <v>11226</v>
      </c>
    </row>
    <row r="571" spans="1:15">
      <c r="A571" s="37" t="n">
        <v>581</v>
      </c>
      <c r="B571" s="97" t="s">
        <v>1926</v>
      </c>
      <c r="C571" s="121" t="s">
        <v>120</v>
      </c>
      <c r="D571" s="121" t="s">
        <v>128</v>
      </c>
      <c r="E571" s="121" t="s">
        <v>15</v>
      </c>
      <c r="F571" s="121" t="s">
        <v>2724</v>
      </c>
      <c r="G571" s="121" t="s">
        <v>1927</v>
      </c>
      <c r="H571" s="99" t="n">
        <v>10710</v>
      </c>
      <c r="I571" s="99" t="n">
        <v>10710</v>
      </c>
      <c r="J571" s="99" t="n">
        <v>0</v>
      </c>
      <c r="K571" s="99" t="n">
        <v>0</v>
      </c>
      <c r="L571" s="99" t="n">
        <v>0</v>
      </c>
      <c r="M571" s="99" t="n">
        <v>0</v>
      </c>
      <c r="N571" s="99" t="n">
        <v>0</v>
      </c>
      <c r="O571" s="42" t="n">
        <v>10710</v>
      </c>
    </row>
    <row r="572" spans="1:15">
      <c r="A572" s="37" t="n">
        <v>582</v>
      </c>
      <c r="B572" s="97" t="s">
        <v>2572</v>
      </c>
      <c r="C572" s="121" t="s">
        <v>120</v>
      </c>
      <c r="D572" s="121" t="s">
        <v>128</v>
      </c>
      <c r="E572" s="121" t="s">
        <v>15</v>
      </c>
      <c r="F572" s="121" t="s">
        <v>2725</v>
      </c>
      <c r="G572" s="121" t="s">
        <v>2573</v>
      </c>
      <c r="H572" s="99" t="n">
        <v>10710</v>
      </c>
      <c r="I572" s="99" t="n">
        <v>10710</v>
      </c>
      <c r="J572" s="99" t="n">
        <v>0</v>
      </c>
      <c r="K572" s="99" t="n">
        <v>0</v>
      </c>
      <c r="L572" s="99" t="n">
        <v>0</v>
      </c>
      <c r="M572" s="99" t="n">
        <v>0</v>
      </c>
      <c r="N572" s="99" t="n">
        <v>0</v>
      </c>
      <c r="O572" s="42" t="n">
        <v>10710</v>
      </c>
    </row>
    <row r="573" spans="1:15">
      <c r="A573" s="37" t="n">
        <v>583</v>
      </c>
      <c r="B573" s="97" t="s">
        <v>1928</v>
      </c>
      <c r="C573" s="121" t="s">
        <v>120</v>
      </c>
      <c r="D573" s="121" t="s">
        <v>128</v>
      </c>
      <c r="E573" s="121" t="s">
        <v>15</v>
      </c>
      <c r="F573" s="121" t="s">
        <v>2726</v>
      </c>
      <c r="G573" s="121" t="s">
        <v>1929</v>
      </c>
      <c r="H573" s="99" t="n">
        <v>10710</v>
      </c>
      <c r="I573" s="99" t="n">
        <v>10710</v>
      </c>
      <c r="J573" s="99" t="n">
        <v>0</v>
      </c>
      <c r="K573" s="99" t="n">
        <v>0</v>
      </c>
      <c r="L573" s="99" t="n">
        <v>0</v>
      </c>
      <c r="M573" s="99" t="n">
        <v>0</v>
      </c>
      <c r="N573" s="99" t="n">
        <v>0</v>
      </c>
      <c r="O573" s="42" t="n">
        <v>10710</v>
      </c>
    </row>
    <row r="574" spans="1:15">
      <c r="A574" s="37" t="n">
        <v>584</v>
      </c>
      <c r="B574" s="97" t="s">
        <v>1930</v>
      </c>
      <c r="C574" s="121" t="s">
        <v>120</v>
      </c>
      <c r="D574" s="121" t="s">
        <v>128</v>
      </c>
      <c r="E574" s="121" t="s">
        <v>15</v>
      </c>
      <c r="F574" s="121" t="s">
        <v>2727</v>
      </c>
      <c r="G574" s="121" t="s">
        <v>1931</v>
      </c>
      <c r="H574" s="99" t="n">
        <v>11226</v>
      </c>
      <c r="I574" s="99" t="n">
        <v>11226</v>
      </c>
      <c r="J574" s="99" t="n">
        <v>0</v>
      </c>
      <c r="K574" s="99" t="n">
        <v>0</v>
      </c>
      <c r="L574" s="99" t="n">
        <v>0</v>
      </c>
      <c r="M574" s="99" t="n">
        <v>0</v>
      </c>
      <c r="N574" s="99" t="n">
        <v>0</v>
      </c>
      <c r="O574" s="42" t="n">
        <v>11226</v>
      </c>
    </row>
    <row r="575" spans="1:15">
      <c r="A575" s="37" t="n">
        <v>585</v>
      </c>
      <c r="B575" s="97" t="s">
        <v>1932</v>
      </c>
      <c r="C575" s="121" t="s">
        <v>120</v>
      </c>
      <c r="D575" s="121" t="s">
        <v>128</v>
      </c>
      <c r="E575" s="121" t="s">
        <v>15</v>
      </c>
      <c r="F575" s="121" t="s">
        <v>2728</v>
      </c>
      <c r="G575" s="121" t="s">
        <v>1933</v>
      </c>
      <c r="H575" s="99" t="n">
        <v>11226</v>
      </c>
      <c r="I575" s="99" t="n">
        <v>11226</v>
      </c>
      <c r="J575" s="99" t="n">
        <v>0</v>
      </c>
      <c r="K575" s="99" t="n">
        <v>0</v>
      </c>
      <c r="L575" s="99" t="n">
        <v>0</v>
      </c>
      <c r="M575" s="99" t="n">
        <v>0</v>
      </c>
      <c r="N575" s="99" t="n">
        <v>0</v>
      </c>
      <c r="O575" s="42" t="n">
        <v>11226</v>
      </c>
    </row>
    <row r="576" spans="1:15">
      <c r="A576" s="37" t="n">
        <v>586</v>
      </c>
      <c r="B576" s="97" t="s">
        <v>2574</v>
      </c>
      <c r="C576" s="121" t="s">
        <v>58</v>
      </c>
      <c r="D576" s="121" t="s">
        <v>128</v>
      </c>
      <c r="E576" s="121" t="s">
        <v>15</v>
      </c>
      <c r="F576" s="98" t="n">
        <v>0</v>
      </c>
      <c r="G576" s="121" t="s">
        <v>2575</v>
      </c>
      <c r="H576" s="99" t="n">
        <v>20130</v>
      </c>
      <c r="I576" s="99" t="n">
        <v>20130</v>
      </c>
      <c r="J576" s="99" t="n">
        <v>1007</v>
      </c>
      <c r="K576" s="99" t="n">
        <v>0</v>
      </c>
      <c r="L576" s="99" t="n">
        <v>0</v>
      </c>
      <c r="M576" s="99" t="n">
        <v>0</v>
      </c>
      <c r="N576" s="99" t="n">
        <v>0</v>
      </c>
      <c r="O576" s="42" t="n">
        <v>19123</v>
      </c>
    </row>
    <row r="577" spans="1:15">
      <c r="A577" s="37" t="n">
        <v>587</v>
      </c>
      <c r="B577" s="97" t="s">
        <v>426</v>
      </c>
      <c r="C577" s="121" t="s">
        <v>58</v>
      </c>
      <c r="D577" s="121" t="s">
        <v>20</v>
      </c>
      <c r="E577" s="121" t="s">
        <v>21</v>
      </c>
      <c r="F577" s="121" t="s">
        <v>427</v>
      </c>
      <c r="G577" s="121" t="s">
        <v>429</v>
      </c>
      <c r="H577" s="99" t="n">
        <v>7532562</v>
      </c>
      <c r="I577" s="99" t="n">
        <v>7532562</v>
      </c>
      <c r="J577" s="99" t="n">
        <v>376628</v>
      </c>
      <c r="K577" s="99" t="n">
        <v>0</v>
      </c>
      <c r="L577" s="99" t="n">
        <v>0</v>
      </c>
      <c r="M577" s="99" t="n">
        <v>0</v>
      </c>
      <c r="N577" s="99" t="n">
        <v>0</v>
      </c>
      <c r="O577" s="42" t="n">
        <v>7155934</v>
      </c>
    </row>
    <row r="578" spans="1:15">
      <c r="A578" s="37" t="n">
        <v>588</v>
      </c>
      <c r="B578" s="97" t="s">
        <v>2003</v>
      </c>
      <c r="C578" s="121" t="s">
        <v>58</v>
      </c>
      <c r="D578" s="121" t="s">
        <v>20</v>
      </c>
      <c r="E578" s="121" t="s">
        <v>21</v>
      </c>
      <c r="F578" s="121" t="s">
        <v>22</v>
      </c>
      <c r="G578" s="121" t="s">
        <v>2005</v>
      </c>
      <c r="H578" s="99" t="n">
        <v>20130</v>
      </c>
      <c r="I578" s="99" t="n">
        <v>20130</v>
      </c>
      <c r="J578" s="99" t="n">
        <v>1007</v>
      </c>
      <c r="K578" s="99" t="n">
        <v>0</v>
      </c>
      <c r="L578" s="99" t="n">
        <v>0</v>
      </c>
      <c r="M578" s="99" t="n">
        <v>0</v>
      </c>
      <c r="N578" s="99" t="n">
        <v>0</v>
      </c>
      <c r="O578" s="42" t="n">
        <v>19123</v>
      </c>
    </row>
    <row r="579" spans="1:15">
      <c r="A579" s="37" t="n">
        <v>589</v>
      </c>
      <c r="B579" s="97" t="s">
        <v>1952</v>
      </c>
      <c r="C579" s="121" t="s">
        <v>58</v>
      </c>
      <c r="D579" s="121" t="s">
        <v>20</v>
      </c>
      <c r="E579" s="121" t="s">
        <v>21</v>
      </c>
      <c r="F579" s="121" t="s">
        <v>1953</v>
      </c>
      <c r="G579" s="121" t="s">
        <v>1954</v>
      </c>
      <c r="H579" s="99" t="n">
        <v>20130</v>
      </c>
      <c r="I579" s="99" t="n">
        <v>20130</v>
      </c>
      <c r="J579" s="99" t="n">
        <v>1007</v>
      </c>
      <c r="K579" s="99" t="n">
        <v>0</v>
      </c>
      <c r="L579" s="99" t="n">
        <v>0</v>
      </c>
      <c r="M579" s="99" t="n">
        <v>0</v>
      </c>
      <c r="N579" s="99" t="n">
        <v>0</v>
      </c>
      <c r="O579" s="42" t="n">
        <v>19123</v>
      </c>
    </row>
    <row r="580" spans="1:15">
      <c r="A580" s="37" t="n">
        <v>590</v>
      </c>
      <c r="B580" s="97" t="s">
        <v>1937</v>
      </c>
      <c r="C580" s="121" t="s">
        <v>19</v>
      </c>
      <c r="D580" s="121" t="s">
        <v>20</v>
      </c>
      <c r="E580" s="121" t="s">
        <v>21</v>
      </c>
      <c r="F580" s="121" t="s">
        <v>1938</v>
      </c>
      <c r="G580" s="121" t="s">
        <v>1939</v>
      </c>
      <c r="H580" s="99" t="n">
        <v>20130</v>
      </c>
      <c r="I580" s="99" t="n">
        <v>20130</v>
      </c>
      <c r="J580" s="99" t="n">
        <v>0</v>
      </c>
      <c r="K580" s="99" t="n">
        <v>3020</v>
      </c>
      <c r="L580" s="99" t="n">
        <v>0</v>
      </c>
      <c r="M580" s="99" t="n">
        <v>0</v>
      </c>
      <c r="N580" s="99" t="n">
        <v>0</v>
      </c>
      <c r="O580" s="42" t="n">
        <v>17110</v>
      </c>
    </row>
    <row r="581" spans="1:15">
      <c r="A581" s="37" t="n">
        <v>591</v>
      </c>
      <c r="B581" s="97" t="s">
        <v>18</v>
      </c>
      <c r="C581" s="121" t="s">
        <v>19</v>
      </c>
      <c r="D581" s="121" t="s">
        <v>20</v>
      </c>
      <c r="E581" s="121" t="s">
        <v>21</v>
      </c>
      <c r="F581" s="121" t="s">
        <v>22</v>
      </c>
      <c r="G581" s="121" t="s">
        <v>24</v>
      </c>
      <c r="H581" s="99" t="n">
        <v>21162</v>
      </c>
      <c r="I581" s="99" t="n">
        <v>21162</v>
      </c>
      <c r="J581" s="99" t="n">
        <v>0</v>
      </c>
      <c r="K581" s="99" t="n">
        <v>3174</v>
      </c>
      <c r="L581" s="99" t="n">
        <v>0</v>
      </c>
      <c r="M581" s="99" t="n">
        <v>0</v>
      </c>
      <c r="N581" s="99" t="n">
        <v>0</v>
      </c>
      <c r="O581" s="42" t="n">
        <v>17988</v>
      </c>
    </row>
    <row r="582" spans="1:15">
      <c r="A582" s="37" t="n">
        <v>592</v>
      </c>
      <c r="B582" s="97" t="s">
        <v>430</v>
      </c>
      <c r="C582" s="121" t="s">
        <v>58</v>
      </c>
      <c r="D582" s="121" t="s">
        <v>20</v>
      </c>
      <c r="E582" s="121" t="s">
        <v>21</v>
      </c>
      <c r="F582" s="121" t="s">
        <v>431</v>
      </c>
      <c r="G582" s="121" t="s">
        <v>433</v>
      </c>
      <c r="H582" s="99" t="n">
        <v>1005090</v>
      </c>
      <c r="I582" s="99" t="n">
        <v>1005090</v>
      </c>
      <c r="J582" s="99" t="n">
        <v>50255</v>
      </c>
      <c r="K582" s="99" t="n">
        <v>0</v>
      </c>
      <c r="L582" s="99" t="n">
        <v>0</v>
      </c>
      <c r="M582" s="99" t="n">
        <v>0</v>
      </c>
      <c r="N582" s="99" t="n">
        <v>0</v>
      </c>
      <c r="O582" s="42" t="n">
        <v>954835</v>
      </c>
    </row>
    <row r="583" spans="1:15">
      <c r="A583" s="37" t="n">
        <v>593</v>
      </c>
      <c r="B583" s="97" t="s">
        <v>1978</v>
      </c>
      <c r="C583" s="121" t="s">
        <v>58</v>
      </c>
      <c r="D583" s="121" t="s">
        <v>20</v>
      </c>
      <c r="E583" s="121" t="s">
        <v>21</v>
      </c>
      <c r="F583" s="121" t="s">
        <v>1979</v>
      </c>
      <c r="G583" s="121" t="s">
        <v>1981</v>
      </c>
      <c r="H583" s="99" t="n">
        <v>21162</v>
      </c>
      <c r="I583" s="99" t="n">
        <v>21162</v>
      </c>
      <c r="J583" s="99" t="n">
        <v>1058</v>
      </c>
      <c r="K583" s="99" t="n">
        <v>0</v>
      </c>
      <c r="L583" s="99" t="n">
        <v>0</v>
      </c>
      <c r="M583" s="99" t="n">
        <v>0</v>
      </c>
      <c r="N583" s="99" t="n">
        <v>0</v>
      </c>
      <c r="O583" s="42" t="n">
        <v>20104</v>
      </c>
    </row>
    <row r="584" spans="1:15">
      <c r="A584" s="37" t="n">
        <v>594</v>
      </c>
      <c r="B584" s="97" t="s">
        <v>2576</v>
      </c>
      <c r="C584" s="121" t="s">
        <v>19</v>
      </c>
      <c r="D584" s="121" t="s">
        <v>20</v>
      </c>
      <c r="E584" s="121" t="s">
        <v>21</v>
      </c>
      <c r="F584" s="121" t="s">
        <v>2577</v>
      </c>
      <c r="G584" s="121" t="s">
        <v>2578</v>
      </c>
      <c r="H584" s="99" t="n">
        <v>21162</v>
      </c>
      <c r="I584" s="99" t="n">
        <v>21162</v>
      </c>
      <c r="J584" s="99" t="n">
        <v>0</v>
      </c>
      <c r="K584" s="99" t="n">
        <v>3174</v>
      </c>
      <c r="L584" s="99" t="n">
        <v>0</v>
      </c>
      <c r="M584" s="99" t="n">
        <v>0</v>
      </c>
      <c r="N584" s="99" t="n">
        <v>0</v>
      </c>
      <c r="O584" s="42" t="n">
        <v>17988</v>
      </c>
    </row>
    <row r="585" spans="1:15">
      <c r="A585" s="37" t="n">
        <v>595</v>
      </c>
      <c r="B585" s="97" t="s">
        <v>446</v>
      </c>
      <c r="C585" s="121" t="s">
        <v>58</v>
      </c>
      <c r="D585" s="121" t="s">
        <v>20</v>
      </c>
      <c r="E585" s="121" t="s">
        <v>21</v>
      </c>
      <c r="F585" s="121" t="s">
        <v>447</v>
      </c>
      <c r="G585" s="121" t="s">
        <v>449</v>
      </c>
      <c r="H585" s="99" t="n">
        <v>20130</v>
      </c>
      <c r="I585" s="99" t="n">
        <v>20130</v>
      </c>
      <c r="J585" s="99" t="n">
        <v>1007</v>
      </c>
      <c r="K585" s="99" t="n">
        <v>0</v>
      </c>
      <c r="L585" s="99" t="n">
        <v>0</v>
      </c>
      <c r="M585" s="99" t="n">
        <v>0</v>
      </c>
      <c r="N585" s="99" t="n">
        <v>0</v>
      </c>
      <c r="O585" s="42" t="n">
        <v>19123</v>
      </c>
    </row>
    <row r="586" spans="1:15">
      <c r="A586" s="37" t="n">
        <v>596</v>
      </c>
      <c r="B586" s="97" t="s">
        <v>1967</v>
      </c>
      <c r="C586" s="121" t="s">
        <v>131</v>
      </c>
      <c r="D586" s="121" t="s">
        <v>20</v>
      </c>
      <c r="E586" s="121" t="s">
        <v>21</v>
      </c>
      <c r="F586" s="121" t="s">
        <v>1968</v>
      </c>
      <c r="G586" s="121" t="s">
        <v>1970</v>
      </c>
      <c r="H586" s="99" t="n">
        <v>20130</v>
      </c>
      <c r="I586" s="99" t="n">
        <v>20130</v>
      </c>
      <c r="J586" s="99" t="n">
        <v>1007</v>
      </c>
      <c r="K586" s="99" t="n">
        <v>0</v>
      </c>
      <c r="L586" s="99" t="n">
        <v>0</v>
      </c>
      <c r="M586" s="99" t="n">
        <v>0</v>
      </c>
      <c r="N586" s="99" t="n">
        <v>0</v>
      </c>
      <c r="O586" s="42" t="n">
        <v>19123</v>
      </c>
    </row>
    <row r="587" spans="1:15">
      <c r="A587" s="37" t="n">
        <v>597</v>
      </c>
      <c r="B587" s="97" t="s">
        <v>1955</v>
      </c>
      <c r="C587" s="121" t="s">
        <v>19</v>
      </c>
      <c r="D587" s="121" t="s">
        <v>20</v>
      </c>
      <c r="E587" s="121" t="s">
        <v>21</v>
      </c>
      <c r="F587" s="121" t="s">
        <v>1956</v>
      </c>
      <c r="G587" s="121" t="s">
        <v>1957</v>
      </c>
      <c r="H587" s="99" t="n">
        <v>686130</v>
      </c>
      <c r="I587" s="99" t="n">
        <v>686130</v>
      </c>
      <c r="J587" s="99" t="n">
        <v>0</v>
      </c>
      <c r="K587" s="99" t="n">
        <v>102920</v>
      </c>
      <c r="L587" s="99" t="n">
        <v>0</v>
      </c>
      <c r="M587" s="99" t="n">
        <v>0</v>
      </c>
      <c r="N587" s="99" t="n">
        <v>0</v>
      </c>
      <c r="O587" s="42" t="n">
        <v>583210</v>
      </c>
    </row>
    <row r="588" spans="1:15">
      <c r="A588" s="37" t="n">
        <v>598</v>
      </c>
      <c r="B588" s="97" t="s">
        <v>420</v>
      </c>
      <c r="C588" s="121" t="s">
        <v>58</v>
      </c>
      <c r="D588" s="121" t="s">
        <v>20</v>
      </c>
      <c r="E588" s="121" t="s">
        <v>21</v>
      </c>
      <c r="F588" s="121" t="s">
        <v>421</v>
      </c>
      <c r="G588" s="121" t="s">
        <v>422</v>
      </c>
      <c r="H588" s="99" t="n">
        <v>20130</v>
      </c>
      <c r="I588" s="99" t="n">
        <v>20130</v>
      </c>
      <c r="J588" s="99" t="n">
        <v>1007</v>
      </c>
      <c r="K588" s="99" t="n">
        <v>0</v>
      </c>
      <c r="L588" s="99" t="n">
        <v>0</v>
      </c>
      <c r="M588" s="99" t="n">
        <v>0</v>
      </c>
      <c r="N588" s="99" t="n">
        <v>0</v>
      </c>
      <c r="O588" s="42" t="n">
        <v>19123</v>
      </c>
    </row>
    <row r="589" spans="1:15">
      <c r="A589" s="37" t="n">
        <v>599</v>
      </c>
      <c r="B589" s="97" t="s">
        <v>423</v>
      </c>
      <c r="C589" s="121" t="s">
        <v>58</v>
      </c>
      <c r="D589" s="121" t="s">
        <v>20</v>
      </c>
      <c r="E589" s="121" t="s">
        <v>21</v>
      </c>
      <c r="F589" s="121" t="s">
        <v>424</v>
      </c>
      <c r="G589" s="121" t="s">
        <v>425</v>
      </c>
      <c r="H589" s="99" t="n">
        <v>21162</v>
      </c>
      <c r="I589" s="99" t="n">
        <v>21162</v>
      </c>
      <c r="J589" s="99" t="n">
        <v>1058</v>
      </c>
      <c r="K589" s="99" t="n">
        <v>0</v>
      </c>
      <c r="L589" s="99" t="n">
        <v>0</v>
      </c>
      <c r="M589" s="99" t="n">
        <v>0</v>
      </c>
      <c r="N589" s="99" t="n">
        <v>0</v>
      </c>
      <c r="O589" s="42" t="n">
        <v>20104</v>
      </c>
    </row>
    <row r="590" spans="1:15">
      <c r="A590" s="37" t="n">
        <v>600</v>
      </c>
      <c r="B590" s="97" t="s">
        <v>417</v>
      </c>
      <c r="C590" s="121" t="s">
        <v>19</v>
      </c>
      <c r="D590" s="121" t="s">
        <v>20</v>
      </c>
      <c r="E590" s="121" t="s">
        <v>21</v>
      </c>
      <c r="F590" s="121" t="s">
        <v>418</v>
      </c>
      <c r="G590" s="121" t="s">
        <v>419</v>
      </c>
      <c r="H590" s="99" t="n">
        <v>119526</v>
      </c>
      <c r="I590" s="99" t="n">
        <v>119526</v>
      </c>
      <c r="J590" s="99" t="n">
        <v>0</v>
      </c>
      <c r="K590" s="99" t="n">
        <v>17929</v>
      </c>
      <c r="L590" s="99" t="n">
        <v>0</v>
      </c>
      <c r="M590" s="99" t="n">
        <v>0</v>
      </c>
      <c r="N590" s="99" t="n">
        <v>0</v>
      </c>
      <c r="O590" s="42" t="n">
        <v>101597</v>
      </c>
    </row>
    <row r="591" spans="1:15">
      <c r="A591" s="37" t="n">
        <v>601</v>
      </c>
      <c r="B591" s="97" t="s">
        <v>434</v>
      </c>
      <c r="C591" s="121" t="s">
        <v>58</v>
      </c>
      <c r="D591" s="121" t="s">
        <v>20</v>
      </c>
      <c r="E591" s="121" t="s">
        <v>21</v>
      </c>
      <c r="F591" s="121" t="s">
        <v>435</v>
      </c>
      <c r="G591" s="121" t="s">
        <v>437</v>
      </c>
      <c r="H591" s="99" t="n">
        <v>331416</v>
      </c>
      <c r="I591" s="99" t="n">
        <v>331416</v>
      </c>
      <c r="J591" s="99" t="n">
        <v>16571</v>
      </c>
      <c r="K591" s="99" t="n">
        <v>0</v>
      </c>
      <c r="L591" s="99" t="n">
        <v>0</v>
      </c>
      <c r="M591" s="99" t="n">
        <v>0</v>
      </c>
      <c r="N591" s="99" t="n">
        <v>0</v>
      </c>
      <c r="O591" s="42" t="n">
        <v>314845</v>
      </c>
    </row>
    <row r="592" spans="1:15">
      <c r="A592" s="37" t="n">
        <v>602</v>
      </c>
      <c r="B592" s="97" t="s">
        <v>1943</v>
      </c>
      <c r="C592" s="121" t="s">
        <v>131</v>
      </c>
      <c r="D592" s="121" t="s">
        <v>20</v>
      </c>
      <c r="E592" s="121" t="s">
        <v>21</v>
      </c>
      <c r="F592" s="121" t="s">
        <v>1944</v>
      </c>
      <c r="G592" s="121" t="s">
        <v>1945</v>
      </c>
      <c r="H592" s="99" t="n">
        <v>99551</v>
      </c>
      <c r="I592" s="99" t="n">
        <v>99551</v>
      </c>
      <c r="J592" s="99" t="n">
        <v>4978</v>
      </c>
      <c r="K592" s="99" t="n">
        <v>0</v>
      </c>
      <c r="L592" s="99" t="n">
        <v>0</v>
      </c>
      <c r="M592" s="99" t="n">
        <v>0</v>
      </c>
      <c r="N592" s="99" t="n">
        <v>0</v>
      </c>
      <c r="O592" s="42" t="n">
        <v>94573</v>
      </c>
    </row>
    <row r="593" spans="1:15">
      <c r="A593" s="37" t="n">
        <v>603</v>
      </c>
      <c r="B593" s="97" t="s">
        <v>442</v>
      </c>
      <c r="C593" s="121" t="s">
        <v>131</v>
      </c>
      <c r="D593" s="121" t="s">
        <v>20</v>
      </c>
      <c r="E593" s="121" t="s">
        <v>21</v>
      </c>
      <c r="F593" s="121" t="s">
        <v>443</v>
      </c>
      <c r="G593" s="121" t="s">
        <v>445</v>
      </c>
      <c r="H593" s="99" t="n">
        <v>397971</v>
      </c>
      <c r="I593" s="99" t="n">
        <v>397971</v>
      </c>
      <c r="J593" s="99" t="n">
        <v>19899</v>
      </c>
      <c r="K593" s="99" t="n">
        <v>0</v>
      </c>
      <c r="L593" s="99" t="n">
        <v>0</v>
      </c>
      <c r="M593" s="99" t="n">
        <v>0</v>
      </c>
      <c r="N593" s="99" t="n">
        <v>0</v>
      </c>
      <c r="O593" s="42" t="n">
        <v>378072</v>
      </c>
    </row>
    <row r="594" spans="1:15">
      <c r="A594" s="37" t="n">
        <v>604</v>
      </c>
      <c r="B594" s="97" t="s">
        <v>82</v>
      </c>
      <c r="C594" s="121" t="s">
        <v>19</v>
      </c>
      <c r="D594" s="121" t="s">
        <v>20</v>
      </c>
      <c r="E594" s="121" t="s">
        <v>21</v>
      </c>
      <c r="F594" s="121" t="s">
        <v>83</v>
      </c>
      <c r="G594" s="121" t="s">
        <v>85</v>
      </c>
      <c r="H594" s="99" t="n">
        <v>13420</v>
      </c>
      <c r="I594" s="99" t="n">
        <v>13420</v>
      </c>
      <c r="J594" s="99" t="n">
        <v>0</v>
      </c>
      <c r="K594" s="99" t="n">
        <v>2013</v>
      </c>
      <c r="L594" s="99" t="n">
        <v>0</v>
      </c>
      <c r="M594" s="99" t="n">
        <v>0</v>
      </c>
      <c r="N594" s="99" t="n">
        <v>0</v>
      </c>
      <c r="O594" s="42" t="n">
        <v>11407</v>
      </c>
    </row>
    <row r="595" spans="1:15">
      <c r="A595" s="37" t="n">
        <v>605</v>
      </c>
      <c r="B595" s="97" t="s">
        <v>1994</v>
      </c>
      <c r="C595" s="121" t="s">
        <v>19</v>
      </c>
      <c r="D595" s="121" t="s">
        <v>20</v>
      </c>
      <c r="E595" s="121" t="s">
        <v>21</v>
      </c>
      <c r="F595" s="121" t="s">
        <v>1995</v>
      </c>
      <c r="G595" s="121" t="s">
        <v>1997</v>
      </c>
      <c r="H595" s="99" t="n">
        <v>14452</v>
      </c>
      <c r="I595" s="99" t="n">
        <v>14452</v>
      </c>
      <c r="J595" s="99" t="n">
        <v>0</v>
      </c>
      <c r="K595" s="99" t="n">
        <v>2168</v>
      </c>
      <c r="L595" s="99" t="n">
        <v>0</v>
      </c>
      <c r="M595" s="99" t="n">
        <v>0</v>
      </c>
      <c r="N595" s="99" t="n">
        <v>0</v>
      </c>
      <c r="O595" s="42" t="n">
        <v>12284</v>
      </c>
    </row>
    <row r="596" spans="1:15">
      <c r="A596" s="37" t="n">
        <v>606</v>
      </c>
      <c r="B596" s="97" t="s">
        <v>90</v>
      </c>
      <c r="C596" s="121" t="s">
        <v>58</v>
      </c>
      <c r="D596" s="121" t="s">
        <v>20</v>
      </c>
      <c r="E596" s="121" t="s">
        <v>21</v>
      </c>
      <c r="F596" s="121" t="s">
        <v>91</v>
      </c>
      <c r="G596" s="121" t="s">
        <v>93</v>
      </c>
      <c r="H596" s="99" t="n">
        <v>817420</v>
      </c>
      <c r="I596" s="99" t="n">
        <v>817420</v>
      </c>
      <c r="J596" s="99" t="n">
        <v>40871</v>
      </c>
      <c r="K596" s="99" t="n">
        <v>0</v>
      </c>
      <c r="L596" s="99" t="n">
        <v>0</v>
      </c>
      <c r="M596" s="99" t="n">
        <v>0</v>
      </c>
      <c r="N596" s="99" t="n">
        <v>0</v>
      </c>
      <c r="O596" s="42" t="n">
        <v>776549</v>
      </c>
    </row>
    <row r="597" spans="1:15">
      <c r="A597" s="37" t="n">
        <v>607</v>
      </c>
      <c r="B597" s="97" t="s">
        <v>2579</v>
      </c>
      <c r="C597" s="121" t="s">
        <v>58</v>
      </c>
      <c r="D597" s="121" t="s">
        <v>20</v>
      </c>
      <c r="E597" s="121" t="s">
        <v>21</v>
      </c>
      <c r="F597" s="121" t="s">
        <v>2580</v>
      </c>
      <c r="G597" s="121" t="s">
        <v>2581</v>
      </c>
      <c r="H597" s="99" t="n">
        <v>13420</v>
      </c>
      <c r="I597" s="99" t="n">
        <v>13420</v>
      </c>
      <c r="J597" s="99" t="n">
        <v>671</v>
      </c>
      <c r="K597" s="99" t="n">
        <v>0</v>
      </c>
      <c r="L597" s="99" t="n">
        <v>0</v>
      </c>
      <c r="M597" s="99" t="n">
        <v>0</v>
      </c>
      <c r="N597" s="99" t="n">
        <v>0</v>
      </c>
      <c r="O597" s="42" t="n">
        <v>12749</v>
      </c>
    </row>
    <row r="598" spans="1:15">
      <c r="A598" s="37" t="n">
        <v>608</v>
      </c>
      <c r="B598" s="97" t="s">
        <v>86</v>
      </c>
      <c r="C598" s="121" t="s">
        <v>58</v>
      </c>
      <c r="D598" s="121" t="s">
        <v>20</v>
      </c>
      <c r="E598" s="121" t="s">
        <v>21</v>
      </c>
      <c r="F598" s="121" t="s">
        <v>87</v>
      </c>
      <c r="G598" s="121" t="s">
        <v>89</v>
      </c>
      <c r="H598" s="99" t="n">
        <v>817420</v>
      </c>
      <c r="I598" s="99" t="n">
        <v>817420</v>
      </c>
      <c r="J598" s="99" t="n">
        <v>40871</v>
      </c>
      <c r="K598" s="99" t="n">
        <v>0</v>
      </c>
      <c r="L598" s="99" t="n">
        <v>0</v>
      </c>
      <c r="M598" s="99" t="n">
        <v>0</v>
      </c>
      <c r="N598" s="99" t="n">
        <v>0</v>
      </c>
      <c r="O598" s="42" t="n">
        <v>776549</v>
      </c>
    </row>
    <row r="599" spans="1:15">
      <c r="A599" s="37" t="n">
        <v>609</v>
      </c>
      <c r="B599" s="97" t="s">
        <v>2582</v>
      </c>
      <c r="C599" s="121" t="s">
        <v>58</v>
      </c>
      <c r="D599" s="121" t="s">
        <v>128</v>
      </c>
      <c r="E599" s="121" t="s">
        <v>15</v>
      </c>
      <c r="F599" s="121" t="s">
        <v>2074</v>
      </c>
      <c r="G599" s="121" t="s">
        <v>2583</v>
      </c>
      <c r="H599" s="99" t="n">
        <v>13420</v>
      </c>
      <c r="I599" s="99" t="n">
        <v>13420</v>
      </c>
      <c r="J599" s="99" t="n">
        <v>671</v>
      </c>
      <c r="K599" s="99" t="n">
        <v>0</v>
      </c>
      <c r="L599" s="99" t="n">
        <v>0</v>
      </c>
      <c r="M599" s="99" t="n">
        <v>0</v>
      </c>
      <c r="N599" s="99" t="n">
        <v>0</v>
      </c>
      <c r="O599" s="42" t="n">
        <v>12749</v>
      </c>
    </row>
    <row r="600" spans="1:15">
      <c r="A600" s="37" t="n">
        <v>610</v>
      </c>
      <c r="B600" s="97" t="s">
        <v>2006</v>
      </c>
      <c r="C600" s="121" t="s">
        <v>19</v>
      </c>
      <c r="D600" s="121" t="s">
        <v>20</v>
      </c>
      <c r="E600" s="121" t="s">
        <v>21</v>
      </c>
      <c r="F600" s="121" t="s">
        <v>22</v>
      </c>
      <c r="G600" s="121" t="s">
        <v>2007</v>
      </c>
      <c r="H600" s="99" t="n">
        <v>13420</v>
      </c>
      <c r="I600" s="99" t="n">
        <v>13420</v>
      </c>
      <c r="J600" s="99" t="n">
        <v>0</v>
      </c>
      <c r="K600" s="99" t="n">
        <v>2013</v>
      </c>
      <c r="L600" s="99" t="n">
        <v>0</v>
      </c>
      <c r="M600" s="99" t="n">
        <v>0</v>
      </c>
      <c r="N600" s="99" t="n">
        <v>0</v>
      </c>
      <c r="O600" s="42" t="n">
        <v>11407</v>
      </c>
    </row>
    <row r="601" spans="1:15">
      <c r="A601" s="37" t="n">
        <v>611</v>
      </c>
      <c r="B601" s="97" t="s">
        <v>2008</v>
      </c>
      <c r="C601" s="121" t="s">
        <v>19</v>
      </c>
      <c r="D601" s="121" t="s">
        <v>20</v>
      </c>
      <c r="E601" s="121" t="s">
        <v>21</v>
      </c>
      <c r="F601" s="121" t="s">
        <v>22</v>
      </c>
      <c r="G601" s="121" t="s">
        <v>2010</v>
      </c>
      <c r="H601" s="99" t="n">
        <v>21162</v>
      </c>
      <c r="I601" s="99" t="n">
        <v>21162</v>
      </c>
      <c r="J601" s="99" t="n">
        <v>0</v>
      </c>
      <c r="K601" s="99" t="n">
        <v>3174</v>
      </c>
      <c r="L601" s="99" t="n">
        <v>0</v>
      </c>
      <c r="M601" s="99" t="n">
        <v>0</v>
      </c>
      <c r="N601" s="99" t="n">
        <v>0</v>
      </c>
      <c r="O601" s="42" t="n">
        <v>17988</v>
      </c>
    </row>
    <row r="602" spans="1:15">
      <c r="A602" s="37" t="n">
        <v>612</v>
      </c>
      <c r="B602" s="97" t="s">
        <v>1940</v>
      </c>
      <c r="C602" s="121" t="s">
        <v>58</v>
      </c>
      <c r="D602" s="121" t="s">
        <v>20</v>
      </c>
      <c r="E602" s="121" t="s">
        <v>21</v>
      </c>
      <c r="F602" s="121" t="s">
        <v>1941</v>
      </c>
      <c r="G602" s="121" t="s">
        <v>1942</v>
      </c>
      <c r="H602" s="99" t="n">
        <v>13420</v>
      </c>
      <c r="I602" s="99" t="n">
        <v>13420</v>
      </c>
      <c r="J602" s="99" t="n">
        <v>671</v>
      </c>
      <c r="K602" s="99" t="n">
        <v>0</v>
      </c>
      <c r="L602" s="99" t="n">
        <v>0</v>
      </c>
      <c r="M602" s="99" t="n">
        <v>0</v>
      </c>
      <c r="N602" s="99" t="n">
        <v>0</v>
      </c>
      <c r="O602" s="42" t="n">
        <v>12749</v>
      </c>
    </row>
    <row r="603" spans="1:15">
      <c r="A603" s="66"/>
      <c r="B603" s="63"/>
      <c r="C603" s="100"/>
      <c r="D603" s="100"/>
      <c r="E603" s="100"/>
      <c r="F603" s="100"/>
      <c r="G603" s="100"/>
      <c r="H603" s="101"/>
      <c r="I603" s="101"/>
      <c r="J603" s="101"/>
      <c r="K603" s="101"/>
      <c r="L603" s="101"/>
      <c r="M603" s="101"/>
      <c r="N603" s="101"/>
      <c r="O603" s="42"/>
    </row>
    <row r="604" spans="1:15">
      <c r="A604" s="102"/>
      <c r="B604" s="103"/>
      <c r="C604" s="104"/>
      <c r="D604" s="104"/>
      <c r="E604" s="104"/>
      <c r="F604" s="104"/>
      <c r="G604" s="104"/>
      <c r="H604" s="105" t="n">
        <v>42030038</v>
      </c>
      <c r="I604" s="105" t="n">
        <v>42030038</v>
      </c>
      <c r="J604" s="105" t="n">
        <v>1182844</v>
      </c>
      <c r="K604" s="105" t="n">
        <v>702197</v>
      </c>
      <c r="L604" s="105" t="n">
        <v>0</v>
      </c>
      <c r="M604" s="105" t="n">
        <v>0</v>
      </c>
      <c r="N604" s="105" t="n">
        <v>0</v>
      </c>
      <c r="O604" s="105" t="n">
        <v>40144997</v>
      </c>
    </row>
    <row r="605" spans="1:15">
      <c r="A605" s="37"/>
      <c r="B605" s="97"/>
      <c r="C605" s="98"/>
      <c r="D605" s="98"/>
      <c r="E605" s="98"/>
      <c r="F605" s="98"/>
      <c r="G605" s="98"/>
      <c r="H605" s="99"/>
      <c r="I605" s="99"/>
      <c r="J605" s="99"/>
      <c r="K605" s="99"/>
      <c r="L605" s="99"/>
      <c r="M605" s="99"/>
      <c r="N605" s="99"/>
      <c r="O605" s="42"/>
    </row>
    <row r="606" spans="1:15">
      <c r="A606" s="37"/>
      <c r="B606" s="59" t="s">
        <v>2013</v>
      </c>
      <c r="C606" s="98"/>
      <c r="D606" s="98"/>
      <c r="E606" s="98"/>
      <c r="F606" s="98"/>
      <c r="G606" s="98"/>
      <c r="H606" s="99"/>
      <c r="I606" s="99"/>
      <c r="J606" s="99"/>
      <c r="K606" s="99"/>
      <c r="L606" s="99"/>
      <c r="M606" s="99"/>
      <c r="N606" s="99"/>
      <c r="O606" s="42"/>
    </row>
    <row r="607" spans="1:15">
      <c r="A607" s="37" t="n">
        <v>617</v>
      </c>
      <c r="B607" s="97" t="s">
        <v>2584</v>
      </c>
      <c r="C607" s="121" t="s">
        <v>95</v>
      </c>
      <c r="D607" s="121" t="s">
        <v>128</v>
      </c>
      <c r="E607" s="121" t="s">
        <v>15</v>
      </c>
      <c r="F607" s="121" t="s">
        <v>2074</v>
      </c>
      <c r="G607" s="121" t="s">
        <v>2585</v>
      </c>
      <c r="H607" s="99" t="n">
        <v>20130</v>
      </c>
      <c r="I607" s="99" t="n">
        <v>10065</v>
      </c>
      <c r="J607" s="99" t="n">
        <v>503</v>
      </c>
      <c r="K607" s="99" t="n">
        <v>0</v>
      </c>
      <c r="L607" s="99" t="n">
        <v>0</v>
      </c>
      <c r="M607" s="99" t="n">
        <v>0</v>
      </c>
      <c r="N607" s="99" t="n">
        <v>0</v>
      </c>
      <c r="O607" s="42" t="n">
        <v>19627</v>
      </c>
    </row>
    <row r="608" spans="1:15">
      <c r="A608" s="37" t="n">
        <v>618</v>
      </c>
      <c r="B608" s="97" t="s">
        <v>2586</v>
      </c>
      <c r="C608" s="121" t="s">
        <v>120</v>
      </c>
      <c r="D608" s="121" t="s">
        <v>128</v>
      </c>
      <c r="E608" s="121" t="s">
        <v>15</v>
      </c>
      <c r="F608" s="121" t="s">
        <v>2074</v>
      </c>
      <c r="G608" s="121" t="s">
        <v>2587</v>
      </c>
      <c r="H608" s="99" t="n">
        <v>5035242</v>
      </c>
      <c r="I608" s="99" t="n">
        <v>2517621</v>
      </c>
      <c r="J608" s="99" t="n">
        <v>125881</v>
      </c>
      <c r="K608" s="99" t="n">
        <v>0</v>
      </c>
      <c r="L608" s="99" t="n">
        <v>0</v>
      </c>
      <c r="M608" s="99" t="n">
        <v>0</v>
      </c>
      <c r="N608" s="99" t="n">
        <v>0</v>
      </c>
      <c r="O608" s="42" t="n">
        <v>4909361</v>
      </c>
    </row>
    <row r="609" spans="1:15">
      <c r="A609" s="37" t="n">
        <v>619</v>
      </c>
      <c r="B609" s="97" t="s">
        <v>2024</v>
      </c>
      <c r="C609" s="121" t="s">
        <v>120</v>
      </c>
      <c r="D609" s="98" t="n">
        <v>0</v>
      </c>
      <c r="E609" s="121" t="s">
        <v>21</v>
      </c>
      <c r="F609" s="121" t="s">
        <v>2025</v>
      </c>
      <c r="G609" s="121" t="s">
        <v>2027</v>
      </c>
      <c r="H609" s="99" t="n">
        <v>20130</v>
      </c>
      <c r="I609" s="99" t="n">
        <v>10065</v>
      </c>
      <c r="J609" s="99" t="n">
        <v>0</v>
      </c>
      <c r="K609" s="99" t="n">
        <v>1510</v>
      </c>
      <c r="L609" s="99" t="n">
        <v>0</v>
      </c>
      <c r="M609" s="99" t="n">
        <v>0</v>
      </c>
      <c r="N609" s="99" t="n">
        <v>0</v>
      </c>
      <c r="O609" s="42" t="n">
        <v>18620</v>
      </c>
    </row>
    <row r="610" spans="1:15">
      <c r="A610" s="37" t="n">
        <v>620</v>
      </c>
      <c r="B610" s="97" t="s">
        <v>2588</v>
      </c>
      <c r="C610" s="121" t="s">
        <v>120</v>
      </c>
      <c r="D610" s="121" t="s">
        <v>128</v>
      </c>
      <c r="E610" s="121" t="s">
        <v>15</v>
      </c>
      <c r="F610" s="98" t="n">
        <v>0</v>
      </c>
      <c r="G610" s="121" t="s">
        <v>2589</v>
      </c>
      <c r="H610" s="99" t="n">
        <v>20130</v>
      </c>
      <c r="I610" s="99" t="n">
        <v>10065</v>
      </c>
      <c r="J610" s="99" t="n">
        <v>503</v>
      </c>
      <c r="K610" s="99" t="n">
        <v>0</v>
      </c>
      <c r="L610" s="99" t="n">
        <v>0</v>
      </c>
      <c r="M610" s="99" t="n">
        <v>0</v>
      </c>
      <c r="N610" s="99" t="n">
        <v>0</v>
      </c>
      <c r="O610" s="42" t="n">
        <v>19627</v>
      </c>
    </row>
    <row r="611" spans="1:15">
      <c r="A611" s="37" t="n">
        <v>621</v>
      </c>
      <c r="B611" s="97" t="s">
        <v>2040</v>
      </c>
      <c r="C611" s="121" t="s">
        <v>120</v>
      </c>
      <c r="D611" s="98" t="n">
        <v>0</v>
      </c>
      <c r="E611" s="121" t="s">
        <v>21</v>
      </c>
      <c r="F611" s="121" t="s">
        <v>2041</v>
      </c>
      <c r="G611" s="121" t="s">
        <v>2042</v>
      </c>
      <c r="H611" s="99" t="n">
        <v>20130</v>
      </c>
      <c r="I611" s="99" t="n">
        <v>10065</v>
      </c>
      <c r="J611" s="99" t="n">
        <v>503</v>
      </c>
      <c r="K611" s="99" t="n">
        <v>0</v>
      </c>
      <c r="L611" s="99" t="n">
        <v>0</v>
      </c>
      <c r="M611" s="99" t="n">
        <v>0</v>
      </c>
      <c r="N611" s="99" t="n">
        <v>0</v>
      </c>
      <c r="O611" s="42" t="n">
        <v>19627</v>
      </c>
    </row>
    <row r="612" spans="1:15">
      <c r="A612" s="37" t="n">
        <v>622</v>
      </c>
      <c r="B612" s="97" t="s">
        <v>2590</v>
      </c>
      <c r="C612" s="121" t="s">
        <v>120</v>
      </c>
      <c r="D612" s="121" t="s">
        <v>128</v>
      </c>
      <c r="E612" s="121" t="s">
        <v>15</v>
      </c>
      <c r="F612" s="98" t="n">
        <v>0</v>
      </c>
      <c r="G612" s="121" t="s">
        <v>2591</v>
      </c>
      <c r="H612" s="99" t="n">
        <v>20130</v>
      </c>
      <c r="I612" s="99" t="n">
        <v>10065</v>
      </c>
      <c r="J612" s="99" t="n">
        <v>503</v>
      </c>
      <c r="K612" s="99" t="n">
        <v>0</v>
      </c>
      <c r="L612" s="99" t="n">
        <v>0</v>
      </c>
      <c r="M612" s="99" t="n">
        <v>0</v>
      </c>
      <c r="N612" s="99" t="n">
        <v>0</v>
      </c>
      <c r="O612" s="42" t="n">
        <v>19627</v>
      </c>
    </row>
    <row r="613" spans="1:15">
      <c r="A613" s="37" t="n">
        <v>623</v>
      </c>
      <c r="B613" s="97" t="s">
        <v>2034</v>
      </c>
      <c r="C613" s="121" t="s">
        <v>120</v>
      </c>
      <c r="D613" s="98" t="n">
        <v>0</v>
      </c>
      <c r="E613" s="121" t="s">
        <v>21</v>
      </c>
      <c r="F613" s="121" t="s">
        <v>2035</v>
      </c>
      <c r="G613" s="121" t="s">
        <v>2036</v>
      </c>
      <c r="H613" s="99" t="n">
        <v>20130</v>
      </c>
      <c r="I613" s="99" t="n">
        <v>10065</v>
      </c>
      <c r="J613" s="99" t="n">
        <v>503</v>
      </c>
      <c r="K613" s="99" t="n">
        <v>0</v>
      </c>
      <c r="L613" s="99" t="n">
        <v>0</v>
      </c>
      <c r="M613" s="99" t="n">
        <v>0</v>
      </c>
      <c r="N613" s="99" t="n">
        <v>0</v>
      </c>
      <c r="O613" s="42" t="n">
        <v>19627</v>
      </c>
    </row>
    <row r="614" spans="1:15">
      <c r="A614" s="37" t="n">
        <v>624</v>
      </c>
      <c r="B614" s="97" t="s">
        <v>2592</v>
      </c>
      <c r="C614" s="121" t="s">
        <v>120</v>
      </c>
      <c r="D614" s="121" t="s">
        <v>128</v>
      </c>
      <c r="E614" s="121" t="s">
        <v>15</v>
      </c>
      <c r="F614" s="121" t="s">
        <v>2074</v>
      </c>
      <c r="G614" s="121" t="s">
        <v>2593</v>
      </c>
      <c r="H614" s="99" t="n">
        <v>13420</v>
      </c>
      <c r="I614" s="99" t="n">
        <v>6710</v>
      </c>
      <c r="J614" s="99" t="n">
        <v>336</v>
      </c>
      <c r="K614" s="99" t="n">
        <v>0</v>
      </c>
      <c r="L614" s="99" t="n">
        <v>0</v>
      </c>
      <c r="M614" s="99" t="n">
        <v>0</v>
      </c>
      <c r="N614" s="99" t="n">
        <v>0</v>
      </c>
      <c r="O614" s="42" t="n">
        <v>13084</v>
      </c>
    </row>
    <row r="615" spans="1:15">
      <c r="A615" s="66"/>
      <c r="B615" s="63"/>
      <c r="C615" s="106"/>
      <c r="D615" s="106"/>
      <c r="E615" s="106"/>
      <c r="F615" s="106"/>
      <c r="G615" s="106"/>
      <c r="H615" s="101"/>
      <c r="I615" s="101"/>
      <c r="J615" s="101"/>
      <c r="K615" s="101"/>
      <c r="L615" s="101"/>
      <c r="M615" s="101"/>
      <c r="N615" s="101"/>
      <c r="O615" s="107"/>
    </row>
    <row r="616" spans="1:15">
      <c r="A616" s="102"/>
      <c r="B616" s="103"/>
      <c r="C616" s="104"/>
      <c r="D616" s="104"/>
      <c r="E616" s="104"/>
      <c r="F616" s="104"/>
      <c r="G616" s="104"/>
      <c r="H616" s="105" t="n">
        <v>5169442</v>
      </c>
      <c r="I616" s="105" t="n">
        <v>2584721</v>
      </c>
      <c r="J616" s="105" t="n">
        <v>128732</v>
      </c>
      <c r="K616" s="105" t="n">
        <v>1510</v>
      </c>
      <c r="L616" s="105" t="n">
        <v>0</v>
      </c>
      <c r="M616" s="105" t="n">
        <v>0</v>
      </c>
      <c r="N616" s="105" t="n">
        <v>0</v>
      </c>
      <c r="O616" s="110" t="n">
        <v>5039200</v>
      </c>
    </row>
    <row r="617" spans="1:15">
      <c r="A617" s="66"/>
      <c r="B617" s="63"/>
      <c r="C617" s="106"/>
      <c r="D617" s="106"/>
      <c r="E617" s="106"/>
      <c r="F617" s="106"/>
      <c r="G617" s="106"/>
      <c r="H617" s="101"/>
      <c r="I617" s="101"/>
      <c r="J617" s="101"/>
      <c r="K617" s="101"/>
      <c r="L617" s="101"/>
      <c r="M617" s="101"/>
      <c r="N617" s="101"/>
      <c r="O617" s="107"/>
    </row>
    <row r="618" spans="1:15">
      <c r="A618" s="102"/>
      <c r="B618" s="103"/>
      <c r="C618" s="104"/>
      <c r="D618" s="104"/>
      <c r="E618" s="104"/>
      <c r="F618" s="104"/>
      <c r="G618" s="104"/>
      <c r="H618" s="105" t="n">
        <v>47199480</v>
      </c>
      <c r="I618" s="105" t="n">
        <v>44614759</v>
      </c>
      <c r="J618" s="105" t="n">
        <v>1311576</v>
      </c>
      <c r="K618" s="105" t="n">
        <v>703707</v>
      </c>
      <c r="L618" s="105" t="n">
        <v>0</v>
      </c>
      <c r="M618" s="105" t="n">
        <v>0</v>
      </c>
      <c r="N618" s="105" t="n">
        <v>0</v>
      </c>
      <c r="O618" s="110" t="n">
        <v>45184197</v>
      </c>
    </row>
  </sheetData>
  <mergeCells count="1">
    <mergeCell ref="D5:E5"/>
  </mergeCells>
  <conditionalFormatting sqref="G607:G614">
    <cfRule type="duplicateValues" dxfId="175" priority="1"/>
  </conditionalFormatting>
  <conditionalFormatting sqref="B607:B614">
    <cfRule type="duplicateValues" dxfId="176" priority="2"/>
  </conditionalFormatting>
  <conditionalFormatting sqref="F607:F614">
    <cfRule type="duplicateValues" dxfId="177" priority="3"/>
  </conditionalFormatting>
  <conditionalFormatting sqref="F615:F616">
    <cfRule type="duplicateValues" dxfId="178" priority="4"/>
  </conditionalFormatting>
  <conditionalFormatting sqref="G615:G616">
    <cfRule type="duplicateValues" dxfId="179" priority="5"/>
  </conditionalFormatting>
  <conditionalFormatting sqref="F604">
    <cfRule type="duplicateValues" dxfId="180" priority="6"/>
  </conditionalFormatting>
  <conditionalFormatting sqref="G604">
    <cfRule type="duplicateValues" dxfId="181" priority="7"/>
  </conditionalFormatting>
  <conditionalFormatting sqref="G597:G601">
    <cfRule type="duplicateValues" dxfId="182" priority="8"/>
  </conditionalFormatting>
  <conditionalFormatting sqref="B597:B601">
    <cfRule type="duplicateValues" dxfId="183" priority="9"/>
  </conditionalFormatting>
  <conditionalFormatting sqref="F597:F601">
    <cfRule type="duplicateValues" dxfId="184" priority="10"/>
  </conditionalFormatting>
  <conditionalFormatting sqref="G495:G497">
    <cfRule type="duplicateValues" dxfId="185" priority="11"/>
  </conditionalFormatting>
  <conditionalFormatting sqref="B495:B497">
    <cfRule type="duplicateValues" dxfId="186" priority="12"/>
  </conditionalFormatting>
  <conditionalFormatting sqref="F495:F497">
    <cfRule type="duplicateValues" dxfId="187" priority="13"/>
  </conditionalFormatting>
  <conditionalFormatting sqref="B134">
    <cfRule type="duplicateValues" dxfId="188" priority="14"/>
  </conditionalFormatting>
  <conditionalFormatting sqref="F134">
    <cfRule type="duplicateValues" dxfId="189" priority="15"/>
  </conditionalFormatting>
  <conditionalFormatting sqref="F134">
    <cfRule type="duplicateValues" dxfId="190" priority="16"/>
  </conditionalFormatting>
  <conditionalFormatting sqref="G134">
    <cfRule type="duplicateValues" dxfId="191" priority="17"/>
  </conditionalFormatting>
  <conditionalFormatting sqref="B134">
    <cfRule type="duplicateValues" dxfId="192" priority="18"/>
  </conditionalFormatting>
  <conditionalFormatting sqref="G134">
    <cfRule type="duplicateValues" dxfId="193" priority="19"/>
  </conditionalFormatting>
  <conditionalFormatting sqref="B134">
    <cfRule type="duplicateValues" dxfId="194" priority="20"/>
  </conditionalFormatting>
  <conditionalFormatting sqref="F134">
    <cfRule type="duplicateValues" dxfId="195" priority="21"/>
  </conditionalFormatting>
  <conditionalFormatting sqref="G450:G463">
    <cfRule type="duplicateValues" dxfId="196" priority="22"/>
  </conditionalFormatting>
  <conditionalFormatting sqref="B450:B463">
    <cfRule type="duplicateValues" dxfId="197" priority="23"/>
  </conditionalFormatting>
  <conditionalFormatting sqref="F450:F463">
    <cfRule type="duplicateValues" dxfId="198" priority="24"/>
  </conditionalFormatting>
  <conditionalFormatting sqref="G479:G480">
    <cfRule type="duplicateValues" dxfId="199" priority="25"/>
  </conditionalFormatting>
  <conditionalFormatting sqref="B479:B480">
    <cfRule type="duplicateValues" dxfId="200" priority="26"/>
  </conditionalFormatting>
  <conditionalFormatting sqref="F479:F480">
    <cfRule type="duplicateValues" dxfId="201" priority="27"/>
  </conditionalFormatting>
  <conditionalFormatting sqref="G467">
    <cfRule type="duplicateValues" dxfId="202" priority="28"/>
  </conditionalFormatting>
  <conditionalFormatting sqref="B467">
    <cfRule type="duplicateValues" dxfId="203" priority="29"/>
  </conditionalFormatting>
  <conditionalFormatting sqref="F467">
    <cfRule type="duplicateValues" dxfId="204" priority="30"/>
  </conditionalFormatting>
  <conditionalFormatting sqref="B197:B226">
    <cfRule type="duplicateValues" dxfId="205" priority="31"/>
  </conditionalFormatting>
  <conditionalFormatting sqref="F197:F226">
    <cfRule type="duplicateValues" dxfId="206" priority="32"/>
  </conditionalFormatting>
  <conditionalFormatting sqref="G197:G226">
    <cfRule type="duplicateValues" dxfId="207" priority="33"/>
  </conditionalFormatting>
  <conditionalFormatting sqref="G197:G226">
    <cfRule type="duplicateValues" dxfId="208" priority="34"/>
  </conditionalFormatting>
  <conditionalFormatting sqref="B197:B226">
    <cfRule type="duplicateValues" dxfId="209" priority="35"/>
  </conditionalFormatting>
  <conditionalFormatting sqref="B197:B226">
    <cfRule type="duplicateValues" dxfId="210" priority="36"/>
  </conditionalFormatting>
  <conditionalFormatting sqref="F197:F226">
    <cfRule type="duplicateValues" dxfId="211" priority="37"/>
  </conditionalFormatting>
  <conditionalFormatting sqref="F197:F226">
    <cfRule type="duplicateValues" dxfId="212" priority="38"/>
  </conditionalFormatting>
  <conditionalFormatting sqref="F136">
    <cfRule type="duplicateValues" dxfId="213" priority="39"/>
  </conditionalFormatting>
  <conditionalFormatting sqref="G136">
    <cfRule type="duplicateValues" dxfId="214" priority="40"/>
  </conditionalFormatting>
  <conditionalFormatting sqref="B136">
    <cfRule type="duplicateValues" dxfId="215" priority="41"/>
  </conditionalFormatting>
  <conditionalFormatting sqref="G157:G196">
    <cfRule type="duplicateValues" dxfId="216" priority="42"/>
  </conditionalFormatting>
  <conditionalFormatting sqref="B157:B196">
    <cfRule type="duplicateValues" dxfId="217" priority="43"/>
  </conditionalFormatting>
  <conditionalFormatting sqref="F157:F196">
    <cfRule type="duplicateValues" dxfId="218" priority="44"/>
  </conditionalFormatting>
  <conditionalFormatting sqref="G420:G449 G464:G466 G468:G478 G481:G494 G498:G596 G602">
    <cfRule type="duplicateValues" dxfId="219" priority="45"/>
  </conditionalFormatting>
  <conditionalFormatting sqref="B420:B449 B464:B466 B468:B478 B481:B494 B498:B596 B602">
    <cfRule type="duplicateValues" dxfId="220" priority="46"/>
  </conditionalFormatting>
  <conditionalFormatting sqref="F420:F449 F464:F466 F468:F478 F481:F494 F498:F596 F602">
    <cfRule type="duplicateValues" dxfId="221" priority="47"/>
  </conditionalFormatting>
  <conditionalFormatting sqref="F136 F142:F196">
    <cfRule type="duplicateValues" dxfId="222" priority="48"/>
  </conditionalFormatting>
  <conditionalFormatting sqref="G419 G603 G605:G606">
    <cfRule type="duplicateValues" dxfId="223" priority="49"/>
  </conditionalFormatting>
  <conditionalFormatting sqref="B419 B603 B605:B606">
    <cfRule type="duplicateValues" dxfId="224" priority="50"/>
  </conditionalFormatting>
  <conditionalFormatting sqref="F419 F603 F605:F606">
    <cfRule type="duplicateValues" dxfId="225" priority="51"/>
  </conditionalFormatting>
  <conditionalFormatting sqref="G227:G418">
    <cfRule type="duplicateValues" dxfId="226" priority="52"/>
  </conditionalFormatting>
  <conditionalFormatting sqref="B227:B418">
    <cfRule type="duplicateValues" dxfId="227" priority="53"/>
  </conditionalFormatting>
  <conditionalFormatting sqref="F227:F418">
    <cfRule type="duplicateValues" dxfId="228" priority="54"/>
  </conditionalFormatting>
  <conditionalFormatting sqref="G137:G141">
    <cfRule type="duplicateValues" dxfId="229" priority="55"/>
  </conditionalFormatting>
  <conditionalFormatting sqref="B137:B141">
    <cfRule type="duplicateValues" dxfId="230" priority="56"/>
  </conditionalFormatting>
  <conditionalFormatting sqref="F137:F141">
    <cfRule type="duplicateValues" dxfId="231" priority="57"/>
  </conditionalFormatting>
  <conditionalFormatting sqref="F97:F133 F135">
    <cfRule type="duplicateValues" dxfId="232" priority="58"/>
  </conditionalFormatting>
  <conditionalFormatting sqref="F97:F133 F135">
    <cfRule type="duplicateValues" dxfId="233" priority="59"/>
  </conditionalFormatting>
  <conditionalFormatting sqref="G97:G133 G135">
    <cfRule type="duplicateValues" dxfId="234" priority="60"/>
  </conditionalFormatting>
  <conditionalFormatting sqref="B97:B133 B135">
    <cfRule type="duplicateValues" dxfId="235" priority="61"/>
  </conditionalFormatting>
  <conditionalFormatting sqref="B1:B133 B135:B196 B419 B603:B606 B615:B618">
    <cfRule type="duplicateValues" dxfId="236" priority="62"/>
  </conditionalFormatting>
  <conditionalFormatting sqref="F26">
    <cfRule type="duplicateValues" dxfId="237" priority="63"/>
  </conditionalFormatting>
  <conditionalFormatting sqref="G26">
    <cfRule type="duplicateValues" dxfId="238" priority="64"/>
  </conditionalFormatting>
  <conditionalFormatting sqref="B26">
    <cfRule type="duplicateValues" dxfId="239" priority="65"/>
  </conditionalFormatting>
  <conditionalFormatting sqref="F1:F6 F136 F142:F196 F617:F618">
    <cfRule type="duplicateValues" dxfId="240" priority="66"/>
  </conditionalFormatting>
  <conditionalFormatting sqref="G1:G133 G135:G196 G617:G618">
    <cfRule type="duplicateValues" dxfId="241" priority="67"/>
  </conditionalFormatting>
  <conditionalFormatting sqref="B7:B133 B135:B196">
    <cfRule type="duplicateValues" dxfId="242" priority="68"/>
  </conditionalFormatting>
  <conditionalFormatting sqref="F7:F133 F135:F141">
    <cfRule type="duplicateValues" dxfId="243" priority="69"/>
  </conditionalFormatting>
  <printOptions>
    <extLst>
      <ext uri="smNativeData">
        <pm:pageFlags xmlns:pm="smNativeData" id="175973252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9732528" l="56" r="56" t="56" b="56" borderId="0" fillId="0" vertical="0"/>
        <pm:footer xmlns:pm="smNativeData" id="1759732528" l="56" r="56" t="56" b="56" borderId="0" fillId="0" vertical="2"/>
      </ext>
    </extLst>
  </headerFooter>
  <extLst>
    <ext uri="smNativeData">
      <pm:sheetPrefs xmlns:pm="smNativeData" day="175973252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keuangan</dc:creator>
  <cp:keywords/>
  <dc:description/>
  <cp:lastModifiedBy>server-it</cp:lastModifiedBy>
  <cp:revision>0</cp:revision>
  <dcterms:created xsi:type="dcterms:W3CDTF">2025-10-03T13:10:42Z</dcterms:created>
  <dcterms:modified xsi:type="dcterms:W3CDTF">2025-10-06T06:35:28Z</dcterms:modified>
</cp:coreProperties>
</file>