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REKAP GAJI BLUD JULI 2025" sheetId="1" r:id="rId1"/>
  </sheets>
  <externalReferences>
    <externalReference r:id="rId2"/>
  </externalReferences>
  <definedNames>
    <definedName name="_xlnm._FilterDatabase" localSheetId="0" hidden="1">'REKAP GAJI BLUD JULI 2025'!$A$3:$O$267</definedName>
    <definedName name="_xlnm.Print_Area" localSheetId="0">'REKAP GAJI BLUD JULI 2025'!$A$1:$O$267</definedName>
    <definedName name="_xlnm.Print_Titles" localSheetId="0">'REKAP GAJI BLUD JULI 2025'!$1:$3</definedName>
  </definedNames>
  <calcPr calcId="144525"/>
</workbook>
</file>

<file path=xl/calcChain.xml><?xml version="1.0" encoding="utf-8"?>
<calcChain xmlns="http://schemas.openxmlformats.org/spreadsheetml/2006/main">
  <c r="E286" i="1" l="1"/>
  <c r="E284" i="1"/>
  <c r="E285" i="1" s="1"/>
  <c r="L283" i="1"/>
  <c r="L284" i="1" s="1"/>
  <c r="L258" i="1"/>
  <c r="K258" i="1"/>
  <c r="J258" i="1"/>
  <c r="I258" i="1"/>
  <c r="R272" i="1" s="1"/>
  <c r="H258" i="1"/>
  <c r="G258" i="1"/>
  <c r="G286" i="1" s="1"/>
  <c r="F258" i="1"/>
  <c r="E258" i="1"/>
  <c r="E290" i="1" s="1"/>
  <c r="M256" i="1"/>
  <c r="N256" i="1" s="1"/>
  <c r="M255" i="1"/>
  <c r="N255" i="1" s="1"/>
  <c r="M254" i="1"/>
  <c r="N254" i="1" s="1"/>
  <c r="M253" i="1"/>
  <c r="N253" i="1" s="1"/>
  <c r="M252" i="1"/>
  <c r="N252" i="1" s="1"/>
  <c r="N251" i="1"/>
  <c r="M251" i="1"/>
  <c r="M250" i="1"/>
  <c r="N250" i="1" s="1"/>
  <c r="M249" i="1"/>
  <c r="N249" i="1" s="1"/>
  <c r="N248" i="1"/>
  <c r="M248" i="1"/>
  <c r="M247" i="1"/>
  <c r="N247" i="1" s="1"/>
  <c r="M246" i="1"/>
  <c r="N246" i="1" s="1"/>
  <c r="M245" i="1"/>
  <c r="N245" i="1" s="1"/>
  <c r="M244" i="1"/>
  <c r="N244" i="1" s="1"/>
  <c r="N243" i="1"/>
  <c r="M243" i="1"/>
  <c r="M242" i="1"/>
  <c r="N242" i="1" s="1"/>
  <c r="M241" i="1"/>
  <c r="N241" i="1" s="1"/>
  <c r="N240" i="1"/>
  <c r="M240" i="1"/>
  <c r="M239" i="1"/>
  <c r="N239" i="1" s="1"/>
  <c r="M238" i="1"/>
  <c r="N238" i="1" s="1"/>
  <c r="M237" i="1"/>
  <c r="N237" i="1" s="1"/>
  <c r="M236" i="1"/>
  <c r="N236" i="1" s="1"/>
  <c r="N235" i="1"/>
  <c r="M235" i="1"/>
  <c r="M234" i="1"/>
  <c r="N234" i="1" s="1"/>
  <c r="M233" i="1"/>
  <c r="N233" i="1" s="1"/>
  <c r="N232" i="1"/>
  <c r="M232" i="1"/>
  <c r="M231" i="1"/>
  <c r="N231" i="1" s="1"/>
  <c r="M230" i="1"/>
  <c r="N230" i="1" s="1"/>
  <c r="M229" i="1"/>
  <c r="N229" i="1" s="1"/>
  <c r="M228" i="1"/>
  <c r="N228" i="1" s="1"/>
  <c r="N227" i="1"/>
  <c r="M227" i="1"/>
  <c r="M226" i="1"/>
  <c r="N226" i="1" s="1"/>
  <c r="M225" i="1"/>
  <c r="N225" i="1" s="1"/>
  <c r="N224" i="1"/>
  <c r="M224" i="1"/>
  <c r="M223" i="1"/>
  <c r="N223" i="1" s="1"/>
  <c r="M222" i="1"/>
  <c r="N222" i="1" s="1"/>
  <c r="M221" i="1"/>
  <c r="N221" i="1" s="1"/>
  <c r="M220" i="1"/>
  <c r="N220" i="1" s="1"/>
  <c r="N219" i="1"/>
  <c r="M219" i="1"/>
  <c r="M218" i="1"/>
  <c r="N218" i="1" s="1"/>
  <c r="M217" i="1"/>
  <c r="N217" i="1" s="1"/>
  <c r="N216" i="1"/>
  <c r="M216" i="1"/>
  <c r="M215" i="1"/>
  <c r="N215" i="1" s="1"/>
  <c r="M214" i="1"/>
  <c r="N214" i="1" s="1"/>
  <c r="M213" i="1"/>
  <c r="N213" i="1" s="1"/>
  <c r="M212" i="1"/>
  <c r="N212" i="1" s="1"/>
  <c r="N211" i="1"/>
  <c r="M211" i="1"/>
  <c r="M210" i="1"/>
  <c r="N210" i="1" s="1"/>
  <c r="M209" i="1"/>
  <c r="N209" i="1" s="1"/>
  <c r="N208" i="1"/>
  <c r="M208" i="1"/>
  <c r="M207" i="1"/>
  <c r="N207" i="1" s="1"/>
  <c r="M206" i="1"/>
  <c r="N206" i="1" s="1"/>
  <c r="M205" i="1"/>
  <c r="N205" i="1" s="1"/>
  <c r="M204" i="1"/>
  <c r="N204" i="1" s="1"/>
  <c r="N203" i="1"/>
  <c r="M203" i="1"/>
  <c r="M202" i="1"/>
  <c r="N202" i="1" s="1"/>
  <c r="M201" i="1"/>
  <c r="N201" i="1" s="1"/>
  <c r="N200" i="1"/>
  <c r="M200" i="1"/>
  <c r="M199" i="1"/>
  <c r="N199" i="1" s="1"/>
  <c r="M198" i="1"/>
  <c r="N198" i="1" s="1"/>
  <c r="M197" i="1"/>
  <c r="N197" i="1" s="1"/>
  <c r="M196" i="1"/>
  <c r="N196" i="1" s="1"/>
  <c r="N195" i="1"/>
  <c r="M195" i="1"/>
  <c r="M194" i="1"/>
  <c r="N194" i="1" s="1"/>
  <c r="M193" i="1"/>
  <c r="N193" i="1" s="1"/>
  <c r="N192" i="1"/>
  <c r="M192" i="1"/>
  <c r="M191" i="1"/>
  <c r="N191" i="1" s="1"/>
  <c r="M190" i="1"/>
  <c r="N190" i="1" s="1"/>
  <c r="M189" i="1"/>
  <c r="N189" i="1" s="1"/>
  <c r="M188" i="1"/>
  <c r="N188" i="1" s="1"/>
  <c r="N187" i="1"/>
  <c r="M187" i="1"/>
  <c r="M186" i="1"/>
  <c r="N186" i="1" s="1"/>
  <c r="M185" i="1"/>
  <c r="N185" i="1" s="1"/>
  <c r="N184" i="1"/>
  <c r="M184" i="1"/>
  <c r="M183" i="1"/>
  <c r="N183" i="1" s="1"/>
  <c r="M182" i="1"/>
  <c r="N182" i="1" s="1"/>
  <c r="M181" i="1"/>
  <c r="N181" i="1" s="1"/>
  <c r="M180" i="1"/>
  <c r="N180" i="1" s="1"/>
  <c r="N179" i="1"/>
  <c r="M179" i="1"/>
  <c r="M178" i="1"/>
  <c r="N178" i="1" s="1"/>
  <c r="M177" i="1"/>
  <c r="N177" i="1" s="1"/>
  <c r="N176" i="1"/>
  <c r="M176" i="1"/>
  <c r="M175" i="1"/>
  <c r="N175" i="1" s="1"/>
  <c r="M174" i="1"/>
  <c r="N174" i="1" s="1"/>
  <c r="M173" i="1"/>
  <c r="N173" i="1" s="1"/>
  <c r="M172" i="1"/>
  <c r="N172" i="1" s="1"/>
  <c r="N171" i="1"/>
  <c r="M171" i="1"/>
  <c r="M170" i="1"/>
  <c r="N170" i="1" s="1"/>
  <c r="M169" i="1"/>
  <c r="N169" i="1" s="1"/>
  <c r="N168" i="1"/>
  <c r="M168" i="1"/>
  <c r="M167" i="1"/>
  <c r="N167" i="1" s="1"/>
  <c r="M166" i="1"/>
  <c r="N166" i="1" s="1"/>
  <c r="M165" i="1"/>
  <c r="N165" i="1" s="1"/>
  <c r="M164" i="1"/>
  <c r="N164" i="1" s="1"/>
  <c r="N163" i="1"/>
  <c r="M163" i="1"/>
  <c r="M162" i="1"/>
  <c r="N162" i="1" s="1"/>
  <c r="M161" i="1"/>
  <c r="N161" i="1" s="1"/>
  <c r="N160" i="1"/>
  <c r="M160" i="1"/>
  <c r="M159" i="1"/>
  <c r="N159" i="1" s="1"/>
  <c r="M158" i="1"/>
  <c r="N158" i="1" s="1"/>
  <c r="M157" i="1"/>
  <c r="N157" i="1" s="1"/>
  <c r="M156" i="1"/>
  <c r="N156" i="1" s="1"/>
  <c r="N155" i="1"/>
  <c r="M155" i="1"/>
  <c r="M154" i="1"/>
  <c r="N154" i="1" s="1"/>
  <c r="M153" i="1"/>
  <c r="N153" i="1" s="1"/>
  <c r="N152" i="1"/>
  <c r="M152" i="1"/>
  <c r="M151" i="1"/>
  <c r="N151" i="1" s="1"/>
  <c r="M150" i="1"/>
  <c r="N150" i="1" s="1"/>
  <c r="M149" i="1"/>
  <c r="N149" i="1" s="1"/>
  <c r="M148" i="1"/>
  <c r="N148" i="1" s="1"/>
  <c r="N147" i="1"/>
  <c r="M147" i="1"/>
  <c r="M146" i="1"/>
  <c r="N146" i="1" s="1"/>
  <c r="M145" i="1"/>
  <c r="N145" i="1" s="1"/>
  <c r="N144" i="1"/>
  <c r="M144" i="1"/>
  <c r="M143" i="1"/>
  <c r="N143" i="1" s="1"/>
  <c r="M142" i="1"/>
  <c r="N142" i="1" s="1"/>
  <c r="M141" i="1"/>
  <c r="N141" i="1" s="1"/>
  <c r="M140" i="1"/>
  <c r="N140" i="1" s="1"/>
  <c r="N139" i="1"/>
  <c r="M139" i="1"/>
  <c r="M138" i="1"/>
  <c r="N138" i="1" s="1"/>
  <c r="M137" i="1"/>
  <c r="N137" i="1" s="1"/>
  <c r="N136" i="1"/>
  <c r="M136" i="1"/>
  <c r="M135" i="1"/>
  <c r="N135" i="1" s="1"/>
  <c r="M134" i="1"/>
  <c r="N134" i="1" s="1"/>
  <c r="M133" i="1"/>
  <c r="N133" i="1" s="1"/>
  <c r="M132" i="1"/>
  <c r="N132" i="1" s="1"/>
  <c r="N131" i="1"/>
  <c r="M131" i="1"/>
  <c r="M130" i="1"/>
  <c r="N130" i="1" s="1"/>
  <c r="M129" i="1"/>
  <c r="N129" i="1" s="1"/>
  <c r="N128" i="1"/>
  <c r="M128" i="1"/>
  <c r="M127" i="1"/>
  <c r="N127" i="1" s="1"/>
  <c r="M126" i="1"/>
  <c r="N126" i="1" s="1"/>
  <c r="M125" i="1"/>
  <c r="N125" i="1" s="1"/>
  <c r="M124" i="1"/>
  <c r="N124" i="1" s="1"/>
  <c r="N123" i="1"/>
  <c r="M123" i="1"/>
  <c r="M122" i="1"/>
  <c r="N122" i="1" s="1"/>
  <c r="M121" i="1"/>
  <c r="N121" i="1" s="1"/>
  <c r="N120" i="1"/>
  <c r="M120" i="1"/>
  <c r="M119" i="1"/>
  <c r="N119" i="1" s="1"/>
  <c r="M118" i="1"/>
  <c r="N118" i="1" s="1"/>
  <c r="M117" i="1"/>
  <c r="N117" i="1" s="1"/>
  <c r="M116" i="1"/>
  <c r="N116" i="1" s="1"/>
  <c r="N115" i="1"/>
  <c r="M115" i="1"/>
  <c r="M114" i="1"/>
  <c r="N114" i="1" s="1"/>
  <c r="M113" i="1"/>
  <c r="N113" i="1" s="1"/>
  <c r="N112" i="1"/>
  <c r="M112" i="1"/>
  <c r="M111" i="1"/>
  <c r="N111" i="1" s="1"/>
  <c r="M110" i="1"/>
  <c r="N110" i="1" s="1"/>
  <c r="M109" i="1"/>
  <c r="N109" i="1" s="1"/>
  <c r="M108" i="1"/>
  <c r="N108" i="1" s="1"/>
  <c r="N107" i="1"/>
  <c r="M107" i="1"/>
  <c r="M106" i="1"/>
  <c r="N106" i="1" s="1"/>
  <c r="M105" i="1"/>
  <c r="N105" i="1" s="1"/>
  <c r="N104" i="1"/>
  <c r="M104" i="1"/>
  <c r="M103" i="1"/>
  <c r="N103" i="1" s="1"/>
  <c r="M102" i="1"/>
  <c r="N102" i="1" s="1"/>
  <c r="M101" i="1"/>
  <c r="N101" i="1" s="1"/>
  <c r="M100" i="1"/>
  <c r="N100" i="1" s="1"/>
  <c r="N99" i="1"/>
  <c r="M99" i="1"/>
  <c r="M98" i="1"/>
  <c r="N98" i="1" s="1"/>
  <c r="M97" i="1"/>
  <c r="N97" i="1" s="1"/>
  <c r="N96" i="1"/>
  <c r="M96" i="1"/>
  <c r="M95" i="1"/>
  <c r="N95" i="1" s="1"/>
  <c r="M94" i="1"/>
  <c r="N94" i="1" s="1"/>
  <c r="M93" i="1"/>
  <c r="N93" i="1" s="1"/>
  <c r="M92" i="1"/>
  <c r="N92" i="1" s="1"/>
  <c r="N91" i="1"/>
  <c r="M91" i="1"/>
  <c r="M90" i="1"/>
  <c r="N90" i="1" s="1"/>
  <c r="M89" i="1"/>
  <c r="N89" i="1" s="1"/>
  <c r="N88" i="1"/>
  <c r="M88" i="1"/>
  <c r="M87" i="1"/>
  <c r="N87" i="1" s="1"/>
  <c r="M86" i="1"/>
  <c r="N86" i="1" s="1"/>
  <c r="M85" i="1"/>
  <c r="N85" i="1" s="1"/>
  <c r="M84" i="1"/>
  <c r="N84" i="1" s="1"/>
  <c r="N83" i="1"/>
  <c r="M83" i="1"/>
  <c r="M82" i="1"/>
  <c r="N82" i="1" s="1"/>
  <c r="M81" i="1"/>
  <c r="N81" i="1" s="1"/>
  <c r="N80" i="1"/>
  <c r="M80" i="1"/>
  <c r="M79" i="1"/>
  <c r="N79" i="1" s="1"/>
  <c r="M78" i="1"/>
  <c r="N78" i="1" s="1"/>
  <c r="M77" i="1"/>
  <c r="N77" i="1" s="1"/>
  <c r="M76" i="1"/>
  <c r="N76" i="1" s="1"/>
  <c r="N75" i="1"/>
  <c r="M75" i="1"/>
  <c r="M74" i="1"/>
  <c r="N74" i="1" s="1"/>
  <c r="M73" i="1"/>
  <c r="N73" i="1" s="1"/>
  <c r="N72" i="1"/>
  <c r="M72" i="1"/>
  <c r="M71" i="1"/>
  <c r="N71" i="1" s="1"/>
  <c r="M70" i="1"/>
  <c r="N70" i="1" s="1"/>
  <c r="M69" i="1"/>
  <c r="N69" i="1" s="1"/>
  <c r="M68" i="1"/>
  <c r="N68" i="1" s="1"/>
  <c r="N67" i="1"/>
  <c r="M67" i="1"/>
  <c r="M66" i="1"/>
  <c r="N66" i="1" s="1"/>
  <c r="M65" i="1"/>
  <c r="N65" i="1" s="1"/>
  <c r="N64" i="1"/>
  <c r="M64" i="1"/>
  <c r="M63" i="1"/>
  <c r="N63" i="1" s="1"/>
  <c r="M62" i="1"/>
  <c r="N62" i="1" s="1"/>
  <c r="M61" i="1"/>
  <c r="N61" i="1" s="1"/>
  <c r="M60" i="1"/>
  <c r="N60" i="1" s="1"/>
  <c r="N59" i="1"/>
  <c r="M59" i="1"/>
  <c r="M58" i="1"/>
  <c r="N58" i="1" s="1"/>
  <c r="M57" i="1"/>
  <c r="N57" i="1" s="1"/>
  <c r="N56" i="1"/>
  <c r="M56" i="1"/>
  <c r="M55" i="1"/>
  <c r="N55" i="1" s="1"/>
  <c r="M54" i="1"/>
  <c r="N54" i="1" s="1"/>
  <c r="M53" i="1"/>
  <c r="N53" i="1" s="1"/>
  <c r="M52" i="1"/>
  <c r="N52" i="1" s="1"/>
  <c r="N51" i="1"/>
  <c r="M51" i="1"/>
  <c r="M50" i="1"/>
  <c r="N50" i="1" s="1"/>
  <c r="M49" i="1"/>
  <c r="N49" i="1" s="1"/>
  <c r="N48" i="1"/>
  <c r="M48" i="1"/>
  <c r="M47" i="1"/>
  <c r="N47" i="1" s="1"/>
  <c r="M46" i="1"/>
  <c r="N46" i="1" s="1"/>
  <c r="M45" i="1"/>
  <c r="N45" i="1" s="1"/>
  <c r="M44" i="1"/>
  <c r="N44" i="1" s="1"/>
  <c r="N43" i="1"/>
  <c r="M43" i="1"/>
  <c r="M42" i="1"/>
  <c r="N42" i="1" s="1"/>
  <c r="M41" i="1"/>
  <c r="N41" i="1" s="1"/>
  <c r="N40" i="1"/>
  <c r="M40" i="1"/>
  <c r="M39" i="1"/>
  <c r="N39" i="1" s="1"/>
  <c r="M38" i="1"/>
  <c r="N38" i="1" s="1"/>
  <c r="M37" i="1"/>
  <c r="N37" i="1" s="1"/>
  <c r="M36" i="1"/>
  <c r="N36" i="1" s="1"/>
  <c r="N35" i="1"/>
  <c r="M35" i="1"/>
  <c r="M34" i="1"/>
  <c r="N34" i="1" s="1"/>
  <c r="M33" i="1"/>
  <c r="N33" i="1" s="1"/>
  <c r="N32" i="1"/>
  <c r="M32" i="1"/>
  <c r="M31" i="1"/>
  <c r="N31" i="1" s="1"/>
  <c r="M30" i="1"/>
  <c r="N30" i="1" s="1"/>
  <c r="M29" i="1"/>
  <c r="N29" i="1" s="1"/>
  <c r="M28" i="1"/>
  <c r="N28" i="1" s="1"/>
  <c r="N27" i="1"/>
  <c r="M27" i="1"/>
  <c r="M26" i="1"/>
  <c r="N26" i="1" s="1"/>
  <c r="M25" i="1"/>
  <c r="N25" i="1" s="1"/>
  <c r="N24" i="1"/>
  <c r="M24" i="1"/>
  <c r="M23" i="1"/>
  <c r="N23" i="1" s="1"/>
  <c r="M22" i="1"/>
  <c r="N22" i="1" s="1"/>
  <c r="M21" i="1"/>
  <c r="N21" i="1" s="1"/>
  <c r="M20" i="1"/>
  <c r="N20" i="1" s="1"/>
  <c r="N19" i="1"/>
  <c r="M19" i="1"/>
  <c r="M18" i="1"/>
  <c r="N18" i="1" s="1"/>
  <c r="M17" i="1"/>
  <c r="N17" i="1" s="1"/>
  <c r="N16" i="1"/>
  <c r="M16" i="1"/>
  <c r="M15" i="1"/>
  <c r="N15" i="1" s="1"/>
  <c r="M14" i="1"/>
  <c r="N14" i="1" s="1"/>
  <c r="M13" i="1"/>
  <c r="N13" i="1" s="1"/>
  <c r="M12" i="1"/>
  <c r="N12" i="1" s="1"/>
  <c r="N11" i="1"/>
  <c r="M11" i="1"/>
  <c r="M10" i="1"/>
  <c r="N10" i="1" s="1"/>
  <c r="M9" i="1"/>
  <c r="N9" i="1" s="1"/>
  <c r="N8" i="1"/>
  <c r="M8" i="1"/>
  <c r="M7" i="1"/>
  <c r="N7" i="1" s="1"/>
  <c r="M6" i="1"/>
  <c r="N6" i="1" s="1"/>
  <c r="M5" i="1"/>
  <c r="N5" i="1" s="1"/>
  <c r="M4" i="1"/>
  <c r="N4" i="1" s="1"/>
  <c r="N258" i="1" l="1"/>
  <c r="I271" i="1" s="1"/>
  <c r="G271" i="1"/>
  <c r="M258" i="1"/>
  <c r="G287" i="1"/>
  <c r="Q259" i="1"/>
  <c r="Q265" i="1"/>
  <c r="R271" i="1"/>
  <c r="Q264" i="1" l="1"/>
  <c r="Q258" i="1"/>
</calcChain>
</file>

<file path=xl/sharedStrings.xml><?xml version="1.0" encoding="utf-8"?>
<sst xmlns="http://schemas.openxmlformats.org/spreadsheetml/2006/main" count="1031" uniqueCount="785">
  <si>
    <t>NO.</t>
  </si>
  <si>
    <t>N  A  M  A</t>
  </si>
  <si>
    <t>NIK</t>
  </si>
  <si>
    <t>NOMOR</t>
  </si>
  <si>
    <t>GAJI KOTOR</t>
  </si>
  <si>
    <t xml:space="preserve">POTONGAN </t>
  </si>
  <si>
    <t xml:space="preserve">JUMLAH </t>
  </si>
  <si>
    <t xml:space="preserve">GAJI YANG </t>
  </si>
  <si>
    <t>TANDA - TANGAN</t>
  </si>
  <si>
    <t>REKENING</t>
  </si>
  <si>
    <t>SIWA KPRI</t>
  </si>
  <si>
    <t>Angs. KPRI</t>
  </si>
  <si>
    <t>Angs.IBI</t>
  </si>
  <si>
    <t xml:space="preserve">BPJS </t>
  </si>
  <si>
    <t>IDI</t>
  </si>
  <si>
    <t>IBI</t>
  </si>
  <si>
    <t>Kehadian</t>
  </si>
  <si>
    <t>POTONGAN</t>
  </si>
  <si>
    <t>DITERIMA</t>
  </si>
  <si>
    <t>SUBAIDI</t>
  </si>
  <si>
    <t>100498</t>
  </si>
  <si>
    <t>0712046171</t>
  </si>
  <si>
    <t>Honda</t>
  </si>
  <si>
    <t>ANDRIANTO</t>
  </si>
  <si>
    <t>100494</t>
  </si>
  <si>
    <t>0712046082</t>
  </si>
  <si>
    <t>BUSANI IRMAYANTI</t>
  </si>
  <si>
    <t>100485</t>
  </si>
  <si>
    <t>0132720134</t>
  </si>
  <si>
    <t>JATIMUR RAHMAN</t>
  </si>
  <si>
    <t>100465</t>
  </si>
  <si>
    <t>0132711186</t>
  </si>
  <si>
    <t>JATIMUR RAHIM</t>
  </si>
  <si>
    <t>100524</t>
  </si>
  <si>
    <t>0712046686</t>
  </si>
  <si>
    <t>AHMAD SAYADI</t>
  </si>
  <si>
    <t>100456</t>
  </si>
  <si>
    <t>0132705267</t>
  </si>
  <si>
    <t>NUR HASANAH (Loket)</t>
  </si>
  <si>
    <t>100455</t>
  </si>
  <si>
    <t>0132705194</t>
  </si>
  <si>
    <t>AS'AD</t>
  </si>
  <si>
    <t>100539</t>
  </si>
  <si>
    <t>0712047496</t>
  </si>
  <si>
    <t>ROMLI</t>
  </si>
  <si>
    <t>100529</t>
  </si>
  <si>
    <t>0712047275</t>
  </si>
  <si>
    <t>TOHI</t>
  </si>
  <si>
    <t>100534</t>
  </si>
  <si>
    <t>0712047411</t>
  </si>
  <si>
    <t xml:space="preserve">NUR AHMAD </t>
  </si>
  <si>
    <t>100473</t>
  </si>
  <si>
    <t>0132711682</t>
  </si>
  <si>
    <t>MOH. KAFA BIHI</t>
  </si>
  <si>
    <t>100475</t>
  </si>
  <si>
    <t>0132711712</t>
  </si>
  <si>
    <t>HALIMATUS SAKDIYAH</t>
  </si>
  <si>
    <t>100538</t>
  </si>
  <si>
    <t>0712047453</t>
  </si>
  <si>
    <t>HENI SORAYA</t>
  </si>
  <si>
    <t>100536</t>
  </si>
  <si>
    <t>0712047437</t>
  </si>
  <si>
    <t>FATMAWATI</t>
  </si>
  <si>
    <t>100502</t>
  </si>
  <si>
    <t>0712046244</t>
  </si>
  <si>
    <t>ZAKKY IRFAN INDERAS, S.Kom</t>
  </si>
  <si>
    <t>100467</t>
  </si>
  <si>
    <t>0132711232</t>
  </si>
  <si>
    <t>NOEVITA ANGGRAYNI</t>
  </si>
  <si>
    <t>100447</t>
  </si>
  <si>
    <t>0132701245</t>
  </si>
  <si>
    <t>MAHRIGAWATI</t>
  </si>
  <si>
    <t>100516</t>
  </si>
  <si>
    <t>0712046597</t>
  </si>
  <si>
    <t>NURUL MAIMUNAH</t>
  </si>
  <si>
    <t>100507</t>
  </si>
  <si>
    <t>0712046431</t>
  </si>
  <si>
    <t>INDAH AINI</t>
  </si>
  <si>
    <t>100519</t>
  </si>
  <si>
    <t>0712046627</t>
  </si>
  <si>
    <t>ABD. RAHMAN, SH</t>
  </si>
  <si>
    <t>100515</t>
  </si>
  <si>
    <t>0712046546</t>
  </si>
  <si>
    <t>MOH. ALI</t>
  </si>
  <si>
    <t>100472</t>
  </si>
  <si>
    <t>0132711518</t>
  </si>
  <si>
    <t>MOH. AVIVI, SE</t>
  </si>
  <si>
    <t>100463</t>
  </si>
  <si>
    <t>0132710589</t>
  </si>
  <si>
    <t>ZAIKATUL FITRIA</t>
  </si>
  <si>
    <t>100470</t>
  </si>
  <si>
    <t>0132711291</t>
  </si>
  <si>
    <t>MUSTHOFA</t>
  </si>
  <si>
    <t>100500</t>
  </si>
  <si>
    <t>0712046228</t>
  </si>
  <si>
    <t>AKHMAD AFFANDI</t>
  </si>
  <si>
    <t>100510</t>
  </si>
  <si>
    <t>0712046481</t>
  </si>
  <si>
    <t>ALFIA RIZKI AMALIA</t>
  </si>
  <si>
    <t>100513</t>
  </si>
  <si>
    <t>0712046520</t>
  </si>
  <si>
    <t>DEDY ARI SANTO</t>
  </si>
  <si>
    <t>100493</t>
  </si>
  <si>
    <t>0712046066</t>
  </si>
  <si>
    <t>PUTRI DEWI AGITANTI</t>
  </si>
  <si>
    <t>100508</t>
  </si>
  <si>
    <t>0712046449</t>
  </si>
  <si>
    <t>BAMBANG SUJARWO</t>
  </si>
  <si>
    <t>100462</t>
  </si>
  <si>
    <t>0132710422</t>
  </si>
  <si>
    <t>SULIN ARIYANTO</t>
  </si>
  <si>
    <t>100484</t>
  </si>
  <si>
    <t>0132715700</t>
  </si>
  <si>
    <t>ALIS NURHAYATI</t>
  </si>
  <si>
    <t>100506</t>
  </si>
  <si>
    <t>0712046422</t>
  </si>
  <si>
    <t>SAIFUL BAHRI</t>
  </si>
  <si>
    <t>100497</t>
  </si>
  <si>
    <t>0712046147</t>
  </si>
  <si>
    <t>SATUMAN IWAN S</t>
  </si>
  <si>
    <t>100543</t>
  </si>
  <si>
    <t>0712047712</t>
  </si>
  <si>
    <t>SAMSI</t>
  </si>
  <si>
    <t>100520</t>
  </si>
  <si>
    <t>0712046635</t>
  </si>
  <si>
    <t>ABDUL JALIL</t>
  </si>
  <si>
    <t>100469</t>
  </si>
  <si>
    <t>0132711283</t>
  </si>
  <si>
    <t>M. ERVAN JUNAIDI</t>
  </si>
  <si>
    <t>100542</t>
  </si>
  <si>
    <t>0712047704</t>
  </si>
  <si>
    <t>KIIS WITA RAHMAN, S.Kom</t>
  </si>
  <si>
    <t>100486</t>
  </si>
  <si>
    <t>0132961981</t>
  </si>
  <si>
    <t>MUHAMMAD SUBAI</t>
  </si>
  <si>
    <t>100505</t>
  </si>
  <si>
    <t>0712046325</t>
  </si>
  <si>
    <t>RUDI HARTONO</t>
  </si>
  <si>
    <t>100495</t>
  </si>
  <si>
    <t>0712046091</t>
  </si>
  <si>
    <t>ARI NUGROHO, SE</t>
  </si>
  <si>
    <t>100514</t>
  </si>
  <si>
    <t>0712046538</t>
  </si>
  <si>
    <t>ANA YULIANA, A.Md</t>
  </si>
  <si>
    <t>100466</t>
  </si>
  <si>
    <t>0132711194</t>
  </si>
  <si>
    <t>NENDY FAJRI RAHMADI, SE</t>
  </si>
  <si>
    <t>100517</t>
  </si>
  <si>
    <t>0712046601</t>
  </si>
  <si>
    <t>ABD. ROHIMULLAH</t>
  </si>
  <si>
    <t>100443</t>
  </si>
  <si>
    <t>0132189129</t>
  </si>
  <si>
    <t>-</t>
  </si>
  <si>
    <t>LULUT REBIANTO</t>
  </si>
  <si>
    <t>100471</t>
  </si>
  <si>
    <t>0132711348</t>
  </si>
  <si>
    <t>HARUN ARRASYID, SAP</t>
  </si>
  <si>
    <t>100468</t>
  </si>
  <si>
    <t>0132711275</t>
  </si>
  <si>
    <t>AHMAD SAIHU</t>
  </si>
  <si>
    <t>100503</t>
  </si>
  <si>
    <t>0712046287</t>
  </si>
  <si>
    <t>FELLY SEPTIAN F, S.Sos</t>
  </si>
  <si>
    <t>100445</t>
  </si>
  <si>
    <t>0132700516</t>
  </si>
  <si>
    <t>AYU MURNINGSIH</t>
  </si>
  <si>
    <t>100537</t>
  </si>
  <si>
    <t>0712047445</t>
  </si>
  <si>
    <t>ARWANI</t>
  </si>
  <si>
    <t>100535</t>
  </si>
  <si>
    <t>0712047429</t>
  </si>
  <si>
    <t>NUR AZIZAH</t>
  </si>
  <si>
    <t>100532</t>
  </si>
  <si>
    <t>0712047399</t>
  </si>
  <si>
    <t>SITI NUR HOLIFAH</t>
  </si>
  <si>
    <t>100464</t>
  </si>
  <si>
    <t>0132710660</t>
  </si>
  <si>
    <t>RONY HARDIYANSYAH</t>
  </si>
  <si>
    <t>100518</t>
  </si>
  <si>
    <t>0712046619</t>
  </si>
  <si>
    <t>NUR HASANAH (Dapur)</t>
  </si>
  <si>
    <t>100533</t>
  </si>
  <si>
    <t>0712047402</t>
  </si>
  <si>
    <t>EDITYA LIKY CHANDRA</t>
  </si>
  <si>
    <t>100481</t>
  </si>
  <si>
    <t>0132713715</t>
  </si>
  <si>
    <t>MELINDA EVI FATMAWATI</t>
  </si>
  <si>
    <t>100482</t>
  </si>
  <si>
    <t>0132714398</t>
  </si>
  <si>
    <t>EVI JULAIKHA</t>
  </si>
  <si>
    <t>100461</t>
  </si>
  <si>
    <t>0132710350</t>
  </si>
  <si>
    <t>NURIS ERTHA F, S.S</t>
  </si>
  <si>
    <t>100458</t>
  </si>
  <si>
    <t>0132707197</t>
  </si>
  <si>
    <t>EKO PRASETYO</t>
  </si>
  <si>
    <t>100459</t>
  </si>
  <si>
    <t>0132708177</t>
  </si>
  <si>
    <t>ALFIANSYAH</t>
  </si>
  <si>
    <t>100477</t>
  </si>
  <si>
    <t>0132713189</t>
  </si>
  <si>
    <t>SEPTIYAN HARIS S, S.Sos</t>
  </si>
  <si>
    <t>100451</t>
  </si>
  <si>
    <t>0132702691</t>
  </si>
  <si>
    <t>SEPTIANA MAULINDAH, S.Pd</t>
  </si>
  <si>
    <t>100453</t>
  </si>
  <si>
    <t>0132703655</t>
  </si>
  <si>
    <t>SUDIANTO, A.Md.Kep</t>
  </si>
  <si>
    <t>100736</t>
  </si>
  <si>
    <t>1612007612</t>
  </si>
  <si>
    <t>SELFI SITARINA</t>
  </si>
  <si>
    <t>100521</t>
  </si>
  <si>
    <t>0712046651</t>
  </si>
  <si>
    <t>NINING RETNANINGSIH</t>
  </si>
  <si>
    <t>100512</t>
  </si>
  <si>
    <t>0712046511</t>
  </si>
  <si>
    <t>ROFIKO, A.Md.Kep</t>
  </si>
  <si>
    <t>100528</t>
  </si>
  <si>
    <t>0712047194</t>
  </si>
  <si>
    <t>RINI WAHYU FADILAH, A.Md.Keb</t>
  </si>
  <si>
    <t>100527</t>
  </si>
  <si>
    <t>0712047151</t>
  </si>
  <si>
    <t>RUDIAWATI, A.Md.Keb</t>
  </si>
  <si>
    <t>100531</t>
  </si>
  <si>
    <t>0712047356</t>
  </si>
  <si>
    <t>SUTRATIN, A.Md. Keb</t>
  </si>
  <si>
    <t>100476</t>
  </si>
  <si>
    <t>0132713111</t>
  </si>
  <si>
    <t>DEWI UMARIA NANDANI, A.Md.Keb</t>
  </si>
  <si>
    <t>100449</t>
  </si>
  <si>
    <t>0132702586</t>
  </si>
  <si>
    <t>ARIF BAMBANG SUPRAYOGI, S.Kep</t>
  </si>
  <si>
    <t>100504</t>
  </si>
  <si>
    <t>0712046309</t>
  </si>
  <si>
    <t>ERICK PRADANA CAHYONO, S.Kep.NS</t>
  </si>
  <si>
    <t>100442</t>
  </si>
  <si>
    <t>0132187967</t>
  </si>
  <si>
    <t>Dr. KETUT ARI S.M.Sc.Sp.PD</t>
  </si>
  <si>
    <t>5108061708800006</t>
  </si>
  <si>
    <t>0123311221</t>
  </si>
  <si>
    <t>SELAMET EKO YULIANTO, S.Kep.Ns</t>
  </si>
  <si>
    <t>100483</t>
  </si>
  <si>
    <t>0132714410</t>
  </si>
  <si>
    <t>BRITANTYO MAULANA S, S.Kep.Ns</t>
  </si>
  <si>
    <t>100479</t>
  </si>
  <si>
    <t>0132713260</t>
  </si>
  <si>
    <t>AHMAD NAILIL ADZKAR, S.Kep</t>
  </si>
  <si>
    <t>100450</t>
  </si>
  <si>
    <t>0132702594</t>
  </si>
  <si>
    <t>TIKA YOLANDA, S.ST</t>
  </si>
  <si>
    <t>100487</t>
  </si>
  <si>
    <t>0132962006</t>
  </si>
  <si>
    <t>DWI ARI SUSYANTI,S.ST</t>
  </si>
  <si>
    <t>100490</t>
  </si>
  <si>
    <t>0132962120</t>
  </si>
  <si>
    <t>AHMAD IBNU ABBAS, S.Kep.Ns</t>
  </si>
  <si>
    <t>100454</t>
  </si>
  <si>
    <t>0132703833</t>
  </si>
  <si>
    <t>FATIMATUS ZAHROH, S. Kep. Ns</t>
  </si>
  <si>
    <t>100558</t>
  </si>
  <si>
    <t>0132044759</t>
  </si>
  <si>
    <t xml:space="preserve">BLUD </t>
  </si>
  <si>
    <t>NURKHAYATUL JANNAH, A. Md. Keb</t>
  </si>
  <si>
    <t>100625</t>
  </si>
  <si>
    <t>0132704732</t>
  </si>
  <si>
    <t>DIAH ULFA WIJAYANTI. S.Tr.keb</t>
  </si>
  <si>
    <t>100741</t>
  </si>
  <si>
    <t>1613344159</t>
  </si>
  <si>
    <t>BLUD SK Bupati</t>
  </si>
  <si>
    <t>SUBIANTORO HADI, A.Md.Kep</t>
  </si>
  <si>
    <t>100598</t>
  </si>
  <si>
    <t>0132402744</t>
  </si>
  <si>
    <t>SAIFUL ANSHARI, S.Gz</t>
  </si>
  <si>
    <t>100674</t>
  </si>
  <si>
    <t>0132962031</t>
  </si>
  <si>
    <t>SHOTQI HABIBI</t>
  </si>
  <si>
    <t>100610</t>
  </si>
  <si>
    <t>0132703019</t>
  </si>
  <si>
    <t>SK Direktur</t>
  </si>
  <si>
    <t>AGUSTININGSIH</t>
  </si>
  <si>
    <t>100599</t>
  </si>
  <si>
    <t>0132402868</t>
  </si>
  <si>
    <t>MAMIK SUDARMIATI</t>
  </si>
  <si>
    <t>100648</t>
  </si>
  <si>
    <t>0132713995</t>
  </si>
  <si>
    <t>REZA YOGA UTOMO</t>
  </si>
  <si>
    <t>100611</t>
  </si>
  <si>
    <t>0132703281</t>
  </si>
  <si>
    <t>ERFAN MUJIONO</t>
  </si>
  <si>
    <t>100614</t>
  </si>
  <si>
    <t>0132703523</t>
  </si>
  <si>
    <t>YANUAR EKARESTU</t>
  </si>
  <si>
    <t>100615</t>
  </si>
  <si>
    <t>0132703591</t>
  </si>
  <si>
    <t>AFWAN MUHLISIN</t>
  </si>
  <si>
    <t>100669</t>
  </si>
  <si>
    <t>0132703582</t>
  </si>
  <si>
    <t>MOH. TOHIR</t>
  </si>
  <si>
    <t>100635</t>
  </si>
  <si>
    <t>0132713103</t>
  </si>
  <si>
    <t>KRISDIAN</t>
  </si>
  <si>
    <t>100650</t>
  </si>
  <si>
    <t>0132714053</t>
  </si>
  <si>
    <t>M. SALASUN</t>
  </si>
  <si>
    <t>100643</t>
  </si>
  <si>
    <t>0132713804</t>
  </si>
  <si>
    <t>LASMORO AJI</t>
  </si>
  <si>
    <t>100642</t>
  </si>
  <si>
    <t>0132713707</t>
  </si>
  <si>
    <t>ABDUL ZUHRI</t>
  </si>
  <si>
    <t>100644</t>
  </si>
  <si>
    <t>0132713812</t>
  </si>
  <si>
    <t>M. MUHYI</t>
  </si>
  <si>
    <t>100647</t>
  </si>
  <si>
    <t>0132713979</t>
  </si>
  <si>
    <t>ABDUL FATAH</t>
  </si>
  <si>
    <t>100649</t>
  </si>
  <si>
    <t>0132714011</t>
  </si>
  <si>
    <t>RAFI FIRMAN M</t>
  </si>
  <si>
    <t>100604</t>
  </si>
  <si>
    <t>0132702551</t>
  </si>
  <si>
    <t>ABDUS SATAR</t>
  </si>
  <si>
    <t>100606</t>
  </si>
  <si>
    <t>0132702811</t>
  </si>
  <si>
    <t>SUMARNO</t>
  </si>
  <si>
    <t>100605</t>
  </si>
  <si>
    <t>0132702802</t>
  </si>
  <si>
    <t>ZAINUL HASAN</t>
  </si>
  <si>
    <t>100608</t>
  </si>
  <si>
    <t>0132702985</t>
  </si>
  <si>
    <t>MOH. SHOIMUDIN</t>
  </si>
  <si>
    <t>100607</t>
  </si>
  <si>
    <t>0132702969</t>
  </si>
  <si>
    <t>M. RIANTO</t>
  </si>
  <si>
    <t>100636</t>
  </si>
  <si>
    <t>0132713138</t>
  </si>
  <si>
    <t>TUTIK HIDAYATI</t>
  </si>
  <si>
    <t>100641</t>
  </si>
  <si>
    <t>0132713669</t>
  </si>
  <si>
    <t>IKA YULIANINGTYAS</t>
  </si>
  <si>
    <t>100640</t>
  </si>
  <si>
    <t>0132713651</t>
  </si>
  <si>
    <t>NANIK NURSILA</t>
  </si>
  <si>
    <t>100578</t>
  </si>
  <si>
    <t>0132200327</t>
  </si>
  <si>
    <t>NUR AYU AMALIA F</t>
  </si>
  <si>
    <t>100612</t>
  </si>
  <si>
    <t>0132703329</t>
  </si>
  <si>
    <t>SITI NUR AZIZAH</t>
  </si>
  <si>
    <t>100613</t>
  </si>
  <si>
    <t>0132703337</t>
  </si>
  <si>
    <t>IRA ROFIANDIKA</t>
  </si>
  <si>
    <t>100594</t>
  </si>
  <si>
    <t>0132306770</t>
  </si>
  <si>
    <t>AKHMAD NURHOLIS</t>
  </si>
  <si>
    <t>100639</t>
  </si>
  <si>
    <t>0132713171</t>
  </si>
  <si>
    <t>MOHAMAT MAHRIJA</t>
  </si>
  <si>
    <t>100577</t>
  </si>
  <si>
    <t>0132187631</t>
  </si>
  <si>
    <t>SOEKAWATI NURHANDAYANI</t>
  </si>
  <si>
    <t>100645</t>
  </si>
  <si>
    <t>0132713898</t>
  </si>
  <si>
    <t>ADI SAPUTO P</t>
  </si>
  <si>
    <t>100630</t>
  </si>
  <si>
    <t>0132710406</t>
  </si>
  <si>
    <t>YOYON CAHYONO</t>
  </si>
  <si>
    <t>100646</t>
  </si>
  <si>
    <t>0132713901</t>
  </si>
  <si>
    <t>M. LUTFI TUNGGAL P</t>
  </si>
  <si>
    <t>100638</t>
  </si>
  <si>
    <t>0132713162</t>
  </si>
  <si>
    <t>MOMON SUGIANTO</t>
  </si>
  <si>
    <t>100559</t>
  </si>
  <si>
    <t>0132139644</t>
  </si>
  <si>
    <t>M. SAMSUL HADI</t>
  </si>
  <si>
    <t>100617</t>
  </si>
  <si>
    <t>0132703680</t>
  </si>
  <si>
    <t>WAHYU SUSILO</t>
  </si>
  <si>
    <t>100561</t>
  </si>
  <si>
    <t>0132139920</t>
  </si>
  <si>
    <t>RESSY YUSUF B</t>
  </si>
  <si>
    <t>100708</t>
  </si>
  <si>
    <t>0136670093</t>
  </si>
  <si>
    <t>TEGUH SATRIA</t>
  </si>
  <si>
    <t>100562</t>
  </si>
  <si>
    <t>0132139938</t>
  </si>
  <si>
    <t>RUDI ROMADHONA</t>
  </si>
  <si>
    <t>100701</t>
  </si>
  <si>
    <t>0136082795</t>
  </si>
  <si>
    <t>OKTAVIA KARTIKA DEWI, SE</t>
  </si>
  <si>
    <t>100569</t>
  </si>
  <si>
    <t>0132156930</t>
  </si>
  <si>
    <t>HELA ANDRIANA, ST</t>
  </si>
  <si>
    <t>100570</t>
  </si>
  <si>
    <t>0132156948</t>
  </si>
  <si>
    <t>ARVIANANDA BAHTIAR, S.Kom</t>
  </si>
  <si>
    <t>100565</t>
  </si>
  <si>
    <t>0132156484</t>
  </si>
  <si>
    <t>SHOLEHIN, S.Kom</t>
  </si>
  <si>
    <t>100600</t>
  </si>
  <si>
    <t>0132409331</t>
  </si>
  <si>
    <t>ANDIKA YUDI PRASETYA, S.Kom</t>
  </si>
  <si>
    <t>100738</t>
  </si>
  <si>
    <t>1612054858</t>
  </si>
  <si>
    <t>AYU FINDA RINDAYU, S.S</t>
  </si>
  <si>
    <t>100568</t>
  </si>
  <si>
    <t>0132156921</t>
  </si>
  <si>
    <t>DEDY AGUS WIJAYA</t>
  </si>
  <si>
    <t>100618</t>
  </si>
  <si>
    <t>0132703981</t>
  </si>
  <si>
    <t>MOCH. AS'AD IMAM MASRURI</t>
  </si>
  <si>
    <t>100564</t>
  </si>
  <si>
    <t>0132156476</t>
  </si>
  <si>
    <t>ABDUL WAHED</t>
  </si>
  <si>
    <t>100571</t>
  </si>
  <si>
    <t>0132156981</t>
  </si>
  <si>
    <t>FAZAR LAZUARDI</t>
  </si>
  <si>
    <t>100573</t>
  </si>
  <si>
    <t>0132158037</t>
  </si>
  <si>
    <t>FATHOR ROSI</t>
  </si>
  <si>
    <t>100631</t>
  </si>
  <si>
    <t>0132710708</t>
  </si>
  <si>
    <t>ZAKARIA ROMADHON</t>
  </si>
  <si>
    <t>100620</t>
  </si>
  <si>
    <t>0132704007</t>
  </si>
  <si>
    <t>DEDHI RAHMAD APRI WIJAYA</t>
  </si>
  <si>
    <t>100724</t>
  </si>
  <si>
    <t>0712078847</t>
  </si>
  <si>
    <t>M. FAIS AMRULLOH FARHAN</t>
  </si>
  <si>
    <t>100572</t>
  </si>
  <si>
    <t>0132157006</t>
  </si>
  <si>
    <t>MOH. MUCHLIS FARISI</t>
  </si>
  <si>
    <t>100619</t>
  </si>
  <si>
    <t>0132703990</t>
  </si>
  <si>
    <t>MEGAWATI, SST</t>
  </si>
  <si>
    <t>100623</t>
  </si>
  <si>
    <t>0132704104</t>
  </si>
  <si>
    <t>AYU SITI HARTINAH, SST</t>
  </si>
  <si>
    <t>100596</t>
  </si>
  <si>
    <t>0132401853</t>
  </si>
  <si>
    <t>NUNGKI AGNES PALUPI, SST</t>
  </si>
  <si>
    <t>100622</t>
  </si>
  <si>
    <t>0132704091</t>
  </si>
  <si>
    <t>ARIEF ARTA</t>
  </si>
  <si>
    <t>100709</t>
  </si>
  <si>
    <t>0136710729</t>
  </si>
  <si>
    <t>FIRDAUS, A.Md.Kep</t>
  </si>
  <si>
    <t>100700</t>
  </si>
  <si>
    <t>0136056972</t>
  </si>
  <si>
    <t>ARIFIANTI FAUZIAH, S.Kep.Ns</t>
  </si>
  <si>
    <t>100699</t>
  </si>
  <si>
    <t>0136009494</t>
  </si>
  <si>
    <t>SITI MAHMUDAH NUR AINI, S.Kep.Ns</t>
  </si>
  <si>
    <t>100554</t>
  </si>
  <si>
    <t>0132037477</t>
  </si>
  <si>
    <t>SISI SUNDARI, Tr. Kes</t>
  </si>
  <si>
    <t>100555</t>
  </si>
  <si>
    <t>0132039011</t>
  </si>
  <si>
    <t>NUR HASAN</t>
  </si>
  <si>
    <t>100711</t>
  </si>
  <si>
    <t>0136754122</t>
  </si>
  <si>
    <t>RONI BAHTIAR</t>
  </si>
  <si>
    <t>100556</t>
  </si>
  <si>
    <t>0132039607</t>
  </si>
  <si>
    <t>MUHAMMAD IRWAN WAHYUDI</t>
  </si>
  <si>
    <t>100624</t>
  </si>
  <si>
    <t>0132704457</t>
  </si>
  <si>
    <t>FUAD AFANDI</t>
  </si>
  <si>
    <t>100553</t>
  </si>
  <si>
    <t>0132035989</t>
  </si>
  <si>
    <t>FAISOL SUSANTO</t>
  </si>
  <si>
    <t>100557</t>
  </si>
  <si>
    <t>0132043973</t>
  </si>
  <si>
    <t>dr. TOFAN MARGARET D.S, Sp.OT</t>
  </si>
  <si>
    <t>3578202903880001</t>
  </si>
  <si>
    <t>0047710090</t>
  </si>
  <si>
    <t>dr. DEWI PUSPITORINI, Sp.KK</t>
  </si>
  <si>
    <t>3578094711850001</t>
  </si>
  <si>
    <t>0132700923</t>
  </si>
  <si>
    <t>dr. TRINANDIKA ARDHANA, SP.JP.FIHA</t>
  </si>
  <si>
    <t>3578032805810001</t>
  </si>
  <si>
    <t>0017260502</t>
  </si>
  <si>
    <t>dr. RIZA FADHILA MUHAMMAD</t>
  </si>
  <si>
    <t>3578092504970002</t>
  </si>
  <si>
    <t>0132712492</t>
  </si>
  <si>
    <t>MOU</t>
  </si>
  <si>
    <t>dr. ABDI SAPUTRO, Sp.BS</t>
  </si>
  <si>
    <t>3572030105880001</t>
  </si>
  <si>
    <t>0142307219</t>
  </si>
  <si>
    <t>dr. DANA WANDRIAN BARASETA, Sp.AN</t>
  </si>
  <si>
    <t>3578070507870001</t>
  </si>
  <si>
    <t>0836222024</t>
  </si>
  <si>
    <t>ACHMAD FAISAL AMRI, A.Md.Kep</t>
  </si>
  <si>
    <t>100629</t>
  </si>
  <si>
    <t>0132706441</t>
  </si>
  <si>
    <t>NAFISATUN UMARIYAH, A.Md.Kep</t>
  </si>
  <si>
    <t>100725</t>
  </si>
  <si>
    <t>0712105241</t>
  </si>
  <si>
    <t>DIAN NOFITASARI, A.Md.Kep</t>
  </si>
  <si>
    <t>100654</t>
  </si>
  <si>
    <t>0132715670</t>
  </si>
  <si>
    <t>NUGROHO PRIYO WICAKSONO, A.Md.Kep</t>
  </si>
  <si>
    <t>100737</t>
  </si>
  <si>
    <t>1612035233</t>
  </si>
  <si>
    <t>RIZKA INDAH KURNIA, S.Tr.Gz</t>
  </si>
  <si>
    <t>100653</t>
  </si>
  <si>
    <t>0132715432</t>
  </si>
  <si>
    <t>ALIFFIA RACHMAN PUTRI, S.Tr.Gz</t>
  </si>
  <si>
    <t>100652</t>
  </si>
  <si>
    <t>0132715424</t>
  </si>
  <si>
    <t>MOH. KHOLIL SIDIK, S.Kep.,Ns</t>
  </si>
  <si>
    <t>100657</t>
  </si>
  <si>
    <t>0132716331</t>
  </si>
  <si>
    <t>TANIA LESTARI, S.Kep.,Ns</t>
  </si>
  <si>
    <t>100585</t>
  </si>
  <si>
    <t>0132243468</t>
  </si>
  <si>
    <t>YULIANA WIDARTI, S.Kep.,Ns</t>
  </si>
  <si>
    <t>100731</t>
  </si>
  <si>
    <t>0716712184</t>
  </si>
  <si>
    <t>WULANDARI SUCIATI, S.Kep.,Ns</t>
  </si>
  <si>
    <t>100732</t>
  </si>
  <si>
    <t>0716712346</t>
  </si>
  <si>
    <t>AHMAD BUKHARI, S.Kep.,Ns</t>
  </si>
  <si>
    <t>100588</t>
  </si>
  <si>
    <t>0132244898</t>
  </si>
  <si>
    <t>IDA IKRIMAH, A.Md.Kep</t>
  </si>
  <si>
    <t>100733</t>
  </si>
  <si>
    <t>0716712354</t>
  </si>
  <si>
    <t>RAMADHAN HASAN FAHREZI, A.Md.Kep</t>
  </si>
  <si>
    <t>100704</t>
  </si>
  <si>
    <t>0136169700</t>
  </si>
  <si>
    <t>MAUFIROH LIYAN FATIMAH, A.Md.Kep</t>
  </si>
  <si>
    <t>100595</t>
  </si>
  <si>
    <t>0132342695</t>
  </si>
  <si>
    <t>MUH. TAUFIQUR ROMADON, A.Md.Kep</t>
  </si>
  <si>
    <t>100712</t>
  </si>
  <si>
    <t>0136754254</t>
  </si>
  <si>
    <t>NURAIKA PUTRIANDINI, A.Md.Kes</t>
  </si>
  <si>
    <t>100656</t>
  </si>
  <si>
    <t>0132716277</t>
  </si>
  <si>
    <t>INTAN MILENIA, A.Md.RMIK</t>
  </si>
  <si>
    <t>100658</t>
  </si>
  <si>
    <t>0132719268</t>
  </si>
  <si>
    <t>IRADATUL KHOIRIAH, S.ST</t>
  </si>
  <si>
    <t>100659</t>
  </si>
  <si>
    <t>0132719284</t>
  </si>
  <si>
    <t>RIZKI AMALIYA, S.Si.,M.Si., F.Med</t>
  </si>
  <si>
    <t>0257643271</t>
  </si>
  <si>
    <t>FERI IRAWAN, A.Md.Kes</t>
  </si>
  <si>
    <t>100602</t>
  </si>
  <si>
    <t>0132452946</t>
  </si>
  <si>
    <t>ALEX RIDLA MAULANA, A.Md.Rad</t>
  </si>
  <si>
    <t>100678</t>
  </si>
  <si>
    <t>0133193715</t>
  </si>
  <si>
    <t>dr. Ni Made Maya Purnama Wulandari, Sp.A</t>
  </si>
  <si>
    <t>3574036001920005</t>
  </si>
  <si>
    <t>0132703639</t>
  </si>
  <si>
    <t>dr. NINDA FARAHDINA NAUROH</t>
  </si>
  <si>
    <t>3513105206980003</t>
  </si>
  <si>
    <t>0133733710</t>
  </si>
  <si>
    <t>DAIMATUL INAYAH, A.Md.Kep.</t>
  </si>
  <si>
    <t>100580</t>
  </si>
  <si>
    <t>0132206813</t>
  </si>
  <si>
    <t>MOH. S. GUNTUR, A.Md.Kep.</t>
  </si>
  <si>
    <t>100673</t>
  </si>
  <si>
    <t>0132921024</t>
  </si>
  <si>
    <t>GERINA DWI AGUSTINA, A.Md.Kep.</t>
  </si>
  <si>
    <t>100688</t>
  </si>
  <si>
    <t>0133705937</t>
  </si>
  <si>
    <t>SITI FAIZATUL MUNAWAROH A, A.Md.Kep.</t>
  </si>
  <si>
    <t>100660</t>
  </si>
  <si>
    <t>0132720142</t>
  </si>
  <si>
    <t>SINDI PATIKASARI AGUSTIN, A.Md.Kep.</t>
  </si>
  <si>
    <t>100591</t>
  </si>
  <si>
    <t>0132284814</t>
  </si>
  <si>
    <t>INDAH TRI LESTARI, A.Md.Kep.</t>
  </si>
  <si>
    <t>100665</t>
  </si>
  <si>
    <t>0132720223</t>
  </si>
  <si>
    <t>MAQFIROTUL ROHMA, A.Md.Kep.</t>
  </si>
  <si>
    <t>100628</t>
  </si>
  <si>
    <t>0132706018</t>
  </si>
  <si>
    <t>ISTIARININGSIH, A.Md.Kep.</t>
  </si>
  <si>
    <t>100695</t>
  </si>
  <si>
    <t>0133733779</t>
  </si>
  <si>
    <t>FATIMATUS ZAHRO, A.Md.Kep.</t>
  </si>
  <si>
    <t>100574</t>
  </si>
  <si>
    <t>0132720231</t>
  </si>
  <si>
    <t>ABDUS SALAM, A.Md.Kep.</t>
  </si>
  <si>
    <t>100730</t>
  </si>
  <si>
    <t>0716556662</t>
  </si>
  <si>
    <t>YUNI EKA HENDRIYANI, A.Md.Kep.</t>
  </si>
  <si>
    <t>100713</t>
  </si>
  <si>
    <t>0136780042</t>
  </si>
  <si>
    <t>UMI KULSUM, A.Md.Kep.</t>
  </si>
  <si>
    <t>100739</t>
  </si>
  <si>
    <t>1612079281</t>
  </si>
  <si>
    <t>ERIS FATHUR ROHMAN, A.Md.Kep.</t>
  </si>
  <si>
    <t>100671</t>
  </si>
  <si>
    <t>0132780536</t>
  </si>
  <si>
    <t>UMI AZIZAH, A.Md.Kep.</t>
  </si>
  <si>
    <t>100587</t>
  </si>
  <si>
    <t>0132243557</t>
  </si>
  <si>
    <t>AFIYATUL HASANIYAH, A.Md.Kep.</t>
  </si>
  <si>
    <t>100705</t>
  </si>
  <si>
    <t>0136195000</t>
  </si>
  <si>
    <t>RINI SRI DWIARIMBI, A.Md.Kep.</t>
  </si>
  <si>
    <t>100579</t>
  </si>
  <si>
    <t>0132204845</t>
  </si>
  <si>
    <t>RISQI PUSPITA SARI, A.Md.Kep.</t>
  </si>
  <si>
    <t>100586</t>
  </si>
  <si>
    <t>0132243522</t>
  </si>
  <si>
    <t>MOCH. YUDIK PRASTYO, A.Md.Kep.</t>
  </si>
  <si>
    <t>100592</t>
  </si>
  <si>
    <t>0132294844</t>
  </si>
  <si>
    <t>RIFKI HIKMATUL RAMADHANI, A.Md.Kep.</t>
  </si>
  <si>
    <t>100715</t>
  </si>
  <si>
    <t>0136901478</t>
  </si>
  <si>
    <t>WIDYA SUCI HARTINI, A.Md.Kep.</t>
  </si>
  <si>
    <t>100706</t>
  </si>
  <si>
    <t>0136627279</t>
  </si>
  <si>
    <t>NUR RISQIA NASUTION, A.Md.Kep.</t>
  </si>
  <si>
    <t>100729</t>
  </si>
  <si>
    <t>0716556140</t>
  </si>
  <si>
    <t>ACHMAD KHOIRUROZIQIN, A.Md.Kep.</t>
  </si>
  <si>
    <t>100664</t>
  </si>
  <si>
    <t>0132720207</t>
  </si>
  <si>
    <t>MOH. SUFYAN UBAIDILLAH, A.Md.Kes.</t>
  </si>
  <si>
    <t>100677</t>
  </si>
  <si>
    <t>0133193324</t>
  </si>
  <si>
    <t>GILANG FIRMANDA, A.Md.Kes.</t>
  </si>
  <si>
    <t>100663</t>
  </si>
  <si>
    <t>0132720193</t>
  </si>
  <si>
    <t>NURDIANA AVRILLIA, S.Tr.Gz</t>
  </si>
  <si>
    <t>100690</t>
  </si>
  <si>
    <t>0133729801</t>
  </si>
  <si>
    <t>SHAFIRA NURIYATUL LUDFI, A.Md.Gz</t>
  </si>
  <si>
    <t>100689</t>
  </si>
  <si>
    <t>0133727493</t>
  </si>
  <si>
    <t>RETNANING AYU DYAH SAWITRI, S.Tr.Ak</t>
  </si>
  <si>
    <t>100691</t>
  </si>
  <si>
    <t>0133729909</t>
  </si>
  <si>
    <t>ACHMAD TAUFIK, S.Kom</t>
  </si>
  <si>
    <t>100661</t>
  </si>
  <si>
    <t>0132720169</t>
  </si>
  <si>
    <t>ERWIN KUSUMA WARDANA, S.Kom</t>
  </si>
  <si>
    <t>100662</t>
  </si>
  <si>
    <t>0132720177</t>
  </si>
  <si>
    <t>dr. WIDYA FIRLY NOVITASARI, Sp.PK</t>
  </si>
  <si>
    <t>3578256111880001</t>
  </si>
  <si>
    <t>0132186472</t>
  </si>
  <si>
    <t>AMIRUL ANWAR, A.MD, KEP</t>
  </si>
  <si>
    <t>100680</t>
  </si>
  <si>
    <t>0133330470</t>
  </si>
  <si>
    <t>ANDINI LUPITA SARI</t>
  </si>
  <si>
    <t>100721</t>
  </si>
  <si>
    <t>0563028904</t>
  </si>
  <si>
    <t>dr. ANDY MICAHAEL</t>
  </si>
  <si>
    <t>3513142204910004</t>
  </si>
  <si>
    <t>0132720452</t>
  </si>
  <si>
    <t>ANITA RAHAYU</t>
  </si>
  <si>
    <t>100717</t>
  </si>
  <si>
    <t>0236020231</t>
  </si>
  <si>
    <t xml:space="preserve">BELQIST IZZATUL KAROMAH </t>
  </si>
  <si>
    <t>100684</t>
  </si>
  <si>
    <t>0133332251</t>
  </si>
  <si>
    <t>DAVRINA SILVA RIANDA</t>
  </si>
  <si>
    <t>100589</t>
  </si>
  <si>
    <t>0132248818</t>
  </si>
  <si>
    <t xml:space="preserve">dr. DESI RIANTI RAHMADHANI </t>
  </si>
  <si>
    <t>3502176512980002</t>
  </si>
  <si>
    <t>0133190325</t>
  </si>
  <si>
    <t>DEWI NIKITA MAGHFIROTUL ILMI</t>
  </si>
  <si>
    <t>100707</t>
  </si>
  <si>
    <t>0136667416</t>
  </si>
  <si>
    <t xml:space="preserve">EKA YULIANNA ROZAQUNNI'MAH </t>
  </si>
  <si>
    <t>100685</t>
  </si>
  <si>
    <t>0133 332430</t>
  </si>
  <si>
    <t>FIRSYAL QURONI</t>
  </si>
  <si>
    <t>100727</t>
  </si>
  <si>
    <t>0712108096</t>
  </si>
  <si>
    <t>IKA WARDATUL JANNAH</t>
  </si>
  <si>
    <t>100581</t>
  </si>
  <si>
    <t>0132211086</t>
  </si>
  <si>
    <t xml:space="preserve">JUNAEDI EFENDI </t>
  </si>
  <si>
    <t>100679</t>
  </si>
  <si>
    <t>0133196005</t>
  </si>
  <si>
    <t xml:space="preserve">LAEILATUL MUKARROMAH </t>
  </si>
  <si>
    <t>100686</t>
  </si>
  <si>
    <t>0133373454</t>
  </si>
  <si>
    <t xml:space="preserve">LIDYAWATI </t>
  </si>
  <si>
    <t>100683</t>
  </si>
  <si>
    <t>0133332219</t>
  </si>
  <si>
    <t>MAFLAHATUN NABILA</t>
  </si>
  <si>
    <t>100549</t>
  </si>
  <si>
    <t>0126024410</t>
  </si>
  <si>
    <t>MOCH IPUNG FITRYANTO</t>
  </si>
  <si>
    <t>100742</t>
  </si>
  <si>
    <t xml:space="preserve">MOH.GHOZY ARIFIN </t>
  </si>
  <si>
    <t>100726</t>
  </si>
  <si>
    <t>0712108070</t>
  </si>
  <si>
    <t>MOHAMMAD HARIS ROFIQI</t>
  </si>
  <si>
    <t>100666</t>
  </si>
  <si>
    <t>0132720401</t>
  </si>
  <si>
    <t>MOHAMMAD KHAIRUL ANAM</t>
  </si>
  <si>
    <t>100693</t>
  </si>
  <si>
    <t>0133733655</t>
  </si>
  <si>
    <t xml:space="preserve">dr. MUHAMMAD ABDURRAHMAN RASYID ASH SIDDIQ </t>
  </si>
  <si>
    <t>3513142505000001</t>
  </si>
  <si>
    <t>0132299871</t>
  </si>
  <si>
    <t>MUHAMMAD FAUZI</t>
  </si>
  <si>
    <t>100668</t>
  </si>
  <si>
    <t>0132720436</t>
  </si>
  <si>
    <t>NABILA HAFINA</t>
  </si>
  <si>
    <t>100714</t>
  </si>
  <si>
    <t>0136890565</t>
  </si>
  <si>
    <t xml:space="preserve">NABILAH FATHIYAH RAHMAH </t>
  </si>
  <si>
    <t>100583</t>
  </si>
  <si>
    <t>0132228272</t>
  </si>
  <si>
    <t>NELY MELIYANA</t>
  </si>
  <si>
    <t>100681</t>
  </si>
  <si>
    <t>0133331786</t>
  </si>
  <si>
    <t>NUR DIANA KHOLIDAH</t>
  </si>
  <si>
    <t>100682</t>
  </si>
  <si>
    <t>0133332171</t>
  </si>
  <si>
    <t>NURUL LAILY MASRUROH</t>
  </si>
  <si>
    <t>100584</t>
  </si>
  <si>
    <t>0132231982</t>
  </si>
  <si>
    <t xml:space="preserve">PUJI AFFAN DWI MIRIYANTO </t>
  </si>
  <si>
    <t>100719</t>
  </si>
  <si>
    <t>0546293751</t>
  </si>
  <si>
    <t>dr. PUTERI RAMASARI</t>
  </si>
  <si>
    <t>3513146309970001</t>
  </si>
  <si>
    <t>0716285472</t>
  </si>
  <si>
    <t xml:space="preserve">QORIATUL HIDAYATI </t>
  </si>
  <si>
    <t>100687</t>
  </si>
  <si>
    <t>0133373951</t>
  </si>
  <si>
    <t>RAMADHAN SAIFULLAH</t>
  </si>
  <si>
    <t>100575</t>
  </si>
  <si>
    <t>0132163166</t>
  </si>
  <si>
    <t>REZA CHOLID YANUAN PERDANA</t>
  </si>
  <si>
    <t>100696</t>
  </si>
  <si>
    <t>0133734210</t>
  </si>
  <si>
    <t>RIA EKA MANDASARI</t>
  </si>
  <si>
    <t>100702</t>
  </si>
  <si>
    <t>0136151053</t>
  </si>
  <si>
    <t>RIZKA MAULIDA MAYANI</t>
  </si>
  <si>
    <t>100548</t>
  </si>
  <si>
    <t>0096582587</t>
  </si>
  <si>
    <t xml:space="preserve">ROBIATUL ADAWIYAH </t>
  </si>
  <si>
    <t>100743</t>
  </si>
  <si>
    <t>SHERLYANA VIRDASARY</t>
  </si>
  <si>
    <t>100698</t>
  </si>
  <si>
    <t>0133734708</t>
  </si>
  <si>
    <t xml:space="preserve">SYSWATI </t>
  </si>
  <si>
    <t>100697</t>
  </si>
  <si>
    <t>0133734228</t>
  </si>
  <si>
    <t>ULFIA ANGGRAINI</t>
  </si>
  <si>
    <t>100740</t>
  </si>
  <si>
    <t>WAHYUNI</t>
  </si>
  <si>
    <t>100667</t>
  </si>
  <si>
    <t>0132720410</t>
  </si>
  <si>
    <t>YUNUS RAHMAD MAKSUM</t>
  </si>
  <si>
    <t>100545</t>
  </si>
  <si>
    <t>0032916252</t>
  </si>
  <si>
    <t xml:space="preserve">ZAKARIYA ADIB YAHYA </t>
  </si>
  <si>
    <t>100590</t>
  </si>
  <si>
    <t>0132264813</t>
  </si>
  <si>
    <t>IMAM SUJAR LASTANTO</t>
  </si>
  <si>
    <t>100491</t>
  </si>
  <si>
    <t>0132963738</t>
  </si>
  <si>
    <t>SARIYANTO</t>
  </si>
  <si>
    <t>100441</t>
  </si>
  <si>
    <t>0132186715</t>
  </si>
  <si>
    <t>QURROTUL AENI</t>
  </si>
  <si>
    <t>100444</t>
  </si>
  <si>
    <t>0132203318</t>
  </si>
  <si>
    <t>HARTONO</t>
  </si>
  <si>
    <t>100544</t>
  </si>
  <si>
    <t xml:space="preserve"> 0712048158</t>
  </si>
  <si>
    <t>Kraksaan,  01 AGUSTUS 2025</t>
  </si>
  <si>
    <t>an. Direktur RSUD Waluyo Jati</t>
  </si>
  <si>
    <t>Bendahara Pengeluaran</t>
  </si>
  <si>
    <t>A.ROFIK</t>
  </si>
  <si>
    <t>NIP. 19750415 200212 1 009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</si>
</sst>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  <numFmt numFmtId="168" formatCode="#,##0.00_ ;\-#,##0.00\ "/>
    <numFmt numFmtId="169" formatCode="_(* #,##0.0_);_(* \(#,##0.0\);_(* &quot;-&quot;?_);_(@_)"/>
    <numFmt numFmtId="170" formatCode="_(&quot;Rp&quot;* #,##0_);_(&quot;Rp&quot;* \(#,##0\);_(&quot;Rp&quot;* &quot;-&quot;_);_(@_)"/>
    <numFmt numFmtId="171" formatCode="_-&quot;Rp&quot;* #,##0_-;\-&quot;Rp&quot;* #,##0_-;_-&quot;Rp&quot;* &quot;-&quot;_-;_-@_-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4"/>
      <name val="Calibri"/>
      <family val="2"/>
    </font>
    <font>
      <sz val="14"/>
      <name val="Arial"/>
      <family val="2"/>
    </font>
    <font>
      <b/>
      <u/>
      <sz val="14"/>
      <name val="Arial"/>
      <family val="2"/>
    </font>
    <font>
      <u val="singleAccounting"/>
      <sz val="14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Times New Roman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99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6" fillId="0" borderId="0"/>
    <xf numFmtId="0" fontId="1" fillId="0" borderId="0"/>
    <xf numFmtId="0" fontId="6" fillId="0" borderId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4" fillId="8" borderId="0" applyNumberFormat="0" applyBorder="0" applyAlignment="0" applyProtection="0"/>
    <xf numFmtId="0" fontId="15" fillId="25" borderId="30" applyNumberFormat="0" applyAlignment="0" applyProtection="0"/>
    <xf numFmtId="0" fontId="16" fillId="26" borderId="3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0" borderId="32" applyNumberFormat="0" applyFill="0" applyAlignment="0" applyProtection="0"/>
    <xf numFmtId="0" fontId="20" fillId="0" borderId="33" applyNumberFormat="0" applyFill="0" applyAlignment="0" applyProtection="0"/>
    <xf numFmtId="0" fontId="21" fillId="0" borderId="34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12" borderId="30" applyNumberFormat="0" applyAlignment="0" applyProtection="0"/>
    <xf numFmtId="0" fontId="24" fillId="0" borderId="35" applyNumberFormat="0" applyFill="0" applyAlignment="0" applyProtection="0"/>
    <xf numFmtId="0" fontId="25" fillId="27" borderId="0" applyNumberFormat="0" applyBorder="0" applyAlignment="0" applyProtection="0"/>
    <xf numFmtId="0" fontId="6" fillId="0" borderId="0"/>
    <xf numFmtId="0" fontId="2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6" fillId="28" borderId="36" applyNumberFormat="0" applyFont="0" applyAlignment="0" applyProtection="0"/>
    <xf numFmtId="0" fontId="27" fillId="25" borderId="37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38" applyNumberFormat="0" applyFill="0" applyAlignment="0" applyProtection="0"/>
    <xf numFmtId="0" fontId="30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165" fontId="3" fillId="0" borderId="6" xfId="1" applyNumberFormat="1" applyFont="1" applyFill="1" applyBorder="1" applyAlignment="1">
      <alignment horizontal="center" vertical="center"/>
    </xf>
    <xf numFmtId="165" fontId="3" fillId="0" borderId="3" xfId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0" fontId="3" fillId="0" borderId="0" xfId="0" applyFont="1" applyFill="1"/>
    <xf numFmtId="0" fontId="3" fillId="2" borderId="10" xfId="0" applyFont="1" applyFill="1" applyBorder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/>
    </xf>
    <xf numFmtId="165" fontId="3" fillId="2" borderId="11" xfId="1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5" fontId="3" fillId="0" borderId="10" xfId="1" applyNumberFormat="1" applyFont="1" applyFill="1" applyBorder="1" applyAlignment="1">
      <alignment horizontal="center" vertical="center"/>
    </xf>
    <xf numFmtId="1" fontId="4" fillId="0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/>
    </xf>
    <xf numFmtId="1" fontId="4" fillId="0" borderId="16" xfId="0" applyNumberFormat="1" applyFont="1" applyFill="1" applyBorder="1" applyAlignment="1">
      <alignment horizontal="center" vertical="center"/>
    </xf>
    <xf numFmtId="1" fontId="4" fillId="0" borderId="17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/>
    <xf numFmtId="1" fontId="4" fillId="0" borderId="0" xfId="0" applyNumberFormat="1" applyFont="1" applyFill="1"/>
    <xf numFmtId="0" fontId="5" fillId="0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vertical="center"/>
    </xf>
    <xf numFmtId="49" fontId="5" fillId="3" borderId="19" xfId="0" applyNumberFormat="1" applyFont="1" applyFill="1" applyBorder="1" applyAlignment="1">
      <alignment horizontal="center" vertical="center"/>
    </xf>
    <xf numFmtId="0" fontId="5" fillId="3" borderId="19" xfId="0" quotePrefix="1" applyFont="1" applyFill="1" applyBorder="1" applyAlignment="1">
      <alignment horizontal="center" vertical="center"/>
    </xf>
    <xf numFmtId="167" fontId="5" fillId="4" borderId="19" xfId="2" applyNumberFormat="1" applyFont="1" applyFill="1" applyBorder="1" applyAlignment="1">
      <alignment vertical="center"/>
    </xf>
    <xf numFmtId="165" fontId="5" fillId="4" borderId="19" xfId="0" applyNumberFormat="1" applyFont="1" applyFill="1" applyBorder="1" applyAlignment="1">
      <alignment vertical="center"/>
    </xf>
    <xf numFmtId="166" fontId="5" fillId="4" borderId="19" xfId="3" applyNumberFormat="1" applyFont="1" applyFill="1" applyBorder="1" applyAlignment="1">
      <alignment vertical="center"/>
    </xf>
    <xf numFmtId="165" fontId="5" fillId="4" borderId="20" xfId="0" applyNumberFormat="1" applyFont="1" applyFill="1" applyBorder="1" applyAlignment="1">
      <alignment vertical="center"/>
    </xf>
    <xf numFmtId="165" fontId="5" fillId="4" borderId="20" xfId="1" applyNumberFormat="1" applyFont="1" applyFill="1" applyBorder="1" applyAlignment="1">
      <alignment horizontal="right" vertical="center"/>
    </xf>
    <xf numFmtId="167" fontId="5" fillId="4" borderId="19" xfId="0" applyNumberFormat="1" applyFont="1" applyFill="1" applyBorder="1" applyAlignment="1">
      <alignment vertical="center"/>
    </xf>
    <xf numFmtId="167" fontId="5" fillId="0" borderId="21" xfId="0" applyNumberFormat="1" applyFont="1" applyFill="1" applyBorder="1" applyAlignment="1">
      <alignment vertical="center"/>
    </xf>
    <xf numFmtId="165" fontId="5" fillId="0" borderId="21" xfId="1" applyNumberFormat="1" applyFont="1" applyFill="1" applyBorder="1" applyAlignment="1">
      <alignment vertical="center"/>
    </xf>
    <xf numFmtId="165" fontId="5" fillId="0" borderId="21" xfId="1" applyNumberFormat="1" applyFont="1" applyFill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167" fontId="5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19" xfId="0" applyFont="1" applyFill="1" applyBorder="1" applyAlignment="1">
      <alignment horizontal="center" vertical="center"/>
    </xf>
    <xf numFmtId="166" fontId="5" fillId="4" borderId="19" xfId="0" applyNumberFormat="1" applyFont="1" applyFill="1" applyBorder="1" applyAlignment="1">
      <alignment vertical="center"/>
    </xf>
    <xf numFmtId="165" fontId="5" fillId="4" borderId="19" xfId="1" applyNumberFormat="1" applyFont="1" applyFill="1" applyBorder="1" applyAlignment="1">
      <alignment horizontal="right" vertical="center"/>
    </xf>
    <xf numFmtId="167" fontId="5" fillId="0" borderId="19" xfId="0" applyNumberFormat="1" applyFont="1" applyFill="1" applyBorder="1" applyAlignment="1">
      <alignment vertical="center"/>
    </xf>
    <xf numFmtId="0" fontId="5" fillId="0" borderId="19" xfId="0" applyNumberFormat="1" applyFont="1" applyFill="1" applyBorder="1" applyAlignment="1">
      <alignment horizontal="center" vertical="center"/>
    </xf>
    <xf numFmtId="166" fontId="5" fillId="4" borderId="22" xfId="3" applyNumberFormat="1" applyFont="1" applyFill="1" applyBorder="1" applyAlignment="1">
      <alignment vertical="center"/>
    </xf>
    <xf numFmtId="166" fontId="5" fillId="4" borderId="23" xfId="3" applyNumberFormat="1" applyFont="1" applyFill="1" applyBorder="1" applyAlignment="1">
      <alignment vertical="center"/>
    </xf>
    <xf numFmtId="0" fontId="5" fillId="0" borderId="19" xfId="0" applyFont="1" applyFill="1" applyBorder="1" applyAlignment="1">
      <alignment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5" fillId="0" borderId="19" xfId="0" quotePrefix="1" applyFont="1" applyFill="1" applyBorder="1" applyAlignment="1">
      <alignment horizontal="center" vertical="center"/>
    </xf>
    <xf numFmtId="167" fontId="5" fillId="0" borderId="19" xfId="2" applyNumberFormat="1" applyFont="1" applyFill="1" applyBorder="1" applyAlignment="1">
      <alignment vertical="center"/>
    </xf>
    <xf numFmtId="165" fontId="5" fillId="0" borderId="19" xfId="0" applyNumberFormat="1" applyFont="1" applyFill="1" applyBorder="1" applyAlignment="1">
      <alignment vertical="center"/>
    </xf>
    <xf numFmtId="166" fontId="5" fillId="0" borderId="20" xfId="3" applyNumberFormat="1" applyFont="1" applyFill="1" applyBorder="1" applyAlignment="1">
      <alignment vertical="center"/>
    </xf>
    <xf numFmtId="165" fontId="5" fillId="0" borderId="20" xfId="0" applyNumberFormat="1" applyFont="1" applyFill="1" applyBorder="1" applyAlignment="1">
      <alignment vertical="center"/>
    </xf>
    <xf numFmtId="165" fontId="5" fillId="0" borderId="19" xfId="1" applyNumberFormat="1" applyFont="1" applyFill="1" applyBorder="1" applyAlignment="1">
      <alignment horizontal="right" vertical="center"/>
    </xf>
    <xf numFmtId="166" fontId="5" fillId="0" borderId="19" xfId="3" applyNumberFormat="1" applyFont="1" applyFill="1" applyBorder="1" applyAlignment="1">
      <alignment vertical="center"/>
    </xf>
    <xf numFmtId="166" fontId="5" fillId="0" borderId="19" xfId="0" applyNumberFormat="1" applyFont="1" applyFill="1" applyBorder="1" applyAlignment="1">
      <alignment vertical="center"/>
    </xf>
    <xf numFmtId="0" fontId="5" fillId="0" borderId="22" xfId="0" applyFont="1" applyFill="1" applyBorder="1" applyAlignment="1">
      <alignment vertical="center"/>
    </xf>
    <xf numFmtId="165" fontId="7" fillId="0" borderId="19" xfId="3" applyNumberFormat="1" applyFont="1" applyFill="1" applyBorder="1" applyAlignment="1">
      <alignment vertical="center"/>
    </xf>
    <xf numFmtId="0" fontId="5" fillId="0" borderId="19" xfId="0" applyFont="1" applyFill="1" applyBorder="1" applyAlignment="1">
      <alignment horizontal="center"/>
    </xf>
    <xf numFmtId="0" fontId="5" fillId="0" borderId="19" xfId="0" applyFont="1" applyFill="1" applyBorder="1"/>
    <xf numFmtId="49" fontId="5" fillId="0" borderId="19" xfId="0" applyNumberFormat="1" applyFont="1" applyFill="1" applyBorder="1" applyAlignment="1">
      <alignment horizontal="center"/>
    </xf>
    <xf numFmtId="0" fontId="5" fillId="0" borderId="19" xfId="0" quotePrefix="1" applyFont="1" applyFill="1" applyBorder="1" applyAlignment="1">
      <alignment horizontal="center"/>
    </xf>
    <xf numFmtId="167" fontId="5" fillId="0" borderId="19" xfId="2" applyNumberFormat="1" applyFont="1" applyFill="1" applyBorder="1" applyAlignment="1"/>
    <xf numFmtId="165" fontId="5" fillId="0" borderId="19" xfId="0" applyNumberFormat="1" applyFont="1" applyFill="1" applyBorder="1"/>
    <xf numFmtId="166" fontId="5" fillId="0" borderId="19" xfId="3" applyNumberFormat="1" applyFont="1" applyFill="1" applyBorder="1"/>
    <xf numFmtId="165" fontId="5" fillId="0" borderId="20" xfId="0" applyNumberFormat="1" applyFont="1" applyFill="1" applyBorder="1"/>
    <xf numFmtId="165" fontId="5" fillId="0" borderId="19" xfId="1" applyNumberFormat="1" applyFont="1" applyFill="1" applyBorder="1" applyAlignment="1">
      <alignment horizontal="right"/>
    </xf>
    <xf numFmtId="167" fontId="5" fillId="0" borderId="19" xfId="0" applyNumberFormat="1" applyFont="1" applyFill="1" applyBorder="1"/>
    <xf numFmtId="165" fontId="5" fillId="0" borderId="21" xfId="1" applyNumberFormat="1" applyFont="1" applyFill="1" applyBorder="1"/>
    <xf numFmtId="165" fontId="5" fillId="0" borderId="21" xfId="1" applyNumberFormat="1" applyFont="1" applyFill="1" applyBorder="1" applyAlignment="1">
      <alignment horizontal="center"/>
    </xf>
    <xf numFmtId="0" fontId="5" fillId="0" borderId="19" xfId="0" applyNumberFormat="1" applyFont="1" applyFill="1" applyBorder="1" applyAlignment="1">
      <alignment horizontal="center"/>
    </xf>
    <xf numFmtId="0" fontId="5" fillId="0" borderId="0" xfId="0" applyFont="1" applyFill="1" applyBorder="1"/>
    <xf numFmtId="167" fontId="5" fillId="0" borderId="0" xfId="0" applyNumberFormat="1" applyFont="1" applyFill="1" applyBorder="1"/>
    <xf numFmtId="0" fontId="5" fillId="0" borderId="0" xfId="0" applyFont="1" applyFill="1"/>
    <xf numFmtId="0" fontId="5" fillId="0" borderId="18" xfId="0" applyFont="1" applyFill="1" applyBorder="1" applyAlignment="1">
      <alignment horizontal="center"/>
    </xf>
    <xf numFmtId="0" fontId="5" fillId="5" borderId="19" xfId="0" applyFont="1" applyFill="1" applyBorder="1"/>
    <xf numFmtId="49" fontId="5" fillId="5" borderId="19" xfId="0" applyNumberFormat="1" applyFont="1" applyFill="1" applyBorder="1" applyAlignment="1">
      <alignment horizontal="center"/>
    </xf>
    <xf numFmtId="166" fontId="5" fillId="0" borderId="19" xfId="0" applyNumberFormat="1" applyFont="1" applyFill="1" applyBorder="1"/>
    <xf numFmtId="165" fontId="5" fillId="5" borderId="19" xfId="1" applyNumberFormat="1" applyFont="1" applyFill="1" applyBorder="1" applyAlignment="1">
      <alignment horizontal="right"/>
    </xf>
    <xf numFmtId="0" fontId="5" fillId="0" borderId="19" xfId="0" applyNumberFormat="1" applyFont="1" applyFill="1" applyBorder="1" applyAlignment="1">
      <alignment horizontal="left"/>
    </xf>
    <xf numFmtId="166" fontId="5" fillId="0" borderId="19" xfId="3" applyNumberFormat="1" applyFont="1" applyFill="1" applyBorder="1" applyAlignment="1">
      <alignment horizontal="right"/>
    </xf>
    <xf numFmtId="166" fontId="5" fillId="0" borderId="20" xfId="3" applyNumberFormat="1" applyFont="1" applyFill="1" applyBorder="1"/>
    <xf numFmtId="0" fontId="5" fillId="0" borderId="19" xfId="0" applyFont="1" applyFill="1" applyBorder="1" applyAlignment="1">
      <alignment horizontal="left" vertical="center"/>
    </xf>
    <xf numFmtId="0" fontId="5" fillId="0" borderId="19" xfId="0" applyNumberFormat="1" applyFont="1" applyFill="1" applyBorder="1"/>
    <xf numFmtId="164" fontId="5" fillId="0" borderId="0" xfId="0" applyNumberFormat="1" applyFont="1" applyFill="1" applyBorder="1"/>
    <xf numFmtId="164" fontId="5" fillId="0" borderId="19" xfId="0" quotePrefix="1" applyNumberFormat="1" applyFont="1" applyFill="1" applyBorder="1" applyAlignment="1">
      <alignment horizontal="center"/>
    </xf>
    <xf numFmtId="167" fontId="5" fillId="0" borderId="19" xfId="2" applyNumberFormat="1" applyFont="1" applyFill="1" applyBorder="1" applyAlignment="1">
      <alignment horizontal="right" vertical="center"/>
    </xf>
    <xf numFmtId="0" fontId="5" fillId="0" borderId="19" xfId="4" applyFont="1" applyFill="1" applyBorder="1" applyAlignment="1">
      <alignment horizontal="left" vertical="center"/>
    </xf>
    <xf numFmtId="49" fontId="5" fillId="0" borderId="19" xfId="4" applyNumberFormat="1" applyFont="1" applyFill="1" applyBorder="1" applyAlignment="1">
      <alignment horizontal="center" vertical="center"/>
    </xf>
    <xf numFmtId="0" fontId="5" fillId="0" borderId="19" xfId="4" quotePrefix="1" applyFont="1" applyFill="1" applyBorder="1" applyAlignment="1">
      <alignment horizontal="center" vertical="center"/>
    </xf>
    <xf numFmtId="165" fontId="5" fillId="0" borderId="19" xfId="4" applyNumberFormat="1" applyFont="1" applyFill="1" applyBorder="1"/>
    <xf numFmtId="167" fontId="5" fillId="0" borderId="19" xfId="4" applyNumberFormat="1" applyFont="1" applyFill="1" applyBorder="1"/>
    <xf numFmtId="0" fontId="5" fillId="6" borderId="19" xfId="5" applyFont="1" applyFill="1" applyBorder="1" applyAlignment="1">
      <alignment vertical="center"/>
    </xf>
    <xf numFmtId="49" fontId="5" fillId="6" borderId="19" xfId="5" applyNumberFormat="1" applyFont="1" applyFill="1" applyBorder="1" applyAlignment="1">
      <alignment horizontal="center" vertical="center"/>
    </xf>
    <xf numFmtId="0" fontId="5" fillId="0" borderId="19" xfId="4" quotePrefix="1" applyFont="1" applyFill="1" applyBorder="1" applyAlignment="1">
      <alignment horizontal="center"/>
    </xf>
    <xf numFmtId="49" fontId="5" fillId="0" borderId="19" xfId="6" quotePrefix="1" applyNumberFormat="1" applyFont="1" applyFill="1" applyBorder="1" applyAlignment="1">
      <alignment horizontal="center"/>
    </xf>
    <xf numFmtId="166" fontId="8" fillId="0" borderId="24" xfId="0" applyNumberFormat="1" applyFont="1" applyFill="1" applyBorder="1"/>
    <xf numFmtId="0" fontId="5" fillId="0" borderId="19" xfId="5" applyFont="1" applyFill="1" applyBorder="1" applyAlignment="1">
      <alignment horizontal="left" vertical="center"/>
    </xf>
    <xf numFmtId="49" fontId="5" fillId="0" borderId="19" xfId="5" applyNumberFormat="1" applyFont="1" applyFill="1" applyBorder="1" applyAlignment="1">
      <alignment horizontal="center" vertical="center"/>
    </xf>
    <xf numFmtId="164" fontId="5" fillId="0" borderId="0" xfId="2" applyFont="1" applyFill="1" applyBorder="1"/>
    <xf numFmtId="0" fontId="5" fillId="0" borderId="19" xfId="5" applyFont="1" applyFill="1" applyBorder="1" applyAlignment="1">
      <alignment vertical="center"/>
    </xf>
    <xf numFmtId="0" fontId="5" fillId="6" borderId="19" xfId="0" applyFont="1" applyFill="1" applyBorder="1"/>
    <xf numFmtId="49" fontId="5" fillId="6" borderId="19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9" xfId="0" applyFont="1" applyFill="1" applyBorder="1"/>
    <xf numFmtId="49" fontId="5" fillId="0" borderId="9" xfId="0" applyNumberFormat="1" applyFont="1" applyFill="1" applyBorder="1" applyAlignment="1">
      <alignment horizontal="center"/>
    </xf>
    <xf numFmtId="0" fontId="5" fillId="0" borderId="9" xfId="0" quotePrefix="1" applyFont="1" applyFill="1" applyBorder="1" applyAlignment="1">
      <alignment horizontal="center"/>
    </xf>
    <xf numFmtId="167" fontId="5" fillId="0" borderId="9" xfId="2" applyNumberFormat="1" applyFont="1" applyFill="1" applyBorder="1" applyAlignment="1">
      <alignment horizontal="right" vertical="center"/>
    </xf>
    <xf numFmtId="165" fontId="5" fillId="0" borderId="9" xfId="0" applyNumberFormat="1" applyFont="1" applyFill="1" applyBorder="1"/>
    <xf numFmtId="166" fontId="5" fillId="0" borderId="9" xfId="0" applyNumberFormat="1" applyFont="1" applyFill="1" applyBorder="1"/>
    <xf numFmtId="165" fontId="5" fillId="0" borderId="9" xfId="1" applyNumberFormat="1" applyFont="1" applyFill="1" applyBorder="1" applyAlignment="1">
      <alignment horizontal="right"/>
    </xf>
    <xf numFmtId="167" fontId="5" fillId="0" borderId="9" xfId="0" applyNumberFormat="1" applyFont="1" applyFill="1" applyBorder="1"/>
    <xf numFmtId="165" fontId="5" fillId="0" borderId="25" xfId="1" applyNumberFormat="1" applyFont="1" applyFill="1" applyBorder="1"/>
    <xf numFmtId="165" fontId="5" fillId="0" borderId="25" xfId="1" applyNumberFormat="1" applyFont="1" applyFill="1" applyBorder="1" applyAlignment="1">
      <alignment horizontal="center"/>
    </xf>
    <xf numFmtId="0" fontId="5" fillId="0" borderId="26" xfId="0" applyNumberFormat="1" applyFont="1" applyFill="1" applyBorder="1" applyAlignment="1">
      <alignment horizontal="center"/>
    </xf>
    <xf numFmtId="0" fontId="5" fillId="0" borderId="27" xfId="0" applyFont="1" applyFill="1" applyBorder="1"/>
    <xf numFmtId="0" fontId="5" fillId="0" borderId="20" xfId="0" applyFont="1" applyFill="1" applyBorder="1" applyAlignment="1">
      <alignment horizontal="center"/>
    </xf>
    <xf numFmtId="0" fontId="5" fillId="0" borderId="20" xfId="0" applyFont="1" applyFill="1" applyBorder="1"/>
    <xf numFmtId="49" fontId="5" fillId="0" borderId="20" xfId="0" applyNumberFormat="1" applyFont="1" applyFill="1" applyBorder="1" applyAlignment="1">
      <alignment horizontal="center"/>
    </xf>
    <xf numFmtId="0" fontId="5" fillId="0" borderId="20" xfId="0" quotePrefix="1" applyFont="1" applyFill="1" applyBorder="1" applyAlignment="1">
      <alignment horizontal="center"/>
    </xf>
    <xf numFmtId="167" fontId="5" fillId="0" borderId="20" xfId="2" applyNumberFormat="1" applyFont="1" applyFill="1" applyBorder="1" applyAlignment="1">
      <alignment horizontal="right" vertical="center"/>
    </xf>
    <xf numFmtId="166" fontId="5" fillId="0" borderId="20" xfId="0" applyNumberFormat="1" applyFont="1" applyFill="1" applyBorder="1"/>
    <xf numFmtId="165" fontId="5" fillId="0" borderId="20" xfId="1" applyNumberFormat="1" applyFont="1" applyFill="1" applyBorder="1" applyAlignment="1">
      <alignment horizontal="right"/>
    </xf>
    <xf numFmtId="167" fontId="5" fillId="0" borderId="20" xfId="0" applyNumberFormat="1" applyFont="1" applyFill="1" applyBorder="1"/>
    <xf numFmtId="0" fontId="5" fillId="0" borderId="20" xfId="0" applyNumberFormat="1" applyFont="1" applyFill="1" applyBorder="1" applyAlignment="1">
      <alignment horizontal="left"/>
    </xf>
    <xf numFmtId="0" fontId="5" fillId="0" borderId="11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 vertical="center"/>
    </xf>
    <xf numFmtId="49" fontId="3" fillId="0" borderId="28" xfId="0" applyNumberFormat="1" applyFont="1" applyFill="1" applyBorder="1" applyAlignment="1">
      <alignment horizontal="center" vertical="center"/>
    </xf>
    <xf numFmtId="37" fontId="3" fillId="0" borderId="17" xfId="2" applyNumberFormat="1" applyFont="1" applyFill="1" applyBorder="1" applyAlignment="1">
      <alignment horizontal="right" vertical="center"/>
    </xf>
    <xf numFmtId="165" fontId="3" fillId="0" borderId="29" xfId="0" applyNumberFormat="1" applyFont="1" applyFill="1" applyBorder="1" applyAlignment="1">
      <alignment horizontal="right" vertical="center"/>
    </xf>
    <xf numFmtId="166" fontId="3" fillId="0" borderId="29" xfId="0" applyNumberFormat="1" applyFont="1" applyFill="1" applyBorder="1" applyAlignment="1">
      <alignment horizontal="right" vertical="center"/>
    </xf>
    <xf numFmtId="37" fontId="3" fillId="0" borderId="29" xfId="0" applyNumberFormat="1" applyFont="1" applyFill="1" applyBorder="1" applyAlignment="1">
      <alignment horizontal="right" vertical="center"/>
    </xf>
    <xf numFmtId="39" fontId="3" fillId="0" borderId="29" xfId="0" applyNumberFormat="1" applyFont="1" applyFill="1" applyBorder="1" applyAlignment="1">
      <alignment horizontal="right" vertical="center"/>
    </xf>
    <xf numFmtId="0" fontId="5" fillId="0" borderId="28" xfId="0" applyNumberFormat="1" applyFont="1" applyFill="1" applyBorder="1" applyAlignment="1">
      <alignment horizontal="left"/>
    </xf>
    <xf numFmtId="168" fontId="5" fillId="0" borderId="0" xfId="0" applyNumberFormat="1" applyFont="1" applyFill="1" applyBorder="1"/>
    <xf numFmtId="0" fontId="5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left"/>
    </xf>
    <xf numFmtId="165" fontId="5" fillId="0" borderId="0" xfId="0" applyNumberFormat="1" applyFont="1" applyFill="1" applyBorder="1"/>
    <xf numFmtId="164" fontId="9" fillId="0" borderId="0" xfId="0" applyNumberFormat="1" applyFont="1" applyFill="1" applyBorder="1" applyAlignment="1"/>
    <xf numFmtId="165" fontId="9" fillId="0" borderId="0" xfId="0" applyNumberFormat="1" applyFont="1" applyFill="1" applyBorder="1" applyAlignment="1"/>
    <xf numFmtId="166" fontId="5" fillId="0" borderId="0" xfId="0" applyNumberFormat="1" applyFont="1" applyFill="1" applyBorder="1"/>
    <xf numFmtId="0" fontId="9" fillId="0" borderId="0" xfId="0" applyFont="1" applyFill="1" applyBorder="1" applyAlignment="1"/>
    <xf numFmtId="164" fontId="5" fillId="0" borderId="0" xfId="2" applyFont="1" applyFill="1" applyBorder="1" applyAlignment="1">
      <alignment horizontal="center"/>
    </xf>
    <xf numFmtId="49" fontId="5" fillId="0" borderId="0" xfId="2" applyNumberFormat="1" applyFont="1" applyFill="1" applyBorder="1" applyAlignment="1">
      <alignment horizontal="center"/>
    </xf>
    <xf numFmtId="165" fontId="5" fillId="0" borderId="0" xfId="2" applyNumberFormat="1" applyFont="1" applyFill="1" applyBorder="1"/>
    <xf numFmtId="166" fontId="5" fillId="0" borderId="0" xfId="2" applyNumberFormat="1" applyFont="1" applyFill="1" applyBorder="1"/>
    <xf numFmtId="0" fontId="9" fillId="0" borderId="0" xfId="0" applyFont="1" applyFill="1" applyAlignment="1"/>
    <xf numFmtId="43" fontId="5" fillId="0" borderId="0" xfId="0" applyNumberFormat="1" applyFont="1" applyFill="1" applyBorder="1"/>
    <xf numFmtId="165" fontId="5" fillId="0" borderId="0" xfId="1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left"/>
    </xf>
    <xf numFmtId="165" fontId="5" fillId="0" borderId="0" xfId="1" applyNumberFormat="1" applyFont="1" applyFill="1"/>
    <xf numFmtId="164" fontId="5" fillId="0" borderId="0" xfId="0" applyNumberFormat="1" applyFont="1" applyFill="1"/>
    <xf numFmtId="0" fontId="9" fillId="0" borderId="0" xfId="0" applyFont="1" applyFill="1"/>
    <xf numFmtId="0" fontId="5" fillId="0" borderId="0" xfId="0" applyNumberFormat="1" applyFont="1" applyFill="1" applyBorder="1" applyAlignment="1">
      <alignment horizontal="left"/>
    </xf>
    <xf numFmtId="37" fontId="3" fillId="0" borderId="0" xfId="0" applyNumberFormat="1" applyFont="1" applyFill="1" applyBorder="1"/>
    <xf numFmtId="0" fontId="10" fillId="0" borderId="0" xfId="4" applyFont="1" applyFill="1" applyAlignment="1"/>
    <xf numFmtId="37" fontId="5" fillId="0" borderId="0" xfId="0" applyNumberFormat="1" applyFont="1" applyFill="1" applyBorder="1"/>
    <xf numFmtId="0" fontId="9" fillId="0" borderId="0" xfId="4" applyFont="1" applyFill="1" applyAlignment="1"/>
    <xf numFmtId="164" fontId="5" fillId="0" borderId="0" xfId="0" applyNumberFormat="1" applyFont="1" applyFill="1" applyAlignment="1">
      <alignment horizontal="center"/>
    </xf>
    <xf numFmtId="165" fontId="9" fillId="0" borderId="0" xfId="0" applyNumberFormat="1" applyFont="1" applyFill="1"/>
    <xf numFmtId="166" fontId="9" fillId="0" borderId="0" xfId="0" applyNumberFormat="1" applyFont="1" applyFill="1"/>
    <xf numFmtId="165" fontId="9" fillId="0" borderId="0" xfId="1" applyNumberFormat="1" applyFont="1" applyFill="1"/>
    <xf numFmtId="165" fontId="5" fillId="0" borderId="0" xfId="2" applyNumberFormat="1" applyFont="1" applyFill="1" applyBorder="1" applyAlignment="1">
      <alignment horizontal="center"/>
    </xf>
    <xf numFmtId="166" fontId="9" fillId="0" borderId="0" xfId="2" applyNumberFormat="1" applyFont="1" applyFill="1"/>
    <xf numFmtId="165" fontId="9" fillId="0" borderId="0" xfId="2" applyNumberFormat="1" applyFont="1" applyFill="1"/>
    <xf numFmtId="3" fontId="5" fillId="0" borderId="0" xfId="0" applyNumberFormat="1" applyFont="1" applyFill="1"/>
    <xf numFmtId="165" fontId="5" fillId="0" borderId="0" xfId="1" applyFont="1" applyFill="1" applyBorder="1"/>
    <xf numFmtId="166" fontId="11" fillId="0" borderId="0" xfId="2" applyNumberFormat="1" applyFont="1" applyFill="1"/>
    <xf numFmtId="165" fontId="11" fillId="0" borderId="0" xfId="2" applyNumberFormat="1" applyFont="1" applyFill="1"/>
    <xf numFmtId="164" fontId="9" fillId="0" borderId="0" xfId="2" applyNumberFormat="1" applyFont="1" applyFill="1" applyBorder="1" applyAlignment="1"/>
    <xf numFmtId="166" fontId="5" fillId="0" borderId="0" xfId="1" applyNumberFormat="1" applyFont="1" applyFill="1" applyBorder="1"/>
    <xf numFmtId="165" fontId="5" fillId="0" borderId="0" xfId="1" applyNumberFormat="1" applyFont="1" applyFill="1" applyBorder="1"/>
    <xf numFmtId="43" fontId="9" fillId="0" borderId="0" xfId="0" applyNumberFormat="1" applyFont="1" applyFill="1"/>
    <xf numFmtId="164" fontId="9" fillId="0" borderId="0" xfId="2" applyNumberFormat="1" applyFont="1" applyFill="1" applyAlignment="1"/>
    <xf numFmtId="165" fontId="9" fillId="0" borderId="0" xfId="0" applyNumberFormat="1" applyFont="1" applyFill="1" applyAlignment="1"/>
    <xf numFmtId="164" fontId="5" fillId="0" borderId="0" xfId="2" applyFont="1" applyFill="1"/>
    <xf numFmtId="164" fontId="10" fillId="0" borderId="0" xfId="2" applyFont="1" applyFill="1" applyAlignment="1"/>
    <xf numFmtId="165" fontId="10" fillId="0" borderId="0" xfId="0" applyNumberFormat="1" applyFont="1" applyFill="1" applyAlignment="1"/>
    <xf numFmtId="169" fontId="9" fillId="0" borderId="0" xfId="0" applyNumberFormat="1" applyFont="1" applyFill="1" applyAlignment="1"/>
    <xf numFmtId="49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5" fontId="5" fillId="0" borderId="0" xfId="1" applyNumberFormat="1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4" applyFont="1" applyFill="1" applyAlignment="1">
      <alignment horizontal="center"/>
    </xf>
    <xf numFmtId="0" fontId="9" fillId="0" borderId="0" xfId="4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399">
    <cellStyle name="20% - Accent1 2" xfId="7"/>
    <cellStyle name="20% - Accent1 2 2" xfId="8"/>
    <cellStyle name="20% - Accent1 2 2 2" xfId="9"/>
    <cellStyle name="20% - Accent1 2 3" xfId="10"/>
    <cellStyle name="20% - Accent2 2" xfId="11"/>
    <cellStyle name="20% - Accent2 2 2" xfId="12"/>
    <cellStyle name="20% - Accent2 2 2 2" xfId="13"/>
    <cellStyle name="20% - Accent2 2 3" xfId="14"/>
    <cellStyle name="20% - Accent3 2" xfId="15"/>
    <cellStyle name="20% - Accent3 2 2" xfId="16"/>
    <cellStyle name="20% - Accent3 2 2 2" xfId="17"/>
    <cellStyle name="20% - Accent3 2 3" xfId="18"/>
    <cellStyle name="20% - Accent4 2" xfId="19"/>
    <cellStyle name="20% - Accent4 2 2" xfId="20"/>
    <cellStyle name="20% - Accent4 2 2 2" xfId="21"/>
    <cellStyle name="20% - Accent4 2 3" xfId="22"/>
    <cellStyle name="20% - Accent5 2" xfId="23"/>
    <cellStyle name="20% - Accent5 2 2" xfId="24"/>
    <cellStyle name="20% - Accent5 2 2 2" xfId="25"/>
    <cellStyle name="20% - Accent5 2 3" xfId="26"/>
    <cellStyle name="20% - Accent6 2" xfId="27"/>
    <cellStyle name="20% - Accent6 2 2" xfId="28"/>
    <cellStyle name="20% - Accent6 2 2 2" xfId="29"/>
    <cellStyle name="20% - Accent6 2 3" xfId="30"/>
    <cellStyle name="40% - Accent1 2" xfId="31"/>
    <cellStyle name="40% - Accent1 2 2" xfId="32"/>
    <cellStyle name="40% - Accent1 2 2 2" xfId="33"/>
    <cellStyle name="40% - Accent1 2 3" xfId="34"/>
    <cellStyle name="40% - Accent2 2" xfId="35"/>
    <cellStyle name="40% - Accent2 2 2" xfId="36"/>
    <cellStyle name="40% - Accent2 2 2 2" xfId="37"/>
    <cellStyle name="40% - Accent2 2 3" xfId="38"/>
    <cellStyle name="40% - Accent3 2" xfId="39"/>
    <cellStyle name="40% - Accent3 2 2" xfId="40"/>
    <cellStyle name="40% - Accent3 2 2 2" xfId="41"/>
    <cellStyle name="40% - Accent3 2 3" xfId="42"/>
    <cellStyle name="40% - Accent4 2" xfId="43"/>
    <cellStyle name="40% - Accent4 2 2" xfId="44"/>
    <cellStyle name="40% - Accent4 2 2 2" xfId="45"/>
    <cellStyle name="40% - Accent4 2 3" xfId="46"/>
    <cellStyle name="40% - Accent5 2" xfId="47"/>
    <cellStyle name="40% - Accent5 2 2" xfId="48"/>
    <cellStyle name="40% - Accent5 2 2 2" xfId="49"/>
    <cellStyle name="40% - Accent5 2 3" xfId="50"/>
    <cellStyle name="40% - Accent6 2" xfId="51"/>
    <cellStyle name="40% - Accent6 2 2" xfId="52"/>
    <cellStyle name="40% - Accent6 2 2 2" xfId="53"/>
    <cellStyle name="40% - Accent6 2 3" xfId="54"/>
    <cellStyle name="60% - Accent1 2" xfId="55"/>
    <cellStyle name="60% - Accent2 2" xfId="56"/>
    <cellStyle name="60% - Accent3 2" xfId="57"/>
    <cellStyle name="60% - Accent4 2" xfId="58"/>
    <cellStyle name="60% - Accent5 2" xfId="59"/>
    <cellStyle name="60% - Accent6 2" xfId="60"/>
    <cellStyle name="Accent1 2" xfId="61"/>
    <cellStyle name="Accent2 2" xfId="62"/>
    <cellStyle name="Accent3 2" xfId="63"/>
    <cellStyle name="Accent4 2" xfId="64"/>
    <cellStyle name="Accent5 2" xfId="65"/>
    <cellStyle name="Accent6 2" xfId="66"/>
    <cellStyle name="Bad 2" xfId="67"/>
    <cellStyle name="Calculation 2" xfId="68"/>
    <cellStyle name="Check Cell 2" xfId="69"/>
    <cellStyle name="Comma" xfId="1" builtinId="3"/>
    <cellStyle name="Comma [0]" xfId="2" builtinId="6"/>
    <cellStyle name="Comma [0] 2" xfId="70"/>
    <cellStyle name="Comma [0] 2 2" xfId="71"/>
    <cellStyle name="Comma [0] 2 2 2" xfId="72"/>
    <cellStyle name="Comma [0] 2 2 2 2" xfId="73"/>
    <cellStyle name="Comma [0] 2 2 3" xfId="74"/>
    <cellStyle name="Comma [0] 2 3" xfId="75"/>
    <cellStyle name="Comma [0] 2 3 2" xfId="76"/>
    <cellStyle name="Comma [0] 2 3 2 2" xfId="77"/>
    <cellStyle name="Comma [0] 2 3 3" xfId="78"/>
    <cellStyle name="Comma [0] 2 3 3 2" xfId="79"/>
    <cellStyle name="Comma [0] 2 3 4" xfId="80"/>
    <cellStyle name="Comma [0] 2 4" xfId="81"/>
    <cellStyle name="Comma [0] 2 4 2" xfId="82"/>
    <cellStyle name="Comma [0] 2 5" xfId="83"/>
    <cellStyle name="Comma [0] 2 5 2" xfId="84"/>
    <cellStyle name="Comma [0] 2 6" xfId="85"/>
    <cellStyle name="Comma [0] 2 6 2" xfId="86"/>
    <cellStyle name="Comma [0] 2 6 2 2" xfId="87"/>
    <cellStyle name="Comma [0] 2 6 3" xfId="88"/>
    <cellStyle name="Comma [0] 2 7" xfId="89"/>
    <cellStyle name="Comma [0] 3" xfId="90"/>
    <cellStyle name="Comma [0] 3 2" xfId="91"/>
    <cellStyle name="Comma [0] 3 2 2" xfId="92"/>
    <cellStyle name="Comma [0] 3 3" xfId="93"/>
    <cellStyle name="Comma [0] 3 3 2" xfId="94"/>
    <cellStyle name="Comma [0] 3 4" xfId="95"/>
    <cellStyle name="Comma [0] 3 4 2" xfId="96"/>
    <cellStyle name="Comma [0] 3 4 2 2" xfId="97"/>
    <cellStyle name="Comma [0] 3 4 3" xfId="98"/>
    <cellStyle name="Comma [0] 3 5" xfId="99"/>
    <cellStyle name="Comma [0] 3 5 2" xfId="100"/>
    <cellStyle name="Comma [0] 3 6" xfId="101"/>
    <cellStyle name="Comma [0] 3 6 2" xfId="102"/>
    <cellStyle name="Comma [0] 3 7" xfId="103"/>
    <cellStyle name="Comma [0] 4" xfId="104"/>
    <cellStyle name="Comma [0] 4 2" xfId="105"/>
    <cellStyle name="Comma [0] 4 2 2" xfId="106"/>
    <cellStyle name="Comma [0] 4 3" xfId="107"/>
    <cellStyle name="Comma [0] 4 3 2" xfId="108"/>
    <cellStyle name="Comma [0] 4 4" xfId="109"/>
    <cellStyle name="Comma [0] 5" xfId="110"/>
    <cellStyle name="Comma [0] 5 2" xfId="111"/>
    <cellStyle name="Comma [0] 6" xfId="112"/>
    <cellStyle name="Comma [0] 6 2" xfId="113"/>
    <cellStyle name="Comma [0] 7" xfId="114"/>
    <cellStyle name="Comma [0] 7 2" xfId="115"/>
    <cellStyle name="Comma [0] 8" xfId="116"/>
    <cellStyle name="Comma [0] 8 2" xfId="117"/>
    <cellStyle name="Comma [0] 9" xfId="118"/>
    <cellStyle name="Comma 10" xfId="119"/>
    <cellStyle name="Comma 10 2" xfId="120"/>
    <cellStyle name="Comma 11" xfId="121"/>
    <cellStyle name="Comma 11 2" xfId="122"/>
    <cellStyle name="Comma 12" xfId="123"/>
    <cellStyle name="Comma 12 2" xfId="124"/>
    <cellStyle name="Comma 12 2 2" xfId="125"/>
    <cellStyle name="Comma 12 2 2 2" xfId="126"/>
    <cellStyle name="Comma 12 2 3" xfId="127"/>
    <cellStyle name="Comma 12 2 3 2" xfId="128"/>
    <cellStyle name="Comma 12 2 3 2 2" xfId="129"/>
    <cellStyle name="Comma 12 2 3 3" xfId="130"/>
    <cellStyle name="Comma 12 2 4" xfId="131"/>
    <cellStyle name="Comma 12 3" xfId="132"/>
    <cellStyle name="Comma 12 3 2" xfId="133"/>
    <cellStyle name="Comma 12 4" xfId="134"/>
    <cellStyle name="Comma 13" xfId="135"/>
    <cellStyle name="Comma 13 2" xfId="136"/>
    <cellStyle name="Comma 13 2 2" xfId="137"/>
    <cellStyle name="Comma 13 2 2 2" xfId="138"/>
    <cellStyle name="Comma 13 2 3" xfId="139"/>
    <cellStyle name="Comma 13 2 3 2" xfId="140"/>
    <cellStyle name="Comma 13 2 3 2 2" xfId="141"/>
    <cellStyle name="Comma 13 2 3 3" xfId="142"/>
    <cellStyle name="Comma 13 2 4" xfId="143"/>
    <cellStyle name="Comma 13 3" xfId="144"/>
    <cellStyle name="Comma 13 3 2" xfId="145"/>
    <cellStyle name="Comma 13 4" xfId="146"/>
    <cellStyle name="Comma 14" xfId="147"/>
    <cellStyle name="Comma 14 2" xfId="148"/>
    <cellStyle name="Comma 14 2 2" xfId="149"/>
    <cellStyle name="Comma 14 2 2 2" xfId="150"/>
    <cellStyle name="Comma 14 2 3" xfId="151"/>
    <cellStyle name="Comma 14 2 3 2" xfId="152"/>
    <cellStyle name="Comma 14 2 3 2 2" xfId="153"/>
    <cellStyle name="Comma 14 2 3 3" xfId="154"/>
    <cellStyle name="Comma 14 2 4" xfId="155"/>
    <cellStyle name="Comma 14 3" xfId="156"/>
    <cellStyle name="Comma 14 3 2" xfId="157"/>
    <cellStyle name="Comma 14 4" xfId="158"/>
    <cellStyle name="Comma 15" xfId="159"/>
    <cellStyle name="Comma 15 2" xfId="160"/>
    <cellStyle name="Comma 15 2 2" xfId="161"/>
    <cellStyle name="Comma 15 2 2 2" xfId="162"/>
    <cellStyle name="Comma 15 2 3" xfId="163"/>
    <cellStyle name="Comma 15 2 3 2" xfId="164"/>
    <cellStyle name="Comma 15 2 3 2 2" xfId="165"/>
    <cellStyle name="Comma 15 2 3 3" xfId="166"/>
    <cellStyle name="Comma 15 2 4" xfId="167"/>
    <cellStyle name="Comma 15 3" xfId="168"/>
    <cellStyle name="Comma 15 3 2" xfId="169"/>
    <cellStyle name="Comma 15 4" xfId="170"/>
    <cellStyle name="Comma 16" xfId="171"/>
    <cellStyle name="Comma 16 2" xfId="172"/>
    <cellStyle name="Comma 16 2 2" xfId="173"/>
    <cellStyle name="Comma 16 2 2 2" xfId="174"/>
    <cellStyle name="Comma 16 2 3" xfId="175"/>
    <cellStyle name="Comma 16 2 3 2" xfId="176"/>
    <cellStyle name="Comma 16 2 3 2 2" xfId="177"/>
    <cellStyle name="Comma 16 2 3 3" xfId="178"/>
    <cellStyle name="Comma 16 2 4" xfId="179"/>
    <cellStyle name="Comma 16 3" xfId="180"/>
    <cellStyle name="Comma 16 3 2" xfId="181"/>
    <cellStyle name="Comma 16 4" xfId="182"/>
    <cellStyle name="Comma 17" xfId="183"/>
    <cellStyle name="Comma 17 2" xfId="184"/>
    <cellStyle name="Comma 17 2 2" xfId="185"/>
    <cellStyle name="Comma 17 2 2 2" xfId="186"/>
    <cellStyle name="Comma 17 2 3" xfId="187"/>
    <cellStyle name="Comma 17 2 3 2" xfId="188"/>
    <cellStyle name="Comma 17 2 3 2 2" xfId="189"/>
    <cellStyle name="Comma 17 2 3 3" xfId="190"/>
    <cellStyle name="Comma 17 2 4" xfId="191"/>
    <cellStyle name="Comma 17 3" xfId="192"/>
    <cellStyle name="Comma 17 3 2" xfId="193"/>
    <cellStyle name="Comma 17 4" xfId="194"/>
    <cellStyle name="Comma 18" xfId="195"/>
    <cellStyle name="Comma 18 2" xfId="196"/>
    <cellStyle name="Comma 18 2 2" xfId="197"/>
    <cellStyle name="Comma 18 3" xfId="198"/>
    <cellStyle name="Comma 18 3 2" xfId="199"/>
    <cellStyle name="Comma 18 4" xfId="200"/>
    <cellStyle name="Comma 19" xfId="201"/>
    <cellStyle name="Comma 19 2" xfId="202"/>
    <cellStyle name="Comma 19 2 2" xfId="203"/>
    <cellStyle name="Comma 19 3" xfId="204"/>
    <cellStyle name="Comma 19 3 2" xfId="205"/>
    <cellStyle name="Comma 19 4" xfId="206"/>
    <cellStyle name="Comma 2" xfId="207"/>
    <cellStyle name="Comma 2 2" xfId="208"/>
    <cellStyle name="Comma 2 2 2" xfId="209"/>
    <cellStyle name="Comma 2 2 2 2" xfId="210"/>
    <cellStyle name="Comma 2 2 3" xfId="211"/>
    <cellStyle name="Comma 2 3" xfId="212"/>
    <cellStyle name="Comma 20" xfId="213"/>
    <cellStyle name="Comma 20 2" xfId="214"/>
    <cellStyle name="Comma 20 2 2" xfId="215"/>
    <cellStyle name="Comma 20 3" xfId="216"/>
    <cellStyle name="Comma 20 3 2" xfId="217"/>
    <cellStyle name="Comma 20 4" xfId="218"/>
    <cellStyle name="Comma 21" xfId="219"/>
    <cellStyle name="Comma 21 2" xfId="220"/>
    <cellStyle name="Comma 21 2 2" xfId="221"/>
    <cellStyle name="Comma 21 3" xfId="222"/>
    <cellStyle name="Comma 21 3 2" xfId="223"/>
    <cellStyle name="Comma 21 3 2 2" xfId="224"/>
    <cellStyle name="Comma 21 3 3" xfId="225"/>
    <cellStyle name="Comma 21 4" xfId="226"/>
    <cellStyle name="Comma 22" xfId="227"/>
    <cellStyle name="Comma 22 2" xfId="228"/>
    <cellStyle name="Comma 22 2 2" xfId="229"/>
    <cellStyle name="Comma 22 3" xfId="230"/>
    <cellStyle name="Comma 22 3 2" xfId="231"/>
    <cellStyle name="Comma 22 3 2 2" xfId="232"/>
    <cellStyle name="Comma 22 3 3" xfId="233"/>
    <cellStyle name="Comma 22 4" xfId="234"/>
    <cellStyle name="Comma 23" xfId="235"/>
    <cellStyle name="Comma 23 2" xfId="236"/>
    <cellStyle name="Comma 23 2 2" xfId="237"/>
    <cellStyle name="Comma 23 3" xfId="238"/>
    <cellStyle name="Comma 23 3 2" xfId="239"/>
    <cellStyle name="Comma 23 4" xfId="240"/>
    <cellStyle name="Comma 24" xfId="241"/>
    <cellStyle name="Comma 24 2" xfId="242"/>
    <cellStyle name="Comma 24 2 2" xfId="243"/>
    <cellStyle name="Comma 24 3" xfId="244"/>
    <cellStyle name="Comma 25" xfId="245"/>
    <cellStyle name="Comma 25 2" xfId="246"/>
    <cellStyle name="Comma 26" xfId="247"/>
    <cellStyle name="Comma 26 2" xfId="248"/>
    <cellStyle name="Comma 27" xfId="249"/>
    <cellStyle name="Comma 27 2" xfId="250"/>
    <cellStyle name="Comma 27 2 2" xfId="251"/>
    <cellStyle name="Comma 27 3" xfId="252"/>
    <cellStyle name="Comma 28" xfId="253"/>
    <cellStyle name="Comma 28 2" xfId="254"/>
    <cellStyle name="Comma 29" xfId="255"/>
    <cellStyle name="Comma 29 2" xfId="256"/>
    <cellStyle name="Comma 3" xfId="257"/>
    <cellStyle name="Comma 3 2" xfId="258"/>
    <cellStyle name="Comma 3 2 2" xfId="259"/>
    <cellStyle name="Comma 3 3" xfId="260"/>
    <cellStyle name="Comma 3 3 2" xfId="261"/>
    <cellStyle name="Comma 3 4" xfId="262"/>
    <cellStyle name="Comma 3 4 2" xfId="263"/>
    <cellStyle name="Comma 3 5" xfId="264"/>
    <cellStyle name="Comma 30" xfId="265"/>
    <cellStyle name="Comma 30 2" xfId="266"/>
    <cellStyle name="Comma 31" xfId="267"/>
    <cellStyle name="Comma 31 2" xfId="268"/>
    <cellStyle name="Comma 32" xfId="269"/>
    <cellStyle name="Comma 32 2" xfId="270"/>
    <cellStyle name="Comma 33" xfId="271"/>
    <cellStyle name="Comma 4" xfId="272"/>
    <cellStyle name="Comma 4 2" xfId="273"/>
    <cellStyle name="Comma 4 2 2" xfId="274"/>
    <cellStyle name="Comma 4 3" xfId="275"/>
    <cellStyle name="Comma 4 3 2" xfId="276"/>
    <cellStyle name="Comma 4 4" xfId="277"/>
    <cellStyle name="Comma 4 4 2" xfId="278"/>
    <cellStyle name="Comma 4 5" xfId="279"/>
    <cellStyle name="Comma 5" xfId="280"/>
    <cellStyle name="Comma 5 2" xfId="281"/>
    <cellStyle name="Comma 5 2 2" xfId="282"/>
    <cellStyle name="Comma 5 3" xfId="283"/>
    <cellStyle name="Comma 5 3 2" xfId="284"/>
    <cellStyle name="Comma 5 3 2 2" xfId="285"/>
    <cellStyle name="Comma 5 3 3" xfId="286"/>
    <cellStyle name="Comma 5 4" xfId="287"/>
    <cellStyle name="Comma 5 4 2" xfId="288"/>
    <cellStyle name="Comma 5 5" xfId="289"/>
    <cellStyle name="Comma 6" xfId="290"/>
    <cellStyle name="Comma 6 2" xfId="291"/>
    <cellStyle name="Comma 6 2 2" xfId="292"/>
    <cellStyle name="Comma 6 3" xfId="293"/>
    <cellStyle name="Comma 6 3 2" xfId="294"/>
    <cellStyle name="Comma 6 3 2 2" xfId="295"/>
    <cellStyle name="Comma 6 3 3" xfId="296"/>
    <cellStyle name="Comma 6 4" xfId="297"/>
    <cellStyle name="Comma 6 4 2" xfId="298"/>
    <cellStyle name="Comma 6 5" xfId="299"/>
    <cellStyle name="Comma 7" xfId="300"/>
    <cellStyle name="Comma 7 2" xfId="301"/>
    <cellStyle name="Comma 7 2 2" xfId="302"/>
    <cellStyle name="Comma 7 3" xfId="303"/>
    <cellStyle name="Comma 7 3 2" xfId="304"/>
    <cellStyle name="Comma 7 3 2 2" xfId="305"/>
    <cellStyle name="Comma 7 3 3" xfId="306"/>
    <cellStyle name="Comma 7 4" xfId="307"/>
    <cellStyle name="Comma 7 4 2" xfId="308"/>
    <cellStyle name="Comma 7 5" xfId="309"/>
    <cellStyle name="Comma 8" xfId="310"/>
    <cellStyle name="Comma 8 2" xfId="311"/>
    <cellStyle name="Comma 8 2 2" xfId="312"/>
    <cellStyle name="Comma 8 3" xfId="313"/>
    <cellStyle name="Comma 8 3 2" xfId="314"/>
    <cellStyle name="Comma 8 3 2 2" xfId="315"/>
    <cellStyle name="Comma 8 3 3" xfId="316"/>
    <cellStyle name="Comma 8 4" xfId="317"/>
    <cellStyle name="Comma 8 4 2" xfId="318"/>
    <cellStyle name="Comma 8 5" xfId="319"/>
    <cellStyle name="Comma 9" xfId="320"/>
    <cellStyle name="Comma 9 2" xfId="321"/>
    <cellStyle name="Comma 9 2 2" xfId="322"/>
    <cellStyle name="Comma 9 3" xfId="323"/>
    <cellStyle name="Comma 9 3 2" xfId="324"/>
    <cellStyle name="Comma 9 3 2 2" xfId="325"/>
    <cellStyle name="Comma 9 3 3" xfId="326"/>
    <cellStyle name="Comma 9 4" xfId="327"/>
    <cellStyle name="Comma 9 4 2" xfId="328"/>
    <cellStyle name="Comma 9 5" xfId="329"/>
    <cellStyle name="Currency [0] 2" xfId="330"/>
    <cellStyle name="Currency [0] 2 2" xfId="331"/>
    <cellStyle name="Currency [0] 2 2 2" xfId="332"/>
    <cellStyle name="Currency [0] 2 3" xfId="333"/>
    <cellStyle name="Currency [0] 2 3 2" xfId="334"/>
    <cellStyle name="Currency [0] 2 4" xfId="335"/>
    <cellStyle name="Currency [0] 2 4 2" xfId="336"/>
    <cellStyle name="Currency [0] 2 5" xfId="337"/>
    <cellStyle name="Currency [0] 3" xfId="338"/>
    <cellStyle name="Currency [0] 3 2" xfId="339"/>
    <cellStyle name="Currency [0] 3 2 2" xfId="340"/>
    <cellStyle name="Currency [0] 3 3" xfId="341"/>
    <cellStyle name="Currency [0] 3 3 2" xfId="342"/>
    <cellStyle name="Currency [0] 3 4" xfId="343"/>
    <cellStyle name="Explanatory Text 2" xfId="344"/>
    <cellStyle name="Good 2" xfId="345"/>
    <cellStyle name="Heading 1 2" xfId="346"/>
    <cellStyle name="Heading 2 2" xfId="347"/>
    <cellStyle name="Heading 3 2" xfId="348"/>
    <cellStyle name="Heading 4 2" xfId="349"/>
    <cellStyle name="Hyperlink 2" xfId="350"/>
    <cellStyle name="Hyperlink 2 2" xfId="351"/>
    <cellStyle name="Hyperlink 3" xfId="352"/>
    <cellStyle name="Hyperlink 3 2" xfId="353"/>
    <cellStyle name="Input 2" xfId="354"/>
    <cellStyle name="Linked Cell 2" xfId="355"/>
    <cellStyle name="Neutral 2" xfId="356"/>
    <cellStyle name="Normal" xfId="0" builtinId="0"/>
    <cellStyle name="Normal 2" xfId="357"/>
    <cellStyle name="Normal 2 2" xfId="4"/>
    <cellStyle name="Normal 2 3" xfId="358"/>
    <cellStyle name="Normal 2 4" xfId="359"/>
    <cellStyle name="Normal 3" xfId="6"/>
    <cellStyle name="Normal 4" xfId="5"/>
    <cellStyle name="Normal 4 2" xfId="360"/>
    <cellStyle name="Normal 4 3" xfId="361"/>
    <cellStyle name="Normal 5" xfId="362"/>
    <cellStyle name="Normal 6" xfId="363"/>
    <cellStyle name="Normal 7" xfId="364"/>
    <cellStyle name="Normal 8" xfId="3"/>
    <cellStyle name="Normal 8 2" xfId="365"/>
    <cellStyle name="Normal 9" xfId="366"/>
    <cellStyle name="Note 2" xfId="367"/>
    <cellStyle name="Note 2 2" xfId="368"/>
    <cellStyle name="Note 2 2 2" xfId="369"/>
    <cellStyle name="Note 2 3" xfId="370"/>
    <cellStyle name="Note 2 3 2" xfId="371"/>
    <cellStyle name="Note 3" xfId="372"/>
    <cellStyle name="Note 3 2" xfId="373"/>
    <cellStyle name="Note 4" xfId="374"/>
    <cellStyle name="Note 4 2" xfId="375"/>
    <cellStyle name="Note 5" xfId="376"/>
    <cellStyle name="Output 2" xfId="377"/>
    <cellStyle name="Percent 2" xfId="378"/>
    <cellStyle name="Percent 2 2" xfId="379"/>
    <cellStyle name="Percent 2 2 2" xfId="380"/>
    <cellStyle name="Percent 2 3" xfId="381"/>
    <cellStyle name="Percent 2 4" xfId="382"/>
    <cellStyle name="Percent 2 5" xfId="383"/>
    <cellStyle name="Percent 2 6" xfId="384"/>
    <cellStyle name="Percent 2 6 2" xfId="385"/>
    <cellStyle name="Percent 3" xfId="386"/>
    <cellStyle name="Percent 3 2" xfId="387"/>
    <cellStyle name="Percent 3 3" xfId="388"/>
    <cellStyle name="Percent 3 4" xfId="389"/>
    <cellStyle name="Percent 3 4 2" xfId="390"/>
    <cellStyle name="Percent 3 5" xfId="391"/>
    <cellStyle name="Percent 3 6" xfId="392"/>
    <cellStyle name="Percent 4" xfId="393"/>
    <cellStyle name="Percent 5" xfId="394"/>
    <cellStyle name="Percent 6" xfId="395"/>
    <cellStyle name="Title 2" xfId="396"/>
    <cellStyle name="Total 2" xfId="397"/>
    <cellStyle name="Warning Text 2" xfId="3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68035</xdr:colOff>
      <xdr:row>5</xdr:row>
      <xdr:rowOff>27214</xdr:rowOff>
    </xdr:from>
    <xdr:to>
      <xdr:col>1</xdr:col>
      <xdr:colOff>2449285</xdr:colOff>
      <xdr:row>8</xdr:row>
      <xdr:rowOff>81643</xdr:rowOff>
    </xdr:to>
    <xdr:sp macro="" textlink="">
      <xdr:nvSpPr>
        <xdr:cNvPr id="2" name="Rounded Rectangular Callout 1"/>
        <xdr:cNvSpPr/>
      </xdr:nvSpPr>
      <xdr:spPr>
        <a:xfrm>
          <a:off x="496660" y="1789339"/>
          <a:ext cx="2381250" cy="1197429"/>
        </a:xfrm>
        <a:prstGeom prst="wedgeRoundRectCallout">
          <a:avLst>
            <a:gd name="adj1" fmla="val 56823"/>
            <a:gd name="adj2" fmla="val -80227"/>
            <a:gd name="adj3" fmla="val 16667"/>
          </a:avLst>
        </a:prstGeom>
        <a:solidFill>
          <a:schemeClr val="bg1"/>
        </a:solidFill>
        <a:ln w="762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d-ID" sz="1200"/>
            <a:t>Data Pertama (NAMA PEGAWAI) Pegawai Pertama</a:t>
          </a:r>
          <a:r>
            <a:rPr lang="id-ID" sz="1200" baseline="0"/>
            <a:t> </a:t>
          </a:r>
        </a:p>
        <a:p>
          <a:pPr algn="ctr"/>
          <a:r>
            <a:rPr lang="id-ID" sz="1200" baseline="0"/>
            <a:t>harus di cell</a:t>
          </a:r>
        </a:p>
        <a:p>
          <a:pPr algn="ctr"/>
          <a:r>
            <a:rPr lang="id-ID" sz="2400" b="1"/>
            <a:t>B4</a:t>
          </a:r>
          <a:endParaRPr lang="id-ID" sz="1100" b="1"/>
        </a:p>
      </xdr:txBody>
    </xdr:sp>
    <xdr:clientData/>
  </xdr:twoCellAnchor>
  <xdr:twoCellAnchor>
    <xdr:from>
      <xdr:col>0</xdr:col>
      <xdr:colOff>340180</xdr:colOff>
      <xdr:row>2</xdr:row>
      <xdr:rowOff>204107</xdr:rowOff>
    </xdr:from>
    <xdr:to>
      <xdr:col>1</xdr:col>
      <xdr:colOff>2626179</xdr:colOff>
      <xdr:row>4</xdr:row>
      <xdr:rowOff>68036</xdr:rowOff>
    </xdr:to>
    <xdr:sp macro="" textlink="">
      <xdr:nvSpPr>
        <xdr:cNvPr id="3" name="Rounded Rectangle 2"/>
        <xdr:cNvSpPr/>
      </xdr:nvSpPr>
      <xdr:spPr>
        <a:xfrm>
          <a:off x="340180" y="947057"/>
          <a:ext cx="2714624" cy="502104"/>
        </a:xfrm>
        <a:prstGeom prst="round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2966356</xdr:colOff>
      <xdr:row>2</xdr:row>
      <xdr:rowOff>204107</xdr:rowOff>
    </xdr:from>
    <xdr:to>
      <xdr:col>3</xdr:col>
      <xdr:colOff>108858</xdr:colOff>
      <xdr:row>4</xdr:row>
      <xdr:rowOff>68036</xdr:rowOff>
    </xdr:to>
    <xdr:sp macro="" textlink="">
      <xdr:nvSpPr>
        <xdr:cNvPr id="4" name="Rounded Rectangle 3"/>
        <xdr:cNvSpPr/>
      </xdr:nvSpPr>
      <xdr:spPr>
        <a:xfrm>
          <a:off x="3394981" y="947057"/>
          <a:ext cx="1676402" cy="502104"/>
        </a:xfrm>
        <a:prstGeom prst="roundRect">
          <a:avLst/>
        </a:prstGeom>
        <a:noFill/>
        <a:ln w="762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54428</xdr:colOff>
      <xdr:row>4</xdr:row>
      <xdr:rowOff>132523</xdr:rowOff>
    </xdr:from>
    <xdr:to>
      <xdr:col>1</xdr:col>
      <xdr:colOff>1061357</xdr:colOff>
      <xdr:row>4</xdr:row>
      <xdr:rowOff>250506</xdr:rowOff>
    </xdr:to>
    <xdr:sp macro="" textlink="">
      <xdr:nvSpPr>
        <xdr:cNvPr id="5" name="Rectangle 4"/>
        <xdr:cNvSpPr/>
      </xdr:nvSpPr>
      <xdr:spPr>
        <a:xfrm flipV="1">
          <a:off x="483053" y="1513648"/>
          <a:ext cx="1006929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54428</xdr:colOff>
      <xdr:row>8</xdr:row>
      <xdr:rowOff>149088</xdr:rowOff>
    </xdr:from>
    <xdr:to>
      <xdr:col>1</xdr:col>
      <xdr:colOff>1341782</xdr:colOff>
      <xdr:row>8</xdr:row>
      <xdr:rowOff>240195</xdr:rowOff>
    </xdr:to>
    <xdr:sp macro="" textlink="">
      <xdr:nvSpPr>
        <xdr:cNvPr id="6" name="Rectangle 5"/>
        <xdr:cNvSpPr/>
      </xdr:nvSpPr>
      <xdr:spPr>
        <a:xfrm flipV="1">
          <a:off x="483053" y="3054213"/>
          <a:ext cx="1287354" cy="91107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37863</xdr:colOff>
      <xdr:row>9</xdr:row>
      <xdr:rowOff>149086</xdr:rowOff>
    </xdr:from>
    <xdr:to>
      <xdr:col>1</xdr:col>
      <xdr:colOff>1847021</xdr:colOff>
      <xdr:row>9</xdr:row>
      <xdr:rowOff>273325</xdr:rowOff>
    </xdr:to>
    <xdr:sp macro="" textlink="">
      <xdr:nvSpPr>
        <xdr:cNvPr id="7" name="Rectangle 6"/>
        <xdr:cNvSpPr/>
      </xdr:nvSpPr>
      <xdr:spPr>
        <a:xfrm flipV="1">
          <a:off x="466488" y="3435211"/>
          <a:ext cx="1809158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79281</xdr:colOff>
      <xdr:row>10</xdr:row>
      <xdr:rowOff>149086</xdr:rowOff>
    </xdr:from>
    <xdr:to>
      <xdr:col>1</xdr:col>
      <xdr:colOff>475281</xdr:colOff>
      <xdr:row>10</xdr:row>
      <xdr:rowOff>273325</xdr:rowOff>
    </xdr:to>
    <xdr:sp macro="" textlink="">
      <xdr:nvSpPr>
        <xdr:cNvPr id="8" name="Rectangle 7"/>
        <xdr:cNvSpPr/>
      </xdr:nvSpPr>
      <xdr:spPr>
        <a:xfrm flipV="1">
          <a:off x="507906" y="3816211"/>
          <a:ext cx="3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54429</xdr:colOff>
      <xdr:row>11</xdr:row>
      <xdr:rowOff>124238</xdr:rowOff>
    </xdr:from>
    <xdr:to>
      <xdr:col>1</xdr:col>
      <xdr:colOff>558429</xdr:colOff>
      <xdr:row>11</xdr:row>
      <xdr:rowOff>248477</xdr:rowOff>
    </xdr:to>
    <xdr:sp macro="" textlink="">
      <xdr:nvSpPr>
        <xdr:cNvPr id="9" name="Rectangle 8"/>
        <xdr:cNvSpPr/>
      </xdr:nvSpPr>
      <xdr:spPr>
        <a:xfrm flipV="1">
          <a:off x="483054" y="4172363"/>
          <a:ext cx="504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62713</xdr:colOff>
      <xdr:row>12</xdr:row>
      <xdr:rowOff>149086</xdr:rowOff>
    </xdr:from>
    <xdr:to>
      <xdr:col>1</xdr:col>
      <xdr:colOff>458713</xdr:colOff>
      <xdr:row>12</xdr:row>
      <xdr:rowOff>273325</xdr:rowOff>
    </xdr:to>
    <xdr:sp macro="" textlink="">
      <xdr:nvSpPr>
        <xdr:cNvPr id="10" name="Rectangle 9"/>
        <xdr:cNvSpPr/>
      </xdr:nvSpPr>
      <xdr:spPr>
        <a:xfrm flipV="1">
          <a:off x="491338" y="4578211"/>
          <a:ext cx="3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95842</xdr:colOff>
      <xdr:row>3</xdr:row>
      <xdr:rowOff>149086</xdr:rowOff>
    </xdr:from>
    <xdr:to>
      <xdr:col>2</xdr:col>
      <xdr:colOff>1391842</xdr:colOff>
      <xdr:row>3</xdr:row>
      <xdr:rowOff>273325</xdr:rowOff>
    </xdr:to>
    <xdr:sp macro="" textlink="">
      <xdr:nvSpPr>
        <xdr:cNvPr id="11" name="Rectangle 10"/>
        <xdr:cNvSpPr/>
      </xdr:nvSpPr>
      <xdr:spPr>
        <a:xfrm flipV="1">
          <a:off x="3553417" y="1149211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137255</xdr:colOff>
      <xdr:row>4</xdr:row>
      <xdr:rowOff>140804</xdr:rowOff>
    </xdr:from>
    <xdr:to>
      <xdr:col>2</xdr:col>
      <xdr:colOff>1433255</xdr:colOff>
      <xdr:row>4</xdr:row>
      <xdr:rowOff>265043</xdr:rowOff>
    </xdr:to>
    <xdr:sp macro="" textlink="">
      <xdr:nvSpPr>
        <xdr:cNvPr id="12" name="Rectangle 11"/>
        <xdr:cNvSpPr/>
      </xdr:nvSpPr>
      <xdr:spPr>
        <a:xfrm flipV="1">
          <a:off x="3594830" y="1521929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120690</xdr:colOff>
      <xdr:row>5</xdr:row>
      <xdr:rowOff>140804</xdr:rowOff>
    </xdr:from>
    <xdr:to>
      <xdr:col>2</xdr:col>
      <xdr:colOff>1416690</xdr:colOff>
      <xdr:row>5</xdr:row>
      <xdr:rowOff>265043</xdr:rowOff>
    </xdr:to>
    <xdr:sp macro="" textlink="">
      <xdr:nvSpPr>
        <xdr:cNvPr id="13" name="Rectangle 12"/>
        <xdr:cNvSpPr/>
      </xdr:nvSpPr>
      <xdr:spPr>
        <a:xfrm flipV="1">
          <a:off x="3578265" y="1902929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128970</xdr:colOff>
      <xdr:row>6</xdr:row>
      <xdr:rowOff>140804</xdr:rowOff>
    </xdr:from>
    <xdr:to>
      <xdr:col>2</xdr:col>
      <xdr:colOff>1424970</xdr:colOff>
      <xdr:row>6</xdr:row>
      <xdr:rowOff>265043</xdr:rowOff>
    </xdr:to>
    <xdr:sp macro="" textlink="">
      <xdr:nvSpPr>
        <xdr:cNvPr id="14" name="Rectangle 13"/>
        <xdr:cNvSpPr/>
      </xdr:nvSpPr>
      <xdr:spPr>
        <a:xfrm flipV="1">
          <a:off x="3586545" y="2283929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120688</xdr:colOff>
      <xdr:row>7</xdr:row>
      <xdr:rowOff>149086</xdr:rowOff>
    </xdr:from>
    <xdr:to>
      <xdr:col>2</xdr:col>
      <xdr:colOff>1416688</xdr:colOff>
      <xdr:row>7</xdr:row>
      <xdr:rowOff>273325</xdr:rowOff>
    </xdr:to>
    <xdr:sp macro="" textlink="">
      <xdr:nvSpPr>
        <xdr:cNvPr id="15" name="Rectangle 14"/>
        <xdr:cNvSpPr/>
      </xdr:nvSpPr>
      <xdr:spPr>
        <a:xfrm flipV="1">
          <a:off x="3578263" y="2673211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95842</xdr:colOff>
      <xdr:row>11</xdr:row>
      <xdr:rowOff>140803</xdr:rowOff>
    </xdr:from>
    <xdr:to>
      <xdr:col>2</xdr:col>
      <xdr:colOff>1391842</xdr:colOff>
      <xdr:row>11</xdr:row>
      <xdr:rowOff>265042</xdr:rowOff>
    </xdr:to>
    <xdr:sp macro="" textlink="">
      <xdr:nvSpPr>
        <xdr:cNvPr id="16" name="Rectangle 15"/>
        <xdr:cNvSpPr/>
      </xdr:nvSpPr>
      <xdr:spPr>
        <a:xfrm flipV="1">
          <a:off x="3553417" y="4188928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104125</xdr:colOff>
      <xdr:row>12</xdr:row>
      <xdr:rowOff>132521</xdr:rowOff>
    </xdr:from>
    <xdr:to>
      <xdr:col>2</xdr:col>
      <xdr:colOff>1400125</xdr:colOff>
      <xdr:row>12</xdr:row>
      <xdr:rowOff>256760</xdr:rowOff>
    </xdr:to>
    <xdr:sp macro="" textlink="">
      <xdr:nvSpPr>
        <xdr:cNvPr id="17" name="Rectangle 16"/>
        <xdr:cNvSpPr/>
      </xdr:nvSpPr>
      <xdr:spPr>
        <a:xfrm flipV="1">
          <a:off x="3561700" y="4561646"/>
          <a:ext cx="1296000" cy="124239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70996</xdr:colOff>
      <xdr:row>3</xdr:row>
      <xdr:rowOff>140806</xdr:rowOff>
    </xdr:from>
    <xdr:to>
      <xdr:col>1</xdr:col>
      <xdr:colOff>682996</xdr:colOff>
      <xdr:row>3</xdr:row>
      <xdr:rowOff>258789</xdr:rowOff>
    </xdr:to>
    <xdr:sp macro="" textlink="">
      <xdr:nvSpPr>
        <xdr:cNvPr id="18" name="Rectangle 17"/>
        <xdr:cNvSpPr/>
      </xdr:nvSpPr>
      <xdr:spPr>
        <a:xfrm flipV="1">
          <a:off x="499621" y="1140931"/>
          <a:ext cx="61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145540</xdr:colOff>
      <xdr:row>3</xdr:row>
      <xdr:rowOff>149089</xdr:rowOff>
    </xdr:from>
    <xdr:to>
      <xdr:col>3</xdr:col>
      <xdr:colOff>937540</xdr:colOff>
      <xdr:row>3</xdr:row>
      <xdr:rowOff>267072</xdr:rowOff>
    </xdr:to>
    <xdr:sp macro="" textlink="">
      <xdr:nvSpPr>
        <xdr:cNvPr id="19" name="Rectangle 18"/>
        <xdr:cNvSpPr/>
      </xdr:nvSpPr>
      <xdr:spPr>
        <a:xfrm flipV="1">
          <a:off x="5108065" y="1149214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128975</xdr:colOff>
      <xdr:row>4</xdr:row>
      <xdr:rowOff>132524</xdr:rowOff>
    </xdr:from>
    <xdr:to>
      <xdr:col>3</xdr:col>
      <xdr:colOff>920975</xdr:colOff>
      <xdr:row>4</xdr:row>
      <xdr:rowOff>250507</xdr:rowOff>
    </xdr:to>
    <xdr:sp macro="" textlink="">
      <xdr:nvSpPr>
        <xdr:cNvPr id="20" name="Rectangle 19"/>
        <xdr:cNvSpPr/>
      </xdr:nvSpPr>
      <xdr:spPr>
        <a:xfrm flipV="1">
          <a:off x="5091500" y="1513649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145540</xdr:colOff>
      <xdr:row>5</xdr:row>
      <xdr:rowOff>124241</xdr:rowOff>
    </xdr:from>
    <xdr:to>
      <xdr:col>3</xdr:col>
      <xdr:colOff>937540</xdr:colOff>
      <xdr:row>5</xdr:row>
      <xdr:rowOff>242224</xdr:rowOff>
    </xdr:to>
    <xdr:sp macro="" textlink="">
      <xdr:nvSpPr>
        <xdr:cNvPr id="21" name="Rectangle 20"/>
        <xdr:cNvSpPr/>
      </xdr:nvSpPr>
      <xdr:spPr>
        <a:xfrm flipV="1">
          <a:off x="5108065" y="1886366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145540</xdr:colOff>
      <xdr:row>6</xdr:row>
      <xdr:rowOff>132524</xdr:rowOff>
    </xdr:from>
    <xdr:to>
      <xdr:col>3</xdr:col>
      <xdr:colOff>937540</xdr:colOff>
      <xdr:row>6</xdr:row>
      <xdr:rowOff>250507</xdr:rowOff>
    </xdr:to>
    <xdr:sp macro="" textlink="">
      <xdr:nvSpPr>
        <xdr:cNvPr id="22" name="Rectangle 21"/>
        <xdr:cNvSpPr/>
      </xdr:nvSpPr>
      <xdr:spPr>
        <a:xfrm flipV="1">
          <a:off x="5108065" y="2275649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137258</xdr:colOff>
      <xdr:row>7</xdr:row>
      <xdr:rowOff>132524</xdr:rowOff>
    </xdr:from>
    <xdr:to>
      <xdr:col>3</xdr:col>
      <xdr:colOff>929258</xdr:colOff>
      <xdr:row>7</xdr:row>
      <xdr:rowOff>250507</xdr:rowOff>
    </xdr:to>
    <xdr:sp macro="" textlink="">
      <xdr:nvSpPr>
        <xdr:cNvPr id="23" name="Rectangle 22"/>
        <xdr:cNvSpPr/>
      </xdr:nvSpPr>
      <xdr:spPr>
        <a:xfrm flipV="1">
          <a:off x="5099783" y="2656649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162106</xdr:colOff>
      <xdr:row>8</xdr:row>
      <xdr:rowOff>149089</xdr:rowOff>
    </xdr:from>
    <xdr:to>
      <xdr:col>3</xdr:col>
      <xdr:colOff>954106</xdr:colOff>
      <xdr:row>8</xdr:row>
      <xdr:rowOff>267072</xdr:rowOff>
    </xdr:to>
    <xdr:sp macro="" textlink="">
      <xdr:nvSpPr>
        <xdr:cNvPr id="24" name="Rectangle 23"/>
        <xdr:cNvSpPr/>
      </xdr:nvSpPr>
      <xdr:spPr>
        <a:xfrm flipV="1">
          <a:off x="5124631" y="3054214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178671</xdr:colOff>
      <xdr:row>9</xdr:row>
      <xdr:rowOff>140806</xdr:rowOff>
    </xdr:from>
    <xdr:to>
      <xdr:col>3</xdr:col>
      <xdr:colOff>970671</xdr:colOff>
      <xdr:row>9</xdr:row>
      <xdr:rowOff>258789</xdr:rowOff>
    </xdr:to>
    <xdr:sp macro="" textlink="">
      <xdr:nvSpPr>
        <xdr:cNvPr id="25" name="Rectangle 24"/>
        <xdr:cNvSpPr/>
      </xdr:nvSpPr>
      <xdr:spPr>
        <a:xfrm flipV="1">
          <a:off x="5141196" y="3426931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178671</xdr:colOff>
      <xdr:row>10</xdr:row>
      <xdr:rowOff>149088</xdr:rowOff>
    </xdr:from>
    <xdr:to>
      <xdr:col>3</xdr:col>
      <xdr:colOff>970671</xdr:colOff>
      <xdr:row>10</xdr:row>
      <xdr:rowOff>267071</xdr:rowOff>
    </xdr:to>
    <xdr:sp macro="" textlink="">
      <xdr:nvSpPr>
        <xdr:cNvPr id="26" name="Rectangle 25"/>
        <xdr:cNvSpPr/>
      </xdr:nvSpPr>
      <xdr:spPr>
        <a:xfrm flipV="1">
          <a:off x="5141196" y="3816213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145540</xdr:colOff>
      <xdr:row>11</xdr:row>
      <xdr:rowOff>140806</xdr:rowOff>
    </xdr:from>
    <xdr:to>
      <xdr:col>3</xdr:col>
      <xdr:colOff>937540</xdr:colOff>
      <xdr:row>11</xdr:row>
      <xdr:rowOff>258789</xdr:rowOff>
    </xdr:to>
    <xdr:sp macro="" textlink="">
      <xdr:nvSpPr>
        <xdr:cNvPr id="27" name="Rectangle 26"/>
        <xdr:cNvSpPr/>
      </xdr:nvSpPr>
      <xdr:spPr>
        <a:xfrm flipV="1">
          <a:off x="5108065" y="4188931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</xdr:col>
      <xdr:colOff>137258</xdr:colOff>
      <xdr:row>12</xdr:row>
      <xdr:rowOff>149088</xdr:rowOff>
    </xdr:from>
    <xdr:to>
      <xdr:col>3</xdr:col>
      <xdr:colOff>929258</xdr:colOff>
      <xdr:row>12</xdr:row>
      <xdr:rowOff>267071</xdr:rowOff>
    </xdr:to>
    <xdr:sp macro="" textlink="">
      <xdr:nvSpPr>
        <xdr:cNvPr id="28" name="Rectangle 27"/>
        <xdr:cNvSpPr/>
      </xdr:nvSpPr>
      <xdr:spPr>
        <a:xfrm flipV="1">
          <a:off x="5099783" y="4578213"/>
          <a:ext cx="792000" cy="117983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</xdr:col>
      <xdr:colOff>2735035</xdr:colOff>
      <xdr:row>7</xdr:row>
      <xdr:rowOff>312965</xdr:rowOff>
    </xdr:from>
    <xdr:to>
      <xdr:col>3</xdr:col>
      <xdr:colOff>272143</xdr:colOff>
      <xdr:row>10</xdr:row>
      <xdr:rowOff>367393</xdr:rowOff>
    </xdr:to>
    <xdr:sp macro="" textlink="">
      <xdr:nvSpPr>
        <xdr:cNvPr id="29" name="Rounded Rectangular Callout 28"/>
        <xdr:cNvSpPr/>
      </xdr:nvSpPr>
      <xdr:spPr>
        <a:xfrm>
          <a:off x="3163660" y="2837090"/>
          <a:ext cx="2071008" cy="1197428"/>
        </a:xfrm>
        <a:prstGeom prst="wedgeRoundRectCallout">
          <a:avLst>
            <a:gd name="adj1" fmla="val -27871"/>
            <a:gd name="adj2" fmla="val -166749"/>
            <a:gd name="adj3" fmla="val 16667"/>
          </a:avLst>
        </a:prstGeom>
        <a:ln w="76200"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d-ID" sz="1400"/>
            <a:t>NIK adalah data kunci </a:t>
          </a:r>
        </a:p>
        <a:p>
          <a:pPr algn="ctr"/>
          <a:r>
            <a:rPr lang="id-ID" sz="1400" i="1"/>
            <a:t>(Import</a:t>
          </a:r>
          <a:r>
            <a:rPr lang="id-ID" sz="1400" i="1" baseline="0"/>
            <a:t> Key), harus</a:t>
          </a:r>
        </a:p>
        <a:p>
          <a:pPr algn="ctr"/>
          <a:r>
            <a:rPr lang="id-ID" sz="2000" b="1" i="1" baseline="0"/>
            <a:t>ADA</a:t>
          </a:r>
          <a:r>
            <a:rPr lang="id-ID" sz="2000" i="1" baseline="0"/>
            <a:t> </a:t>
          </a:r>
          <a:r>
            <a:rPr lang="id-ID" sz="1400" i="1" baseline="0"/>
            <a:t>dan </a:t>
          </a:r>
          <a:r>
            <a:rPr lang="id-ID" sz="2000" b="1" i="1" baseline="0"/>
            <a:t>BENAR</a:t>
          </a:r>
        </a:p>
      </xdr:txBody>
    </xdr:sp>
    <xdr:clientData/>
  </xdr:twoCellAnchor>
  <xdr:twoCellAnchor>
    <xdr:from>
      <xdr:col>10</xdr:col>
      <xdr:colOff>299355</xdr:colOff>
      <xdr:row>10</xdr:row>
      <xdr:rowOff>81644</xdr:rowOff>
    </xdr:from>
    <xdr:to>
      <xdr:col>14</xdr:col>
      <xdr:colOff>1687284</xdr:colOff>
      <xdr:row>12</xdr:row>
      <xdr:rowOff>213850</xdr:rowOff>
    </xdr:to>
    <xdr:sp macro="" textlink="">
      <xdr:nvSpPr>
        <xdr:cNvPr id="30" name="Rectangle 29"/>
        <xdr:cNvSpPr/>
      </xdr:nvSpPr>
      <xdr:spPr>
        <a:xfrm>
          <a:off x="13929630" y="3748769"/>
          <a:ext cx="6988629" cy="89420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d-ID" sz="1400"/>
            <a:t>Biru      </a:t>
          </a:r>
          <a:r>
            <a:rPr lang="id-ID" sz="1400" baseline="0"/>
            <a:t>= KODE PENGHASILAN/POTONGAN (posisi harus sama dan tidak dirubah)</a:t>
          </a:r>
          <a:endParaRPr lang="id-ID" sz="1400"/>
        </a:p>
        <a:p>
          <a:pPr algn="l"/>
          <a:r>
            <a:rPr lang="id-ID" sz="1400"/>
            <a:t>Hijau    = DATA</a:t>
          </a:r>
          <a:r>
            <a:rPr lang="id-ID" sz="1400" baseline="0"/>
            <a:t> PEGAWAI (</a:t>
          </a:r>
          <a:r>
            <a:rPr lang="id-ID" sz="1400"/>
            <a:t>yang akan dicocokan dengan data pegawai di Data</a:t>
          </a:r>
          <a:r>
            <a:rPr lang="id-ID" sz="1400" baseline="0"/>
            <a:t> Base)</a:t>
          </a:r>
          <a:endParaRPr lang="id-ID" sz="1400"/>
        </a:p>
        <a:p>
          <a:pPr algn="l"/>
          <a:r>
            <a:rPr lang="id-ID" sz="1400"/>
            <a:t>Kuning </a:t>
          </a:r>
          <a:r>
            <a:rPr lang="id-ID" sz="1400" baseline="0"/>
            <a:t>= NOMINAL Gaji &amp; Potongan (harus bilangan murni, tanpa pemisah ribuan manual)</a:t>
          </a:r>
          <a:endParaRPr lang="id-ID" sz="1400"/>
        </a:p>
      </xdr:txBody>
    </xdr:sp>
    <xdr:clientData/>
  </xdr:twoCellAnchor>
  <xdr:twoCellAnchor>
    <xdr:from>
      <xdr:col>6</xdr:col>
      <xdr:colOff>0</xdr:colOff>
      <xdr:row>7</xdr:row>
      <xdr:rowOff>258536</xdr:rowOff>
    </xdr:from>
    <xdr:to>
      <xdr:col>10</xdr:col>
      <xdr:colOff>152771</xdr:colOff>
      <xdr:row>12</xdr:row>
      <xdr:rowOff>231322</xdr:rowOff>
    </xdr:to>
    <xdr:sp macro="" textlink="">
      <xdr:nvSpPr>
        <xdr:cNvPr id="31" name="Rectangle 30"/>
        <xdr:cNvSpPr/>
      </xdr:nvSpPr>
      <xdr:spPr>
        <a:xfrm>
          <a:off x="8639175" y="2782661"/>
          <a:ext cx="5143871" cy="1877786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400"/>
            <a:t>PERHATIAN: </a:t>
          </a:r>
        </a:p>
        <a:p>
          <a:pPr algn="l"/>
          <a:r>
            <a:rPr lang="en-GB" sz="1400"/>
            <a:t>1. Sesuaikan kolom-kolom</a:t>
          </a:r>
          <a:r>
            <a:rPr lang="en-GB" sz="1400" baseline="0"/>
            <a:t> harus sesiai dg contoh yaitu kolom A-J, </a:t>
          </a:r>
        </a:p>
        <a:p>
          <a:pPr algn="l"/>
          <a:r>
            <a:rPr lang="en-GB" sz="1400" baseline="0"/>
            <a:t>jika ada cell yg tergabung [merge, misal kolom B,C,D untuk identitas pegawai dll) harus dibuang kolom kanannya (C,D), hanya ambil kolom kiri (B)], termasuk kolom kosong paling kiri</a:t>
          </a:r>
        </a:p>
        <a:p>
          <a:pPr algn="l"/>
          <a:r>
            <a:rPr lang="en-GB" sz="1400" baseline="0"/>
            <a:t>2. Buang baris kosong paling atas termasuk baris judul dokumen (baris 1 selalu untuk mulaiheader data)</a:t>
          </a:r>
          <a:endParaRPr lang="id-ID" sz="1400"/>
        </a:p>
      </xdr:txBody>
    </xdr:sp>
    <xdr:clientData/>
  </xdr:twoCellAnchor>
  <xdr:twoCellAnchor>
    <xdr:from>
      <xdr:col>3</xdr:col>
      <xdr:colOff>625929</xdr:colOff>
      <xdr:row>9</xdr:row>
      <xdr:rowOff>163284</xdr:rowOff>
    </xdr:from>
    <xdr:to>
      <xdr:col>5</xdr:col>
      <xdr:colOff>1110334</xdr:colOff>
      <xdr:row>12</xdr:row>
      <xdr:rowOff>235495</xdr:rowOff>
    </xdr:to>
    <xdr:sp macro="" textlink="">
      <xdr:nvSpPr>
        <xdr:cNvPr id="32" name="Rectangle 31"/>
        <xdr:cNvSpPr/>
      </xdr:nvSpPr>
      <xdr:spPr>
        <a:xfrm>
          <a:off x="5588454" y="3449409"/>
          <a:ext cx="2913280" cy="1215211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400"/>
            <a:t>PERHATIAN: </a:t>
          </a:r>
        </a:p>
        <a:p>
          <a:pPr algn="l"/>
          <a:r>
            <a:rPr lang="en-GB" sz="1400"/>
            <a:t>Peserta Nomor 2 dst lanjut ke bawah dg jumlah baris data per pegawai harus sama</a:t>
          </a:r>
          <a:r>
            <a:rPr lang="en-GB" sz="1400" baseline="0"/>
            <a:t> yaitu </a:t>
          </a:r>
          <a:r>
            <a:rPr lang="id-ID" sz="1400" baseline="0"/>
            <a:t>1</a:t>
          </a:r>
          <a:r>
            <a:rPr lang="en-GB" sz="1400" baseline="0"/>
            <a:t> (</a:t>
          </a:r>
          <a:r>
            <a:rPr lang="id-ID" sz="1400" baseline="0"/>
            <a:t>satu</a:t>
          </a:r>
          <a:r>
            <a:rPr lang="en-GB" sz="1400" baseline="0"/>
            <a:t>) baris.</a:t>
          </a:r>
          <a:endParaRPr lang="id-ID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rsw/Downloads/USULAN%20HONOR%20NON%20ASN%20BULAN%20NOVEM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"/>
    </sheetNames>
    <sheetDataSet>
      <sheetData sheetId="0">
        <row r="270">
          <cell r="F270">
            <v>480450000</v>
          </cell>
          <cell r="H270">
            <v>7118925.5999999773</v>
          </cell>
        </row>
        <row r="272">
          <cell r="E272">
            <v>69350000</v>
          </cell>
        </row>
        <row r="296">
          <cell r="E296">
            <v>1035796.7999999995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492"/>
  <sheetViews>
    <sheetView showGridLines="0" tabSelected="1" view="pageBreakPreview" zoomScale="70" zoomScaleNormal="70" zoomScaleSheetLayoutView="70" workbookViewId="0">
      <selection sqref="A1:A2"/>
    </sheetView>
  </sheetViews>
  <sheetFormatPr defaultRowHeight="21.95" customHeight="1" x14ac:dyDescent="0.3"/>
  <cols>
    <col min="1" max="1" width="6.42578125" style="71" customWidth="1"/>
    <col min="2" max="2" width="45.42578125" style="71" customWidth="1"/>
    <col min="3" max="3" width="22.5703125" style="184" customWidth="1"/>
    <col min="4" max="4" width="16.28515625" style="185" bestFit="1" customWidth="1"/>
    <col min="5" max="5" width="20.140625" style="163" customWidth="1"/>
    <col min="6" max="6" width="18.7109375" style="164" customWidth="1"/>
    <col min="7" max="7" width="18.7109375" style="165" customWidth="1"/>
    <col min="8" max="8" width="18.7109375" style="164" customWidth="1"/>
    <col min="9" max="9" width="18.7109375" style="166" customWidth="1"/>
    <col min="10" max="12" width="18.7109375" style="157" customWidth="1"/>
    <col min="13" max="13" width="22.7109375" style="166" bestFit="1" customWidth="1"/>
    <col min="14" max="14" width="23.85546875" style="186" customWidth="1"/>
    <col min="15" max="15" width="27.5703125" style="71" customWidth="1"/>
    <col min="16" max="16" width="22.85546875" style="69" bestFit="1" customWidth="1"/>
    <col min="17" max="17" width="19.5703125" style="69" bestFit="1" customWidth="1"/>
    <col min="18" max="18" width="14.42578125" style="69" bestFit="1" customWidth="1"/>
    <col min="19" max="22" width="9.140625" style="69"/>
    <col min="23" max="16384" width="9.140625" style="71"/>
  </cols>
  <sheetData>
    <row r="1" spans="1:22" s="5" customFormat="1" ht="27" customHeight="1" x14ac:dyDescent="0.3">
      <c r="A1" s="191" t="s">
        <v>0</v>
      </c>
      <c r="B1" s="193" t="s">
        <v>1</v>
      </c>
      <c r="C1" s="195" t="s">
        <v>2</v>
      </c>
      <c r="D1" s="1" t="s">
        <v>3</v>
      </c>
      <c r="E1" s="197" t="s">
        <v>4</v>
      </c>
      <c r="F1" s="199" t="s">
        <v>5</v>
      </c>
      <c r="G1" s="200"/>
      <c r="H1" s="200"/>
      <c r="I1" s="200"/>
      <c r="J1" s="200"/>
      <c r="K1" s="200"/>
      <c r="L1" s="201"/>
      <c r="M1" s="2" t="s">
        <v>6</v>
      </c>
      <c r="N1" s="3" t="s">
        <v>7</v>
      </c>
      <c r="O1" s="202" t="s">
        <v>8</v>
      </c>
      <c r="P1" s="4"/>
      <c r="Q1" s="4"/>
      <c r="R1" s="4"/>
      <c r="S1" s="4"/>
      <c r="T1" s="4"/>
      <c r="U1" s="4"/>
      <c r="V1" s="4"/>
    </row>
    <row r="2" spans="1:22" s="5" customFormat="1" ht="31.5" customHeight="1" thickBot="1" x14ac:dyDescent="0.35">
      <c r="A2" s="192"/>
      <c r="B2" s="194"/>
      <c r="C2" s="196"/>
      <c r="D2" s="6" t="s">
        <v>9</v>
      </c>
      <c r="E2" s="198"/>
      <c r="F2" s="7" t="s">
        <v>10</v>
      </c>
      <c r="G2" s="8" t="s">
        <v>11</v>
      </c>
      <c r="H2" s="7" t="s">
        <v>12</v>
      </c>
      <c r="I2" s="9" t="s">
        <v>13</v>
      </c>
      <c r="J2" s="10" t="s">
        <v>14</v>
      </c>
      <c r="K2" s="10" t="s">
        <v>15</v>
      </c>
      <c r="L2" s="11" t="s">
        <v>16</v>
      </c>
      <c r="M2" s="12" t="s">
        <v>17</v>
      </c>
      <c r="N2" s="12" t="s">
        <v>18</v>
      </c>
      <c r="O2" s="203"/>
      <c r="P2" s="4"/>
      <c r="Q2" s="4"/>
      <c r="R2" s="4"/>
      <c r="S2" s="4"/>
      <c r="T2" s="4"/>
      <c r="U2" s="4"/>
      <c r="V2" s="4"/>
    </row>
    <row r="3" spans="1:22" s="19" customFormat="1" ht="20.25" thickBot="1" x14ac:dyDescent="0.4">
      <c r="A3" s="13">
        <v>1</v>
      </c>
      <c r="B3" s="14">
        <v>2</v>
      </c>
      <c r="C3" s="15">
        <v>3</v>
      </c>
      <c r="D3" s="16">
        <v>4</v>
      </c>
      <c r="E3" s="17">
        <v>5</v>
      </c>
      <c r="F3" s="14">
        <v>6</v>
      </c>
      <c r="G3" s="14">
        <v>7</v>
      </c>
      <c r="H3" s="14">
        <v>8</v>
      </c>
      <c r="I3" s="14">
        <v>9</v>
      </c>
      <c r="J3" s="14">
        <v>10</v>
      </c>
      <c r="K3" s="14">
        <v>11</v>
      </c>
      <c r="L3" s="14">
        <v>12</v>
      </c>
      <c r="M3" s="14">
        <v>13</v>
      </c>
      <c r="N3" s="14">
        <v>14</v>
      </c>
      <c r="O3" s="14">
        <v>15</v>
      </c>
      <c r="P3" s="18"/>
      <c r="Q3" s="18"/>
      <c r="R3" s="18"/>
      <c r="S3" s="18"/>
      <c r="T3" s="18"/>
      <c r="U3" s="18"/>
      <c r="V3" s="18"/>
    </row>
    <row r="4" spans="1:22" s="36" customFormat="1" ht="30" customHeight="1" x14ac:dyDescent="0.2">
      <c r="A4" s="20">
        <v>1</v>
      </c>
      <c r="B4" s="21" t="s">
        <v>19</v>
      </c>
      <c r="C4" s="22" t="s">
        <v>20</v>
      </c>
      <c r="D4" s="23" t="s">
        <v>21</v>
      </c>
      <c r="E4" s="24">
        <v>2300000</v>
      </c>
      <c r="F4" s="25">
        <v>150000</v>
      </c>
      <c r="G4" s="26">
        <v>550000</v>
      </c>
      <c r="H4" s="27">
        <v>0</v>
      </c>
      <c r="I4" s="28">
        <v>29894</v>
      </c>
      <c r="J4" s="29">
        <v>0</v>
      </c>
      <c r="K4" s="29">
        <v>0</v>
      </c>
      <c r="L4" s="30">
        <v>0</v>
      </c>
      <c r="M4" s="31">
        <f>SUM(F4:L4)</f>
        <v>729894</v>
      </c>
      <c r="N4" s="32">
        <f t="shared" ref="N4:N67" si="0">E4-M4</f>
        <v>1570106</v>
      </c>
      <c r="O4" s="33">
        <v>1</v>
      </c>
      <c r="P4" s="34" t="s">
        <v>22</v>
      </c>
      <c r="Q4" s="34"/>
      <c r="R4" s="35"/>
      <c r="S4" s="34"/>
      <c r="T4" s="34"/>
      <c r="U4" s="34"/>
      <c r="V4" s="34"/>
    </row>
    <row r="5" spans="1:22" s="36" customFormat="1" ht="30" customHeight="1" x14ac:dyDescent="0.2">
      <c r="A5" s="37">
        <v>2</v>
      </c>
      <c r="B5" s="21" t="s">
        <v>23</v>
      </c>
      <c r="C5" s="22" t="s">
        <v>24</v>
      </c>
      <c r="D5" s="23" t="s">
        <v>25</v>
      </c>
      <c r="E5" s="24">
        <v>2425000</v>
      </c>
      <c r="F5" s="25">
        <v>150000</v>
      </c>
      <c r="G5" s="38">
        <v>0</v>
      </c>
      <c r="H5" s="27">
        <v>0</v>
      </c>
      <c r="I5" s="39">
        <v>29894</v>
      </c>
      <c r="J5" s="29">
        <v>0</v>
      </c>
      <c r="K5" s="29">
        <v>0</v>
      </c>
      <c r="L5" s="40">
        <v>0</v>
      </c>
      <c r="M5" s="31">
        <f t="shared" ref="M5:M68" si="1">SUM(F5:L5)</f>
        <v>179894</v>
      </c>
      <c r="N5" s="32">
        <f t="shared" si="0"/>
        <v>2245106</v>
      </c>
      <c r="O5" s="41">
        <v>2</v>
      </c>
      <c r="P5" s="34" t="s">
        <v>22</v>
      </c>
      <c r="Q5" s="34"/>
      <c r="R5" s="35"/>
      <c r="S5" s="34"/>
      <c r="T5" s="34"/>
      <c r="U5" s="34"/>
      <c r="V5" s="34"/>
    </row>
    <row r="6" spans="1:22" s="36" customFormat="1" ht="30" customHeight="1" x14ac:dyDescent="0.2">
      <c r="A6" s="20">
        <v>3</v>
      </c>
      <c r="B6" s="21" t="s">
        <v>26</v>
      </c>
      <c r="C6" s="22" t="s">
        <v>27</v>
      </c>
      <c r="D6" s="23" t="s">
        <v>28</v>
      </c>
      <c r="E6" s="24">
        <v>2425000</v>
      </c>
      <c r="F6" s="25">
        <v>150000</v>
      </c>
      <c r="G6" s="26">
        <v>0</v>
      </c>
      <c r="H6" s="27">
        <v>0</v>
      </c>
      <c r="I6" s="39">
        <v>29894</v>
      </c>
      <c r="J6" s="29">
        <v>0</v>
      </c>
      <c r="K6" s="29">
        <v>0</v>
      </c>
      <c r="L6" s="40">
        <v>0</v>
      </c>
      <c r="M6" s="31">
        <f t="shared" si="1"/>
        <v>179894</v>
      </c>
      <c r="N6" s="32">
        <f t="shared" si="0"/>
        <v>2245106</v>
      </c>
      <c r="O6" s="33">
        <v>3</v>
      </c>
      <c r="P6" s="34" t="s">
        <v>22</v>
      </c>
      <c r="Q6" s="34"/>
      <c r="R6" s="35"/>
      <c r="S6" s="34"/>
      <c r="T6" s="34"/>
      <c r="U6" s="34"/>
      <c r="V6" s="34"/>
    </row>
    <row r="7" spans="1:22" s="36" customFormat="1" ht="30" customHeight="1" x14ac:dyDescent="0.2">
      <c r="A7" s="37">
        <v>4</v>
      </c>
      <c r="B7" s="21" t="s">
        <v>29</v>
      </c>
      <c r="C7" s="22" t="s">
        <v>30</v>
      </c>
      <c r="D7" s="23" t="s">
        <v>31</v>
      </c>
      <c r="E7" s="24">
        <v>2425000</v>
      </c>
      <c r="F7" s="25">
        <v>150000</v>
      </c>
      <c r="G7" s="26">
        <v>571300</v>
      </c>
      <c r="H7" s="27">
        <v>0</v>
      </c>
      <c r="I7" s="39">
        <v>29894</v>
      </c>
      <c r="J7" s="29">
        <v>0</v>
      </c>
      <c r="K7" s="29">
        <v>0</v>
      </c>
      <c r="L7" s="40">
        <v>0</v>
      </c>
      <c r="M7" s="31">
        <f t="shared" si="1"/>
        <v>751194</v>
      </c>
      <c r="N7" s="32">
        <f t="shared" si="0"/>
        <v>1673806</v>
      </c>
      <c r="O7" s="41">
        <v>4</v>
      </c>
      <c r="P7" s="34" t="s">
        <v>22</v>
      </c>
      <c r="Q7" s="34"/>
      <c r="R7" s="35"/>
      <c r="S7" s="34"/>
      <c r="T7" s="34"/>
      <c r="U7" s="34"/>
      <c r="V7" s="34"/>
    </row>
    <row r="8" spans="1:22" s="36" customFormat="1" ht="30" customHeight="1" x14ac:dyDescent="0.2">
      <c r="A8" s="20">
        <v>5</v>
      </c>
      <c r="B8" s="21" t="s">
        <v>32</v>
      </c>
      <c r="C8" s="22" t="s">
        <v>33</v>
      </c>
      <c r="D8" s="23" t="s">
        <v>34</v>
      </c>
      <c r="E8" s="24">
        <v>2425000</v>
      </c>
      <c r="F8" s="25">
        <v>150000</v>
      </c>
      <c r="G8" s="42">
        <v>1279227</v>
      </c>
      <c r="H8" s="27">
        <v>0</v>
      </c>
      <c r="I8" s="39">
        <v>29894</v>
      </c>
      <c r="J8" s="29">
        <v>0</v>
      </c>
      <c r="K8" s="29">
        <v>0</v>
      </c>
      <c r="L8" s="40">
        <v>0</v>
      </c>
      <c r="M8" s="31">
        <f t="shared" si="1"/>
        <v>1459121</v>
      </c>
      <c r="N8" s="32">
        <f t="shared" si="0"/>
        <v>965879</v>
      </c>
      <c r="O8" s="33">
        <v>5</v>
      </c>
      <c r="P8" s="34" t="s">
        <v>22</v>
      </c>
      <c r="Q8" s="34"/>
      <c r="R8" s="35"/>
      <c r="S8" s="34"/>
      <c r="T8" s="34"/>
      <c r="U8" s="34"/>
      <c r="V8" s="34"/>
    </row>
    <row r="9" spans="1:22" s="36" customFormat="1" ht="30" customHeight="1" x14ac:dyDescent="0.2">
      <c r="A9" s="37">
        <v>6</v>
      </c>
      <c r="B9" s="21" t="s">
        <v>35</v>
      </c>
      <c r="C9" s="22" t="s">
        <v>36</v>
      </c>
      <c r="D9" s="23" t="s">
        <v>37</v>
      </c>
      <c r="E9" s="24">
        <v>2425000</v>
      </c>
      <c r="F9" s="25">
        <v>150000</v>
      </c>
      <c r="G9" s="38">
        <v>0</v>
      </c>
      <c r="H9" s="27">
        <v>0</v>
      </c>
      <c r="I9" s="39">
        <v>29894</v>
      </c>
      <c r="J9" s="29">
        <v>0</v>
      </c>
      <c r="K9" s="29">
        <v>0</v>
      </c>
      <c r="L9" s="40">
        <v>0</v>
      </c>
      <c r="M9" s="31">
        <f t="shared" si="1"/>
        <v>179894</v>
      </c>
      <c r="N9" s="32">
        <f t="shared" si="0"/>
        <v>2245106</v>
      </c>
      <c r="O9" s="41">
        <v>6</v>
      </c>
      <c r="P9" s="34" t="s">
        <v>22</v>
      </c>
      <c r="Q9" s="34"/>
      <c r="R9" s="35"/>
      <c r="S9" s="34"/>
      <c r="T9" s="34"/>
      <c r="U9" s="34"/>
      <c r="V9" s="34"/>
    </row>
    <row r="10" spans="1:22" s="36" customFormat="1" ht="30" customHeight="1" x14ac:dyDescent="0.2">
      <c r="A10" s="20">
        <v>7</v>
      </c>
      <c r="B10" s="21" t="s">
        <v>38</v>
      </c>
      <c r="C10" s="22" t="s">
        <v>39</v>
      </c>
      <c r="D10" s="23" t="s">
        <v>40</v>
      </c>
      <c r="E10" s="24">
        <v>2425000</v>
      </c>
      <c r="F10" s="25">
        <v>150000</v>
      </c>
      <c r="G10" s="26">
        <v>866667</v>
      </c>
      <c r="H10" s="27">
        <v>0</v>
      </c>
      <c r="I10" s="39">
        <v>29894</v>
      </c>
      <c r="J10" s="29">
        <v>0</v>
      </c>
      <c r="K10" s="29">
        <v>0</v>
      </c>
      <c r="L10" s="40">
        <v>0</v>
      </c>
      <c r="M10" s="31">
        <f t="shared" si="1"/>
        <v>1046561</v>
      </c>
      <c r="N10" s="32">
        <f t="shared" si="0"/>
        <v>1378439</v>
      </c>
      <c r="O10" s="33">
        <v>7</v>
      </c>
      <c r="P10" s="34" t="s">
        <v>22</v>
      </c>
      <c r="Q10" s="34"/>
      <c r="R10" s="35"/>
      <c r="S10" s="34"/>
      <c r="T10" s="34"/>
      <c r="U10" s="34"/>
      <c r="V10" s="34"/>
    </row>
    <row r="11" spans="1:22" s="36" customFormat="1" ht="30" customHeight="1" x14ac:dyDescent="0.2">
      <c r="A11" s="37">
        <v>8</v>
      </c>
      <c r="B11" s="21" t="s">
        <v>41</v>
      </c>
      <c r="C11" s="22" t="s">
        <v>42</v>
      </c>
      <c r="D11" s="23" t="s">
        <v>43</v>
      </c>
      <c r="E11" s="24">
        <v>2425000</v>
      </c>
      <c r="F11" s="25">
        <v>150000</v>
      </c>
      <c r="G11" s="38">
        <v>0</v>
      </c>
      <c r="H11" s="27">
        <v>0</v>
      </c>
      <c r="I11" s="39">
        <v>29894</v>
      </c>
      <c r="J11" s="29">
        <v>0</v>
      </c>
      <c r="K11" s="29">
        <v>0</v>
      </c>
      <c r="L11" s="40">
        <v>0</v>
      </c>
      <c r="M11" s="31">
        <f t="shared" si="1"/>
        <v>179894</v>
      </c>
      <c r="N11" s="32">
        <f t="shared" si="0"/>
        <v>2245106</v>
      </c>
      <c r="O11" s="41">
        <v>8</v>
      </c>
      <c r="P11" s="34" t="s">
        <v>22</v>
      </c>
      <c r="Q11" s="34"/>
      <c r="R11" s="35"/>
      <c r="S11" s="34"/>
      <c r="T11" s="34"/>
      <c r="U11" s="34"/>
      <c r="V11" s="34"/>
    </row>
    <row r="12" spans="1:22" s="36" customFormat="1" ht="30" customHeight="1" x14ac:dyDescent="0.2">
      <c r="A12" s="20">
        <v>9</v>
      </c>
      <c r="B12" s="21" t="s">
        <v>44</v>
      </c>
      <c r="C12" s="22" t="s">
        <v>45</v>
      </c>
      <c r="D12" s="23" t="s">
        <v>46</v>
      </c>
      <c r="E12" s="24">
        <v>2425000</v>
      </c>
      <c r="F12" s="25">
        <v>150000</v>
      </c>
      <c r="G12" s="43">
        <v>1006812</v>
      </c>
      <c r="H12" s="27">
        <v>0</v>
      </c>
      <c r="I12" s="39">
        <v>29894</v>
      </c>
      <c r="J12" s="29">
        <v>0</v>
      </c>
      <c r="K12" s="29">
        <v>0</v>
      </c>
      <c r="L12" s="40">
        <v>0</v>
      </c>
      <c r="M12" s="31">
        <f t="shared" si="1"/>
        <v>1186706</v>
      </c>
      <c r="N12" s="32">
        <f t="shared" si="0"/>
        <v>1238294</v>
      </c>
      <c r="O12" s="33">
        <v>9</v>
      </c>
      <c r="P12" s="34" t="s">
        <v>22</v>
      </c>
      <c r="Q12" s="34"/>
      <c r="R12" s="35"/>
      <c r="S12" s="34"/>
      <c r="T12" s="34"/>
      <c r="U12" s="34"/>
      <c r="V12" s="34"/>
    </row>
    <row r="13" spans="1:22" s="36" customFormat="1" ht="30" customHeight="1" x14ac:dyDescent="0.2">
      <c r="A13" s="37">
        <v>10</v>
      </c>
      <c r="B13" s="21" t="s">
        <v>47</v>
      </c>
      <c r="C13" s="22" t="s">
        <v>48</v>
      </c>
      <c r="D13" s="23" t="s">
        <v>49</v>
      </c>
      <c r="E13" s="24">
        <v>2300000</v>
      </c>
      <c r="F13" s="25">
        <v>150000</v>
      </c>
      <c r="G13" s="26">
        <v>1023230</v>
      </c>
      <c r="H13" s="27">
        <v>0</v>
      </c>
      <c r="I13" s="39">
        <v>29894</v>
      </c>
      <c r="J13" s="29">
        <v>0</v>
      </c>
      <c r="K13" s="29">
        <v>0</v>
      </c>
      <c r="L13" s="40">
        <v>0</v>
      </c>
      <c r="M13" s="31">
        <f t="shared" si="1"/>
        <v>1203124</v>
      </c>
      <c r="N13" s="32">
        <f t="shared" si="0"/>
        <v>1096876</v>
      </c>
      <c r="O13" s="41">
        <v>10</v>
      </c>
      <c r="P13" s="34" t="s">
        <v>22</v>
      </c>
      <c r="Q13" s="34"/>
      <c r="R13" s="35"/>
      <c r="S13" s="34"/>
      <c r="T13" s="34"/>
      <c r="U13" s="34"/>
      <c r="V13" s="34"/>
    </row>
    <row r="14" spans="1:22" s="36" customFormat="1" ht="30" customHeight="1" x14ac:dyDescent="0.2">
      <c r="A14" s="20">
        <v>11</v>
      </c>
      <c r="B14" s="44" t="s">
        <v>50</v>
      </c>
      <c r="C14" s="45" t="s">
        <v>51</v>
      </c>
      <c r="D14" s="46" t="s">
        <v>52</v>
      </c>
      <c r="E14" s="47">
        <v>2425000</v>
      </c>
      <c r="F14" s="48">
        <v>150000</v>
      </c>
      <c r="G14" s="49">
        <v>1300000</v>
      </c>
      <c r="H14" s="50">
        <v>0</v>
      </c>
      <c r="I14" s="51">
        <v>29894</v>
      </c>
      <c r="J14" s="40">
        <v>0</v>
      </c>
      <c r="K14" s="40">
        <v>0</v>
      </c>
      <c r="L14" s="40">
        <v>0</v>
      </c>
      <c r="M14" s="31">
        <f t="shared" si="1"/>
        <v>1479894</v>
      </c>
      <c r="N14" s="32">
        <f t="shared" si="0"/>
        <v>945106</v>
      </c>
      <c r="O14" s="33">
        <v>11</v>
      </c>
      <c r="P14" s="34" t="s">
        <v>22</v>
      </c>
      <c r="Q14" s="34"/>
      <c r="R14" s="35"/>
      <c r="S14" s="34"/>
      <c r="T14" s="34"/>
      <c r="U14" s="34"/>
      <c r="V14" s="34"/>
    </row>
    <row r="15" spans="1:22" s="36" customFormat="1" ht="30" customHeight="1" x14ac:dyDescent="0.2">
      <c r="A15" s="37">
        <v>12</v>
      </c>
      <c r="B15" s="44" t="s">
        <v>53</v>
      </c>
      <c r="C15" s="45" t="s">
        <v>54</v>
      </c>
      <c r="D15" s="46" t="s">
        <v>55</v>
      </c>
      <c r="E15" s="47">
        <v>2300000</v>
      </c>
      <c r="F15" s="48">
        <v>150000</v>
      </c>
      <c r="G15" s="52">
        <v>1334756</v>
      </c>
      <c r="H15" s="50">
        <v>0</v>
      </c>
      <c r="I15" s="51">
        <v>29894</v>
      </c>
      <c r="J15" s="40">
        <v>0</v>
      </c>
      <c r="K15" s="40">
        <v>0</v>
      </c>
      <c r="L15" s="40">
        <v>0</v>
      </c>
      <c r="M15" s="31">
        <f t="shared" si="1"/>
        <v>1514650</v>
      </c>
      <c r="N15" s="32">
        <f t="shared" si="0"/>
        <v>785350</v>
      </c>
      <c r="O15" s="41">
        <v>12</v>
      </c>
      <c r="P15" s="34" t="s">
        <v>22</v>
      </c>
      <c r="Q15" s="34"/>
      <c r="R15" s="35"/>
      <c r="S15" s="34"/>
      <c r="T15" s="34"/>
      <c r="U15" s="34"/>
      <c r="V15" s="34"/>
    </row>
    <row r="16" spans="1:22" s="36" customFormat="1" ht="30" customHeight="1" x14ac:dyDescent="0.2">
      <c r="A16" s="20">
        <v>13</v>
      </c>
      <c r="B16" s="44" t="s">
        <v>56</v>
      </c>
      <c r="C16" s="45" t="s">
        <v>57</v>
      </c>
      <c r="D16" s="46" t="s">
        <v>58</v>
      </c>
      <c r="E16" s="47">
        <v>2375000</v>
      </c>
      <c r="F16" s="48">
        <v>150000</v>
      </c>
      <c r="G16" s="53">
        <v>0</v>
      </c>
      <c r="H16" s="50">
        <v>0</v>
      </c>
      <c r="I16" s="51">
        <v>29894</v>
      </c>
      <c r="J16" s="40">
        <v>0</v>
      </c>
      <c r="K16" s="40">
        <v>0</v>
      </c>
      <c r="L16" s="40">
        <v>0</v>
      </c>
      <c r="M16" s="31">
        <f t="shared" si="1"/>
        <v>179894</v>
      </c>
      <c r="N16" s="32">
        <f t="shared" si="0"/>
        <v>2195106</v>
      </c>
      <c r="O16" s="33">
        <v>13</v>
      </c>
      <c r="P16" s="34" t="s">
        <v>22</v>
      </c>
      <c r="Q16" s="34"/>
      <c r="R16" s="35"/>
      <c r="S16" s="34"/>
      <c r="T16" s="34"/>
      <c r="U16" s="34"/>
      <c r="V16" s="34"/>
    </row>
    <row r="17" spans="1:23" s="36" customFormat="1" ht="30" customHeight="1" x14ac:dyDescent="0.2">
      <c r="A17" s="37">
        <v>14</v>
      </c>
      <c r="B17" s="44" t="s">
        <v>59</v>
      </c>
      <c r="C17" s="45" t="s">
        <v>60</v>
      </c>
      <c r="D17" s="46" t="s">
        <v>61</v>
      </c>
      <c r="E17" s="47">
        <v>2250000</v>
      </c>
      <c r="F17" s="48">
        <v>150000</v>
      </c>
      <c r="G17" s="53">
        <v>0</v>
      </c>
      <c r="H17" s="50">
        <v>0</v>
      </c>
      <c r="I17" s="51">
        <v>29894</v>
      </c>
      <c r="J17" s="40">
        <v>0</v>
      </c>
      <c r="K17" s="40">
        <v>0</v>
      </c>
      <c r="L17" s="40">
        <v>0</v>
      </c>
      <c r="M17" s="31">
        <f t="shared" si="1"/>
        <v>179894</v>
      </c>
      <c r="N17" s="32">
        <f t="shared" si="0"/>
        <v>2070106</v>
      </c>
      <c r="O17" s="41">
        <v>14</v>
      </c>
      <c r="P17" s="34" t="s">
        <v>22</v>
      </c>
      <c r="Q17" s="34"/>
      <c r="R17" s="35"/>
      <c r="S17" s="34"/>
      <c r="T17" s="34"/>
      <c r="U17" s="34"/>
      <c r="V17" s="34"/>
    </row>
    <row r="18" spans="1:23" s="44" customFormat="1" ht="30" customHeight="1" x14ac:dyDescent="0.2">
      <c r="A18" s="20">
        <v>15</v>
      </c>
      <c r="B18" s="44" t="s">
        <v>62</v>
      </c>
      <c r="C18" s="45" t="s">
        <v>63</v>
      </c>
      <c r="D18" s="46" t="s">
        <v>64</v>
      </c>
      <c r="E18" s="47">
        <v>2250000</v>
      </c>
      <c r="F18" s="48">
        <v>150000</v>
      </c>
      <c r="G18" s="52">
        <v>516700</v>
      </c>
      <c r="H18" s="50">
        <v>0</v>
      </c>
      <c r="I18" s="51">
        <v>29894</v>
      </c>
      <c r="J18" s="40">
        <v>0</v>
      </c>
      <c r="K18" s="40">
        <v>0</v>
      </c>
      <c r="L18" s="40">
        <v>0</v>
      </c>
      <c r="M18" s="31">
        <f t="shared" si="1"/>
        <v>696594</v>
      </c>
      <c r="N18" s="32">
        <f t="shared" si="0"/>
        <v>1553406</v>
      </c>
      <c r="O18" s="33">
        <v>15</v>
      </c>
      <c r="P18" s="34" t="s">
        <v>22</v>
      </c>
      <c r="Q18" s="34"/>
      <c r="R18" s="35"/>
      <c r="S18" s="34"/>
      <c r="T18" s="34"/>
      <c r="U18" s="34"/>
      <c r="V18" s="34"/>
      <c r="W18" s="54"/>
    </row>
    <row r="19" spans="1:23" s="44" customFormat="1" ht="30" customHeight="1" x14ac:dyDescent="0.2">
      <c r="A19" s="37">
        <v>16</v>
      </c>
      <c r="B19" s="44" t="s">
        <v>65</v>
      </c>
      <c r="C19" s="45" t="s">
        <v>66</v>
      </c>
      <c r="D19" s="46" t="s">
        <v>67</v>
      </c>
      <c r="E19" s="47">
        <v>2500000</v>
      </c>
      <c r="F19" s="48">
        <v>0</v>
      </c>
      <c r="G19" s="53">
        <v>0</v>
      </c>
      <c r="H19" s="50">
        <v>0</v>
      </c>
      <c r="I19" s="51">
        <v>29894</v>
      </c>
      <c r="J19" s="40">
        <v>0</v>
      </c>
      <c r="K19" s="40">
        <v>0</v>
      </c>
      <c r="L19" s="40">
        <v>0</v>
      </c>
      <c r="M19" s="31">
        <f t="shared" si="1"/>
        <v>29894</v>
      </c>
      <c r="N19" s="32">
        <f t="shared" si="0"/>
        <v>2470106</v>
      </c>
      <c r="O19" s="41">
        <v>16</v>
      </c>
      <c r="P19" s="34" t="s">
        <v>22</v>
      </c>
      <c r="Q19" s="34"/>
      <c r="R19" s="35"/>
      <c r="S19" s="34"/>
      <c r="T19" s="34"/>
      <c r="U19" s="34"/>
      <c r="V19" s="34"/>
      <c r="W19" s="54"/>
    </row>
    <row r="20" spans="1:23" s="36" customFormat="1" ht="30" customHeight="1" x14ac:dyDescent="0.2">
      <c r="A20" s="20">
        <v>17</v>
      </c>
      <c r="B20" s="44" t="s">
        <v>68</v>
      </c>
      <c r="C20" s="45" t="s">
        <v>69</v>
      </c>
      <c r="D20" s="46" t="s">
        <v>70</v>
      </c>
      <c r="E20" s="47">
        <v>2375000</v>
      </c>
      <c r="F20" s="48">
        <v>150000</v>
      </c>
      <c r="G20" s="52">
        <v>1119451</v>
      </c>
      <c r="H20" s="55"/>
      <c r="I20" s="51">
        <v>29894</v>
      </c>
      <c r="J20" s="40">
        <v>0</v>
      </c>
      <c r="K20" s="40">
        <v>0</v>
      </c>
      <c r="L20" s="40">
        <v>0</v>
      </c>
      <c r="M20" s="31">
        <f t="shared" si="1"/>
        <v>1299345</v>
      </c>
      <c r="N20" s="32">
        <f t="shared" si="0"/>
        <v>1075655</v>
      </c>
      <c r="O20" s="33">
        <v>17</v>
      </c>
      <c r="P20" s="34" t="s">
        <v>22</v>
      </c>
      <c r="Q20" s="34"/>
      <c r="R20" s="35"/>
      <c r="S20" s="34"/>
      <c r="T20" s="34"/>
      <c r="U20" s="34"/>
      <c r="V20" s="34"/>
    </row>
    <row r="21" spans="1:23" s="36" customFormat="1" ht="30" customHeight="1" x14ac:dyDescent="0.2">
      <c r="A21" s="37">
        <v>18</v>
      </c>
      <c r="B21" s="44" t="s">
        <v>71</v>
      </c>
      <c r="C21" s="45" t="s">
        <v>72</v>
      </c>
      <c r="D21" s="46" t="s">
        <v>73</v>
      </c>
      <c r="E21" s="47">
        <v>2375000</v>
      </c>
      <c r="F21" s="48">
        <v>150000</v>
      </c>
      <c r="G21" s="52">
        <v>1200000</v>
      </c>
      <c r="H21" s="50">
        <v>0</v>
      </c>
      <c r="I21" s="51">
        <v>29894</v>
      </c>
      <c r="J21" s="40">
        <v>0</v>
      </c>
      <c r="K21" s="40">
        <v>0</v>
      </c>
      <c r="L21" s="40">
        <v>0</v>
      </c>
      <c r="M21" s="31">
        <f t="shared" si="1"/>
        <v>1379894</v>
      </c>
      <c r="N21" s="32">
        <f t="shared" si="0"/>
        <v>995106</v>
      </c>
      <c r="O21" s="41">
        <v>18</v>
      </c>
      <c r="P21" s="34" t="s">
        <v>22</v>
      </c>
      <c r="Q21" s="34"/>
      <c r="R21" s="35"/>
      <c r="S21" s="34"/>
      <c r="T21" s="34"/>
      <c r="U21" s="34"/>
      <c r="V21" s="34"/>
    </row>
    <row r="22" spans="1:23" s="36" customFormat="1" ht="30" customHeight="1" x14ac:dyDescent="0.2">
      <c r="A22" s="20">
        <v>19</v>
      </c>
      <c r="B22" s="44" t="s">
        <v>74</v>
      </c>
      <c r="C22" s="45" t="s">
        <v>75</v>
      </c>
      <c r="D22" s="46" t="s">
        <v>76</v>
      </c>
      <c r="E22" s="47">
        <v>2375000</v>
      </c>
      <c r="F22" s="48">
        <v>150000</v>
      </c>
      <c r="G22" s="53">
        <v>0</v>
      </c>
      <c r="H22" s="50">
        <v>0</v>
      </c>
      <c r="I22" s="51">
        <v>29894</v>
      </c>
      <c r="J22" s="40">
        <v>0</v>
      </c>
      <c r="K22" s="40">
        <v>0</v>
      </c>
      <c r="L22" s="40">
        <v>0</v>
      </c>
      <c r="M22" s="31">
        <f t="shared" si="1"/>
        <v>179894</v>
      </c>
      <c r="N22" s="32">
        <f t="shared" si="0"/>
        <v>2195106</v>
      </c>
      <c r="O22" s="33">
        <v>19</v>
      </c>
      <c r="P22" s="34" t="s">
        <v>22</v>
      </c>
      <c r="Q22" s="34"/>
      <c r="R22" s="35"/>
      <c r="S22" s="34"/>
      <c r="T22" s="34"/>
      <c r="U22" s="34"/>
      <c r="V22" s="34"/>
    </row>
    <row r="23" spans="1:23" s="36" customFormat="1" ht="30" customHeight="1" x14ac:dyDescent="0.2">
      <c r="A23" s="37">
        <v>20</v>
      </c>
      <c r="B23" s="44" t="s">
        <v>77</v>
      </c>
      <c r="C23" s="45" t="s">
        <v>78</v>
      </c>
      <c r="D23" s="46" t="s">
        <v>79</v>
      </c>
      <c r="E23" s="47">
        <v>2375000</v>
      </c>
      <c r="F23" s="48">
        <v>0</v>
      </c>
      <c r="G23" s="53">
        <v>0</v>
      </c>
      <c r="H23" s="50">
        <v>0</v>
      </c>
      <c r="I23" s="51">
        <v>29894</v>
      </c>
      <c r="J23" s="40">
        <v>0</v>
      </c>
      <c r="K23" s="40">
        <v>0</v>
      </c>
      <c r="L23" s="40">
        <v>0</v>
      </c>
      <c r="M23" s="31">
        <f t="shared" si="1"/>
        <v>29894</v>
      </c>
      <c r="N23" s="32">
        <f t="shared" si="0"/>
        <v>2345106</v>
      </c>
      <c r="O23" s="41">
        <v>20</v>
      </c>
      <c r="P23" s="34" t="s">
        <v>22</v>
      </c>
      <c r="Q23" s="34"/>
      <c r="R23" s="35"/>
      <c r="S23" s="34"/>
      <c r="T23" s="34"/>
      <c r="U23" s="34"/>
      <c r="V23" s="34"/>
    </row>
    <row r="24" spans="1:23" s="36" customFormat="1" ht="30" customHeight="1" x14ac:dyDescent="0.2">
      <c r="A24" s="20">
        <v>21</v>
      </c>
      <c r="B24" s="44" t="s">
        <v>80</v>
      </c>
      <c r="C24" s="45" t="s">
        <v>81</v>
      </c>
      <c r="D24" s="46" t="s">
        <v>82</v>
      </c>
      <c r="E24" s="47">
        <v>2500000</v>
      </c>
      <c r="F24" s="48">
        <v>0</v>
      </c>
      <c r="G24" s="53">
        <v>0</v>
      </c>
      <c r="H24" s="50">
        <v>0</v>
      </c>
      <c r="I24" s="51">
        <v>29894</v>
      </c>
      <c r="J24" s="40">
        <v>0</v>
      </c>
      <c r="K24" s="40">
        <v>0</v>
      </c>
      <c r="L24" s="40">
        <v>0</v>
      </c>
      <c r="M24" s="31">
        <f t="shared" si="1"/>
        <v>29894</v>
      </c>
      <c r="N24" s="32">
        <f t="shared" si="0"/>
        <v>2470106</v>
      </c>
      <c r="O24" s="33">
        <v>21</v>
      </c>
      <c r="P24" s="34" t="s">
        <v>22</v>
      </c>
      <c r="Q24" s="34"/>
      <c r="R24" s="35"/>
      <c r="S24" s="34"/>
      <c r="T24" s="34"/>
      <c r="U24" s="34"/>
      <c r="V24" s="34"/>
    </row>
    <row r="25" spans="1:23" ht="30" customHeight="1" x14ac:dyDescent="0.3">
      <c r="A25" s="56">
        <v>22</v>
      </c>
      <c r="B25" s="57" t="s">
        <v>83</v>
      </c>
      <c r="C25" s="58" t="s">
        <v>84</v>
      </c>
      <c r="D25" s="59" t="s">
        <v>85</v>
      </c>
      <c r="E25" s="60">
        <v>2250000</v>
      </c>
      <c r="F25" s="61">
        <v>150000</v>
      </c>
      <c r="G25" s="62">
        <v>908128</v>
      </c>
      <c r="H25" s="63">
        <v>0</v>
      </c>
      <c r="I25" s="64">
        <v>29894</v>
      </c>
      <c r="J25" s="65">
        <v>0</v>
      </c>
      <c r="K25" s="65">
        <v>0</v>
      </c>
      <c r="L25" s="65">
        <v>0</v>
      </c>
      <c r="M25" s="66">
        <f t="shared" si="1"/>
        <v>1088022</v>
      </c>
      <c r="N25" s="67">
        <f t="shared" si="0"/>
        <v>1161978</v>
      </c>
      <c r="O25" s="68">
        <v>22</v>
      </c>
      <c r="P25" s="69" t="s">
        <v>22</v>
      </c>
      <c r="R25" s="70"/>
    </row>
    <row r="26" spans="1:23" ht="30" customHeight="1" x14ac:dyDescent="0.3">
      <c r="A26" s="72">
        <v>23</v>
      </c>
      <c r="B26" s="73" t="s">
        <v>86</v>
      </c>
      <c r="C26" s="74" t="s">
        <v>87</v>
      </c>
      <c r="D26" s="59" t="s">
        <v>88</v>
      </c>
      <c r="E26" s="60">
        <v>2500000</v>
      </c>
      <c r="F26" s="61">
        <v>0</v>
      </c>
      <c r="G26" s="75">
        <v>0</v>
      </c>
      <c r="H26" s="63">
        <v>0</v>
      </c>
      <c r="I26" s="76">
        <v>59788</v>
      </c>
      <c r="J26" s="65">
        <v>0</v>
      </c>
      <c r="K26" s="65">
        <v>0</v>
      </c>
      <c r="L26" s="65">
        <v>0</v>
      </c>
      <c r="M26" s="66">
        <f t="shared" si="1"/>
        <v>59788</v>
      </c>
      <c r="N26" s="67">
        <f t="shared" si="0"/>
        <v>2440212</v>
      </c>
      <c r="O26" s="77">
        <v>23</v>
      </c>
      <c r="P26" s="69" t="s">
        <v>22</v>
      </c>
      <c r="R26" s="70"/>
    </row>
    <row r="27" spans="1:23" ht="30" customHeight="1" x14ac:dyDescent="0.3">
      <c r="A27" s="56">
        <v>24</v>
      </c>
      <c r="B27" s="57" t="s">
        <v>89</v>
      </c>
      <c r="C27" s="58" t="s">
        <v>90</v>
      </c>
      <c r="D27" s="59" t="s">
        <v>91</v>
      </c>
      <c r="E27" s="60">
        <v>2375000</v>
      </c>
      <c r="F27" s="61">
        <v>150000</v>
      </c>
      <c r="G27" s="62">
        <v>266667</v>
      </c>
      <c r="H27" s="63">
        <v>0</v>
      </c>
      <c r="I27" s="64">
        <v>29894</v>
      </c>
      <c r="J27" s="65">
        <v>0</v>
      </c>
      <c r="K27" s="65">
        <v>0</v>
      </c>
      <c r="L27" s="65">
        <v>0</v>
      </c>
      <c r="M27" s="66">
        <f t="shared" si="1"/>
        <v>446561</v>
      </c>
      <c r="N27" s="67">
        <f t="shared" si="0"/>
        <v>1928439</v>
      </c>
      <c r="O27" s="68">
        <v>24</v>
      </c>
      <c r="P27" s="69" t="s">
        <v>22</v>
      </c>
      <c r="R27" s="70"/>
    </row>
    <row r="28" spans="1:23" ht="30" customHeight="1" x14ac:dyDescent="0.3">
      <c r="A28" s="72">
        <v>25</v>
      </c>
      <c r="B28" s="57" t="s">
        <v>92</v>
      </c>
      <c r="C28" s="58" t="s">
        <v>93</v>
      </c>
      <c r="D28" s="59" t="s">
        <v>94</v>
      </c>
      <c r="E28" s="60">
        <v>2375000</v>
      </c>
      <c r="F28" s="61">
        <v>150000</v>
      </c>
      <c r="G28" s="62">
        <v>0</v>
      </c>
      <c r="H28" s="63">
        <v>0</v>
      </c>
      <c r="I28" s="64">
        <v>29894</v>
      </c>
      <c r="J28" s="65">
        <v>0</v>
      </c>
      <c r="K28" s="65">
        <v>0</v>
      </c>
      <c r="L28" s="65">
        <v>0</v>
      </c>
      <c r="M28" s="66">
        <f t="shared" si="1"/>
        <v>179894</v>
      </c>
      <c r="N28" s="67">
        <f t="shared" si="0"/>
        <v>2195106</v>
      </c>
      <c r="O28" s="77">
        <v>25</v>
      </c>
      <c r="P28" s="69" t="s">
        <v>22</v>
      </c>
      <c r="R28" s="70"/>
    </row>
    <row r="29" spans="1:23" ht="30" customHeight="1" x14ac:dyDescent="0.3">
      <c r="A29" s="56">
        <v>26</v>
      </c>
      <c r="B29" s="57" t="s">
        <v>95</v>
      </c>
      <c r="C29" s="58" t="s">
        <v>96</v>
      </c>
      <c r="D29" s="59" t="s">
        <v>97</v>
      </c>
      <c r="E29" s="60">
        <v>2375000</v>
      </c>
      <c r="F29" s="61">
        <v>150000</v>
      </c>
      <c r="G29" s="75">
        <v>0</v>
      </c>
      <c r="H29" s="63">
        <v>0</v>
      </c>
      <c r="I29" s="64">
        <v>29894</v>
      </c>
      <c r="J29" s="65">
        <v>0</v>
      </c>
      <c r="K29" s="65">
        <v>0</v>
      </c>
      <c r="L29" s="65">
        <v>0</v>
      </c>
      <c r="M29" s="66">
        <f t="shared" si="1"/>
        <v>179894</v>
      </c>
      <c r="N29" s="67">
        <f t="shared" si="0"/>
        <v>2195106</v>
      </c>
      <c r="O29" s="68">
        <v>26</v>
      </c>
      <c r="P29" s="69" t="s">
        <v>22</v>
      </c>
      <c r="R29" s="70"/>
    </row>
    <row r="30" spans="1:23" ht="30" customHeight="1" x14ac:dyDescent="0.3">
      <c r="A30" s="72">
        <v>27</v>
      </c>
      <c r="B30" s="57" t="s">
        <v>98</v>
      </c>
      <c r="C30" s="58" t="s">
        <v>99</v>
      </c>
      <c r="D30" s="59" t="s">
        <v>100</v>
      </c>
      <c r="E30" s="60">
        <v>2375000</v>
      </c>
      <c r="F30" s="61">
        <v>0</v>
      </c>
      <c r="G30" s="75">
        <v>0</v>
      </c>
      <c r="H30" s="63">
        <v>0</v>
      </c>
      <c r="I30" s="64">
        <v>29894</v>
      </c>
      <c r="J30" s="65">
        <v>0</v>
      </c>
      <c r="K30" s="65">
        <v>0</v>
      </c>
      <c r="L30" s="65">
        <v>0</v>
      </c>
      <c r="M30" s="66">
        <f t="shared" si="1"/>
        <v>29894</v>
      </c>
      <c r="N30" s="67">
        <f t="shared" si="0"/>
        <v>2345106</v>
      </c>
      <c r="O30" s="77">
        <v>27</v>
      </c>
      <c r="P30" s="69" t="s">
        <v>22</v>
      </c>
      <c r="R30" s="70"/>
    </row>
    <row r="31" spans="1:23" ht="30" customHeight="1" x14ac:dyDescent="0.3">
      <c r="A31" s="56">
        <v>28</v>
      </c>
      <c r="B31" s="57" t="s">
        <v>101</v>
      </c>
      <c r="C31" s="58" t="s">
        <v>102</v>
      </c>
      <c r="D31" s="59" t="s">
        <v>103</v>
      </c>
      <c r="E31" s="60">
        <v>2375000</v>
      </c>
      <c r="F31" s="61">
        <v>0</v>
      </c>
      <c r="G31" s="75">
        <v>0</v>
      </c>
      <c r="H31" s="63">
        <v>0</v>
      </c>
      <c r="I31" s="64">
        <v>29894</v>
      </c>
      <c r="J31" s="65">
        <v>0</v>
      </c>
      <c r="K31" s="65">
        <v>0</v>
      </c>
      <c r="L31" s="65">
        <v>0</v>
      </c>
      <c r="M31" s="66">
        <f t="shared" si="1"/>
        <v>29894</v>
      </c>
      <c r="N31" s="67">
        <f t="shared" si="0"/>
        <v>2345106</v>
      </c>
      <c r="O31" s="68">
        <v>28</v>
      </c>
      <c r="P31" s="69" t="s">
        <v>22</v>
      </c>
      <c r="R31" s="70"/>
    </row>
    <row r="32" spans="1:23" ht="30" customHeight="1" x14ac:dyDescent="0.3">
      <c r="A32" s="72">
        <v>29</v>
      </c>
      <c r="B32" s="57" t="s">
        <v>104</v>
      </c>
      <c r="C32" s="58" t="s">
        <v>105</v>
      </c>
      <c r="D32" s="59" t="s">
        <v>106</v>
      </c>
      <c r="E32" s="60">
        <v>2375000</v>
      </c>
      <c r="F32" s="61">
        <v>150000</v>
      </c>
      <c r="G32" s="75">
        <v>0</v>
      </c>
      <c r="H32" s="63">
        <v>0</v>
      </c>
      <c r="I32" s="64">
        <v>29894</v>
      </c>
      <c r="J32" s="65">
        <v>0</v>
      </c>
      <c r="K32" s="65">
        <v>0</v>
      </c>
      <c r="L32" s="65">
        <v>0</v>
      </c>
      <c r="M32" s="66">
        <f t="shared" si="1"/>
        <v>179894</v>
      </c>
      <c r="N32" s="67">
        <f t="shared" si="0"/>
        <v>2195106</v>
      </c>
      <c r="O32" s="77">
        <v>29</v>
      </c>
      <c r="P32" s="69" t="s">
        <v>22</v>
      </c>
      <c r="R32" s="70"/>
    </row>
    <row r="33" spans="1:18" ht="30" customHeight="1" x14ac:dyDescent="0.3">
      <c r="A33" s="56">
        <v>30</v>
      </c>
      <c r="B33" s="57" t="s">
        <v>107</v>
      </c>
      <c r="C33" s="58" t="s">
        <v>108</v>
      </c>
      <c r="D33" s="59" t="s">
        <v>109</v>
      </c>
      <c r="E33" s="60">
        <v>2375000</v>
      </c>
      <c r="F33" s="61">
        <v>0</v>
      </c>
      <c r="G33" s="75">
        <v>0</v>
      </c>
      <c r="H33" s="63">
        <v>0</v>
      </c>
      <c r="I33" s="64">
        <v>29894</v>
      </c>
      <c r="J33" s="65">
        <v>0</v>
      </c>
      <c r="K33" s="65">
        <v>0</v>
      </c>
      <c r="L33" s="65">
        <v>0</v>
      </c>
      <c r="M33" s="66">
        <f t="shared" si="1"/>
        <v>29894</v>
      </c>
      <c r="N33" s="67">
        <f t="shared" si="0"/>
        <v>2345106</v>
      </c>
      <c r="O33" s="68">
        <v>30</v>
      </c>
      <c r="P33" s="69" t="s">
        <v>22</v>
      </c>
      <c r="R33" s="70"/>
    </row>
    <row r="34" spans="1:18" ht="18.75" x14ac:dyDescent="0.3">
      <c r="A34" s="72">
        <v>31</v>
      </c>
      <c r="B34" s="57" t="s">
        <v>110</v>
      </c>
      <c r="C34" s="58" t="s">
        <v>111</v>
      </c>
      <c r="D34" s="59" t="s">
        <v>112</v>
      </c>
      <c r="E34" s="60">
        <v>2375000</v>
      </c>
      <c r="F34" s="61">
        <v>150000</v>
      </c>
      <c r="G34" s="62">
        <v>1451780</v>
      </c>
      <c r="H34" s="63">
        <v>0</v>
      </c>
      <c r="I34" s="64">
        <v>29894</v>
      </c>
      <c r="J34" s="65">
        <v>0</v>
      </c>
      <c r="K34" s="65">
        <v>0</v>
      </c>
      <c r="L34" s="65">
        <v>0</v>
      </c>
      <c r="M34" s="66">
        <f t="shared" si="1"/>
        <v>1631674</v>
      </c>
      <c r="N34" s="67">
        <f t="shared" si="0"/>
        <v>743326</v>
      </c>
      <c r="O34" s="77">
        <v>31</v>
      </c>
      <c r="P34" s="69" t="s">
        <v>22</v>
      </c>
      <c r="R34" s="70"/>
    </row>
    <row r="35" spans="1:18" ht="18.75" x14ac:dyDescent="0.3">
      <c r="A35" s="56">
        <v>32</v>
      </c>
      <c r="B35" s="57" t="s">
        <v>113</v>
      </c>
      <c r="C35" s="58" t="s">
        <v>114</v>
      </c>
      <c r="D35" s="59" t="s">
        <v>115</v>
      </c>
      <c r="E35" s="60">
        <v>2375000</v>
      </c>
      <c r="F35" s="61">
        <v>150000</v>
      </c>
      <c r="G35" s="62">
        <v>1291667</v>
      </c>
      <c r="H35" s="63">
        <v>0</v>
      </c>
      <c r="I35" s="64">
        <v>29894</v>
      </c>
      <c r="J35" s="65">
        <v>0</v>
      </c>
      <c r="K35" s="65">
        <v>0</v>
      </c>
      <c r="L35" s="65">
        <v>0</v>
      </c>
      <c r="M35" s="66">
        <f t="shared" si="1"/>
        <v>1471561</v>
      </c>
      <c r="N35" s="67">
        <f t="shared" si="0"/>
        <v>903439</v>
      </c>
      <c r="O35" s="68">
        <v>32</v>
      </c>
      <c r="P35" s="69" t="s">
        <v>22</v>
      </c>
      <c r="R35" s="70"/>
    </row>
    <row r="36" spans="1:18" ht="18.75" x14ac:dyDescent="0.3">
      <c r="A36" s="72">
        <v>33</v>
      </c>
      <c r="B36" s="57" t="s">
        <v>116</v>
      </c>
      <c r="C36" s="58" t="s">
        <v>117</v>
      </c>
      <c r="D36" s="59" t="s">
        <v>118</v>
      </c>
      <c r="E36" s="60">
        <v>2375000</v>
      </c>
      <c r="F36" s="61">
        <v>150000</v>
      </c>
      <c r="G36" s="62">
        <v>666667</v>
      </c>
      <c r="H36" s="63">
        <v>0</v>
      </c>
      <c r="I36" s="64">
        <v>29894</v>
      </c>
      <c r="J36" s="65">
        <v>0</v>
      </c>
      <c r="K36" s="65">
        <v>0</v>
      </c>
      <c r="L36" s="65">
        <v>0</v>
      </c>
      <c r="M36" s="66">
        <f t="shared" si="1"/>
        <v>846561</v>
      </c>
      <c r="N36" s="67">
        <f t="shared" si="0"/>
        <v>1528439</v>
      </c>
      <c r="O36" s="77">
        <v>33</v>
      </c>
      <c r="P36" s="69" t="s">
        <v>22</v>
      </c>
      <c r="R36" s="70"/>
    </row>
    <row r="37" spans="1:18" ht="18.75" x14ac:dyDescent="0.3">
      <c r="A37" s="56">
        <v>34</v>
      </c>
      <c r="B37" s="57" t="s">
        <v>119</v>
      </c>
      <c r="C37" s="58" t="s">
        <v>120</v>
      </c>
      <c r="D37" s="59" t="s">
        <v>121</v>
      </c>
      <c r="E37" s="60">
        <v>2250000</v>
      </c>
      <c r="F37" s="61">
        <v>150000</v>
      </c>
      <c r="G37" s="75">
        <v>0</v>
      </c>
      <c r="H37" s="63">
        <v>0</v>
      </c>
      <c r="I37" s="64">
        <v>29894</v>
      </c>
      <c r="J37" s="65">
        <v>0</v>
      </c>
      <c r="K37" s="65">
        <v>0</v>
      </c>
      <c r="L37" s="65">
        <v>0</v>
      </c>
      <c r="M37" s="66">
        <f t="shared" si="1"/>
        <v>179894</v>
      </c>
      <c r="N37" s="67">
        <f t="shared" si="0"/>
        <v>2070106</v>
      </c>
      <c r="O37" s="68">
        <v>34</v>
      </c>
      <c r="P37" s="69" t="s">
        <v>22</v>
      </c>
      <c r="R37" s="70"/>
    </row>
    <row r="38" spans="1:18" ht="18.75" x14ac:dyDescent="0.3">
      <c r="A38" s="72">
        <v>35</v>
      </c>
      <c r="B38" s="57" t="s">
        <v>122</v>
      </c>
      <c r="C38" s="58" t="s">
        <v>123</v>
      </c>
      <c r="D38" s="59" t="s">
        <v>124</v>
      </c>
      <c r="E38" s="60">
        <v>2250000</v>
      </c>
      <c r="F38" s="61">
        <v>150000</v>
      </c>
      <c r="G38" s="62">
        <v>377778</v>
      </c>
      <c r="H38" s="63">
        <v>0</v>
      </c>
      <c r="I38" s="64">
        <v>29894</v>
      </c>
      <c r="J38" s="65">
        <v>0</v>
      </c>
      <c r="K38" s="65">
        <v>0</v>
      </c>
      <c r="L38" s="65">
        <v>0</v>
      </c>
      <c r="M38" s="66">
        <f t="shared" si="1"/>
        <v>557672</v>
      </c>
      <c r="N38" s="67">
        <f t="shared" si="0"/>
        <v>1692328</v>
      </c>
      <c r="O38" s="77">
        <v>35</v>
      </c>
      <c r="P38" s="69" t="s">
        <v>22</v>
      </c>
      <c r="R38" s="70"/>
    </row>
    <row r="39" spans="1:18" ht="18.75" x14ac:dyDescent="0.3">
      <c r="A39" s="56">
        <v>36</v>
      </c>
      <c r="B39" s="57" t="s">
        <v>125</v>
      </c>
      <c r="C39" s="58" t="s">
        <v>126</v>
      </c>
      <c r="D39" s="59" t="s">
        <v>127</v>
      </c>
      <c r="E39" s="60">
        <v>2375000</v>
      </c>
      <c r="F39" s="61">
        <v>0</v>
      </c>
      <c r="G39" s="75">
        <v>0</v>
      </c>
      <c r="H39" s="63">
        <v>0</v>
      </c>
      <c r="I39" s="64">
        <v>29894</v>
      </c>
      <c r="J39" s="65">
        <v>0</v>
      </c>
      <c r="K39" s="65">
        <v>0</v>
      </c>
      <c r="L39" s="65">
        <v>0</v>
      </c>
      <c r="M39" s="66">
        <f t="shared" si="1"/>
        <v>29894</v>
      </c>
      <c r="N39" s="67">
        <f t="shared" si="0"/>
        <v>2345106</v>
      </c>
      <c r="O39" s="68">
        <v>36</v>
      </c>
      <c r="P39" s="69" t="s">
        <v>22</v>
      </c>
      <c r="R39" s="70"/>
    </row>
    <row r="40" spans="1:18" ht="18.75" x14ac:dyDescent="0.3">
      <c r="A40" s="72">
        <v>37</v>
      </c>
      <c r="B40" s="57" t="s">
        <v>128</v>
      </c>
      <c r="C40" s="58" t="s">
        <v>129</v>
      </c>
      <c r="D40" s="59" t="s">
        <v>130</v>
      </c>
      <c r="E40" s="60">
        <v>2375000</v>
      </c>
      <c r="F40" s="61">
        <v>0</v>
      </c>
      <c r="G40" s="75">
        <v>0</v>
      </c>
      <c r="H40" s="63">
        <v>0</v>
      </c>
      <c r="I40" s="64">
        <v>29894</v>
      </c>
      <c r="J40" s="65">
        <v>0</v>
      </c>
      <c r="K40" s="65">
        <v>0</v>
      </c>
      <c r="L40" s="65">
        <v>0</v>
      </c>
      <c r="M40" s="66">
        <f t="shared" si="1"/>
        <v>29894</v>
      </c>
      <c r="N40" s="67">
        <f t="shared" si="0"/>
        <v>2345106</v>
      </c>
      <c r="O40" s="77">
        <v>37</v>
      </c>
      <c r="P40" s="69" t="s">
        <v>22</v>
      </c>
      <c r="R40" s="70"/>
    </row>
    <row r="41" spans="1:18" ht="18.75" x14ac:dyDescent="0.3">
      <c r="A41" s="56">
        <v>38</v>
      </c>
      <c r="B41" s="57" t="s">
        <v>131</v>
      </c>
      <c r="C41" s="58" t="s">
        <v>132</v>
      </c>
      <c r="D41" s="59" t="s">
        <v>133</v>
      </c>
      <c r="E41" s="60">
        <v>2450000</v>
      </c>
      <c r="F41" s="61">
        <v>150000</v>
      </c>
      <c r="G41" s="75">
        <v>0</v>
      </c>
      <c r="H41" s="63">
        <v>0</v>
      </c>
      <c r="I41" s="64">
        <v>29894</v>
      </c>
      <c r="J41" s="65">
        <v>0</v>
      </c>
      <c r="K41" s="65">
        <v>0</v>
      </c>
      <c r="L41" s="65">
        <v>0</v>
      </c>
      <c r="M41" s="66">
        <f t="shared" si="1"/>
        <v>179894</v>
      </c>
      <c r="N41" s="67">
        <f t="shared" si="0"/>
        <v>2270106</v>
      </c>
      <c r="O41" s="68">
        <v>38</v>
      </c>
      <c r="P41" s="69" t="s">
        <v>22</v>
      </c>
      <c r="R41" s="70"/>
    </row>
    <row r="42" spans="1:18" ht="18.75" x14ac:dyDescent="0.3">
      <c r="A42" s="72">
        <v>39</v>
      </c>
      <c r="B42" s="57" t="s">
        <v>134</v>
      </c>
      <c r="C42" s="58" t="s">
        <v>135</v>
      </c>
      <c r="D42" s="59" t="s">
        <v>136</v>
      </c>
      <c r="E42" s="60">
        <v>2200000</v>
      </c>
      <c r="F42" s="61">
        <v>150000</v>
      </c>
      <c r="G42" s="62">
        <v>944500</v>
      </c>
      <c r="H42" s="63">
        <v>0</v>
      </c>
      <c r="I42" s="64">
        <v>29894</v>
      </c>
      <c r="J42" s="65">
        <v>0</v>
      </c>
      <c r="K42" s="65">
        <v>0</v>
      </c>
      <c r="L42" s="65">
        <v>0</v>
      </c>
      <c r="M42" s="66">
        <f t="shared" si="1"/>
        <v>1124394</v>
      </c>
      <c r="N42" s="67">
        <f t="shared" si="0"/>
        <v>1075606</v>
      </c>
      <c r="O42" s="77">
        <v>39</v>
      </c>
      <c r="P42" s="69" t="s">
        <v>22</v>
      </c>
      <c r="R42" s="70"/>
    </row>
    <row r="43" spans="1:18" ht="18.75" x14ac:dyDescent="0.3">
      <c r="A43" s="56">
        <v>40</v>
      </c>
      <c r="B43" s="57" t="s">
        <v>137</v>
      </c>
      <c r="C43" s="58" t="s">
        <v>138</v>
      </c>
      <c r="D43" s="59" t="s">
        <v>139</v>
      </c>
      <c r="E43" s="60">
        <v>2325000</v>
      </c>
      <c r="F43" s="61">
        <v>150000</v>
      </c>
      <c r="G43" s="62">
        <v>516700</v>
      </c>
      <c r="H43" s="63">
        <v>0</v>
      </c>
      <c r="I43" s="64">
        <v>29894</v>
      </c>
      <c r="J43" s="65">
        <v>0</v>
      </c>
      <c r="K43" s="65">
        <v>0</v>
      </c>
      <c r="L43" s="65">
        <v>0</v>
      </c>
      <c r="M43" s="66">
        <f t="shared" si="1"/>
        <v>696594</v>
      </c>
      <c r="N43" s="67">
        <f t="shared" si="0"/>
        <v>1628406</v>
      </c>
      <c r="O43" s="68">
        <v>40</v>
      </c>
      <c r="P43" s="69" t="s">
        <v>22</v>
      </c>
      <c r="R43" s="70"/>
    </row>
    <row r="44" spans="1:18" ht="18.75" x14ac:dyDescent="0.3">
      <c r="A44" s="72">
        <v>41</v>
      </c>
      <c r="B44" s="57" t="s">
        <v>140</v>
      </c>
      <c r="C44" s="58" t="s">
        <v>141</v>
      </c>
      <c r="D44" s="59" t="s">
        <v>142</v>
      </c>
      <c r="E44" s="60">
        <v>2450000</v>
      </c>
      <c r="F44" s="61">
        <v>0</v>
      </c>
      <c r="G44" s="75">
        <v>0</v>
      </c>
      <c r="H44" s="63">
        <v>0</v>
      </c>
      <c r="I44" s="64">
        <v>29894</v>
      </c>
      <c r="J44" s="65">
        <v>0</v>
      </c>
      <c r="K44" s="65">
        <v>0</v>
      </c>
      <c r="L44" s="65">
        <v>0</v>
      </c>
      <c r="M44" s="66">
        <f t="shared" si="1"/>
        <v>29894</v>
      </c>
      <c r="N44" s="67">
        <f t="shared" si="0"/>
        <v>2420106</v>
      </c>
      <c r="O44" s="77">
        <v>41</v>
      </c>
      <c r="P44" s="69" t="s">
        <v>22</v>
      </c>
      <c r="R44" s="70"/>
    </row>
    <row r="45" spans="1:18" ht="18.75" x14ac:dyDescent="0.3">
      <c r="A45" s="56">
        <v>42</v>
      </c>
      <c r="B45" s="57" t="s">
        <v>143</v>
      </c>
      <c r="C45" s="58" t="s">
        <v>144</v>
      </c>
      <c r="D45" s="59" t="s">
        <v>145</v>
      </c>
      <c r="E45" s="60">
        <v>2425000</v>
      </c>
      <c r="F45" s="61">
        <v>150000</v>
      </c>
      <c r="G45" s="62">
        <v>1151000</v>
      </c>
      <c r="H45" s="63">
        <v>0</v>
      </c>
      <c r="I45" s="64">
        <v>29894</v>
      </c>
      <c r="J45" s="65">
        <v>0</v>
      </c>
      <c r="K45" s="65">
        <v>0</v>
      </c>
      <c r="L45" s="65">
        <v>0</v>
      </c>
      <c r="M45" s="66">
        <f t="shared" si="1"/>
        <v>1330894</v>
      </c>
      <c r="N45" s="67">
        <f t="shared" si="0"/>
        <v>1094106</v>
      </c>
      <c r="O45" s="68">
        <v>42</v>
      </c>
      <c r="P45" s="69" t="s">
        <v>22</v>
      </c>
      <c r="R45" s="70"/>
    </row>
    <row r="46" spans="1:18" ht="18.75" x14ac:dyDescent="0.3">
      <c r="A46" s="72">
        <v>43</v>
      </c>
      <c r="B46" s="57" t="s">
        <v>146</v>
      </c>
      <c r="C46" s="58" t="s">
        <v>147</v>
      </c>
      <c r="D46" s="59" t="s">
        <v>148</v>
      </c>
      <c r="E46" s="60">
        <v>2450000</v>
      </c>
      <c r="F46" s="61">
        <v>150000</v>
      </c>
      <c r="G46" s="75">
        <v>0</v>
      </c>
      <c r="H46" s="63">
        <v>0</v>
      </c>
      <c r="I46" s="64">
        <v>29894</v>
      </c>
      <c r="J46" s="65">
        <v>0</v>
      </c>
      <c r="K46" s="65">
        <v>0</v>
      </c>
      <c r="L46" s="65">
        <v>0</v>
      </c>
      <c r="M46" s="66">
        <f t="shared" si="1"/>
        <v>179894</v>
      </c>
      <c r="N46" s="67">
        <f t="shared" si="0"/>
        <v>2270106</v>
      </c>
      <c r="O46" s="77">
        <v>43</v>
      </c>
      <c r="P46" s="69" t="s">
        <v>22</v>
      </c>
      <c r="R46" s="70"/>
    </row>
    <row r="47" spans="1:18" ht="18.75" x14ac:dyDescent="0.3">
      <c r="A47" s="56">
        <v>44</v>
      </c>
      <c r="B47" s="57" t="s">
        <v>149</v>
      </c>
      <c r="C47" s="58" t="s">
        <v>150</v>
      </c>
      <c r="D47" s="59" t="s">
        <v>151</v>
      </c>
      <c r="E47" s="60">
        <v>2325000</v>
      </c>
      <c r="F47" s="61">
        <v>150000</v>
      </c>
      <c r="G47" s="78" t="s">
        <v>152</v>
      </c>
      <c r="H47" s="63">
        <v>0</v>
      </c>
      <c r="I47" s="64">
        <v>29894</v>
      </c>
      <c r="J47" s="65">
        <v>0</v>
      </c>
      <c r="K47" s="65">
        <v>0</v>
      </c>
      <c r="L47" s="65">
        <v>0</v>
      </c>
      <c r="M47" s="66">
        <f t="shared" si="1"/>
        <v>179894</v>
      </c>
      <c r="N47" s="67">
        <f t="shared" si="0"/>
        <v>2145106</v>
      </c>
      <c r="O47" s="68">
        <v>44</v>
      </c>
      <c r="P47" s="69" t="s">
        <v>22</v>
      </c>
      <c r="R47" s="70"/>
    </row>
    <row r="48" spans="1:18" ht="18.75" x14ac:dyDescent="0.3">
      <c r="A48" s="72">
        <v>45</v>
      </c>
      <c r="B48" s="57" t="s">
        <v>153</v>
      </c>
      <c r="C48" s="58" t="s">
        <v>154</v>
      </c>
      <c r="D48" s="59" t="s">
        <v>155</v>
      </c>
      <c r="E48" s="60">
        <v>2325000</v>
      </c>
      <c r="F48" s="61">
        <v>150000</v>
      </c>
      <c r="G48" s="75">
        <v>0</v>
      </c>
      <c r="H48" s="63">
        <v>0</v>
      </c>
      <c r="I48" s="64">
        <v>29894</v>
      </c>
      <c r="J48" s="65">
        <v>0</v>
      </c>
      <c r="K48" s="65">
        <v>0</v>
      </c>
      <c r="L48" s="65">
        <v>0</v>
      </c>
      <c r="M48" s="66">
        <f t="shared" si="1"/>
        <v>179894</v>
      </c>
      <c r="N48" s="67">
        <f t="shared" si="0"/>
        <v>2145106</v>
      </c>
      <c r="O48" s="77">
        <v>45</v>
      </c>
      <c r="P48" s="69" t="s">
        <v>22</v>
      </c>
      <c r="R48" s="70"/>
    </row>
    <row r="49" spans="1:18" ht="18.75" x14ac:dyDescent="0.3">
      <c r="A49" s="56">
        <v>46</v>
      </c>
      <c r="B49" s="57" t="s">
        <v>156</v>
      </c>
      <c r="C49" s="58" t="s">
        <v>157</v>
      </c>
      <c r="D49" s="59" t="s">
        <v>158</v>
      </c>
      <c r="E49" s="60">
        <v>2450000</v>
      </c>
      <c r="F49" s="61">
        <v>0</v>
      </c>
      <c r="G49" s="75">
        <v>0</v>
      </c>
      <c r="H49" s="63">
        <v>0</v>
      </c>
      <c r="I49" s="64">
        <v>29894</v>
      </c>
      <c r="J49" s="65">
        <v>0</v>
      </c>
      <c r="K49" s="65">
        <v>0</v>
      </c>
      <c r="L49" s="65">
        <v>0</v>
      </c>
      <c r="M49" s="66">
        <f t="shared" si="1"/>
        <v>29894</v>
      </c>
      <c r="N49" s="67">
        <f t="shared" si="0"/>
        <v>2420106</v>
      </c>
      <c r="O49" s="68">
        <v>46</v>
      </c>
      <c r="P49" s="69" t="s">
        <v>22</v>
      </c>
      <c r="R49" s="70"/>
    </row>
    <row r="50" spans="1:18" ht="18.75" x14ac:dyDescent="0.3">
      <c r="A50" s="72">
        <v>47</v>
      </c>
      <c r="B50" s="57" t="s">
        <v>159</v>
      </c>
      <c r="C50" s="58" t="s">
        <v>160</v>
      </c>
      <c r="D50" s="59" t="s">
        <v>161</v>
      </c>
      <c r="E50" s="60">
        <v>2200000</v>
      </c>
      <c r="F50" s="61">
        <v>150000</v>
      </c>
      <c r="G50" s="62">
        <v>1133333</v>
      </c>
      <c r="H50" s="63">
        <v>0</v>
      </c>
      <c r="I50" s="64">
        <v>29894</v>
      </c>
      <c r="J50" s="65">
        <v>0</v>
      </c>
      <c r="K50" s="65">
        <v>0</v>
      </c>
      <c r="L50" s="65">
        <v>0</v>
      </c>
      <c r="M50" s="66">
        <f t="shared" si="1"/>
        <v>1313227</v>
      </c>
      <c r="N50" s="67">
        <f t="shared" si="0"/>
        <v>886773</v>
      </c>
      <c r="O50" s="77">
        <v>47</v>
      </c>
      <c r="P50" s="69" t="s">
        <v>22</v>
      </c>
      <c r="R50" s="70"/>
    </row>
    <row r="51" spans="1:18" ht="18.75" x14ac:dyDescent="0.3">
      <c r="A51" s="56">
        <v>48</v>
      </c>
      <c r="B51" s="57" t="s">
        <v>162</v>
      </c>
      <c r="C51" s="58" t="s">
        <v>163</v>
      </c>
      <c r="D51" s="59" t="s">
        <v>164</v>
      </c>
      <c r="E51" s="60">
        <v>2450000</v>
      </c>
      <c r="F51" s="61">
        <v>150000</v>
      </c>
      <c r="G51" s="75">
        <v>0</v>
      </c>
      <c r="H51" s="63">
        <v>0</v>
      </c>
      <c r="I51" s="64">
        <v>29894</v>
      </c>
      <c r="J51" s="65">
        <v>0</v>
      </c>
      <c r="K51" s="65">
        <v>0</v>
      </c>
      <c r="L51" s="65">
        <v>0</v>
      </c>
      <c r="M51" s="66">
        <f t="shared" si="1"/>
        <v>179894</v>
      </c>
      <c r="N51" s="67">
        <f t="shared" si="0"/>
        <v>2270106</v>
      </c>
      <c r="O51" s="68">
        <v>48</v>
      </c>
      <c r="P51" s="69" t="s">
        <v>22</v>
      </c>
      <c r="R51" s="70"/>
    </row>
    <row r="52" spans="1:18" ht="18.75" x14ac:dyDescent="0.3">
      <c r="A52" s="72">
        <v>49</v>
      </c>
      <c r="B52" s="57" t="s">
        <v>165</v>
      </c>
      <c r="C52" s="58" t="s">
        <v>166</v>
      </c>
      <c r="D52" s="59" t="s">
        <v>167</v>
      </c>
      <c r="E52" s="60">
        <v>2325000</v>
      </c>
      <c r="F52" s="61">
        <v>150000</v>
      </c>
      <c r="G52" s="75">
        <v>0</v>
      </c>
      <c r="H52" s="63">
        <v>0</v>
      </c>
      <c r="I52" s="64">
        <v>29894</v>
      </c>
      <c r="J52" s="65">
        <v>0</v>
      </c>
      <c r="K52" s="65">
        <v>0</v>
      </c>
      <c r="L52" s="65">
        <v>0</v>
      </c>
      <c r="M52" s="66">
        <f t="shared" si="1"/>
        <v>179894</v>
      </c>
      <c r="N52" s="67">
        <f t="shared" si="0"/>
        <v>2145106</v>
      </c>
      <c r="O52" s="77">
        <v>49</v>
      </c>
      <c r="P52" s="69" t="s">
        <v>22</v>
      </c>
      <c r="R52" s="70"/>
    </row>
    <row r="53" spans="1:18" ht="18.75" x14ac:dyDescent="0.3">
      <c r="A53" s="56">
        <v>50</v>
      </c>
      <c r="B53" s="57" t="s">
        <v>168</v>
      </c>
      <c r="C53" s="58" t="s">
        <v>169</v>
      </c>
      <c r="D53" s="59" t="s">
        <v>170</v>
      </c>
      <c r="E53" s="60">
        <v>2325000</v>
      </c>
      <c r="F53" s="61">
        <v>150000</v>
      </c>
      <c r="G53" s="62">
        <v>1233333</v>
      </c>
      <c r="H53" s="63">
        <v>0</v>
      </c>
      <c r="I53" s="64">
        <v>29894</v>
      </c>
      <c r="J53" s="65">
        <v>0</v>
      </c>
      <c r="K53" s="65">
        <v>0</v>
      </c>
      <c r="L53" s="65">
        <v>0</v>
      </c>
      <c r="M53" s="66">
        <f t="shared" si="1"/>
        <v>1413227</v>
      </c>
      <c r="N53" s="67">
        <f t="shared" si="0"/>
        <v>911773</v>
      </c>
      <c r="O53" s="68">
        <v>50</v>
      </c>
      <c r="P53" s="69" t="s">
        <v>22</v>
      </c>
      <c r="R53" s="70"/>
    </row>
    <row r="54" spans="1:18" ht="18.75" x14ac:dyDescent="0.3">
      <c r="A54" s="72">
        <v>51</v>
      </c>
      <c r="B54" s="57" t="s">
        <v>171</v>
      </c>
      <c r="C54" s="58" t="s">
        <v>172</v>
      </c>
      <c r="D54" s="59" t="s">
        <v>173</v>
      </c>
      <c r="E54" s="60">
        <v>2325000</v>
      </c>
      <c r="F54" s="61">
        <v>150000</v>
      </c>
      <c r="G54" s="62">
        <v>1033333</v>
      </c>
      <c r="H54" s="63">
        <v>0</v>
      </c>
      <c r="I54" s="64">
        <v>29894</v>
      </c>
      <c r="J54" s="65">
        <v>0</v>
      </c>
      <c r="K54" s="65">
        <v>0</v>
      </c>
      <c r="L54" s="65">
        <v>0</v>
      </c>
      <c r="M54" s="66">
        <f t="shared" si="1"/>
        <v>1213227</v>
      </c>
      <c r="N54" s="67">
        <f t="shared" si="0"/>
        <v>1111773</v>
      </c>
      <c r="O54" s="77">
        <v>51</v>
      </c>
      <c r="P54" s="69" t="s">
        <v>22</v>
      </c>
      <c r="R54" s="70"/>
    </row>
    <row r="55" spans="1:18" ht="18.75" x14ac:dyDescent="0.3">
      <c r="A55" s="56">
        <v>52</v>
      </c>
      <c r="B55" s="57" t="s">
        <v>174</v>
      </c>
      <c r="C55" s="58" t="s">
        <v>175</v>
      </c>
      <c r="D55" s="59" t="s">
        <v>176</v>
      </c>
      <c r="E55" s="60">
        <v>2200000</v>
      </c>
      <c r="F55" s="61">
        <v>150000</v>
      </c>
      <c r="G55" s="75">
        <v>0</v>
      </c>
      <c r="H55" s="63">
        <v>0</v>
      </c>
      <c r="I55" s="64">
        <v>29894</v>
      </c>
      <c r="J55" s="65">
        <v>0</v>
      </c>
      <c r="K55" s="65">
        <v>0</v>
      </c>
      <c r="L55" s="65">
        <v>0</v>
      </c>
      <c r="M55" s="66">
        <f t="shared" si="1"/>
        <v>179894</v>
      </c>
      <c r="N55" s="67">
        <f t="shared" si="0"/>
        <v>2020106</v>
      </c>
      <c r="O55" s="68">
        <v>52</v>
      </c>
      <c r="P55" s="69" t="s">
        <v>22</v>
      </c>
      <c r="R55" s="70"/>
    </row>
    <row r="56" spans="1:18" ht="18.75" x14ac:dyDescent="0.3">
      <c r="A56" s="72">
        <v>53</v>
      </c>
      <c r="B56" s="57" t="s">
        <v>177</v>
      </c>
      <c r="C56" s="58" t="s">
        <v>178</v>
      </c>
      <c r="D56" s="59" t="s">
        <v>179</v>
      </c>
      <c r="E56" s="60">
        <v>2425000</v>
      </c>
      <c r="F56" s="61">
        <v>150000</v>
      </c>
      <c r="G56" s="79">
        <v>766667</v>
      </c>
      <c r="H56" s="63">
        <v>0</v>
      </c>
      <c r="I56" s="64">
        <v>29894</v>
      </c>
      <c r="J56" s="65">
        <v>0</v>
      </c>
      <c r="K56" s="65">
        <v>0</v>
      </c>
      <c r="L56" s="65">
        <v>0</v>
      </c>
      <c r="M56" s="66">
        <f t="shared" si="1"/>
        <v>946561</v>
      </c>
      <c r="N56" s="67">
        <f t="shared" si="0"/>
        <v>1478439</v>
      </c>
      <c r="O56" s="77">
        <v>53</v>
      </c>
      <c r="P56" s="69" t="s">
        <v>22</v>
      </c>
      <c r="R56" s="70"/>
    </row>
    <row r="57" spans="1:18" ht="18.75" x14ac:dyDescent="0.3">
      <c r="A57" s="56">
        <v>54</v>
      </c>
      <c r="B57" s="57" t="s">
        <v>180</v>
      </c>
      <c r="C57" s="58" t="s">
        <v>181</v>
      </c>
      <c r="D57" s="59" t="s">
        <v>182</v>
      </c>
      <c r="E57" s="60">
        <v>2325000</v>
      </c>
      <c r="F57" s="61">
        <v>0</v>
      </c>
      <c r="G57" s="75">
        <v>0</v>
      </c>
      <c r="H57" s="63">
        <v>0</v>
      </c>
      <c r="I57" s="64">
        <v>29894</v>
      </c>
      <c r="J57" s="65">
        <v>0</v>
      </c>
      <c r="K57" s="65">
        <v>0</v>
      </c>
      <c r="L57" s="65">
        <v>0</v>
      </c>
      <c r="M57" s="66">
        <f t="shared" si="1"/>
        <v>29894</v>
      </c>
      <c r="N57" s="67">
        <f t="shared" si="0"/>
        <v>2295106</v>
      </c>
      <c r="O57" s="68">
        <v>54</v>
      </c>
      <c r="P57" s="69" t="s">
        <v>22</v>
      </c>
      <c r="R57" s="70"/>
    </row>
    <row r="58" spans="1:18" ht="18.75" x14ac:dyDescent="0.3">
      <c r="A58" s="72">
        <v>55</v>
      </c>
      <c r="B58" s="80" t="s">
        <v>183</v>
      </c>
      <c r="C58" s="45" t="s">
        <v>184</v>
      </c>
      <c r="D58" s="59" t="s">
        <v>185</v>
      </c>
      <c r="E58" s="60">
        <v>2325000</v>
      </c>
      <c r="F58" s="61">
        <v>0</v>
      </c>
      <c r="G58" s="75">
        <v>0</v>
      </c>
      <c r="H58" s="63">
        <v>0</v>
      </c>
      <c r="I58" s="64">
        <v>29894</v>
      </c>
      <c r="J58" s="65">
        <v>0</v>
      </c>
      <c r="K58" s="65">
        <v>0</v>
      </c>
      <c r="L58" s="65">
        <v>0</v>
      </c>
      <c r="M58" s="66">
        <f t="shared" si="1"/>
        <v>29894</v>
      </c>
      <c r="N58" s="67">
        <f t="shared" si="0"/>
        <v>2295106</v>
      </c>
      <c r="O58" s="77">
        <v>55</v>
      </c>
      <c r="P58" s="69" t="s">
        <v>22</v>
      </c>
      <c r="R58" s="70"/>
    </row>
    <row r="59" spans="1:18" ht="18.75" x14ac:dyDescent="0.3">
      <c r="A59" s="56">
        <v>56</v>
      </c>
      <c r="B59" s="80" t="s">
        <v>186</v>
      </c>
      <c r="C59" s="45" t="s">
        <v>187</v>
      </c>
      <c r="D59" s="59" t="s">
        <v>188</v>
      </c>
      <c r="E59" s="60">
        <v>2325000</v>
      </c>
      <c r="F59" s="61">
        <v>150000</v>
      </c>
      <c r="G59" s="62">
        <v>770304</v>
      </c>
      <c r="H59" s="63">
        <v>0</v>
      </c>
      <c r="I59" s="64">
        <v>29894</v>
      </c>
      <c r="J59" s="65">
        <v>0</v>
      </c>
      <c r="K59" s="65">
        <v>0</v>
      </c>
      <c r="L59" s="65">
        <v>0</v>
      </c>
      <c r="M59" s="66">
        <f t="shared" si="1"/>
        <v>950198</v>
      </c>
      <c r="N59" s="67">
        <f t="shared" si="0"/>
        <v>1374802</v>
      </c>
      <c r="O59" s="68">
        <v>56</v>
      </c>
      <c r="P59" s="69" t="s">
        <v>22</v>
      </c>
      <c r="R59" s="70"/>
    </row>
    <row r="60" spans="1:18" ht="18.75" x14ac:dyDescent="0.3">
      <c r="A60" s="72">
        <v>57</v>
      </c>
      <c r="B60" s="80" t="s">
        <v>189</v>
      </c>
      <c r="C60" s="45" t="s">
        <v>190</v>
      </c>
      <c r="D60" s="59" t="s">
        <v>191</v>
      </c>
      <c r="E60" s="60">
        <v>2325000</v>
      </c>
      <c r="F60" s="61">
        <v>150000</v>
      </c>
      <c r="G60" s="62">
        <v>1200000</v>
      </c>
      <c r="H60" s="63">
        <v>0</v>
      </c>
      <c r="I60" s="64">
        <v>29894</v>
      </c>
      <c r="J60" s="65">
        <v>0</v>
      </c>
      <c r="K60" s="65">
        <v>0</v>
      </c>
      <c r="L60" s="65">
        <v>0</v>
      </c>
      <c r="M60" s="66">
        <f t="shared" si="1"/>
        <v>1379894</v>
      </c>
      <c r="N60" s="67">
        <f t="shared" si="0"/>
        <v>945106</v>
      </c>
      <c r="O60" s="77">
        <v>57</v>
      </c>
      <c r="P60" s="69" t="s">
        <v>22</v>
      </c>
      <c r="R60" s="70"/>
    </row>
    <row r="61" spans="1:18" ht="18.75" x14ac:dyDescent="0.3">
      <c r="A61" s="56">
        <v>58</v>
      </c>
      <c r="B61" s="81" t="s">
        <v>192</v>
      </c>
      <c r="C61" s="58" t="s">
        <v>193</v>
      </c>
      <c r="D61" s="59" t="s">
        <v>194</v>
      </c>
      <c r="E61" s="60">
        <v>2450000</v>
      </c>
      <c r="F61" s="61">
        <v>150000</v>
      </c>
      <c r="G61" s="79">
        <v>1033333</v>
      </c>
      <c r="H61" s="63">
        <v>0</v>
      </c>
      <c r="I61" s="64">
        <v>29894</v>
      </c>
      <c r="J61" s="65">
        <v>0</v>
      </c>
      <c r="K61" s="65">
        <v>0</v>
      </c>
      <c r="L61" s="65">
        <v>0</v>
      </c>
      <c r="M61" s="66">
        <f t="shared" si="1"/>
        <v>1213227</v>
      </c>
      <c r="N61" s="67">
        <f t="shared" si="0"/>
        <v>1236773</v>
      </c>
      <c r="O61" s="68">
        <v>58</v>
      </c>
      <c r="P61" s="69" t="s">
        <v>22</v>
      </c>
      <c r="R61" s="70"/>
    </row>
    <row r="62" spans="1:18" ht="18.75" x14ac:dyDescent="0.3">
      <c r="A62" s="72">
        <v>59</v>
      </c>
      <c r="B62" s="80" t="s">
        <v>195</v>
      </c>
      <c r="C62" s="45" t="s">
        <v>196</v>
      </c>
      <c r="D62" s="59" t="s">
        <v>197</v>
      </c>
      <c r="E62" s="60">
        <v>2325000</v>
      </c>
      <c r="F62" s="61">
        <v>0</v>
      </c>
      <c r="G62" s="75">
        <v>0</v>
      </c>
      <c r="H62" s="63">
        <v>0</v>
      </c>
      <c r="I62" s="64">
        <v>29894</v>
      </c>
      <c r="J62" s="65">
        <v>0</v>
      </c>
      <c r="K62" s="65">
        <v>0</v>
      </c>
      <c r="L62" s="65">
        <v>0</v>
      </c>
      <c r="M62" s="66">
        <f t="shared" si="1"/>
        <v>29894</v>
      </c>
      <c r="N62" s="67">
        <f t="shared" si="0"/>
        <v>2295106</v>
      </c>
      <c r="O62" s="77">
        <v>59</v>
      </c>
      <c r="P62" s="69" t="s">
        <v>22</v>
      </c>
      <c r="R62" s="70"/>
    </row>
    <row r="63" spans="1:18" ht="18.75" x14ac:dyDescent="0.3">
      <c r="A63" s="56">
        <v>60</v>
      </c>
      <c r="B63" s="80" t="s">
        <v>198</v>
      </c>
      <c r="C63" s="45" t="s">
        <v>199</v>
      </c>
      <c r="D63" s="59" t="s">
        <v>200</v>
      </c>
      <c r="E63" s="60">
        <v>2325000</v>
      </c>
      <c r="F63" s="61">
        <v>150000</v>
      </c>
      <c r="G63" s="62">
        <v>377778</v>
      </c>
      <c r="H63" s="63">
        <v>0</v>
      </c>
      <c r="I63" s="64">
        <v>29894</v>
      </c>
      <c r="J63" s="65">
        <v>0</v>
      </c>
      <c r="K63" s="65">
        <v>0</v>
      </c>
      <c r="L63" s="65">
        <v>0</v>
      </c>
      <c r="M63" s="66">
        <f t="shared" si="1"/>
        <v>557672</v>
      </c>
      <c r="N63" s="67">
        <f t="shared" si="0"/>
        <v>1767328</v>
      </c>
      <c r="O63" s="68">
        <v>60</v>
      </c>
      <c r="P63" s="69" t="s">
        <v>22</v>
      </c>
      <c r="Q63" s="82"/>
      <c r="R63" s="70"/>
    </row>
    <row r="64" spans="1:18" ht="18.75" x14ac:dyDescent="0.3">
      <c r="A64" s="72">
        <v>61</v>
      </c>
      <c r="B64" s="80" t="s">
        <v>201</v>
      </c>
      <c r="C64" s="45" t="s">
        <v>202</v>
      </c>
      <c r="D64" s="59" t="s">
        <v>203</v>
      </c>
      <c r="E64" s="60">
        <v>2450000</v>
      </c>
      <c r="F64" s="61">
        <v>0</v>
      </c>
      <c r="G64" s="75">
        <v>0</v>
      </c>
      <c r="H64" s="63">
        <v>0</v>
      </c>
      <c r="I64" s="64">
        <v>29894</v>
      </c>
      <c r="J64" s="65">
        <v>0</v>
      </c>
      <c r="K64" s="65">
        <v>0</v>
      </c>
      <c r="L64" s="65">
        <v>0</v>
      </c>
      <c r="M64" s="66">
        <f t="shared" si="1"/>
        <v>29894</v>
      </c>
      <c r="N64" s="67">
        <f t="shared" si="0"/>
        <v>2420106</v>
      </c>
      <c r="O64" s="77">
        <v>61</v>
      </c>
      <c r="P64" s="69" t="s">
        <v>22</v>
      </c>
      <c r="Q64" s="82"/>
      <c r="R64" s="70"/>
    </row>
    <row r="65" spans="1:18" ht="18.75" x14ac:dyDescent="0.3">
      <c r="A65" s="56">
        <v>62</v>
      </c>
      <c r="B65" s="57" t="s">
        <v>204</v>
      </c>
      <c r="C65" s="58" t="s">
        <v>205</v>
      </c>
      <c r="D65" s="83" t="s">
        <v>206</v>
      </c>
      <c r="E65" s="60">
        <v>3100000</v>
      </c>
      <c r="F65" s="61">
        <v>0</v>
      </c>
      <c r="G65" s="75">
        <v>0</v>
      </c>
      <c r="H65" s="63">
        <v>0</v>
      </c>
      <c r="I65" s="64">
        <v>31000</v>
      </c>
      <c r="J65" s="65">
        <v>0</v>
      </c>
      <c r="K65" s="65">
        <v>0</v>
      </c>
      <c r="L65" s="65">
        <v>0</v>
      </c>
      <c r="M65" s="66">
        <f t="shared" si="1"/>
        <v>31000</v>
      </c>
      <c r="N65" s="67">
        <f t="shared" si="0"/>
        <v>3069000</v>
      </c>
      <c r="O65" s="68">
        <v>62</v>
      </c>
      <c r="P65" s="69" t="s">
        <v>22</v>
      </c>
      <c r="Q65" s="82"/>
      <c r="R65" s="70"/>
    </row>
    <row r="66" spans="1:18" ht="18.75" x14ac:dyDescent="0.3">
      <c r="A66" s="72">
        <v>63</v>
      </c>
      <c r="B66" s="57" t="s">
        <v>207</v>
      </c>
      <c r="C66" s="58" t="s">
        <v>208</v>
      </c>
      <c r="D66" s="59" t="s">
        <v>209</v>
      </c>
      <c r="E66" s="60">
        <v>2525000</v>
      </c>
      <c r="F66" s="61">
        <v>0</v>
      </c>
      <c r="G66" s="75">
        <v>0</v>
      </c>
      <c r="H66" s="63">
        <v>0</v>
      </c>
      <c r="I66" s="64">
        <v>29894</v>
      </c>
      <c r="J66" s="65">
        <v>0</v>
      </c>
      <c r="K66" s="65">
        <v>0</v>
      </c>
      <c r="L66" s="65">
        <v>0</v>
      </c>
      <c r="M66" s="66">
        <f t="shared" si="1"/>
        <v>29894</v>
      </c>
      <c r="N66" s="67">
        <f t="shared" si="0"/>
        <v>2495106</v>
      </c>
      <c r="O66" s="77">
        <v>63</v>
      </c>
      <c r="P66" s="69" t="s">
        <v>22</v>
      </c>
      <c r="Q66" s="82"/>
      <c r="R66" s="70"/>
    </row>
    <row r="67" spans="1:18" s="69" customFormat="1" ht="18.75" x14ac:dyDescent="0.3">
      <c r="A67" s="56">
        <v>64</v>
      </c>
      <c r="B67" s="57" t="s">
        <v>210</v>
      </c>
      <c r="C67" s="58" t="s">
        <v>211</v>
      </c>
      <c r="D67" s="59" t="s">
        <v>212</v>
      </c>
      <c r="E67" s="60">
        <v>2525000</v>
      </c>
      <c r="F67" s="61">
        <v>150000</v>
      </c>
      <c r="G67" s="62">
        <v>1638800</v>
      </c>
      <c r="H67" s="63">
        <v>0</v>
      </c>
      <c r="I67" s="64">
        <v>29894</v>
      </c>
      <c r="J67" s="65">
        <v>0</v>
      </c>
      <c r="K67" s="65">
        <v>0</v>
      </c>
      <c r="L67" s="65">
        <v>0</v>
      </c>
      <c r="M67" s="66">
        <f t="shared" si="1"/>
        <v>1818694</v>
      </c>
      <c r="N67" s="67">
        <f t="shared" si="0"/>
        <v>706306</v>
      </c>
      <c r="O67" s="68">
        <v>64</v>
      </c>
      <c r="P67" s="69" t="s">
        <v>22</v>
      </c>
      <c r="R67" s="70"/>
    </row>
    <row r="68" spans="1:18" s="69" customFormat="1" ht="18.75" x14ac:dyDescent="0.3">
      <c r="A68" s="72">
        <v>65</v>
      </c>
      <c r="B68" s="57" t="s">
        <v>213</v>
      </c>
      <c r="C68" s="58" t="s">
        <v>214</v>
      </c>
      <c r="D68" s="46" t="s">
        <v>215</v>
      </c>
      <c r="E68" s="60">
        <v>2475000</v>
      </c>
      <c r="F68" s="61">
        <v>150000</v>
      </c>
      <c r="G68" s="62">
        <v>1866667</v>
      </c>
      <c r="H68" s="63">
        <v>0</v>
      </c>
      <c r="I68" s="64">
        <v>29894</v>
      </c>
      <c r="J68" s="65">
        <v>0</v>
      </c>
      <c r="K68" s="65">
        <v>0</v>
      </c>
      <c r="L68" s="65">
        <v>0</v>
      </c>
      <c r="M68" s="66">
        <f t="shared" si="1"/>
        <v>2046561</v>
      </c>
      <c r="N68" s="67">
        <f t="shared" ref="N68:N131" si="2">E68-M68</f>
        <v>428439</v>
      </c>
      <c r="O68" s="77">
        <v>65</v>
      </c>
      <c r="P68" s="69" t="s">
        <v>22</v>
      </c>
      <c r="R68" s="70"/>
    </row>
    <row r="69" spans="1:18" s="69" customFormat="1" ht="18.75" x14ac:dyDescent="0.3">
      <c r="A69" s="72">
        <v>66</v>
      </c>
      <c r="B69" s="80" t="s">
        <v>216</v>
      </c>
      <c r="C69" s="45" t="s">
        <v>217</v>
      </c>
      <c r="D69" s="59" t="s">
        <v>218</v>
      </c>
      <c r="E69" s="84">
        <v>2425000</v>
      </c>
      <c r="F69" s="61">
        <v>150000</v>
      </c>
      <c r="G69" s="62">
        <v>1386700</v>
      </c>
      <c r="H69" s="61">
        <v>0</v>
      </c>
      <c r="I69" s="64">
        <v>29894</v>
      </c>
      <c r="J69" s="65">
        <v>0</v>
      </c>
      <c r="K69" s="65">
        <v>0</v>
      </c>
      <c r="L69" s="65">
        <v>0</v>
      </c>
      <c r="M69" s="66">
        <f t="shared" ref="M69:M132" si="3">SUM(F69:L69)</f>
        <v>1566594</v>
      </c>
      <c r="N69" s="67">
        <f t="shared" si="2"/>
        <v>858406</v>
      </c>
      <c r="O69" s="68">
        <v>68</v>
      </c>
      <c r="P69" s="69" t="s">
        <v>22</v>
      </c>
      <c r="R69" s="70"/>
    </row>
    <row r="70" spans="1:18" s="69" customFormat="1" ht="18.75" x14ac:dyDescent="0.3">
      <c r="A70" s="56">
        <v>67</v>
      </c>
      <c r="B70" s="80" t="s">
        <v>219</v>
      </c>
      <c r="C70" s="45" t="s">
        <v>220</v>
      </c>
      <c r="D70" s="59" t="s">
        <v>221</v>
      </c>
      <c r="E70" s="84">
        <v>2425000</v>
      </c>
      <c r="F70" s="61">
        <v>150000</v>
      </c>
      <c r="G70" s="62">
        <v>0</v>
      </c>
      <c r="H70" s="61">
        <v>72000</v>
      </c>
      <c r="I70" s="64">
        <v>29894</v>
      </c>
      <c r="J70" s="65">
        <v>0</v>
      </c>
      <c r="K70" s="65">
        <v>0</v>
      </c>
      <c r="L70" s="65">
        <v>0</v>
      </c>
      <c r="M70" s="66">
        <f t="shared" si="3"/>
        <v>251894</v>
      </c>
      <c r="N70" s="67">
        <f t="shared" si="2"/>
        <v>2173106</v>
      </c>
      <c r="O70" s="77">
        <v>69</v>
      </c>
      <c r="P70" s="69" t="s">
        <v>22</v>
      </c>
      <c r="R70" s="70"/>
    </row>
    <row r="71" spans="1:18" s="69" customFormat="1" ht="18.75" x14ac:dyDescent="0.3">
      <c r="A71" s="72">
        <v>68</v>
      </c>
      <c r="B71" s="80" t="s">
        <v>222</v>
      </c>
      <c r="C71" s="45" t="s">
        <v>223</v>
      </c>
      <c r="D71" s="59" t="s">
        <v>224</v>
      </c>
      <c r="E71" s="84">
        <v>2425000</v>
      </c>
      <c r="F71" s="61">
        <v>0</v>
      </c>
      <c r="G71" s="75">
        <v>0</v>
      </c>
      <c r="H71" s="61">
        <v>72000</v>
      </c>
      <c r="I71" s="64">
        <v>29894</v>
      </c>
      <c r="J71" s="65">
        <v>0</v>
      </c>
      <c r="K71" s="65">
        <v>0</v>
      </c>
      <c r="L71" s="65">
        <v>0</v>
      </c>
      <c r="M71" s="66">
        <f t="shared" si="3"/>
        <v>101894</v>
      </c>
      <c r="N71" s="67">
        <f t="shared" si="2"/>
        <v>2323106</v>
      </c>
      <c r="O71" s="68">
        <v>70</v>
      </c>
      <c r="P71" s="69" t="s">
        <v>22</v>
      </c>
      <c r="R71" s="70"/>
    </row>
    <row r="72" spans="1:18" s="69" customFormat="1" ht="18.75" x14ac:dyDescent="0.3">
      <c r="A72" s="72">
        <v>69</v>
      </c>
      <c r="B72" s="80" t="s">
        <v>225</v>
      </c>
      <c r="C72" s="45" t="s">
        <v>226</v>
      </c>
      <c r="D72" s="46" t="s">
        <v>227</v>
      </c>
      <c r="E72" s="84">
        <v>2425000</v>
      </c>
      <c r="F72" s="61">
        <v>150000</v>
      </c>
      <c r="G72" s="62">
        <v>1291667</v>
      </c>
      <c r="H72" s="61">
        <v>72000</v>
      </c>
      <c r="I72" s="64">
        <v>29894</v>
      </c>
      <c r="J72" s="65">
        <v>0</v>
      </c>
      <c r="K72" s="65">
        <v>0</v>
      </c>
      <c r="L72" s="65">
        <v>0</v>
      </c>
      <c r="M72" s="66">
        <f t="shared" si="3"/>
        <v>1543561</v>
      </c>
      <c r="N72" s="67">
        <f t="shared" si="2"/>
        <v>881439</v>
      </c>
      <c r="O72" s="77">
        <v>71</v>
      </c>
      <c r="P72" s="69" t="s">
        <v>22</v>
      </c>
      <c r="R72" s="70"/>
    </row>
    <row r="73" spans="1:18" s="69" customFormat="1" ht="18.75" x14ac:dyDescent="0.3">
      <c r="A73" s="56">
        <v>70</v>
      </c>
      <c r="B73" s="80" t="s">
        <v>228</v>
      </c>
      <c r="C73" s="45" t="s">
        <v>229</v>
      </c>
      <c r="D73" s="46" t="s">
        <v>230</v>
      </c>
      <c r="E73" s="84">
        <v>2425000</v>
      </c>
      <c r="F73" s="61">
        <v>150000</v>
      </c>
      <c r="G73" s="75">
        <v>0</v>
      </c>
      <c r="H73" s="61">
        <v>72000</v>
      </c>
      <c r="I73" s="64">
        <v>29894</v>
      </c>
      <c r="J73" s="65">
        <v>0</v>
      </c>
      <c r="K73" s="65">
        <v>0</v>
      </c>
      <c r="L73" s="65">
        <v>0</v>
      </c>
      <c r="M73" s="66">
        <f t="shared" si="3"/>
        <v>251894</v>
      </c>
      <c r="N73" s="67">
        <f t="shared" si="2"/>
        <v>2173106</v>
      </c>
      <c r="O73" s="68">
        <v>72</v>
      </c>
      <c r="P73" s="69" t="s">
        <v>22</v>
      </c>
      <c r="R73" s="70"/>
    </row>
    <row r="74" spans="1:18" s="69" customFormat="1" ht="18.75" x14ac:dyDescent="0.3">
      <c r="A74" s="72">
        <v>71</v>
      </c>
      <c r="B74" s="80" t="s">
        <v>231</v>
      </c>
      <c r="C74" s="45" t="s">
        <v>232</v>
      </c>
      <c r="D74" s="59" t="s">
        <v>233</v>
      </c>
      <c r="E74" s="84">
        <v>2450000</v>
      </c>
      <c r="F74" s="61">
        <v>0</v>
      </c>
      <c r="G74" s="75">
        <v>0</v>
      </c>
      <c r="H74" s="61">
        <v>0</v>
      </c>
      <c r="I74" s="64">
        <v>29894</v>
      </c>
      <c r="J74" s="65">
        <v>0</v>
      </c>
      <c r="K74" s="65">
        <v>0</v>
      </c>
      <c r="L74" s="65">
        <v>0</v>
      </c>
      <c r="M74" s="66">
        <f t="shared" si="3"/>
        <v>29894</v>
      </c>
      <c r="N74" s="67">
        <f t="shared" si="2"/>
        <v>2420106</v>
      </c>
      <c r="O74" s="77">
        <v>73</v>
      </c>
      <c r="P74" s="69" t="s">
        <v>22</v>
      </c>
      <c r="R74" s="70"/>
    </row>
    <row r="75" spans="1:18" ht="18.75" x14ac:dyDescent="0.3">
      <c r="A75" s="72">
        <v>72</v>
      </c>
      <c r="B75" s="80" t="s">
        <v>234</v>
      </c>
      <c r="C75" s="45" t="s">
        <v>235</v>
      </c>
      <c r="D75" s="59" t="s">
        <v>236</v>
      </c>
      <c r="E75" s="84">
        <v>2450000</v>
      </c>
      <c r="F75" s="61">
        <v>0</v>
      </c>
      <c r="G75" s="75">
        <v>0</v>
      </c>
      <c r="H75" s="61">
        <v>0</v>
      </c>
      <c r="I75" s="64">
        <v>29894</v>
      </c>
      <c r="J75" s="65">
        <v>0</v>
      </c>
      <c r="K75" s="65">
        <v>0</v>
      </c>
      <c r="L75" s="65">
        <v>0</v>
      </c>
      <c r="M75" s="66">
        <f t="shared" si="3"/>
        <v>29894</v>
      </c>
      <c r="N75" s="67">
        <f t="shared" si="2"/>
        <v>2420106</v>
      </c>
      <c r="O75" s="77">
        <v>75</v>
      </c>
      <c r="P75" s="69" t="s">
        <v>22</v>
      </c>
      <c r="R75" s="70"/>
    </row>
    <row r="76" spans="1:18" ht="18.75" x14ac:dyDescent="0.3">
      <c r="A76" s="56">
        <v>73</v>
      </c>
      <c r="B76" s="80" t="s">
        <v>237</v>
      </c>
      <c r="C76" s="45" t="s">
        <v>238</v>
      </c>
      <c r="D76" s="59" t="s">
        <v>239</v>
      </c>
      <c r="E76" s="84">
        <v>3850000</v>
      </c>
      <c r="F76" s="61">
        <v>0</v>
      </c>
      <c r="G76" s="75">
        <v>0</v>
      </c>
      <c r="H76" s="61">
        <v>0</v>
      </c>
      <c r="I76" s="64">
        <v>0</v>
      </c>
      <c r="J76" s="65">
        <v>0</v>
      </c>
      <c r="K76" s="65">
        <v>0</v>
      </c>
      <c r="L76" s="65">
        <v>0</v>
      </c>
      <c r="M76" s="66">
        <f t="shared" si="3"/>
        <v>0</v>
      </c>
      <c r="N76" s="67">
        <f t="shared" si="2"/>
        <v>3850000</v>
      </c>
      <c r="O76" s="68">
        <v>76</v>
      </c>
      <c r="P76" s="69" t="s">
        <v>22</v>
      </c>
      <c r="R76" s="70"/>
    </row>
    <row r="77" spans="1:18" ht="18.75" x14ac:dyDescent="0.3">
      <c r="A77" s="72">
        <v>74</v>
      </c>
      <c r="B77" s="80" t="s">
        <v>240</v>
      </c>
      <c r="C77" s="45" t="s">
        <v>241</v>
      </c>
      <c r="D77" s="59" t="s">
        <v>242</v>
      </c>
      <c r="E77" s="84">
        <v>2450000</v>
      </c>
      <c r="F77" s="61">
        <v>0</v>
      </c>
      <c r="G77" s="75">
        <v>0</v>
      </c>
      <c r="H77" s="61">
        <v>0</v>
      </c>
      <c r="I77" s="64">
        <v>29894</v>
      </c>
      <c r="J77" s="65">
        <v>0</v>
      </c>
      <c r="K77" s="65">
        <v>0</v>
      </c>
      <c r="L77" s="65">
        <v>0</v>
      </c>
      <c r="M77" s="66">
        <f t="shared" si="3"/>
        <v>29894</v>
      </c>
      <c r="N77" s="67">
        <f t="shared" si="2"/>
        <v>2420106</v>
      </c>
      <c r="O77" s="77">
        <v>77</v>
      </c>
      <c r="P77" s="69" t="s">
        <v>22</v>
      </c>
      <c r="R77" s="70"/>
    </row>
    <row r="78" spans="1:18" ht="18.75" x14ac:dyDescent="0.3">
      <c r="A78" s="72">
        <v>75</v>
      </c>
      <c r="B78" s="80" t="s">
        <v>243</v>
      </c>
      <c r="C78" s="45" t="s">
        <v>244</v>
      </c>
      <c r="D78" s="59" t="s">
        <v>245</v>
      </c>
      <c r="E78" s="84">
        <v>2450000</v>
      </c>
      <c r="F78" s="61">
        <v>150000</v>
      </c>
      <c r="G78" s="62">
        <v>710800</v>
      </c>
      <c r="H78" s="61">
        <v>0</v>
      </c>
      <c r="I78" s="64">
        <v>29894</v>
      </c>
      <c r="J78" s="65">
        <v>0</v>
      </c>
      <c r="K78" s="65">
        <v>0</v>
      </c>
      <c r="L78" s="65">
        <v>0</v>
      </c>
      <c r="M78" s="66">
        <f t="shared" si="3"/>
        <v>890694</v>
      </c>
      <c r="N78" s="67">
        <f t="shared" si="2"/>
        <v>1559306</v>
      </c>
      <c r="O78" s="68">
        <v>78</v>
      </c>
      <c r="P78" s="69" t="s">
        <v>22</v>
      </c>
      <c r="R78" s="70"/>
    </row>
    <row r="79" spans="1:18" ht="18.75" x14ac:dyDescent="0.3">
      <c r="A79" s="56">
        <v>76</v>
      </c>
      <c r="B79" s="80" t="s">
        <v>246</v>
      </c>
      <c r="C79" s="45" t="s">
        <v>247</v>
      </c>
      <c r="D79" s="46" t="s">
        <v>248</v>
      </c>
      <c r="E79" s="84">
        <v>2450000</v>
      </c>
      <c r="F79" s="61">
        <v>0</v>
      </c>
      <c r="G79" s="75">
        <v>0</v>
      </c>
      <c r="H79" s="61">
        <v>0</v>
      </c>
      <c r="I79" s="64">
        <v>29894</v>
      </c>
      <c r="J79" s="65">
        <v>0</v>
      </c>
      <c r="K79" s="65">
        <v>0</v>
      </c>
      <c r="L79" s="65">
        <v>0</v>
      </c>
      <c r="M79" s="66">
        <f t="shared" si="3"/>
        <v>29894</v>
      </c>
      <c r="N79" s="67">
        <f t="shared" si="2"/>
        <v>2420106</v>
      </c>
      <c r="O79" s="77">
        <v>79</v>
      </c>
      <c r="P79" s="69" t="s">
        <v>22</v>
      </c>
      <c r="R79" s="70"/>
    </row>
    <row r="80" spans="1:18" ht="18.75" x14ac:dyDescent="0.3">
      <c r="A80" s="72">
        <v>77</v>
      </c>
      <c r="B80" s="80" t="s">
        <v>249</v>
      </c>
      <c r="C80" s="45" t="s">
        <v>250</v>
      </c>
      <c r="D80" s="59" t="s">
        <v>251</v>
      </c>
      <c r="E80" s="84">
        <v>2450000</v>
      </c>
      <c r="F80" s="61">
        <v>150000</v>
      </c>
      <c r="G80" s="62">
        <v>1033333</v>
      </c>
      <c r="H80" s="61">
        <v>72000</v>
      </c>
      <c r="I80" s="64">
        <v>29894</v>
      </c>
      <c r="J80" s="65">
        <v>0</v>
      </c>
      <c r="K80" s="65">
        <v>0</v>
      </c>
      <c r="L80" s="65">
        <v>0</v>
      </c>
      <c r="M80" s="66">
        <f t="shared" si="3"/>
        <v>1285227</v>
      </c>
      <c r="N80" s="67">
        <f t="shared" si="2"/>
        <v>1164773</v>
      </c>
      <c r="O80" s="68">
        <v>80</v>
      </c>
      <c r="P80" s="69" t="s">
        <v>22</v>
      </c>
      <c r="R80" s="70"/>
    </row>
    <row r="81" spans="1:18" ht="18.75" x14ac:dyDescent="0.3">
      <c r="A81" s="72">
        <v>78</v>
      </c>
      <c r="B81" s="85" t="s">
        <v>252</v>
      </c>
      <c r="C81" s="86" t="s">
        <v>253</v>
      </c>
      <c r="D81" s="87" t="s">
        <v>254</v>
      </c>
      <c r="E81" s="84">
        <v>2450000</v>
      </c>
      <c r="F81" s="88">
        <v>0</v>
      </c>
      <c r="G81" s="75">
        <v>0</v>
      </c>
      <c r="H81" s="61">
        <v>72000</v>
      </c>
      <c r="I81" s="64">
        <v>29894</v>
      </c>
      <c r="J81" s="89">
        <v>0</v>
      </c>
      <c r="K81" s="65">
        <v>0</v>
      </c>
      <c r="L81" s="65">
        <v>0</v>
      </c>
      <c r="M81" s="66">
        <f t="shared" si="3"/>
        <v>101894</v>
      </c>
      <c r="N81" s="67">
        <f t="shared" si="2"/>
        <v>2348106</v>
      </c>
      <c r="O81" s="77">
        <v>81</v>
      </c>
      <c r="P81" s="69" t="s">
        <v>22</v>
      </c>
      <c r="R81" s="70"/>
    </row>
    <row r="82" spans="1:18" ht="18.75" x14ac:dyDescent="0.3">
      <c r="A82" s="56">
        <v>79</v>
      </c>
      <c r="B82" s="80" t="s">
        <v>255</v>
      </c>
      <c r="C82" s="45" t="s">
        <v>256</v>
      </c>
      <c r="D82" s="59" t="s">
        <v>257</v>
      </c>
      <c r="E82" s="84">
        <v>2400000</v>
      </c>
      <c r="F82" s="61">
        <v>150000</v>
      </c>
      <c r="G82" s="62">
        <v>775000</v>
      </c>
      <c r="H82" s="61">
        <v>0</v>
      </c>
      <c r="I82" s="64">
        <v>29894</v>
      </c>
      <c r="J82" s="65">
        <v>0</v>
      </c>
      <c r="K82" s="65">
        <v>0</v>
      </c>
      <c r="L82" s="65">
        <v>0</v>
      </c>
      <c r="M82" s="66">
        <f t="shared" si="3"/>
        <v>954894</v>
      </c>
      <c r="N82" s="67">
        <f t="shared" si="2"/>
        <v>1445106</v>
      </c>
      <c r="O82" s="68">
        <v>82</v>
      </c>
      <c r="P82" s="69" t="s">
        <v>22</v>
      </c>
      <c r="R82" s="70"/>
    </row>
    <row r="83" spans="1:18" ht="18.75" x14ac:dyDescent="0.3">
      <c r="A83" s="72">
        <v>80</v>
      </c>
      <c r="B83" s="90" t="s">
        <v>258</v>
      </c>
      <c r="C83" s="91" t="s">
        <v>259</v>
      </c>
      <c r="D83" s="59" t="s">
        <v>260</v>
      </c>
      <c r="E83" s="84">
        <v>1350000</v>
      </c>
      <c r="F83" s="61">
        <v>0</v>
      </c>
      <c r="G83" s="75">
        <v>0</v>
      </c>
      <c r="H83" s="61">
        <v>0</v>
      </c>
      <c r="I83" s="64">
        <v>29894</v>
      </c>
      <c r="J83" s="65">
        <v>0</v>
      </c>
      <c r="K83" s="65">
        <v>0</v>
      </c>
      <c r="L83" s="65">
        <v>0</v>
      </c>
      <c r="M83" s="66">
        <f t="shared" si="3"/>
        <v>29894</v>
      </c>
      <c r="N83" s="67">
        <f t="shared" si="2"/>
        <v>1320106</v>
      </c>
      <c r="O83" s="77">
        <v>83</v>
      </c>
      <c r="P83" s="69" t="s">
        <v>261</v>
      </c>
      <c r="R83" s="70"/>
    </row>
    <row r="84" spans="1:18" ht="18.75" x14ac:dyDescent="0.3">
      <c r="A84" s="72">
        <v>81</v>
      </c>
      <c r="B84" s="90" t="s">
        <v>262</v>
      </c>
      <c r="C84" s="91" t="s">
        <v>263</v>
      </c>
      <c r="D84" s="59" t="s">
        <v>264</v>
      </c>
      <c r="E84" s="84">
        <v>1200000</v>
      </c>
      <c r="F84" s="61">
        <v>0</v>
      </c>
      <c r="G84" s="75">
        <v>0</v>
      </c>
      <c r="H84" s="61">
        <v>72000</v>
      </c>
      <c r="I84" s="64">
        <v>29894</v>
      </c>
      <c r="J84" s="65">
        <v>0</v>
      </c>
      <c r="K84" s="65">
        <v>0</v>
      </c>
      <c r="L84" s="65">
        <v>0</v>
      </c>
      <c r="M84" s="66">
        <f t="shared" si="3"/>
        <v>101894</v>
      </c>
      <c r="N84" s="67">
        <f t="shared" si="2"/>
        <v>1098106</v>
      </c>
      <c r="O84" s="68">
        <v>84</v>
      </c>
      <c r="P84" s="69" t="s">
        <v>261</v>
      </c>
      <c r="R84" s="70"/>
    </row>
    <row r="85" spans="1:18" ht="18.75" x14ac:dyDescent="0.3">
      <c r="A85" s="56">
        <v>82</v>
      </c>
      <c r="B85" s="90" t="s">
        <v>265</v>
      </c>
      <c r="C85" s="91" t="s">
        <v>266</v>
      </c>
      <c r="D85" s="59" t="s">
        <v>267</v>
      </c>
      <c r="E85" s="84">
        <v>1350000</v>
      </c>
      <c r="F85" s="61">
        <v>0</v>
      </c>
      <c r="G85" s="75">
        <v>0</v>
      </c>
      <c r="H85" s="61">
        <v>72000</v>
      </c>
      <c r="I85" s="64">
        <v>29894</v>
      </c>
      <c r="J85" s="65">
        <v>0</v>
      </c>
      <c r="K85" s="65">
        <v>0</v>
      </c>
      <c r="L85" s="65">
        <v>0</v>
      </c>
      <c r="M85" s="66">
        <f t="shared" si="3"/>
        <v>101894</v>
      </c>
      <c r="N85" s="67">
        <f t="shared" si="2"/>
        <v>1248106</v>
      </c>
      <c r="O85" s="68">
        <v>86</v>
      </c>
      <c r="P85" s="82" t="s">
        <v>268</v>
      </c>
      <c r="R85" s="70"/>
    </row>
    <row r="86" spans="1:18" ht="18.75" x14ac:dyDescent="0.3">
      <c r="A86" s="72">
        <v>83</v>
      </c>
      <c r="B86" s="85" t="s">
        <v>269</v>
      </c>
      <c r="C86" s="86" t="s">
        <v>270</v>
      </c>
      <c r="D86" s="92" t="s">
        <v>271</v>
      </c>
      <c r="E86" s="84">
        <v>1200000</v>
      </c>
      <c r="F86" s="61">
        <v>0</v>
      </c>
      <c r="G86" s="75">
        <v>0</v>
      </c>
      <c r="H86" s="61">
        <v>0</v>
      </c>
      <c r="I86" s="64">
        <v>29894</v>
      </c>
      <c r="J86" s="65">
        <v>0</v>
      </c>
      <c r="K86" s="65">
        <v>0</v>
      </c>
      <c r="L86" s="65">
        <v>0</v>
      </c>
      <c r="M86" s="66">
        <f t="shared" si="3"/>
        <v>29894</v>
      </c>
      <c r="N86" s="67">
        <f t="shared" si="2"/>
        <v>1170106</v>
      </c>
      <c r="O86" s="77">
        <v>87</v>
      </c>
      <c r="P86" s="82" t="s">
        <v>268</v>
      </c>
      <c r="R86" s="70"/>
    </row>
    <row r="87" spans="1:18" ht="18.75" x14ac:dyDescent="0.3">
      <c r="A87" s="72">
        <v>84</v>
      </c>
      <c r="B87" s="85" t="s">
        <v>272</v>
      </c>
      <c r="C87" s="86" t="s">
        <v>273</v>
      </c>
      <c r="D87" s="92" t="s">
        <v>274</v>
      </c>
      <c r="E87" s="84">
        <v>1350000</v>
      </c>
      <c r="F87" s="61">
        <v>0</v>
      </c>
      <c r="G87" s="75">
        <v>0</v>
      </c>
      <c r="H87" s="61">
        <v>0</v>
      </c>
      <c r="I87" s="64">
        <v>29894</v>
      </c>
      <c r="J87" s="65">
        <v>0</v>
      </c>
      <c r="K87" s="65">
        <v>0</v>
      </c>
      <c r="L87" s="65">
        <v>0</v>
      </c>
      <c r="M87" s="66">
        <f t="shared" si="3"/>
        <v>29894</v>
      </c>
      <c r="N87" s="67">
        <f t="shared" si="2"/>
        <v>1320106</v>
      </c>
      <c r="O87" s="68">
        <v>88</v>
      </c>
      <c r="P87" s="82" t="s">
        <v>268</v>
      </c>
      <c r="R87" s="70"/>
    </row>
    <row r="88" spans="1:18" ht="18.75" x14ac:dyDescent="0.3">
      <c r="A88" s="56">
        <v>85</v>
      </c>
      <c r="B88" s="85" t="s">
        <v>275</v>
      </c>
      <c r="C88" s="86" t="s">
        <v>276</v>
      </c>
      <c r="D88" s="92" t="s">
        <v>277</v>
      </c>
      <c r="E88" s="84">
        <v>1200000</v>
      </c>
      <c r="F88" s="61">
        <v>0</v>
      </c>
      <c r="G88" s="75">
        <v>0</v>
      </c>
      <c r="H88" s="61">
        <v>0</v>
      </c>
      <c r="I88" s="64">
        <v>29894</v>
      </c>
      <c r="J88" s="65">
        <v>0</v>
      </c>
      <c r="K88" s="65">
        <v>0</v>
      </c>
      <c r="L88" s="65">
        <v>0</v>
      </c>
      <c r="M88" s="66">
        <f t="shared" si="3"/>
        <v>29894</v>
      </c>
      <c r="N88" s="67">
        <f t="shared" si="2"/>
        <v>1170106</v>
      </c>
      <c r="O88" s="77">
        <v>89</v>
      </c>
      <c r="P88" s="82" t="s">
        <v>278</v>
      </c>
    </row>
    <row r="89" spans="1:18" ht="18.75" x14ac:dyDescent="0.3">
      <c r="A89" s="72">
        <v>86</v>
      </c>
      <c r="B89" s="85" t="s">
        <v>279</v>
      </c>
      <c r="C89" s="86" t="s">
        <v>280</v>
      </c>
      <c r="D89" s="92" t="s">
        <v>281</v>
      </c>
      <c r="E89" s="84">
        <v>1100000</v>
      </c>
      <c r="F89" s="61">
        <v>0</v>
      </c>
      <c r="G89" s="75">
        <v>0</v>
      </c>
      <c r="H89" s="61">
        <v>0</v>
      </c>
      <c r="I89" s="64">
        <v>29894</v>
      </c>
      <c r="J89" s="65">
        <v>0</v>
      </c>
      <c r="K89" s="65">
        <v>0</v>
      </c>
      <c r="L89" s="65">
        <v>0</v>
      </c>
      <c r="M89" s="66">
        <f t="shared" si="3"/>
        <v>29894</v>
      </c>
      <c r="N89" s="67">
        <f t="shared" si="2"/>
        <v>1070106</v>
      </c>
      <c r="O89" s="68">
        <v>90</v>
      </c>
      <c r="P89" s="82" t="s">
        <v>278</v>
      </c>
    </row>
    <row r="90" spans="1:18" ht="18.75" x14ac:dyDescent="0.3">
      <c r="A90" s="72">
        <v>87</v>
      </c>
      <c r="B90" s="85" t="s">
        <v>282</v>
      </c>
      <c r="C90" s="86" t="s">
        <v>283</v>
      </c>
      <c r="D90" s="92" t="s">
        <v>284</v>
      </c>
      <c r="E90" s="84">
        <v>1200000</v>
      </c>
      <c r="F90" s="61">
        <v>0</v>
      </c>
      <c r="G90" s="75">
        <v>0</v>
      </c>
      <c r="H90" s="61">
        <v>0</v>
      </c>
      <c r="I90" s="64">
        <v>29894</v>
      </c>
      <c r="J90" s="65">
        <v>0</v>
      </c>
      <c r="K90" s="65">
        <v>0</v>
      </c>
      <c r="L90" s="65">
        <v>0</v>
      </c>
      <c r="M90" s="66">
        <f t="shared" si="3"/>
        <v>29894</v>
      </c>
      <c r="N90" s="67">
        <f t="shared" si="2"/>
        <v>1170106</v>
      </c>
      <c r="O90" s="77">
        <v>91</v>
      </c>
      <c r="P90" s="82" t="s">
        <v>278</v>
      </c>
    </row>
    <row r="91" spans="1:18" ht="18.75" x14ac:dyDescent="0.3">
      <c r="A91" s="56">
        <v>88</v>
      </c>
      <c r="B91" s="85" t="s">
        <v>285</v>
      </c>
      <c r="C91" s="86" t="s">
        <v>286</v>
      </c>
      <c r="D91" s="92" t="s">
        <v>287</v>
      </c>
      <c r="E91" s="84">
        <v>1000000</v>
      </c>
      <c r="F91" s="61">
        <v>0</v>
      </c>
      <c r="G91" s="75">
        <v>0</v>
      </c>
      <c r="H91" s="61">
        <v>0</v>
      </c>
      <c r="I91" s="64">
        <v>29894</v>
      </c>
      <c r="J91" s="65">
        <v>0</v>
      </c>
      <c r="K91" s="65">
        <v>0</v>
      </c>
      <c r="L91" s="65">
        <v>0</v>
      </c>
      <c r="M91" s="66">
        <f t="shared" si="3"/>
        <v>29894</v>
      </c>
      <c r="N91" s="67">
        <f t="shared" si="2"/>
        <v>970106</v>
      </c>
      <c r="O91" s="68">
        <v>92</v>
      </c>
      <c r="P91" s="82" t="s">
        <v>278</v>
      </c>
    </row>
    <row r="92" spans="1:18" ht="18.75" x14ac:dyDescent="0.3">
      <c r="A92" s="72">
        <v>89</v>
      </c>
      <c r="B92" s="85" t="s">
        <v>288</v>
      </c>
      <c r="C92" s="86" t="s">
        <v>289</v>
      </c>
      <c r="D92" s="93" t="s">
        <v>290</v>
      </c>
      <c r="E92" s="84">
        <v>1000000</v>
      </c>
      <c r="F92" s="61">
        <v>150000</v>
      </c>
      <c r="G92" s="62">
        <v>694898</v>
      </c>
      <c r="H92" s="61">
        <v>0</v>
      </c>
      <c r="I92" s="64">
        <v>29894</v>
      </c>
      <c r="J92" s="65">
        <v>0</v>
      </c>
      <c r="K92" s="65">
        <v>0</v>
      </c>
      <c r="L92" s="65">
        <v>0</v>
      </c>
      <c r="M92" s="66">
        <f t="shared" si="3"/>
        <v>874792</v>
      </c>
      <c r="N92" s="67">
        <f t="shared" si="2"/>
        <v>125208</v>
      </c>
      <c r="O92" s="77">
        <v>93</v>
      </c>
      <c r="P92" s="82" t="s">
        <v>278</v>
      </c>
    </row>
    <row r="93" spans="1:18" ht="18.75" x14ac:dyDescent="0.3">
      <c r="A93" s="72">
        <v>90</v>
      </c>
      <c r="B93" s="85" t="s">
        <v>291</v>
      </c>
      <c r="C93" s="86" t="s">
        <v>292</v>
      </c>
      <c r="D93" s="93" t="s">
        <v>293</v>
      </c>
      <c r="E93" s="84">
        <v>1000000</v>
      </c>
      <c r="F93" s="61">
        <v>150000</v>
      </c>
      <c r="G93" s="62">
        <v>695441</v>
      </c>
      <c r="H93" s="61">
        <v>0</v>
      </c>
      <c r="I93" s="64">
        <v>29894</v>
      </c>
      <c r="J93" s="65">
        <v>0</v>
      </c>
      <c r="K93" s="65">
        <v>0</v>
      </c>
      <c r="L93" s="65">
        <v>0</v>
      </c>
      <c r="M93" s="66">
        <f t="shared" si="3"/>
        <v>875335</v>
      </c>
      <c r="N93" s="67">
        <f t="shared" si="2"/>
        <v>124665</v>
      </c>
      <c r="O93" s="68">
        <v>94</v>
      </c>
      <c r="P93" s="82" t="s">
        <v>278</v>
      </c>
    </row>
    <row r="94" spans="1:18" ht="18.75" x14ac:dyDescent="0.3">
      <c r="A94" s="56">
        <v>91</v>
      </c>
      <c r="B94" s="85" t="s">
        <v>294</v>
      </c>
      <c r="C94" s="86" t="s">
        <v>295</v>
      </c>
      <c r="D94" s="93" t="s">
        <v>296</v>
      </c>
      <c r="E94" s="84">
        <v>1000000</v>
      </c>
      <c r="F94" s="61">
        <v>150000</v>
      </c>
      <c r="G94" s="62">
        <v>800000</v>
      </c>
      <c r="H94" s="61">
        <v>0</v>
      </c>
      <c r="I94" s="64">
        <v>29894</v>
      </c>
      <c r="J94" s="65">
        <v>0</v>
      </c>
      <c r="K94" s="65">
        <v>0</v>
      </c>
      <c r="L94" s="65">
        <v>0</v>
      </c>
      <c r="M94" s="66">
        <f t="shared" si="3"/>
        <v>979894</v>
      </c>
      <c r="N94" s="67">
        <f t="shared" si="2"/>
        <v>20106</v>
      </c>
      <c r="O94" s="77">
        <v>95</v>
      </c>
      <c r="P94" s="82" t="s">
        <v>278</v>
      </c>
    </row>
    <row r="95" spans="1:18" ht="18.75" x14ac:dyDescent="0.3">
      <c r="A95" s="72">
        <v>92</v>
      </c>
      <c r="B95" s="85" t="s">
        <v>297</v>
      </c>
      <c r="C95" s="86" t="s">
        <v>298</v>
      </c>
      <c r="D95" s="93" t="s">
        <v>299</v>
      </c>
      <c r="E95" s="84">
        <v>1000000</v>
      </c>
      <c r="F95" s="61">
        <v>0</v>
      </c>
      <c r="G95" s="75">
        <v>0</v>
      </c>
      <c r="H95" s="61">
        <v>0</v>
      </c>
      <c r="I95" s="64">
        <v>29894</v>
      </c>
      <c r="J95" s="65">
        <v>0</v>
      </c>
      <c r="K95" s="65">
        <v>0</v>
      </c>
      <c r="L95" s="65">
        <v>0</v>
      </c>
      <c r="M95" s="66">
        <f t="shared" si="3"/>
        <v>29894</v>
      </c>
      <c r="N95" s="67">
        <f t="shared" si="2"/>
        <v>970106</v>
      </c>
      <c r="O95" s="68">
        <v>96</v>
      </c>
      <c r="P95" s="82" t="s">
        <v>278</v>
      </c>
    </row>
    <row r="96" spans="1:18" ht="18.75" x14ac:dyDescent="0.3">
      <c r="A96" s="72">
        <v>93</v>
      </c>
      <c r="B96" s="85" t="s">
        <v>300</v>
      </c>
      <c r="C96" s="86" t="s">
        <v>301</v>
      </c>
      <c r="D96" s="93" t="s">
        <v>302</v>
      </c>
      <c r="E96" s="84">
        <v>1000000</v>
      </c>
      <c r="F96" s="61">
        <v>0</v>
      </c>
      <c r="G96" s="75">
        <v>0</v>
      </c>
      <c r="H96" s="61">
        <v>0</v>
      </c>
      <c r="I96" s="64">
        <v>29894</v>
      </c>
      <c r="J96" s="65">
        <v>0</v>
      </c>
      <c r="K96" s="65">
        <v>0</v>
      </c>
      <c r="L96" s="65">
        <v>0</v>
      </c>
      <c r="M96" s="66">
        <f t="shared" si="3"/>
        <v>29894</v>
      </c>
      <c r="N96" s="67">
        <f t="shared" si="2"/>
        <v>970106</v>
      </c>
      <c r="O96" s="77">
        <v>97</v>
      </c>
      <c r="P96" s="82" t="s">
        <v>278</v>
      </c>
    </row>
    <row r="97" spans="1:16" ht="18.75" x14ac:dyDescent="0.3">
      <c r="A97" s="56">
        <v>94</v>
      </c>
      <c r="B97" s="85" t="s">
        <v>303</v>
      </c>
      <c r="C97" s="86" t="s">
        <v>304</v>
      </c>
      <c r="D97" s="93" t="s">
        <v>305</v>
      </c>
      <c r="E97" s="84">
        <v>1000000</v>
      </c>
      <c r="F97" s="61">
        <v>150000</v>
      </c>
      <c r="G97" s="62">
        <v>566667</v>
      </c>
      <c r="H97" s="61">
        <v>0</v>
      </c>
      <c r="I97" s="64">
        <v>29894</v>
      </c>
      <c r="J97" s="65">
        <v>0</v>
      </c>
      <c r="K97" s="65">
        <v>0</v>
      </c>
      <c r="L97" s="65">
        <v>0</v>
      </c>
      <c r="M97" s="66">
        <f t="shared" si="3"/>
        <v>746561</v>
      </c>
      <c r="N97" s="67">
        <f t="shared" si="2"/>
        <v>253439</v>
      </c>
      <c r="O97" s="68">
        <v>98</v>
      </c>
      <c r="P97" s="82" t="s">
        <v>278</v>
      </c>
    </row>
    <row r="98" spans="1:16" ht="18.75" x14ac:dyDescent="0.3">
      <c r="A98" s="72">
        <v>95</v>
      </c>
      <c r="B98" s="85" t="s">
        <v>306</v>
      </c>
      <c r="C98" s="86" t="s">
        <v>307</v>
      </c>
      <c r="D98" s="93" t="s">
        <v>308</v>
      </c>
      <c r="E98" s="84">
        <v>1000000</v>
      </c>
      <c r="F98" s="61">
        <v>150000</v>
      </c>
      <c r="G98" s="62">
        <v>286595</v>
      </c>
      <c r="H98" s="61">
        <v>0</v>
      </c>
      <c r="I98" s="64">
        <v>29894</v>
      </c>
      <c r="J98" s="65">
        <v>0</v>
      </c>
      <c r="K98" s="65">
        <v>0</v>
      </c>
      <c r="L98" s="65">
        <v>0</v>
      </c>
      <c r="M98" s="66">
        <f t="shared" si="3"/>
        <v>466489</v>
      </c>
      <c r="N98" s="67">
        <f t="shared" si="2"/>
        <v>533511</v>
      </c>
      <c r="O98" s="77">
        <v>99</v>
      </c>
      <c r="P98" s="82" t="s">
        <v>278</v>
      </c>
    </row>
    <row r="99" spans="1:16" ht="18.75" x14ac:dyDescent="0.3">
      <c r="A99" s="72">
        <v>96</v>
      </c>
      <c r="B99" s="85" t="s">
        <v>309</v>
      </c>
      <c r="C99" s="86" t="s">
        <v>310</v>
      </c>
      <c r="D99" s="93" t="s">
        <v>311</v>
      </c>
      <c r="E99" s="84">
        <v>1000000</v>
      </c>
      <c r="F99" s="61">
        <v>0</v>
      </c>
      <c r="G99" s="75">
        <v>0</v>
      </c>
      <c r="H99" s="61">
        <v>0</v>
      </c>
      <c r="I99" s="64">
        <v>29894</v>
      </c>
      <c r="J99" s="65">
        <v>0</v>
      </c>
      <c r="K99" s="65">
        <v>0</v>
      </c>
      <c r="L99" s="65">
        <v>0</v>
      </c>
      <c r="M99" s="66">
        <f t="shared" si="3"/>
        <v>29894</v>
      </c>
      <c r="N99" s="67">
        <f t="shared" si="2"/>
        <v>970106</v>
      </c>
      <c r="O99" s="68">
        <v>100</v>
      </c>
      <c r="P99" s="82" t="s">
        <v>278</v>
      </c>
    </row>
    <row r="100" spans="1:16" ht="18.75" x14ac:dyDescent="0.3">
      <c r="A100" s="56">
        <v>97</v>
      </c>
      <c r="B100" s="85" t="s">
        <v>312</v>
      </c>
      <c r="C100" s="86" t="s">
        <v>313</v>
      </c>
      <c r="D100" s="93" t="s">
        <v>314</v>
      </c>
      <c r="E100" s="84">
        <v>1000000</v>
      </c>
      <c r="F100" s="61">
        <v>150000</v>
      </c>
      <c r="G100" s="62">
        <v>310000</v>
      </c>
      <c r="H100" s="61">
        <v>0</v>
      </c>
      <c r="I100" s="64">
        <v>29894</v>
      </c>
      <c r="J100" s="65">
        <v>0</v>
      </c>
      <c r="K100" s="65">
        <v>0</v>
      </c>
      <c r="L100" s="65">
        <v>0</v>
      </c>
      <c r="M100" s="66">
        <f t="shared" si="3"/>
        <v>489894</v>
      </c>
      <c r="N100" s="67">
        <f t="shared" si="2"/>
        <v>510106</v>
      </c>
      <c r="O100" s="77">
        <v>101</v>
      </c>
      <c r="P100" s="82" t="s">
        <v>278</v>
      </c>
    </row>
    <row r="101" spans="1:16" ht="18.75" x14ac:dyDescent="0.3">
      <c r="A101" s="72">
        <v>98</v>
      </c>
      <c r="B101" s="85" t="s">
        <v>315</v>
      </c>
      <c r="C101" s="86" t="s">
        <v>316</v>
      </c>
      <c r="D101" s="93" t="s">
        <v>317</v>
      </c>
      <c r="E101" s="84">
        <v>1000000</v>
      </c>
      <c r="F101" s="61">
        <v>0</v>
      </c>
      <c r="G101" s="75">
        <v>0</v>
      </c>
      <c r="H101" s="61">
        <v>0</v>
      </c>
      <c r="I101" s="64">
        <v>29894</v>
      </c>
      <c r="J101" s="65">
        <v>0</v>
      </c>
      <c r="K101" s="65">
        <v>0</v>
      </c>
      <c r="L101" s="65">
        <v>0</v>
      </c>
      <c r="M101" s="66">
        <f t="shared" si="3"/>
        <v>29894</v>
      </c>
      <c r="N101" s="67">
        <f t="shared" si="2"/>
        <v>970106</v>
      </c>
      <c r="O101" s="68">
        <v>102</v>
      </c>
      <c r="P101" s="82" t="s">
        <v>278</v>
      </c>
    </row>
    <row r="102" spans="1:16" ht="18.75" x14ac:dyDescent="0.3">
      <c r="A102" s="72">
        <v>99</v>
      </c>
      <c r="B102" s="85" t="s">
        <v>318</v>
      </c>
      <c r="C102" s="86" t="s">
        <v>319</v>
      </c>
      <c r="D102" s="93" t="s">
        <v>320</v>
      </c>
      <c r="E102" s="84">
        <v>1000000</v>
      </c>
      <c r="F102" s="61">
        <v>150000</v>
      </c>
      <c r="G102" s="62">
        <v>358567</v>
      </c>
      <c r="H102" s="61">
        <v>0</v>
      </c>
      <c r="I102" s="64">
        <v>29894</v>
      </c>
      <c r="J102" s="65">
        <v>0</v>
      </c>
      <c r="K102" s="65">
        <v>0</v>
      </c>
      <c r="L102" s="65">
        <v>0</v>
      </c>
      <c r="M102" s="66">
        <f t="shared" si="3"/>
        <v>538461</v>
      </c>
      <c r="N102" s="67">
        <f t="shared" si="2"/>
        <v>461539</v>
      </c>
      <c r="O102" s="77">
        <v>103</v>
      </c>
      <c r="P102" s="82" t="s">
        <v>278</v>
      </c>
    </row>
    <row r="103" spans="1:16" ht="18.75" x14ac:dyDescent="0.3">
      <c r="A103" s="56">
        <v>100</v>
      </c>
      <c r="B103" s="85" t="s">
        <v>321</v>
      </c>
      <c r="C103" s="86" t="s">
        <v>322</v>
      </c>
      <c r="D103" s="93" t="s">
        <v>323</v>
      </c>
      <c r="E103" s="84">
        <v>1000000</v>
      </c>
      <c r="F103" s="61">
        <v>0</v>
      </c>
      <c r="G103" s="75">
        <v>0</v>
      </c>
      <c r="H103" s="61">
        <v>0</v>
      </c>
      <c r="I103" s="64">
        <v>29894</v>
      </c>
      <c r="J103" s="65">
        <v>0</v>
      </c>
      <c r="K103" s="65">
        <v>0</v>
      </c>
      <c r="L103" s="65">
        <v>0</v>
      </c>
      <c r="M103" s="66">
        <f t="shared" si="3"/>
        <v>29894</v>
      </c>
      <c r="N103" s="67">
        <f t="shared" si="2"/>
        <v>970106</v>
      </c>
      <c r="O103" s="68">
        <v>104</v>
      </c>
      <c r="P103" s="82" t="s">
        <v>278</v>
      </c>
    </row>
    <row r="104" spans="1:16" ht="18.75" x14ac:dyDescent="0.3">
      <c r="A104" s="72">
        <v>101</v>
      </c>
      <c r="B104" s="85" t="s">
        <v>324</v>
      </c>
      <c r="C104" s="86" t="s">
        <v>325</v>
      </c>
      <c r="D104" s="93" t="s">
        <v>326</v>
      </c>
      <c r="E104" s="84">
        <v>1000000</v>
      </c>
      <c r="F104" s="61">
        <v>0</v>
      </c>
      <c r="G104" s="75">
        <v>0</v>
      </c>
      <c r="H104" s="61">
        <v>0</v>
      </c>
      <c r="I104" s="64">
        <v>29894</v>
      </c>
      <c r="J104" s="65">
        <v>0</v>
      </c>
      <c r="K104" s="65">
        <v>0</v>
      </c>
      <c r="L104" s="65">
        <v>0</v>
      </c>
      <c r="M104" s="66">
        <f t="shared" si="3"/>
        <v>29894</v>
      </c>
      <c r="N104" s="67">
        <f t="shared" si="2"/>
        <v>970106</v>
      </c>
      <c r="O104" s="77">
        <v>105</v>
      </c>
      <c r="P104" s="82" t="s">
        <v>278</v>
      </c>
    </row>
    <row r="105" spans="1:16" ht="18.75" x14ac:dyDescent="0.3">
      <c r="A105" s="72">
        <v>102</v>
      </c>
      <c r="B105" s="85" t="s">
        <v>327</v>
      </c>
      <c r="C105" s="86" t="s">
        <v>328</v>
      </c>
      <c r="D105" s="93" t="s">
        <v>329</v>
      </c>
      <c r="E105" s="84">
        <v>1000000</v>
      </c>
      <c r="F105" s="61">
        <v>0</v>
      </c>
      <c r="G105" s="75">
        <v>0</v>
      </c>
      <c r="H105" s="61">
        <v>0</v>
      </c>
      <c r="I105" s="64">
        <v>29894</v>
      </c>
      <c r="J105" s="65">
        <v>0</v>
      </c>
      <c r="K105" s="65">
        <v>0</v>
      </c>
      <c r="L105" s="65">
        <v>0</v>
      </c>
      <c r="M105" s="66">
        <f t="shared" si="3"/>
        <v>29894</v>
      </c>
      <c r="N105" s="67">
        <f t="shared" si="2"/>
        <v>970106</v>
      </c>
      <c r="O105" s="68">
        <v>106</v>
      </c>
      <c r="P105" s="82" t="s">
        <v>278</v>
      </c>
    </row>
    <row r="106" spans="1:16" ht="18.75" x14ac:dyDescent="0.3">
      <c r="A106" s="56">
        <v>103</v>
      </c>
      <c r="B106" s="85" t="s">
        <v>330</v>
      </c>
      <c r="C106" s="86" t="s">
        <v>331</v>
      </c>
      <c r="D106" s="93" t="s">
        <v>332</v>
      </c>
      <c r="E106" s="84">
        <v>1000000</v>
      </c>
      <c r="F106" s="61">
        <v>0</v>
      </c>
      <c r="G106" s="75">
        <v>0</v>
      </c>
      <c r="H106" s="61">
        <v>0</v>
      </c>
      <c r="I106" s="64">
        <v>29894</v>
      </c>
      <c r="J106" s="65">
        <v>0</v>
      </c>
      <c r="K106" s="65">
        <v>0</v>
      </c>
      <c r="L106" s="65">
        <v>0</v>
      </c>
      <c r="M106" s="66">
        <f t="shared" si="3"/>
        <v>29894</v>
      </c>
      <c r="N106" s="67">
        <f t="shared" si="2"/>
        <v>970106</v>
      </c>
      <c r="O106" s="77">
        <v>107</v>
      </c>
      <c r="P106" s="82" t="s">
        <v>278</v>
      </c>
    </row>
    <row r="107" spans="1:16" ht="18.75" x14ac:dyDescent="0.3">
      <c r="A107" s="72">
        <v>104</v>
      </c>
      <c r="B107" s="85" t="s">
        <v>333</v>
      </c>
      <c r="C107" s="86" t="s">
        <v>334</v>
      </c>
      <c r="D107" s="93" t="s">
        <v>335</v>
      </c>
      <c r="E107" s="84">
        <v>1000000</v>
      </c>
      <c r="F107" s="61">
        <v>0</v>
      </c>
      <c r="G107" s="75">
        <v>0</v>
      </c>
      <c r="H107" s="61">
        <v>0</v>
      </c>
      <c r="I107" s="64">
        <v>29894</v>
      </c>
      <c r="J107" s="65">
        <v>0</v>
      </c>
      <c r="K107" s="65">
        <v>0</v>
      </c>
      <c r="L107" s="65">
        <v>0</v>
      </c>
      <c r="M107" s="66">
        <f t="shared" si="3"/>
        <v>29894</v>
      </c>
      <c r="N107" s="67">
        <f t="shared" si="2"/>
        <v>970106</v>
      </c>
      <c r="O107" s="68">
        <v>108</v>
      </c>
      <c r="P107" s="82" t="s">
        <v>278</v>
      </c>
    </row>
    <row r="108" spans="1:16" ht="18.75" x14ac:dyDescent="0.3">
      <c r="A108" s="72">
        <v>105</v>
      </c>
      <c r="B108" s="85" t="s">
        <v>336</v>
      </c>
      <c r="C108" s="86" t="s">
        <v>337</v>
      </c>
      <c r="D108" s="93" t="s">
        <v>338</v>
      </c>
      <c r="E108" s="84">
        <v>1000000</v>
      </c>
      <c r="F108" s="61">
        <v>0</v>
      </c>
      <c r="G108" s="75">
        <v>0</v>
      </c>
      <c r="H108" s="61">
        <v>0</v>
      </c>
      <c r="I108" s="64">
        <v>29894</v>
      </c>
      <c r="J108" s="65">
        <v>0</v>
      </c>
      <c r="K108" s="65">
        <v>0</v>
      </c>
      <c r="L108" s="65">
        <v>0</v>
      </c>
      <c r="M108" s="66">
        <f t="shared" si="3"/>
        <v>29894</v>
      </c>
      <c r="N108" s="67">
        <f t="shared" si="2"/>
        <v>970106</v>
      </c>
      <c r="O108" s="77">
        <v>109</v>
      </c>
      <c r="P108" s="82" t="s">
        <v>278</v>
      </c>
    </row>
    <row r="109" spans="1:16" ht="18.75" x14ac:dyDescent="0.3">
      <c r="A109" s="56">
        <v>106</v>
      </c>
      <c r="B109" s="85" t="s">
        <v>339</v>
      </c>
      <c r="C109" s="86" t="s">
        <v>340</v>
      </c>
      <c r="D109" s="93" t="s">
        <v>341</v>
      </c>
      <c r="E109" s="84">
        <v>1000000</v>
      </c>
      <c r="F109" s="61">
        <v>150000</v>
      </c>
      <c r="G109" s="94">
        <v>629056</v>
      </c>
      <c r="H109" s="61">
        <v>0</v>
      </c>
      <c r="I109" s="64">
        <v>29894</v>
      </c>
      <c r="J109" s="65">
        <v>0</v>
      </c>
      <c r="K109" s="65">
        <v>0</v>
      </c>
      <c r="L109" s="65">
        <v>0</v>
      </c>
      <c r="M109" s="66">
        <f t="shared" si="3"/>
        <v>808950</v>
      </c>
      <c r="N109" s="67">
        <f t="shared" si="2"/>
        <v>191050</v>
      </c>
      <c r="O109" s="68">
        <v>110</v>
      </c>
      <c r="P109" s="82" t="s">
        <v>278</v>
      </c>
    </row>
    <row r="110" spans="1:16" ht="18.75" x14ac:dyDescent="0.3">
      <c r="A110" s="72">
        <v>107</v>
      </c>
      <c r="B110" s="85" t="s">
        <v>342</v>
      </c>
      <c r="C110" s="86" t="s">
        <v>343</v>
      </c>
      <c r="D110" s="93" t="s">
        <v>344</v>
      </c>
      <c r="E110" s="84">
        <v>1000000</v>
      </c>
      <c r="F110" s="61">
        <v>150000</v>
      </c>
      <c r="G110" s="62">
        <v>620000</v>
      </c>
      <c r="H110" s="61">
        <v>0</v>
      </c>
      <c r="I110" s="64">
        <v>29894</v>
      </c>
      <c r="J110" s="65">
        <v>0</v>
      </c>
      <c r="K110" s="65">
        <v>0</v>
      </c>
      <c r="L110" s="65">
        <v>0</v>
      </c>
      <c r="M110" s="66">
        <f t="shared" si="3"/>
        <v>799894</v>
      </c>
      <c r="N110" s="67">
        <f t="shared" si="2"/>
        <v>200106</v>
      </c>
      <c r="O110" s="77">
        <v>111</v>
      </c>
      <c r="P110" s="82" t="s">
        <v>278</v>
      </c>
    </row>
    <row r="111" spans="1:16" ht="18.75" x14ac:dyDescent="0.3">
      <c r="A111" s="72">
        <v>108</v>
      </c>
      <c r="B111" s="85" t="s">
        <v>345</v>
      </c>
      <c r="C111" s="86" t="s">
        <v>346</v>
      </c>
      <c r="D111" s="93" t="s">
        <v>347</v>
      </c>
      <c r="E111" s="84">
        <v>1000000</v>
      </c>
      <c r="F111" s="61">
        <v>0</v>
      </c>
      <c r="G111" s="75">
        <v>0</v>
      </c>
      <c r="H111" s="61">
        <v>0</v>
      </c>
      <c r="I111" s="64">
        <v>29894</v>
      </c>
      <c r="J111" s="65">
        <v>0</v>
      </c>
      <c r="K111" s="65">
        <v>0</v>
      </c>
      <c r="L111" s="65">
        <v>0</v>
      </c>
      <c r="M111" s="66">
        <f t="shared" si="3"/>
        <v>29894</v>
      </c>
      <c r="N111" s="67">
        <f t="shared" si="2"/>
        <v>970106</v>
      </c>
      <c r="O111" s="68">
        <v>112</v>
      </c>
      <c r="P111" s="82" t="s">
        <v>278</v>
      </c>
    </row>
    <row r="112" spans="1:16" ht="18.75" x14ac:dyDescent="0.3">
      <c r="A112" s="56">
        <v>109</v>
      </c>
      <c r="B112" s="85" t="s">
        <v>348</v>
      </c>
      <c r="C112" s="86" t="s">
        <v>349</v>
      </c>
      <c r="D112" s="93" t="s">
        <v>350</v>
      </c>
      <c r="E112" s="84">
        <v>1000000</v>
      </c>
      <c r="F112" s="61">
        <v>150000</v>
      </c>
      <c r="G112" s="75">
        <v>0</v>
      </c>
      <c r="H112" s="61">
        <v>0</v>
      </c>
      <c r="I112" s="64">
        <v>29894</v>
      </c>
      <c r="J112" s="65">
        <v>0</v>
      </c>
      <c r="K112" s="65">
        <v>0</v>
      </c>
      <c r="L112" s="65">
        <v>0</v>
      </c>
      <c r="M112" s="66">
        <f t="shared" si="3"/>
        <v>179894</v>
      </c>
      <c r="N112" s="67">
        <f t="shared" si="2"/>
        <v>820106</v>
      </c>
      <c r="O112" s="77">
        <v>113</v>
      </c>
      <c r="P112" s="82" t="s">
        <v>278</v>
      </c>
    </row>
    <row r="113" spans="1:16" ht="18.75" x14ac:dyDescent="0.3">
      <c r="A113" s="72">
        <v>110</v>
      </c>
      <c r="B113" s="85" t="s">
        <v>351</v>
      </c>
      <c r="C113" s="86" t="s">
        <v>352</v>
      </c>
      <c r="D113" s="93" t="s">
        <v>353</v>
      </c>
      <c r="E113" s="84">
        <v>1000000</v>
      </c>
      <c r="F113" s="61">
        <v>150000</v>
      </c>
      <c r="G113" s="62">
        <v>413333</v>
      </c>
      <c r="H113" s="61">
        <v>0</v>
      </c>
      <c r="I113" s="64">
        <v>29894</v>
      </c>
      <c r="J113" s="65">
        <v>0</v>
      </c>
      <c r="K113" s="65">
        <v>0</v>
      </c>
      <c r="L113" s="65">
        <v>0</v>
      </c>
      <c r="M113" s="66">
        <f t="shared" si="3"/>
        <v>593227</v>
      </c>
      <c r="N113" s="67">
        <f t="shared" si="2"/>
        <v>406773</v>
      </c>
      <c r="O113" s="68">
        <v>114</v>
      </c>
      <c r="P113" s="82" t="s">
        <v>278</v>
      </c>
    </row>
    <row r="114" spans="1:16" ht="18.75" x14ac:dyDescent="0.3">
      <c r="A114" s="72">
        <v>111</v>
      </c>
      <c r="B114" s="85" t="s">
        <v>354</v>
      </c>
      <c r="C114" s="86" t="s">
        <v>355</v>
      </c>
      <c r="D114" s="93" t="s">
        <v>356</v>
      </c>
      <c r="E114" s="84">
        <v>1000000</v>
      </c>
      <c r="F114" s="61">
        <v>150000</v>
      </c>
      <c r="G114" s="75">
        <v>0</v>
      </c>
      <c r="H114" s="61">
        <v>0</v>
      </c>
      <c r="I114" s="64">
        <v>29894</v>
      </c>
      <c r="J114" s="65">
        <v>0</v>
      </c>
      <c r="K114" s="65">
        <v>0</v>
      </c>
      <c r="L114" s="65">
        <v>0</v>
      </c>
      <c r="M114" s="66">
        <f t="shared" si="3"/>
        <v>179894</v>
      </c>
      <c r="N114" s="67">
        <f t="shared" si="2"/>
        <v>820106</v>
      </c>
      <c r="O114" s="77">
        <v>115</v>
      </c>
      <c r="P114" s="82" t="s">
        <v>278</v>
      </c>
    </row>
    <row r="115" spans="1:16" ht="18.75" x14ac:dyDescent="0.3">
      <c r="A115" s="56">
        <v>112</v>
      </c>
      <c r="B115" s="85" t="s">
        <v>357</v>
      </c>
      <c r="C115" s="86" t="s">
        <v>358</v>
      </c>
      <c r="D115" s="93" t="s">
        <v>359</v>
      </c>
      <c r="E115" s="84">
        <v>1000000</v>
      </c>
      <c r="F115" s="61">
        <v>0</v>
      </c>
      <c r="G115" s="75">
        <v>0</v>
      </c>
      <c r="H115" s="61">
        <v>0</v>
      </c>
      <c r="I115" s="64">
        <v>29894</v>
      </c>
      <c r="J115" s="65">
        <v>0</v>
      </c>
      <c r="K115" s="65">
        <v>0</v>
      </c>
      <c r="L115" s="65">
        <v>0</v>
      </c>
      <c r="M115" s="66">
        <f t="shared" si="3"/>
        <v>29894</v>
      </c>
      <c r="N115" s="67">
        <f t="shared" si="2"/>
        <v>970106</v>
      </c>
      <c r="O115" s="68">
        <v>116</v>
      </c>
      <c r="P115" s="82" t="s">
        <v>278</v>
      </c>
    </row>
    <row r="116" spans="1:16" ht="18.75" x14ac:dyDescent="0.3">
      <c r="A116" s="72">
        <v>113</v>
      </c>
      <c r="B116" s="85" t="s">
        <v>360</v>
      </c>
      <c r="C116" s="86" t="s">
        <v>361</v>
      </c>
      <c r="D116" s="93" t="s">
        <v>362</v>
      </c>
      <c r="E116" s="84">
        <v>1000000</v>
      </c>
      <c r="F116" s="61">
        <v>150000</v>
      </c>
      <c r="G116" s="62">
        <v>516667</v>
      </c>
      <c r="H116" s="61">
        <v>0</v>
      </c>
      <c r="I116" s="64">
        <v>29894</v>
      </c>
      <c r="J116" s="65">
        <v>0</v>
      </c>
      <c r="K116" s="65">
        <v>0</v>
      </c>
      <c r="L116" s="65">
        <v>0</v>
      </c>
      <c r="M116" s="66">
        <f t="shared" si="3"/>
        <v>696561</v>
      </c>
      <c r="N116" s="67">
        <f t="shared" si="2"/>
        <v>303439</v>
      </c>
      <c r="O116" s="77">
        <v>117</v>
      </c>
      <c r="P116" s="82" t="s">
        <v>278</v>
      </c>
    </row>
    <row r="117" spans="1:16" ht="18.75" x14ac:dyDescent="0.3">
      <c r="A117" s="72">
        <v>114</v>
      </c>
      <c r="B117" s="85" t="s">
        <v>363</v>
      </c>
      <c r="C117" s="86" t="s">
        <v>364</v>
      </c>
      <c r="D117" s="93" t="s">
        <v>365</v>
      </c>
      <c r="E117" s="84">
        <v>1000000</v>
      </c>
      <c r="F117" s="61">
        <v>0</v>
      </c>
      <c r="G117" s="75">
        <v>0</v>
      </c>
      <c r="H117" s="61">
        <v>0</v>
      </c>
      <c r="I117" s="64">
        <v>29894</v>
      </c>
      <c r="J117" s="65">
        <v>0</v>
      </c>
      <c r="K117" s="65">
        <v>0</v>
      </c>
      <c r="L117" s="65">
        <v>0</v>
      </c>
      <c r="M117" s="66">
        <f t="shared" si="3"/>
        <v>29894</v>
      </c>
      <c r="N117" s="67">
        <f t="shared" si="2"/>
        <v>970106</v>
      </c>
      <c r="O117" s="68">
        <v>118</v>
      </c>
      <c r="P117" s="82" t="s">
        <v>278</v>
      </c>
    </row>
    <row r="118" spans="1:16" ht="18.75" x14ac:dyDescent="0.3">
      <c r="A118" s="56">
        <v>115</v>
      </c>
      <c r="B118" s="85" t="s">
        <v>366</v>
      </c>
      <c r="C118" s="86" t="s">
        <v>367</v>
      </c>
      <c r="D118" s="93" t="s">
        <v>368</v>
      </c>
      <c r="E118" s="84">
        <v>1000000</v>
      </c>
      <c r="F118" s="61">
        <v>150000</v>
      </c>
      <c r="G118" s="62">
        <v>567649</v>
      </c>
      <c r="H118" s="61">
        <v>0</v>
      </c>
      <c r="I118" s="64">
        <v>29894</v>
      </c>
      <c r="J118" s="65">
        <v>0</v>
      </c>
      <c r="K118" s="65">
        <v>0</v>
      </c>
      <c r="L118" s="65">
        <v>0</v>
      </c>
      <c r="M118" s="66">
        <f t="shared" si="3"/>
        <v>747543</v>
      </c>
      <c r="N118" s="67">
        <f t="shared" si="2"/>
        <v>252457</v>
      </c>
      <c r="O118" s="77">
        <v>119</v>
      </c>
      <c r="P118" s="82" t="s">
        <v>278</v>
      </c>
    </row>
    <row r="119" spans="1:16" ht="18.75" x14ac:dyDescent="0.3">
      <c r="A119" s="72">
        <v>116</v>
      </c>
      <c r="B119" s="85" t="s">
        <v>369</v>
      </c>
      <c r="C119" s="86" t="s">
        <v>370</v>
      </c>
      <c r="D119" s="93" t="s">
        <v>371</v>
      </c>
      <c r="E119" s="84">
        <v>1000000</v>
      </c>
      <c r="F119" s="61">
        <v>0</v>
      </c>
      <c r="G119" s="75">
        <v>0</v>
      </c>
      <c r="H119" s="61">
        <v>0</v>
      </c>
      <c r="I119" s="64">
        <v>29894</v>
      </c>
      <c r="J119" s="65">
        <v>0</v>
      </c>
      <c r="K119" s="65">
        <v>0</v>
      </c>
      <c r="L119" s="65">
        <v>0</v>
      </c>
      <c r="M119" s="66">
        <f t="shared" si="3"/>
        <v>29894</v>
      </c>
      <c r="N119" s="67">
        <f t="shared" si="2"/>
        <v>970106</v>
      </c>
      <c r="O119" s="68">
        <v>120</v>
      </c>
      <c r="P119" s="82" t="s">
        <v>278</v>
      </c>
    </row>
    <row r="120" spans="1:16" ht="18.75" x14ac:dyDescent="0.3">
      <c r="A120" s="72">
        <v>117</v>
      </c>
      <c r="B120" s="85" t="s">
        <v>372</v>
      </c>
      <c r="C120" s="86" t="s">
        <v>373</v>
      </c>
      <c r="D120" s="93" t="s">
        <v>374</v>
      </c>
      <c r="E120" s="84">
        <v>1000000</v>
      </c>
      <c r="F120" s="61">
        <v>0</v>
      </c>
      <c r="G120" s="75">
        <v>0</v>
      </c>
      <c r="H120" s="61">
        <v>0</v>
      </c>
      <c r="I120" s="64">
        <v>29894</v>
      </c>
      <c r="J120" s="65">
        <v>0</v>
      </c>
      <c r="K120" s="65">
        <v>0</v>
      </c>
      <c r="L120" s="65">
        <v>0</v>
      </c>
      <c r="M120" s="66">
        <f t="shared" si="3"/>
        <v>29894</v>
      </c>
      <c r="N120" s="67">
        <f t="shared" si="2"/>
        <v>970106</v>
      </c>
      <c r="O120" s="77">
        <v>121</v>
      </c>
      <c r="P120" s="82" t="s">
        <v>278</v>
      </c>
    </row>
    <row r="121" spans="1:16" ht="18.75" x14ac:dyDescent="0.3">
      <c r="A121" s="56">
        <v>118</v>
      </c>
      <c r="B121" s="85" t="s">
        <v>375</v>
      </c>
      <c r="C121" s="86" t="s">
        <v>376</v>
      </c>
      <c r="D121" s="93" t="s">
        <v>377</v>
      </c>
      <c r="E121" s="84">
        <v>1000000</v>
      </c>
      <c r="F121" s="61">
        <v>0</v>
      </c>
      <c r="G121" s="75">
        <v>0</v>
      </c>
      <c r="H121" s="61">
        <v>0</v>
      </c>
      <c r="I121" s="64">
        <v>29894</v>
      </c>
      <c r="J121" s="65">
        <v>0</v>
      </c>
      <c r="K121" s="65">
        <v>0</v>
      </c>
      <c r="L121" s="65">
        <v>0</v>
      </c>
      <c r="M121" s="66">
        <f t="shared" si="3"/>
        <v>29894</v>
      </c>
      <c r="N121" s="67">
        <f t="shared" si="2"/>
        <v>970106</v>
      </c>
      <c r="O121" s="68">
        <v>122</v>
      </c>
      <c r="P121" s="82" t="s">
        <v>278</v>
      </c>
    </row>
    <row r="122" spans="1:16" ht="18.75" x14ac:dyDescent="0.3">
      <c r="A122" s="72">
        <v>119</v>
      </c>
      <c r="B122" s="85" t="s">
        <v>378</v>
      </c>
      <c r="C122" s="86" t="s">
        <v>379</v>
      </c>
      <c r="D122" s="93" t="s">
        <v>380</v>
      </c>
      <c r="E122" s="84">
        <v>1000000</v>
      </c>
      <c r="F122" s="61">
        <v>0</v>
      </c>
      <c r="G122" s="75">
        <v>0</v>
      </c>
      <c r="H122" s="61">
        <v>0</v>
      </c>
      <c r="I122" s="64">
        <v>29894</v>
      </c>
      <c r="J122" s="65">
        <v>0</v>
      </c>
      <c r="K122" s="65">
        <v>0</v>
      </c>
      <c r="L122" s="65">
        <v>0</v>
      </c>
      <c r="M122" s="66">
        <f t="shared" si="3"/>
        <v>29894</v>
      </c>
      <c r="N122" s="67">
        <f t="shared" si="2"/>
        <v>970106</v>
      </c>
      <c r="O122" s="77">
        <v>123</v>
      </c>
      <c r="P122" s="82" t="s">
        <v>278</v>
      </c>
    </row>
    <row r="123" spans="1:16" ht="18.75" x14ac:dyDescent="0.3">
      <c r="A123" s="72">
        <v>120</v>
      </c>
      <c r="B123" s="85" t="s">
        <v>381</v>
      </c>
      <c r="C123" s="86" t="s">
        <v>382</v>
      </c>
      <c r="D123" s="93" t="s">
        <v>383</v>
      </c>
      <c r="E123" s="84">
        <v>1000000</v>
      </c>
      <c r="F123" s="61">
        <v>150000</v>
      </c>
      <c r="G123" s="62">
        <v>680000</v>
      </c>
      <c r="H123" s="61">
        <v>0</v>
      </c>
      <c r="I123" s="64">
        <v>29894</v>
      </c>
      <c r="J123" s="65">
        <v>0</v>
      </c>
      <c r="K123" s="65">
        <v>0</v>
      </c>
      <c r="L123" s="65">
        <v>0</v>
      </c>
      <c r="M123" s="66">
        <f t="shared" si="3"/>
        <v>859894</v>
      </c>
      <c r="N123" s="67">
        <f t="shared" si="2"/>
        <v>140106</v>
      </c>
      <c r="O123" s="68">
        <v>124</v>
      </c>
      <c r="P123" s="82" t="s">
        <v>278</v>
      </c>
    </row>
    <row r="124" spans="1:16" ht="18.75" x14ac:dyDescent="0.3">
      <c r="A124" s="56">
        <v>121</v>
      </c>
      <c r="B124" s="85" t="s">
        <v>384</v>
      </c>
      <c r="C124" s="86" t="s">
        <v>385</v>
      </c>
      <c r="D124" s="93" t="s">
        <v>386</v>
      </c>
      <c r="E124" s="84">
        <v>1000000</v>
      </c>
      <c r="F124" s="61">
        <v>150000</v>
      </c>
      <c r="G124" s="62">
        <v>685971</v>
      </c>
      <c r="H124" s="61">
        <v>0</v>
      </c>
      <c r="I124" s="64">
        <v>29894</v>
      </c>
      <c r="J124" s="65">
        <v>0</v>
      </c>
      <c r="K124" s="65">
        <v>0</v>
      </c>
      <c r="L124" s="65">
        <v>0</v>
      </c>
      <c r="M124" s="66">
        <f t="shared" si="3"/>
        <v>865865</v>
      </c>
      <c r="N124" s="67">
        <f t="shared" si="2"/>
        <v>134135</v>
      </c>
      <c r="O124" s="77">
        <v>125</v>
      </c>
      <c r="P124" s="82" t="s">
        <v>278</v>
      </c>
    </row>
    <row r="125" spans="1:16" ht="18.75" x14ac:dyDescent="0.3">
      <c r="A125" s="72">
        <v>122</v>
      </c>
      <c r="B125" s="85" t="s">
        <v>387</v>
      </c>
      <c r="C125" s="86" t="s">
        <v>388</v>
      </c>
      <c r="D125" s="93" t="s">
        <v>389</v>
      </c>
      <c r="E125" s="84">
        <v>1000000</v>
      </c>
      <c r="F125" s="61">
        <v>0</v>
      </c>
      <c r="G125" s="75">
        <v>0</v>
      </c>
      <c r="H125" s="61">
        <v>0</v>
      </c>
      <c r="I125" s="64">
        <v>29894</v>
      </c>
      <c r="J125" s="65">
        <v>0</v>
      </c>
      <c r="K125" s="65">
        <v>0</v>
      </c>
      <c r="L125" s="65">
        <v>0</v>
      </c>
      <c r="M125" s="66">
        <f t="shared" si="3"/>
        <v>29894</v>
      </c>
      <c r="N125" s="67">
        <f t="shared" si="2"/>
        <v>970106</v>
      </c>
      <c r="O125" s="68">
        <v>126</v>
      </c>
      <c r="P125" s="82" t="s">
        <v>278</v>
      </c>
    </row>
    <row r="126" spans="1:16" ht="18.75" x14ac:dyDescent="0.3">
      <c r="A126" s="72">
        <v>123</v>
      </c>
      <c r="B126" s="85" t="s">
        <v>390</v>
      </c>
      <c r="C126" s="86" t="s">
        <v>391</v>
      </c>
      <c r="D126" s="93" t="s">
        <v>392</v>
      </c>
      <c r="E126" s="84">
        <v>1200000</v>
      </c>
      <c r="F126" s="61">
        <v>0</v>
      </c>
      <c r="G126" s="75">
        <v>0</v>
      </c>
      <c r="H126" s="61">
        <v>0</v>
      </c>
      <c r="I126" s="64">
        <v>29894</v>
      </c>
      <c r="J126" s="65">
        <v>0</v>
      </c>
      <c r="K126" s="65">
        <v>0</v>
      </c>
      <c r="L126" s="65">
        <v>0</v>
      </c>
      <c r="M126" s="66">
        <f t="shared" si="3"/>
        <v>29894</v>
      </c>
      <c r="N126" s="67">
        <f t="shared" si="2"/>
        <v>1170106</v>
      </c>
      <c r="O126" s="77">
        <v>127</v>
      </c>
      <c r="P126" s="82" t="s">
        <v>278</v>
      </c>
    </row>
    <row r="127" spans="1:16" ht="18.75" x14ac:dyDescent="0.3">
      <c r="A127" s="56">
        <v>124</v>
      </c>
      <c r="B127" s="85" t="s">
        <v>393</v>
      </c>
      <c r="C127" s="86" t="s">
        <v>394</v>
      </c>
      <c r="D127" s="93" t="s">
        <v>395</v>
      </c>
      <c r="E127" s="84">
        <v>1200000</v>
      </c>
      <c r="F127" s="61">
        <v>0</v>
      </c>
      <c r="G127" s="75">
        <v>0</v>
      </c>
      <c r="H127" s="61">
        <v>0</v>
      </c>
      <c r="I127" s="64">
        <v>29894</v>
      </c>
      <c r="J127" s="65">
        <v>0</v>
      </c>
      <c r="K127" s="65">
        <v>0</v>
      </c>
      <c r="L127" s="65">
        <v>0</v>
      </c>
      <c r="M127" s="66">
        <f t="shared" si="3"/>
        <v>29894</v>
      </c>
      <c r="N127" s="67">
        <f t="shared" si="2"/>
        <v>1170106</v>
      </c>
      <c r="O127" s="68">
        <v>128</v>
      </c>
      <c r="P127" s="82" t="s">
        <v>278</v>
      </c>
    </row>
    <row r="128" spans="1:16" ht="18.75" x14ac:dyDescent="0.3">
      <c r="A128" s="72">
        <v>125</v>
      </c>
      <c r="B128" s="85" t="s">
        <v>396</v>
      </c>
      <c r="C128" s="86" t="s">
        <v>397</v>
      </c>
      <c r="D128" s="93" t="s">
        <v>398</v>
      </c>
      <c r="E128" s="84">
        <v>1200000</v>
      </c>
      <c r="F128" s="61">
        <v>0</v>
      </c>
      <c r="G128" s="75">
        <v>0</v>
      </c>
      <c r="H128" s="61">
        <v>0</v>
      </c>
      <c r="I128" s="64">
        <v>29894</v>
      </c>
      <c r="J128" s="65">
        <v>0</v>
      </c>
      <c r="K128" s="65">
        <v>0</v>
      </c>
      <c r="L128" s="65">
        <v>0</v>
      </c>
      <c r="M128" s="66">
        <f t="shared" si="3"/>
        <v>29894</v>
      </c>
      <c r="N128" s="67">
        <f t="shared" si="2"/>
        <v>1170106</v>
      </c>
      <c r="O128" s="77">
        <v>129</v>
      </c>
      <c r="P128" s="82" t="s">
        <v>278</v>
      </c>
    </row>
    <row r="129" spans="1:16" ht="18.75" x14ac:dyDescent="0.3">
      <c r="A129" s="72">
        <v>126</v>
      </c>
      <c r="B129" s="85" t="s">
        <v>399</v>
      </c>
      <c r="C129" s="86" t="s">
        <v>400</v>
      </c>
      <c r="D129" s="93" t="s">
        <v>401</v>
      </c>
      <c r="E129" s="84">
        <v>1200000</v>
      </c>
      <c r="F129" s="61">
        <v>0</v>
      </c>
      <c r="G129" s="75">
        <v>0</v>
      </c>
      <c r="H129" s="61">
        <v>0</v>
      </c>
      <c r="I129" s="64">
        <v>29894</v>
      </c>
      <c r="J129" s="65">
        <v>0</v>
      </c>
      <c r="K129" s="65">
        <v>0</v>
      </c>
      <c r="L129" s="65">
        <v>0</v>
      </c>
      <c r="M129" s="66">
        <f t="shared" si="3"/>
        <v>29894</v>
      </c>
      <c r="N129" s="67">
        <f t="shared" si="2"/>
        <v>1170106</v>
      </c>
      <c r="O129" s="68">
        <v>130</v>
      </c>
      <c r="P129" s="82" t="s">
        <v>278</v>
      </c>
    </row>
    <row r="130" spans="1:16" ht="18.75" x14ac:dyDescent="0.3">
      <c r="A130" s="56">
        <v>127</v>
      </c>
      <c r="B130" s="85" t="s">
        <v>402</v>
      </c>
      <c r="C130" s="86" t="s">
        <v>403</v>
      </c>
      <c r="D130" s="93" t="s">
        <v>404</v>
      </c>
      <c r="E130" s="84">
        <v>1200000</v>
      </c>
      <c r="F130" s="61">
        <v>0</v>
      </c>
      <c r="G130" s="75">
        <v>0</v>
      </c>
      <c r="H130" s="61">
        <v>0</v>
      </c>
      <c r="I130" s="64">
        <v>29894</v>
      </c>
      <c r="J130" s="65">
        <v>0</v>
      </c>
      <c r="K130" s="65">
        <v>0</v>
      </c>
      <c r="L130" s="65">
        <v>0</v>
      </c>
      <c r="M130" s="66">
        <f t="shared" si="3"/>
        <v>29894</v>
      </c>
      <c r="N130" s="67">
        <f t="shared" si="2"/>
        <v>1170106</v>
      </c>
      <c r="O130" s="77">
        <v>131</v>
      </c>
      <c r="P130" s="82" t="s">
        <v>278</v>
      </c>
    </row>
    <row r="131" spans="1:16" ht="18.75" x14ac:dyDescent="0.3">
      <c r="A131" s="72">
        <v>128</v>
      </c>
      <c r="B131" s="85" t="s">
        <v>405</v>
      </c>
      <c r="C131" s="86" t="s">
        <v>406</v>
      </c>
      <c r="D131" s="93" t="s">
        <v>407</v>
      </c>
      <c r="E131" s="84">
        <v>1200000</v>
      </c>
      <c r="F131" s="61">
        <v>0</v>
      </c>
      <c r="G131" s="75">
        <v>0</v>
      </c>
      <c r="H131" s="61">
        <v>0</v>
      </c>
      <c r="I131" s="64">
        <v>29894</v>
      </c>
      <c r="J131" s="65">
        <v>0</v>
      </c>
      <c r="K131" s="65">
        <v>0</v>
      </c>
      <c r="L131" s="65">
        <v>0</v>
      </c>
      <c r="M131" s="66">
        <f t="shared" si="3"/>
        <v>29894</v>
      </c>
      <c r="N131" s="67">
        <f t="shared" si="2"/>
        <v>1170106</v>
      </c>
      <c r="O131" s="68">
        <v>132</v>
      </c>
      <c r="P131" s="82" t="s">
        <v>278</v>
      </c>
    </row>
    <row r="132" spans="1:16" ht="18.75" x14ac:dyDescent="0.3">
      <c r="A132" s="72">
        <v>129</v>
      </c>
      <c r="B132" s="85" t="s">
        <v>408</v>
      </c>
      <c r="C132" s="86" t="s">
        <v>409</v>
      </c>
      <c r="D132" s="93" t="s">
        <v>410</v>
      </c>
      <c r="E132" s="84">
        <v>1000000</v>
      </c>
      <c r="F132" s="61">
        <v>0</v>
      </c>
      <c r="G132" s="75">
        <v>0</v>
      </c>
      <c r="H132" s="61">
        <v>0</v>
      </c>
      <c r="I132" s="64">
        <v>29894</v>
      </c>
      <c r="J132" s="65">
        <v>0</v>
      </c>
      <c r="K132" s="65">
        <v>0</v>
      </c>
      <c r="L132" s="65">
        <v>0</v>
      </c>
      <c r="M132" s="66">
        <f t="shared" si="3"/>
        <v>29894</v>
      </c>
      <c r="N132" s="67">
        <f t="shared" ref="N132:N195" si="4">E132-M132</f>
        <v>970106</v>
      </c>
      <c r="O132" s="68">
        <v>134</v>
      </c>
      <c r="P132" s="82" t="s">
        <v>278</v>
      </c>
    </row>
    <row r="133" spans="1:16" ht="18.75" x14ac:dyDescent="0.3">
      <c r="A133" s="56">
        <v>130</v>
      </c>
      <c r="B133" s="85" t="s">
        <v>411</v>
      </c>
      <c r="C133" s="86" t="s">
        <v>412</v>
      </c>
      <c r="D133" s="93" t="s">
        <v>413</v>
      </c>
      <c r="E133" s="84">
        <v>1000000</v>
      </c>
      <c r="F133" s="61">
        <v>0</v>
      </c>
      <c r="G133" s="75">
        <v>0</v>
      </c>
      <c r="H133" s="61">
        <v>0</v>
      </c>
      <c r="I133" s="64">
        <v>29894</v>
      </c>
      <c r="J133" s="65">
        <v>0</v>
      </c>
      <c r="K133" s="65">
        <v>0</v>
      </c>
      <c r="L133" s="65">
        <v>0</v>
      </c>
      <c r="M133" s="66">
        <f t="shared" ref="M133:M196" si="5">SUM(F133:L133)</f>
        <v>29894</v>
      </c>
      <c r="N133" s="67">
        <f t="shared" si="4"/>
        <v>970106</v>
      </c>
      <c r="O133" s="77">
        <v>135</v>
      </c>
      <c r="P133" s="82" t="s">
        <v>278</v>
      </c>
    </row>
    <row r="134" spans="1:16" ht="18.75" x14ac:dyDescent="0.3">
      <c r="A134" s="72">
        <v>131</v>
      </c>
      <c r="B134" s="85" t="s">
        <v>414</v>
      </c>
      <c r="C134" s="86" t="s">
        <v>415</v>
      </c>
      <c r="D134" s="93" t="s">
        <v>416</v>
      </c>
      <c r="E134" s="84">
        <v>1000000</v>
      </c>
      <c r="F134" s="61">
        <v>150000</v>
      </c>
      <c r="G134" s="62">
        <v>361667</v>
      </c>
      <c r="H134" s="61">
        <v>0</v>
      </c>
      <c r="I134" s="64">
        <v>29894</v>
      </c>
      <c r="J134" s="65">
        <v>0</v>
      </c>
      <c r="K134" s="65">
        <v>0</v>
      </c>
      <c r="L134" s="65">
        <v>0</v>
      </c>
      <c r="M134" s="66">
        <f t="shared" si="5"/>
        <v>541561</v>
      </c>
      <c r="N134" s="67">
        <f t="shared" si="4"/>
        <v>458439</v>
      </c>
      <c r="O134" s="68">
        <v>136</v>
      </c>
      <c r="P134" s="82" t="s">
        <v>278</v>
      </c>
    </row>
    <row r="135" spans="1:16" ht="18.75" x14ac:dyDescent="0.3">
      <c r="A135" s="72">
        <v>132</v>
      </c>
      <c r="B135" s="85" t="s">
        <v>417</v>
      </c>
      <c r="C135" s="86" t="s">
        <v>418</v>
      </c>
      <c r="D135" s="93" t="s">
        <v>419</v>
      </c>
      <c r="E135" s="84">
        <v>1000000</v>
      </c>
      <c r="F135" s="61">
        <v>0</v>
      </c>
      <c r="G135" s="75">
        <v>0</v>
      </c>
      <c r="H135" s="61">
        <v>0</v>
      </c>
      <c r="I135" s="64">
        <v>29894</v>
      </c>
      <c r="J135" s="65">
        <v>0</v>
      </c>
      <c r="K135" s="65">
        <v>0</v>
      </c>
      <c r="L135" s="65">
        <v>0</v>
      </c>
      <c r="M135" s="66">
        <f t="shared" si="5"/>
        <v>29894</v>
      </c>
      <c r="N135" s="67">
        <f t="shared" si="4"/>
        <v>970106</v>
      </c>
      <c r="O135" s="77">
        <v>137</v>
      </c>
      <c r="P135" s="82" t="s">
        <v>278</v>
      </c>
    </row>
    <row r="136" spans="1:16" ht="18.75" x14ac:dyDescent="0.3">
      <c r="A136" s="56">
        <v>133</v>
      </c>
      <c r="B136" s="85" t="s">
        <v>420</v>
      </c>
      <c r="C136" s="86" t="s">
        <v>421</v>
      </c>
      <c r="D136" s="93" t="s">
        <v>422</v>
      </c>
      <c r="E136" s="84">
        <v>1000000</v>
      </c>
      <c r="F136" s="61">
        <v>150000</v>
      </c>
      <c r="G136" s="62">
        <v>0</v>
      </c>
      <c r="H136" s="61">
        <v>0</v>
      </c>
      <c r="I136" s="64">
        <v>29894</v>
      </c>
      <c r="J136" s="65">
        <v>0</v>
      </c>
      <c r="K136" s="65">
        <v>0</v>
      </c>
      <c r="L136" s="65">
        <v>0</v>
      </c>
      <c r="M136" s="66">
        <f t="shared" si="5"/>
        <v>179894</v>
      </c>
      <c r="N136" s="67">
        <f t="shared" si="4"/>
        <v>820106</v>
      </c>
      <c r="O136" s="68">
        <v>138</v>
      </c>
      <c r="P136" s="82" t="s">
        <v>278</v>
      </c>
    </row>
    <row r="137" spans="1:16" ht="18.75" x14ac:dyDescent="0.3">
      <c r="A137" s="72">
        <v>134</v>
      </c>
      <c r="B137" s="85" t="s">
        <v>423</v>
      </c>
      <c r="C137" s="86" t="s">
        <v>424</v>
      </c>
      <c r="D137" s="93" t="s">
        <v>425</v>
      </c>
      <c r="E137" s="84">
        <v>1000000</v>
      </c>
      <c r="F137" s="61">
        <v>150000</v>
      </c>
      <c r="G137" s="62">
        <v>378903</v>
      </c>
      <c r="H137" s="61">
        <v>0</v>
      </c>
      <c r="I137" s="64">
        <v>29894</v>
      </c>
      <c r="J137" s="65">
        <v>0</v>
      </c>
      <c r="K137" s="65">
        <v>0</v>
      </c>
      <c r="L137" s="65">
        <v>0</v>
      </c>
      <c r="M137" s="66">
        <f t="shared" si="5"/>
        <v>558797</v>
      </c>
      <c r="N137" s="67">
        <f t="shared" si="4"/>
        <v>441203</v>
      </c>
      <c r="O137" s="77">
        <v>139</v>
      </c>
      <c r="P137" s="82" t="s">
        <v>278</v>
      </c>
    </row>
    <row r="138" spans="1:16" ht="18.75" x14ac:dyDescent="0.3">
      <c r="A138" s="72">
        <v>135</v>
      </c>
      <c r="B138" s="85" t="s">
        <v>426</v>
      </c>
      <c r="C138" s="86" t="s">
        <v>427</v>
      </c>
      <c r="D138" s="93" t="s">
        <v>428</v>
      </c>
      <c r="E138" s="84">
        <v>1000000</v>
      </c>
      <c r="F138" s="61">
        <v>0</v>
      </c>
      <c r="G138" s="75">
        <v>0</v>
      </c>
      <c r="H138" s="61">
        <v>0</v>
      </c>
      <c r="I138" s="64">
        <v>29894</v>
      </c>
      <c r="J138" s="65">
        <v>0</v>
      </c>
      <c r="K138" s="65">
        <v>0</v>
      </c>
      <c r="L138" s="65">
        <v>0</v>
      </c>
      <c r="M138" s="66">
        <f t="shared" si="5"/>
        <v>29894</v>
      </c>
      <c r="N138" s="67">
        <f t="shared" si="4"/>
        <v>970106</v>
      </c>
      <c r="O138" s="68">
        <v>140</v>
      </c>
      <c r="P138" s="82" t="s">
        <v>278</v>
      </c>
    </row>
    <row r="139" spans="1:16" ht="18.75" x14ac:dyDescent="0.3">
      <c r="A139" s="56">
        <v>136</v>
      </c>
      <c r="B139" s="85" t="s">
        <v>429</v>
      </c>
      <c r="C139" s="86" t="s">
        <v>430</v>
      </c>
      <c r="D139" s="93" t="s">
        <v>431</v>
      </c>
      <c r="E139" s="84">
        <v>1000000</v>
      </c>
      <c r="F139" s="61">
        <v>0</v>
      </c>
      <c r="G139" s="75">
        <v>0</v>
      </c>
      <c r="H139" s="61">
        <v>0</v>
      </c>
      <c r="I139" s="64">
        <v>29894</v>
      </c>
      <c r="J139" s="65">
        <v>0</v>
      </c>
      <c r="K139" s="65">
        <v>0</v>
      </c>
      <c r="L139" s="65">
        <v>0</v>
      </c>
      <c r="M139" s="66">
        <f t="shared" si="5"/>
        <v>29894</v>
      </c>
      <c r="N139" s="67">
        <f t="shared" si="4"/>
        <v>970106</v>
      </c>
      <c r="O139" s="77">
        <v>141</v>
      </c>
      <c r="P139" s="82" t="s">
        <v>278</v>
      </c>
    </row>
    <row r="140" spans="1:16" ht="18.75" x14ac:dyDescent="0.3">
      <c r="A140" s="72">
        <v>137</v>
      </c>
      <c r="B140" s="85" t="s">
        <v>432</v>
      </c>
      <c r="C140" s="86" t="s">
        <v>433</v>
      </c>
      <c r="D140" s="93" t="s">
        <v>434</v>
      </c>
      <c r="E140" s="84">
        <v>1000000</v>
      </c>
      <c r="F140" s="61">
        <v>0</v>
      </c>
      <c r="G140" s="75">
        <v>0</v>
      </c>
      <c r="H140" s="61">
        <v>0</v>
      </c>
      <c r="I140" s="64">
        <v>29894</v>
      </c>
      <c r="J140" s="65">
        <v>0</v>
      </c>
      <c r="K140" s="65">
        <v>0</v>
      </c>
      <c r="L140" s="65">
        <v>0</v>
      </c>
      <c r="M140" s="66">
        <f t="shared" si="5"/>
        <v>29894</v>
      </c>
      <c r="N140" s="67">
        <f t="shared" si="4"/>
        <v>970106</v>
      </c>
      <c r="O140" s="68">
        <v>142</v>
      </c>
      <c r="P140" s="82" t="s">
        <v>278</v>
      </c>
    </row>
    <row r="141" spans="1:16" ht="18.75" x14ac:dyDescent="0.3">
      <c r="A141" s="72">
        <v>138</v>
      </c>
      <c r="B141" s="85" t="s">
        <v>435</v>
      </c>
      <c r="C141" s="86" t="s">
        <v>436</v>
      </c>
      <c r="D141" s="93" t="s">
        <v>437</v>
      </c>
      <c r="E141" s="84">
        <v>1350000</v>
      </c>
      <c r="F141" s="61">
        <v>0</v>
      </c>
      <c r="G141" s="75">
        <v>0</v>
      </c>
      <c r="H141" s="61">
        <v>0</v>
      </c>
      <c r="I141" s="64">
        <v>29894</v>
      </c>
      <c r="J141" s="65">
        <v>0</v>
      </c>
      <c r="K141" s="65">
        <v>0</v>
      </c>
      <c r="L141" s="65">
        <v>0</v>
      </c>
      <c r="M141" s="66">
        <f t="shared" si="5"/>
        <v>29894</v>
      </c>
      <c r="N141" s="67">
        <f t="shared" si="4"/>
        <v>1320106</v>
      </c>
      <c r="O141" s="77">
        <v>143</v>
      </c>
      <c r="P141" s="82" t="s">
        <v>278</v>
      </c>
    </row>
    <row r="142" spans="1:16" ht="18.75" x14ac:dyDescent="0.3">
      <c r="A142" s="56">
        <v>139</v>
      </c>
      <c r="B142" s="85" t="s">
        <v>438</v>
      </c>
      <c r="C142" s="86" t="s">
        <v>439</v>
      </c>
      <c r="D142" s="93" t="s">
        <v>440</v>
      </c>
      <c r="E142" s="84">
        <v>1350000</v>
      </c>
      <c r="F142" s="61">
        <v>0</v>
      </c>
      <c r="G142" s="75">
        <v>0</v>
      </c>
      <c r="H142" s="61">
        <v>0</v>
      </c>
      <c r="I142" s="64">
        <v>29894</v>
      </c>
      <c r="J142" s="65">
        <v>0</v>
      </c>
      <c r="K142" s="65">
        <v>0</v>
      </c>
      <c r="L142" s="65">
        <v>0</v>
      </c>
      <c r="M142" s="66">
        <f t="shared" si="5"/>
        <v>29894</v>
      </c>
      <c r="N142" s="67">
        <f t="shared" si="4"/>
        <v>1320106</v>
      </c>
      <c r="O142" s="68">
        <v>144</v>
      </c>
      <c r="P142" s="82" t="s">
        <v>278</v>
      </c>
    </row>
    <row r="143" spans="1:16" ht="18.75" x14ac:dyDescent="0.3">
      <c r="A143" s="72">
        <v>140</v>
      </c>
      <c r="B143" s="85" t="s">
        <v>441</v>
      </c>
      <c r="C143" s="86" t="s">
        <v>442</v>
      </c>
      <c r="D143" s="93" t="s">
        <v>443</v>
      </c>
      <c r="E143" s="84">
        <v>1350000</v>
      </c>
      <c r="F143" s="61">
        <v>0</v>
      </c>
      <c r="G143" s="75">
        <v>0</v>
      </c>
      <c r="H143" s="61">
        <v>0</v>
      </c>
      <c r="I143" s="64">
        <v>29894</v>
      </c>
      <c r="J143" s="65">
        <v>0</v>
      </c>
      <c r="K143" s="65">
        <v>0</v>
      </c>
      <c r="L143" s="65">
        <v>0</v>
      </c>
      <c r="M143" s="66">
        <f t="shared" si="5"/>
        <v>29894</v>
      </c>
      <c r="N143" s="67">
        <f t="shared" si="4"/>
        <v>1320106</v>
      </c>
      <c r="O143" s="77">
        <v>145</v>
      </c>
      <c r="P143" s="82" t="s">
        <v>278</v>
      </c>
    </row>
    <row r="144" spans="1:16" ht="18.75" x14ac:dyDescent="0.3">
      <c r="A144" s="72">
        <v>141</v>
      </c>
      <c r="B144" s="85" t="s">
        <v>444</v>
      </c>
      <c r="C144" s="86" t="s">
        <v>445</v>
      </c>
      <c r="D144" s="92" t="s">
        <v>446</v>
      </c>
      <c r="E144" s="84">
        <v>1000000</v>
      </c>
      <c r="F144" s="61">
        <v>0</v>
      </c>
      <c r="G144" s="75">
        <v>0</v>
      </c>
      <c r="H144" s="61">
        <v>0</v>
      </c>
      <c r="I144" s="64">
        <v>29894</v>
      </c>
      <c r="J144" s="65">
        <v>0</v>
      </c>
      <c r="K144" s="65">
        <v>0</v>
      </c>
      <c r="L144" s="65">
        <v>0</v>
      </c>
      <c r="M144" s="66">
        <f t="shared" si="5"/>
        <v>29894</v>
      </c>
      <c r="N144" s="67">
        <f t="shared" si="4"/>
        <v>970106</v>
      </c>
      <c r="O144" s="68">
        <v>146</v>
      </c>
      <c r="P144" s="82" t="s">
        <v>278</v>
      </c>
    </row>
    <row r="145" spans="1:17" ht="18.75" x14ac:dyDescent="0.3">
      <c r="A145" s="56">
        <v>142</v>
      </c>
      <c r="B145" s="57" t="s">
        <v>447</v>
      </c>
      <c r="C145" s="58" t="s">
        <v>448</v>
      </c>
      <c r="D145" s="59" t="s">
        <v>449</v>
      </c>
      <c r="E145" s="84">
        <v>1200000</v>
      </c>
      <c r="F145" s="61">
        <v>150000</v>
      </c>
      <c r="G145" s="62">
        <v>770100</v>
      </c>
      <c r="H145" s="61">
        <v>0</v>
      </c>
      <c r="I145" s="64">
        <v>29894</v>
      </c>
      <c r="J145" s="65">
        <v>0</v>
      </c>
      <c r="K145" s="65">
        <v>0</v>
      </c>
      <c r="L145" s="65">
        <v>0</v>
      </c>
      <c r="M145" s="66">
        <f t="shared" si="5"/>
        <v>949994</v>
      </c>
      <c r="N145" s="67">
        <f t="shared" si="4"/>
        <v>250006</v>
      </c>
      <c r="O145" s="77">
        <v>147</v>
      </c>
      <c r="P145" s="82" t="s">
        <v>278</v>
      </c>
    </row>
    <row r="146" spans="1:17" ht="18.75" x14ac:dyDescent="0.3">
      <c r="A146" s="72">
        <v>143</v>
      </c>
      <c r="B146" s="57" t="s">
        <v>450</v>
      </c>
      <c r="C146" s="58" t="s">
        <v>451</v>
      </c>
      <c r="D146" s="59" t="s">
        <v>452</v>
      </c>
      <c r="E146" s="84">
        <v>1350000</v>
      </c>
      <c r="F146" s="61">
        <v>0</v>
      </c>
      <c r="G146" s="75">
        <v>0</v>
      </c>
      <c r="H146" s="61">
        <v>0</v>
      </c>
      <c r="I146" s="64">
        <v>29894</v>
      </c>
      <c r="J146" s="65">
        <v>0</v>
      </c>
      <c r="K146" s="65">
        <v>0</v>
      </c>
      <c r="L146" s="65">
        <v>0</v>
      </c>
      <c r="M146" s="66">
        <f t="shared" si="5"/>
        <v>29894</v>
      </c>
      <c r="N146" s="67">
        <f t="shared" si="4"/>
        <v>1320106</v>
      </c>
      <c r="O146" s="68">
        <v>148</v>
      </c>
      <c r="P146" s="82" t="s">
        <v>278</v>
      </c>
    </row>
    <row r="147" spans="1:17" ht="18.75" x14ac:dyDescent="0.3">
      <c r="A147" s="72">
        <v>144</v>
      </c>
      <c r="B147" s="57" t="s">
        <v>453</v>
      </c>
      <c r="C147" s="58" t="s">
        <v>454</v>
      </c>
      <c r="D147" s="59" t="s">
        <v>455</v>
      </c>
      <c r="E147" s="84">
        <v>1350000</v>
      </c>
      <c r="F147" s="61">
        <v>150000</v>
      </c>
      <c r="G147" s="62">
        <v>755556</v>
      </c>
      <c r="H147" s="61">
        <v>0</v>
      </c>
      <c r="I147" s="64">
        <v>29894</v>
      </c>
      <c r="J147" s="65">
        <v>0</v>
      </c>
      <c r="K147" s="65">
        <v>0</v>
      </c>
      <c r="L147" s="65">
        <v>0</v>
      </c>
      <c r="M147" s="66">
        <f t="shared" si="5"/>
        <v>935450</v>
      </c>
      <c r="N147" s="67">
        <f t="shared" si="4"/>
        <v>414550</v>
      </c>
      <c r="O147" s="77">
        <v>149</v>
      </c>
      <c r="P147" s="82" t="s">
        <v>278</v>
      </c>
    </row>
    <row r="148" spans="1:17" ht="18.75" x14ac:dyDescent="0.3">
      <c r="A148" s="56">
        <v>145</v>
      </c>
      <c r="B148" s="57" t="s">
        <v>456</v>
      </c>
      <c r="C148" s="58" t="s">
        <v>457</v>
      </c>
      <c r="D148" s="59" t="s">
        <v>458</v>
      </c>
      <c r="E148" s="84">
        <v>1350000</v>
      </c>
      <c r="F148" s="61">
        <v>0</v>
      </c>
      <c r="G148" s="75">
        <v>0</v>
      </c>
      <c r="H148" s="61">
        <v>0</v>
      </c>
      <c r="I148" s="64">
        <v>29894</v>
      </c>
      <c r="J148" s="65">
        <v>0</v>
      </c>
      <c r="K148" s="65">
        <v>0</v>
      </c>
      <c r="L148" s="65">
        <v>0</v>
      </c>
      <c r="M148" s="66">
        <f t="shared" si="5"/>
        <v>29894</v>
      </c>
      <c r="N148" s="67">
        <f t="shared" si="4"/>
        <v>1320106</v>
      </c>
      <c r="O148" s="68">
        <v>150</v>
      </c>
      <c r="P148" s="82" t="s">
        <v>278</v>
      </c>
    </row>
    <row r="149" spans="1:17" ht="18.75" x14ac:dyDescent="0.3">
      <c r="A149" s="72">
        <v>146</v>
      </c>
      <c r="B149" s="57" t="s">
        <v>459</v>
      </c>
      <c r="C149" s="58" t="s">
        <v>460</v>
      </c>
      <c r="D149" s="59" t="s">
        <v>461</v>
      </c>
      <c r="E149" s="84">
        <v>1000000</v>
      </c>
      <c r="F149" s="61">
        <v>0</v>
      </c>
      <c r="G149" s="75">
        <v>0</v>
      </c>
      <c r="H149" s="61">
        <v>0</v>
      </c>
      <c r="I149" s="64">
        <v>29894</v>
      </c>
      <c r="J149" s="65">
        <v>0</v>
      </c>
      <c r="K149" s="65">
        <v>0</v>
      </c>
      <c r="L149" s="65">
        <v>0</v>
      </c>
      <c r="M149" s="66">
        <f t="shared" si="5"/>
        <v>29894</v>
      </c>
      <c r="N149" s="67">
        <f t="shared" si="4"/>
        <v>970106</v>
      </c>
      <c r="O149" s="77">
        <v>151</v>
      </c>
      <c r="P149" s="82" t="s">
        <v>278</v>
      </c>
    </row>
    <row r="150" spans="1:17" ht="18.75" x14ac:dyDescent="0.3">
      <c r="A150" s="72">
        <v>147</v>
      </c>
      <c r="B150" s="57" t="s">
        <v>462</v>
      </c>
      <c r="C150" s="58" t="s">
        <v>463</v>
      </c>
      <c r="D150" s="59" t="s">
        <v>464</v>
      </c>
      <c r="E150" s="84">
        <v>1000000</v>
      </c>
      <c r="F150" s="61">
        <v>0</v>
      </c>
      <c r="G150" s="75">
        <v>0</v>
      </c>
      <c r="H150" s="61">
        <v>0</v>
      </c>
      <c r="I150" s="64">
        <v>29894</v>
      </c>
      <c r="J150" s="65">
        <v>0</v>
      </c>
      <c r="K150" s="65">
        <v>0</v>
      </c>
      <c r="L150" s="65">
        <v>0</v>
      </c>
      <c r="M150" s="66">
        <f t="shared" si="5"/>
        <v>29894</v>
      </c>
      <c r="N150" s="67">
        <f t="shared" si="4"/>
        <v>970106</v>
      </c>
      <c r="O150" s="68">
        <v>152</v>
      </c>
      <c r="P150" s="82" t="s">
        <v>278</v>
      </c>
    </row>
    <row r="151" spans="1:17" ht="18.75" x14ac:dyDescent="0.3">
      <c r="A151" s="56">
        <v>148</v>
      </c>
      <c r="B151" s="57" t="s">
        <v>465</v>
      </c>
      <c r="C151" s="58" t="s">
        <v>466</v>
      </c>
      <c r="D151" s="59" t="s">
        <v>467</v>
      </c>
      <c r="E151" s="84">
        <v>1000000</v>
      </c>
      <c r="F151" s="61">
        <v>0</v>
      </c>
      <c r="G151" s="75"/>
      <c r="H151" s="61">
        <v>0</v>
      </c>
      <c r="I151" s="64">
        <v>29894</v>
      </c>
      <c r="J151" s="65">
        <v>0</v>
      </c>
      <c r="K151" s="65">
        <v>0</v>
      </c>
      <c r="L151" s="65">
        <v>0</v>
      </c>
      <c r="M151" s="66">
        <f t="shared" si="5"/>
        <v>29894</v>
      </c>
      <c r="N151" s="67">
        <f t="shared" si="4"/>
        <v>970106</v>
      </c>
      <c r="O151" s="77">
        <v>153</v>
      </c>
      <c r="P151" s="82" t="s">
        <v>278</v>
      </c>
    </row>
    <row r="152" spans="1:17" ht="18.75" x14ac:dyDescent="0.3">
      <c r="A152" s="72">
        <v>149</v>
      </c>
      <c r="B152" s="57" t="s">
        <v>468</v>
      </c>
      <c r="C152" s="58" t="s">
        <v>469</v>
      </c>
      <c r="D152" s="59" t="s">
        <v>470</v>
      </c>
      <c r="E152" s="84">
        <v>1000000</v>
      </c>
      <c r="F152" s="61">
        <v>150000</v>
      </c>
      <c r="G152" s="62">
        <v>462500</v>
      </c>
      <c r="H152" s="61">
        <v>0</v>
      </c>
      <c r="I152" s="64">
        <v>29894</v>
      </c>
      <c r="J152" s="65">
        <v>0</v>
      </c>
      <c r="K152" s="65">
        <v>0</v>
      </c>
      <c r="L152" s="65">
        <v>0</v>
      </c>
      <c r="M152" s="66">
        <f t="shared" si="5"/>
        <v>642394</v>
      </c>
      <c r="N152" s="67">
        <f t="shared" si="4"/>
        <v>357606</v>
      </c>
      <c r="O152" s="68">
        <v>154</v>
      </c>
      <c r="P152" s="82" t="s">
        <v>278</v>
      </c>
    </row>
    <row r="153" spans="1:17" ht="18.75" x14ac:dyDescent="0.3">
      <c r="A153" s="72">
        <v>150</v>
      </c>
      <c r="B153" s="57" t="s">
        <v>471</v>
      </c>
      <c r="C153" s="58" t="s">
        <v>472</v>
      </c>
      <c r="D153" s="59" t="s">
        <v>473</v>
      </c>
      <c r="E153" s="84">
        <v>1000000</v>
      </c>
      <c r="F153" s="61">
        <v>0</v>
      </c>
      <c r="G153" s="75">
        <v>0</v>
      </c>
      <c r="H153" s="61">
        <v>0</v>
      </c>
      <c r="I153" s="64">
        <v>29894</v>
      </c>
      <c r="J153" s="65">
        <v>0</v>
      </c>
      <c r="K153" s="65">
        <v>0</v>
      </c>
      <c r="L153" s="65">
        <v>0</v>
      </c>
      <c r="M153" s="66">
        <f t="shared" si="5"/>
        <v>29894</v>
      </c>
      <c r="N153" s="67">
        <f t="shared" si="4"/>
        <v>970106</v>
      </c>
      <c r="O153" s="77">
        <v>155</v>
      </c>
      <c r="P153" s="82" t="s">
        <v>278</v>
      </c>
    </row>
    <row r="154" spans="1:17" ht="18.75" x14ac:dyDescent="0.3">
      <c r="A154" s="56">
        <v>151</v>
      </c>
      <c r="B154" s="57" t="s">
        <v>474</v>
      </c>
      <c r="C154" s="58" t="s">
        <v>475</v>
      </c>
      <c r="D154" s="59" t="s">
        <v>476</v>
      </c>
      <c r="E154" s="84">
        <v>8350000</v>
      </c>
      <c r="F154" s="61">
        <v>0</v>
      </c>
      <c r="G154" s="75">
        <v>0</v>
      </c>
      <c r="H154" s="61">
        <v>0</v>
      </c>
      <c r="I154" s="64">
        <v>82000</v>
      </c>
      <c r="J154" s="65">
        <v>0</v>
      </c>
      <c r="K154" s="65">
        <v>0</v>
      </c>
      <c r="L154" s="65">
        <v>0</v>
      </c>
      <c r="M154" s="66">
        <f t="shared" si="5"/>
        <v>82000</v>
      </c>
      <c r="N154" s="67">
        <f t="shared" si="4"/>
        <v>8268000</v>
      </c>
      <c r="O154" s="68">
        <v>156</v>
      </c>
      <c r="P154" s="82" t="s">
        <v>278</v>
      </c>
    </row>
    <row r="155" spans="1:17" ht="18.75" x14ac:dyDescent="0.3">
      <c r="A155" s="72">
        <v>152</v>
      </c>
      <c r="B155" s="57" t="s">
        <v>477</v>
      </c>
      <c r="C155" s="58" t="s">
        <v>478</v>
      </c>
      <c r="D155" s="59" t="s">
        <v>479</v>
      </c>
      <c r="E155" s="84">
        <v>3650000</v>
      </c>
      <c r="F155" s="61">
        <v>0</v>
      </c>
      <c r="G155" s="75">
        <v>0</v>
      </c>
      <c r="H155" s="61">
        <v>0</v>
      </c>
      <c r="I155" s="64">
        <v>36500</v>
      </c>
      <c r="J155" s="65">
        <v>0</v>
      </c>
      <c r="K155" s="65">
        <v>0</v>
      </c>
      <c r="L155" s="65">
        <v>0</v>
      </c>
      <c r="M155" s="66">
        <f t="shared" si="5"/>
        <v>36500</v>
      </c>
      <c r="N155" s="67">
        <f t="shared" si="4"/>
        <v>3613500</v>
      </c>
      <c r="O155" s="77">
        <v>157</v>
      </c>
      <c r="P155" s="82" t="s">
        <v>278</v>
      </c>
    </row>
    <row r="156" spans="1:17" ht="18.75" x14ac:dyDescent="0.3">
      <c r="A156" s="72">
        <v>153</v>
      </c>
      <c r="B156" s="57" t="s">
        <v>480</v>
      </c>
      <c r="C156" s="58" t="s">
        <v>481</v>
      </c>
      <c r="D156" s="59" t="s">
        <v>482</v>
      </c>
      <c r="E156" s="84">
        <v>7650000</v>
      </c>
      <c r="F156" s="61">
        <v>0</v>
      </c>
      <c r="G156" s="75">
        <v>0</v>
      </c>
      <c r="H156" s="61">
        <v>0</v>
      </c>
      <c r="I156" s="64">
        <v>0</v>
      </c>
      <c r="J156" s="65">
        <v>0</v>
      </c>
      <c r="K156" s="65">
        <v>0</v>
      </c>
      <c r="L156" s="65">
        <v>0</v>
      </c>
      <c r="M156" s="66">
        <f t="shared" si="5"/>
        <v>0</v>
      </c>
      <c r="N156" s="67">
        <f t="shared" si="4"/>
        <v>7650000</v>
      </c>
      <c r="O156" s="68">
        <v>158</v>
      </c>
      <c r="P156" s="82" t="s">
        <v>278</v>
      </c>
    </row>
    <row r="157" spans="1:17" ht="18.75" x14ac:dyDescent="0.3">
      <c r="A157" s="56">
        <v>154</v>
      </c>
      <c r="B157" s="57" t="s">
        <v>483</v>
      </c>
      <c r="C157" s="58" t="s">
        <v>484</v>
      </c>
      <c r="D157" s="59" t="s">
        <v>485</v>
      </c>
      <c r="E157" s="84">
        <v>3650000</v>
      </c>
      <c r="F157" s="61">
        <v>0</v>
      </c>
      <c r="G157" s="75">
        <v>0</v>
      </c>
      <c r="H157" s="61">
        <v>0</v>
      </c>
      <c r="I157" s="64">
        <v>36500</v>
      </c>
      <c r="J157" s="65">
        <v>0</v>
      </c>
      <c r="K157" s="65">
        <v>0</v>
      </c>
      <c r="L157" s="65">
        <v>0</v>
      </c>
      <c r="M157" s="66">
        <f t="shared" si="5"/>
        <v>36500</v>
      </c>
      <c r="N157" s="67">
        <f t="shared" si="4"/>
        <v>3613500</v>
      </c>
      <c r="O157" s="68">
        <v>160</v>
      </c>
      <c r="P157" s="82" t="s">
        <v>486</v>
      </c>
    </row>
    <row r="158" spans="1:17" ht="18.75" x14ac:dyDescent="0.3">
      <c r="A158" s="72">
        <v>155</v>
      </c>
      <c r="B158" s="57" t="s">
        <v>487</v>
      </c>
      <c r="C158" s="58" t="s">
        <v>488</v>
      </c>
      <c r="D158" s="59" t="s">
        <v>489</v>
      </c>
      <c r="E158" s="84">
        <v>3750000</v>
      </c>
      <c r="F158" s="61">
        <v>0</v>
      </c>
      <c r="G158" s="75">
        <v>0</v>
      </c>
      <c r="H158" s="61">
        <v>0</v>
      </c>
      <c r="I158" s="64">
        <v>0</v>
      </c>
      <c r="J158" s="65">
        <v>0</v>
      </c>
      <c r="K158" s="65">
        <v>0</v>
      </c>
      <c r="L158" s="65">
        <v>0</v>
      </c>
      <c r="M158" s="66">
        <f t="shared" si="5"/>
        <v>0</v>
      </c>
      <c r="N158" s="67">
        <f t="shared" si="4"/>
        <v>3750000</v>
      </c>
      <c r="O158" s="68">
        <v>162</v>
      </c>
      <c r="P158" s="82" t="s">
        <v>486</v>
      </c>
    </row>
    <row r="159" spans="1:17" ht="18.75" x14ac:dyDescent="0.3">
      <c r="A159" s="72">
        <v>156</v>
      </c>
      <c r="B159" s="95" t="s">
        <v>490</v>
      </c>
      <c r="C159" s="96" t="s">
        <v>491</v>
      </c>
      <c r="D159" s="59" t="s">
        <v>492</v>
      </c>
      <c r="E159" s="84">
        <v>7000000</v>
      </c>
      <c r="F159" s="61">
        <v>0</v>
      </c>
      <c r="G159" s="75">
        <v>0</v>
      </c>
      <c r="H159" s="61">
        <v>0</v>
      </c>
      <c r="I159" s="64">
        <v>0</v>
      </c>
      <c r="J159" s="65">
        <v>0</v>
      </c>
      <c r="K159" s="65">
        <v>0</v>
      </c>
      <c r="L159" s="65">
        <v>0</v>
      </c>
      <c r="M159" s="66">
        <f t="shared" si="5"/>
        <v>0</v>
      </c>
      <c r="N159" s="67">
        <f t="shared" si="4"/>
        <v>7000000</v>
      </c>
      <c r="O159" s="77">
        <v>163</v>
      </c>
      <c r="P159" s="82" t="s">
        <v>486</v>
      </c>
      <c r="Q159" s="97"/>
    </row>
    <row r="160" spans="1:17" ht="18.75" x14ac:dyDescent="0.3">
      <c r="A160" s="56">
        <v>157</v>
      </c>
      <c r="B160" s="98" t="s">
        <v>493</v>
      </c>
      <c r="C160" s="96" t="s">
        <v>494</v>
      </c>
      <c r="D160" s="59" t="s">
        <v>495</v>
      </c>
      <c r="E160" s="84">
        <v>1200000</v>
      </c>
      <c r="F160" s="61">
        <v>0</v>
      </c>
      <c r="G160" s="75">
        <v>0</v>
      </c>
      <c r="H160" s="61">
        <v>0</v>
      </c>
      <c r="I160" s="64">
        <v>29894</v>
      </c>
      <c r="J160" s="65">
        <v>0</v>
      </c>
      <c r="K160" s="65">
        <v>0</v>
      </c>
      <c r="L160" s="65">
        <v>0</v>
      </c>
      <c r="M160" s="66">
        <f t="shared" si="5"/>
        <v>29894</v>
      </c>
      <c r="N160" s="67">
        <f t="shared" si="4"/>
        <v>1170106</v>
      </c>
      <c r="O160" s="68">
        <v>164</v>
      </c>
      <c r="P160" s="82" t="s">
        <v>486</v>
      </c>
      <c r="Q160" s="97"/>
    </row>
    <row r="161" spans="1:17" ht="18.75" x14ac:dyDescent="0.3">
      <c r="A161" s="72">
        <v>158</v>
      </c>
      <c r="B161" s="98" t="s">
        <v>496</v>
      </c>
      <c r="C161" s="96" t="s">
        <v>497</v>
      </c>
      <c r="D161" s="59" t="s">
        <v>498</v>
      </c>
      <c r="E161" s="84">
        <v>1200000</v>
      </c>
      <c r="F161" s="61">
        <v>150000</v>
      </c>
      <c r="G161" s="75">
        <v>516667</v>
      </c>
      <c r="H161" s="61">
        <v>0</v>
      </c>
      <c r="I161" s="64">
        <v>29894</v>
      </c>
      <c r="J161" s="65">
        <v>0</v>
      </c>
      <c r="K161" s="65">
        <v>0</v>
      </c>
      <c r="L161" s="65">
        <v>0</v>
      </c>
      <c r="M161" s="66">
        <f t="shared" si="5"/>
        <v>696561</v>
      </c>
      <c r="N161" s="67">
        <f t="shared" si="4"/>
        <v>503439</v>
      </c>
      <c r="O161" s="77">
        <v>165</v>
      </c>
      <c r="P161" s="82" t="s">
        <v>486</v>
      </c>
      <c r="Q161" s="97"/>
    </row>
    <row r="162" spans="1:17" ht="18.75" x14ac:dyDescent="0.3">
      <c r="A162" s="72">
        <v>159</v>
      </c>
      <c r="B162" s="98" t="s">
        <v>499</v>
      </c>
      <c r="C162" s="96" t="s">
        <v>500</v>
      </c>
      <c r="D162" s="59" t="s">
        <v>501</v>
      </c>
      <c r="E162" s="84">
        <v>1200000</v>
      </c>
      <c r="F162" s="61">
        <v>150000</v>
      </c>
      <c r="G162" s="79">
        <v>933333</v>
      </c>
      <c r="H162" s="61">
        <v>0</v>
      </c>
      <c r="I162" s="64">
        <v>29894</v>
      </c>
      <c r="J162" s="65">
        <v>0</v>
      </c>
      <c r="K162" s="65">
        <v>0</v>
      </c>
      <c r="L162" s="65">
        <v>0</v>
      </c>
      <c r="M162" s="66">
        <f t="shared" si="5"/>
        <v>1113227</v>
      </c>
      <c r="N162" s="67">
        <f t="shared" si="4"/>
        <v>86773</v>
      </c>
      <c r="O162" s="68">
        <v>166</v>
      </c>
      <c r="P162" s="82" t="s">
        <v>486</v>
      </c>
      <c r="Q162" s="97"/>
    </row>
    <row r="163" spans="1:17" ht="18.75" x14ac:dyDescent="0.3">
      <c r="A163" s="56">
        <v>160</v>
      </c>
      <c r="B163" s="98" t="s">
        <v>502</v>
      </c>
      <c r="C163" s="96" t="s">
        <v>503</v>
      </c>
      <c r="D163" s="59" t="s">
        <v>504</v>
      </c>
      <c r="E163" s="84">
        <v>1200000</v>
      </c>
      <c r="F163" s="61">
        <v>0</v>
      </c>
      <c r="G163" s="75">
        <v>0</v>
      </c>
      <c r="H163" s="61">
        <v>0</v>
      </c>
      <c r="I163" s="64">
        <v>29894</v>
      </c>
      <c r="J163" s="65">
        <v>0</v>
      </c>
      <c r="K163" s="65">
        <v>0</v>
      </c>
      <c r="L163" s="65">
        <v>0</v>
      </c>
      <c r="M163" s="66">
        <f t="shared" si="5"/>
        <v>29894</v>
      </c>
      <c r="N163" s="67">
        <f t="shared" si="4"/>
        <v>1170106</v>
      </c>
      <c r="O163" s="77">
        <v>167</v>
      </c>
      <c r="P163" s="82" t="s">
        <v>486</v>
      </c>
      <c r="Q163" s="97"/>
    </row>
    <row r="164" spans="1:17" ht="18.75" x14ac:dyDescent="0.3">
      <c r="A164" s="72">
        <v>161</v>
      </c>
      <c r="B164" s="98" t="s">
        <v>505</v>
      </c>
      <c r="C164" s="96" t="s">
        <v>506</v>
      </c>
      <c r="D164" s="59" t="s">
        <v>507</v>
      </c>
      <c r="E164" s="84">
        <v>1350000</v>
      </c>
      <c r="F164" s="61">
        <v>0</v>
      </c>
      <c r="G164" s="75">
        <v>0</v>
      </c>
      <c r="H164" s="61">
        <v>0</v>
      </c>
      <c r="I164" s="64">
        <v>29894</v>
      </c>
      <c r="J164" s="65">
        <v>0</v>
      </c>
      <c r="K164" s="65">
        <v>0</v>
      </c>
      <c r="L164" s="65">
        <v>0</v>
      </c>
      <c r="M164" s="66">
        <f t="shared" si="5"/>
        <v>29894</v>
      </c>
      <c r="N164" s="67">
        <f t="shared" si="4"/>
        <v>1320106</v>
      </c>
      <c r="O164" s="68">
        <v>168</v>
      </c>
      <c r="P164" s="82" t="s">
        <v>486</v>
      </c>
    </row>
    <row r="165" spans="1:17" ht="18.75" x14ac:dyDescent="0.3">
      <c r="A165" s="72">
        <v>162</v>
      </c>
      <c r="B165" s="98" t="s">
        <v>508</v>
      </c>
      <c r="C165" s="96" t="s">
        <v>509</v>
      </c>
      <c r="D165" s="59" t="s">
        <v>510</v>
      </c>
      <c r="E165" s="84">
        <v>1350000</v>
      </c>
      <c r="F165" s="61">
        <v>0</v>
      </c>
      <c r="G165" s="75">
        <v>0</v>
      </c>
      <c r="H165" s="61">
        <v>0</v>
      </c>
      <c r="I165" s="64">
        <v>29894</v>
      </c>
      <c r="J165" s="65">
        <v>0</v>
      </c>
      <c r="K165" s="65">
        <v>0</v>
      </c>
      <c r="L165" s="65">
        <v>0</v>
      </c>
      <c r="M165" s="66">
        <f t="shared" si="5"/>
        <v>29894</v>
      </c>
      <c r="N165" s="67">
        <f t="shared" si="4"/>
        <v>1320106</v>
      </c>
      <c r="O165" s="77">
        <v>169</v>
      </c>
      <c r="P165" s="82" t="s">
        <v>486</v>
      </c>
    </row>
    <row r="166" spans="1:17" ht="18.75" x14ac:dyDescent="0.3">
      <c r="A166" s="56">
        <v>163</v>
      </c>
      <c r="B166" s="98" t="s">
        <v>511</v>
      </c>
      <c r="C166" s="96" t="s">
        <v>512</v>
      </c>
      <c r="D166" s="59" t="s">
        <v>513</v>
      </c>
      <c r="E166" s="84">
        <v>1350000</v>
      </c>
      <c r="F166" s="61">
        <v>0</v>
      </c>
      <c r="G166" s="75">
        <v>0</v>
      </c>
      <c r="H166" s="61">
        <v>0</v>
      </c>
      <c r="I166" s="64">
        <v>29894</v>
      </c>
      <c r="J166" s="65">
        <v>0</v>
      </c>
      <c r="K166" s="65">
        <v>0</v>
      </c>
      <c r="L166" s="65">
        <v>0</v>
      </c>
      <c r="M166" s="66">
        <f t="shared" si="5"/>
        <v>29894</v>
      </c>
      <c r="N166" s="67">
        <f t="shared" si="4"/>
        <v>1320106</v>
      </c>
      <c r="O166" s="68">
        <v>170</v>
      </c>
      <c r="P166" s="82" t="s">
        <v>486</v>
      </c>
    </row>
    <row r="167" spans="1:17" ht="18.75" x14ac:dyDescent="0.3">
      <c r="A167" s="72">
        <v>164</v>
      </c>
      <c r="B167" s="98" t="s">
        <v>514</v>
      </c>
      <c r="C167" s="96" t="s">
        <v>515</v>
      </c>
      <c r="D167" s="59" t="s">
        <v>516</v>
      </c>
      <c r="E167" s="84">
        <v>1350000</v>
      </c>
      <c r="F167" s="61">
        <v>0</v>
      </c>
      <c r="G167" s="75">
        <v>0</v>
      </c>
      <c r="H167" s="61">
        <v>0</v>
      </c>
      <c r="I167" s="64">
        <v>29894</v>
      </c>
      <c r="J167" s="65">
        <v>0</v>
      </c>
      <c r="K167" s="65">
        <v>0</v>
      </c>
      <c r="L167" s="65">
        <v>0</v>
      </c>
      <c r="M167" s="66">
        <f t="shared" si="5"/>
        <v>29894</v>
      </c>
      <c r="N167" s="67">
        <f t="shared" si="4"/>
        <v>1320106</v>
      </c>
      <c r="O167" s="77">
        <v>171</v>
      </c>
      <c r="P167" s="82" t="s">
        <v>486</v>
      </c>
    </row>
    <row r="168" spans="1:17" ht="18.75" x14ac:dyDescent="0.3">
      <c r="A168" s="72">
        <v>165</v>
      </c>
      <c r="B168" s="98" t="s">
        <v>517</v>
      </c>
      <c r="C168" s="96" t="s">
        <v>518</v>
      </c>
      <c r="D168" s="59" t="s">
        <v>519</v>
      </c>
      <c r="E168" s="84">
        <v>1350000</v>
      </c>
      <c r="F168" s="61">
        <v>0</v>
      </c>
      <c r="G168" s="75">
        <v>0</v>
      </c>
      <c r="H168" s="61">
        <v>0</v>
      </c>
      <c r="I168" s="64">
        <v>29894</v>
      </c>
      <c r="J168" s="65">
        <v>0</v>
      </c>
      <c r="K168" s="65">
        <v>0</v>
      </c>
      <c r="L168" s="65">
        <v>0</v>
      </c>
      <c r="M168" s="66">
        <f t="shared" si="5"/>
        <v>29894</v>
      </c>
      <c r="N168" s="67">
        <f t="shared" si="4"/>
        <v>1320106</v>
      </c>
      <c r="O168" s="68">
        <v>172</v>
      </c>
      <c r="P168" s="82" t="s">
        <v>486</v>
      </c>
    </row>
    <row r="169" spans="1:17" ht="18.75" x14ac:dyDescent="0.3">
      <c r="A169" s="56">
        <v>166</v>
      </c>
      <c r="B169" s="98" t="s">
        <v>520</v>
      </c>
      <c r="C169" s="96" t="s">
        <v>521</v>
      </c>
      <c r="D169" s="59" t="s">
        <v>522</v>
      </c>
      <c r="E169" s="84">
        <v>1350000</v>
      </c>
      <c r="F169" s="61">
        <v>0</v>
      </c>
      <c r="G169" s="75">
        <v>0</v>
      </c>
      <c r="H169" s="61">
        <v>0</v>
      </c>
      <c r="I169" s="64">
        <v>29894</v>
      </c>
      <c r="J169" s="65">
        <v>0</v>
      </c>
      <c r="K169" s="65">
        <v>0</v>
      </c>
      <c r="L169" s="65">
        <v>0</v>
      </c>
      <c r="M169" s="66">
        <f t="shared" si="5"/>
        <v>29894</v>
      </c>
      <c r="N169" s="67">
        <f t="shared" si="4"/>
        <v>1320106</v>
      </c>
      <c r="O169" s="77">
        <v>173</v>
      </c>
      <c r="P169" s="82" t="s">
        <v>486</v>
      </c>
    </row>
    <row r="170" spans="1:17" ht="18.75" x14ac:dyDescent="0.3">
      <c r="A170" s="72">
        <v>167</v>
      </c>
      <c r="B170" s="98" t="s">
        <v>523</v>
      </c>
      <c r="C170" s="96" t="s">
        <v>524</v>
      </c>
      <c r="D170" s="59" t="s">
        <v>525</v>
      </c>
      <c r="E170" s="84">
        <v>1350000</v>
      </c>
      <c r="F170" s="61">
        <v>150000</v>
      </c>
      <c r="G170" s="79">
        <v>516667</v>
      </c>
      <c r="H170" s="61">
        <v>0</v>
      </c>
      <c r="I170" s="64">
        <v>29894</v>
      </c>
      <c r="J170" s="65">
        <v>0</v>
      </c>
      <c r="K170" s="65">
        <v>0</v>
      </c>
      <c r="L170" s="65">
        <v>0</v>
      </c>
      <c r="M170" s="66">
        <f t="shared" si="5"/>
        <v>696561</v>
      </c>
      <c r="N170" s="67">
        <f t="shared" si="4"/>
        <v>653439</v>
      </c>
      <c r="O170" s="68">
        <v>174</v>
      </c>
      <c r="P170" s="82" t="s">
        <v>486</v>
      </c>
    </row>
    <row r="171" spans="1:17" ht="18.75" x14ac:dyDescent="0.3">
      <c r="A171" s="72">
        <v>168</v>
      </c>
      <c r="B171" s="98" t="s">
        <v>526</v>
      </c>
      <c r="C171" s="96" t="s">
        <v>527</v>
      </c>
      <c r="D171" s="59" t="s">
        <v>528</v>
      </c>
      <c r="E171" s="84">
        <v>1200000</v>
      </c>
      <c r="F171" s="61">
        <v>0</v>
      </c>
      <c r="G171" s="75">
        <v>0</v>
      </c>
      <c r="H171" s="61">
        <v>0</v>
      </c>
      <c r="I171" s="64">
        <v>29894</v>
      </c>
      <c r="J171" s="65">
        <v>0</v>
      </c>
      <c r="K171" s="65">
        <v>0</v>
      </c>
      <c r="L171" s="65">
        <v>0</v>
      </c>
      <c r="M171" s="66">
        <f t="shared" si="5"/>
        <v>29894</v>
      </c>
      <c r="N171" s="67">
        <f t="shared" si="4"/>
        <v>1170106</v>
      </c>
      <c r="O171" s="77">
        <v>175</v>
      </c>
      <c r="P171" s="82" t="s">
        <v>486</v>
      </c>
    </row>
    <row r="172" spans="1:17" ht="18.75" x14ac:dyDescent="0.3">
      <c r="A172" s="56">
        <v>169</v>
      </c>
      <c r="B172" s="98" t="s">
        <v>529</v>
      </c>
      <c r="C172" s="96" t="s">
        <v>530</v>
      </c>
      <c r="D172" s="59" t="s">
        <v>531</v>
      </c>
      <c r="E172" s="84">
        <v>1200000</v>
      </c>
      <c r="F172" s="61">
        <v>0</v>
      </c>
      <c r="G172" s="75">
        <v>0</v>
      </c>
      <c r="H172" s="61">
        <v>0</v>
      </c>
      <c r="I172" s="64">
        <v>29894</v>
      </c>
      <c r="J172" s="65">
        <v>0</v>
      </c>
      <c r="K172" s="65">
        <v>0</v>
      </c>
      <c r="L172" s="65">
        <v>0</v>
      </c>
      <c r="M172" s="66">
        <f t="shared" si="5"/>
        <v>29894</v>
      </c>
      <c r="N172" s="67">
        <f t="shared" si="4"/>
        <v>1170106</v>
      </c>
      <c r="O172" s="68">
        <v>176</v>
      </c>
      <c r="P172" s="82" t="s">
        <v>486</v>
      </c>
    </row>
    <row r="173" spans="1:17" ht="18.75" x14ac:dyDescent="0.3">
      <c r="A173" s="72">
        <v>170</v>
      </c>
      <c r="B173" s="98" t="s">
        <v>532</v>
      </c>
      <c r="C173" s="96" t="s">
        <v>533</v>
      </c>
      <c r="D173" s="59" t="s">
        <v>534</v>
      </c>
      <c r="E173" s="84">
        <v>1200000</v>
      </c>
      <c r="F173" s="61">
        <v>0</v>
      </c>
      <c r="G173" s="75">
        <v>0</v>
      </c>
      <c r="H173" s="61">
        <v>0</v>
      </c>
      <c r="I173" s="64">
        <v>29894</v>
      </c>
      <c r="J173" s="65">
        <v>0</v>
      </c>
      <c r="K173" s="65">
        <v>0</v>
      </c>
      <c r="L173" s="65">
        <v>0</v>
      </c>
      <c r="M173" s="66">
        <f t="shared" si="5"/>
        <v>29894</v>
      </c>
      <c r="N173" s="67">
        <f t="shared" si="4"/>
        <v>1170106</v>
      </c>
      <c r="O173" s="77">
        <v>177</v>
      </c>
      <c r="P173" s="82" t="s">
        <v>486</v>
      </c>
    </row>
    <row r="174" spans="1:17" ht="18.75" x14ac:dyDescent="0.3">
      <c r="A174" s="72">
        <v>171</v>
      </c>
      <c r="B174" s="98" t="s">
        <v>535</v>
      </c>
      <c r="C174" s="96" t="s">
        <v>536</v>
      </c>
      <c r="D174" s="59" t="s">
        <v>537</v>
      </c>
      <c r="E174" s="84">
        <v>1200000</v>
      </c>
      <c r="F174" s="61">
        <v>150000</v>
      </c>
      <c r="G174" s="62">
        <v>725290</v>
      </c>
      <c r="H174" s="61">
        <v>0</v>
      </c>
      <c r="I174" s="64">
        <v>29894</v>
      </c>
      <c r="J174" s="65">
        <v>0</v>
      </c>
      <c r="K174" s="65">
        <v>0</v>
      </c>
      <c r="L174" s="65">
        <v>0</v>
      </c>
      <c r="M174" s="66">
        <f t="shared" si="5"/>
        <v>905184</v>
      </c>
      <c r="N174" s="67">
        <f t="shared" si="4"/>
        <v>294816</v>
      </c>
      <c r="O174" s="68">
        <v>178</v>
      </c>
      <c r="P174" s="82" t="s">
        <v>486</v>
      </c>
    </row>
    <row r="175" spans="1:17" ht="18.75" x14ac:dyDescent="0.3">
      <c r="A175" s="56">
        <v>172</v>
      </c>
      <c r="B175" s="98" t="s">
        <v>538</v>
      </c>
      <c r="C175" s="96" t="s">
        <v>539</v>
      </c>
      <c r="D175" s="59" t="s">
        <v>540</v>
      </c>
      <c r="E175" s="84">
        <v>1200000</v>
      </c>
      <c r="F175" s="61">
        <v>0</v>
      </c>
      <c r="G175" s="75">
        <v>0</v>
      </c>
      <c r="H175" s="61">
        <v>0</v>
      </c>
      <c r="I175" s="64">
        <v>29894</v>
      </c>
      <c r="J175" s="65">
        <v>0</v>
      </c>
      <c r="K175" s="65">
        <v>0</v>
      </c>
      <c r="L175" s="65">
        <v>0</v>
      </c>
      <c r="M175" s="66">
        <f t="shared" si="5"/>
        <v>29894</v>
      </c>
      <c r="N175" s="67">
        <f t="shared" si="4"/>
        <v>1170106</v>
      </c>
      <c r="O175" s="77">
        <v>179</v>
      </c>
      <c r="P175" s="82" t="s">
        <v>486</v>
      </c>
    </row>
    <row r="176" spans="1:17" ht="18.75" x14ac:dyDescent="0.3">
      <c r="A176" s="72">
        <v>173</v>
      </c>
      <c r="B176" s="98" t="s">
        <v>541</v>
      </c>
      <c r="C176" s="96" t="s">
        <v>542</v>
      </c>
      <c r="D176" s="59" t="s">
        <v>543</v>
      </c>
      <c r="E176" s="84">
        <v>1200000</v>
      </c>
      <c r="F176" s="61">
        <v>0</v>
      </c>
      <c r="G176" s="75">
        <v>0</v>
      </c>
      <c r="H176" s="61">
        <v>0</v>
      </c>
      <c r="I176" s="64">
        <v>29894</v>
      </c>
      <c r="J176" s="65">
        <v>0</v>
      </c>
      <c r="K176" s="65">
        <v>0</v>
      </c>
      <c r="L176" s="65">
        <v>0</v>
      </c>
      <c r="M176" s="66">
        <f t="shared" si="5"/>
        <v>29894</v>
      </c>
      <c r="N176" s="67">
        <f t="shared" si="4"/>
        <v>1170106</v>
      </c>
      <c r="O176" s="68">
        <v>180</v>
      </c>
      <c r="P176" s="82" t="s">
        <v>486</v>
      </c>
    </row>
    <row r="177" spans="1:16" ht="18.75" x14ac:dyDescent="0.3">
      <c r="A177" s="72">
        <v>174</v>
      </c>
      <c r="B177" s="98" t="s">
        <v>544</v>
      </c>
      <c r="C177" s="96" t="s">
        <v>545</v>
      </c>
      <c r="D177" s="59" t="s">
        <v>546</v>
      </c>
      <c r="E177" s="84">
        <v>1350000</v>
      </c>
      <c r="F177" s="61">
        <v>0</v>
      </c>
      <c r="G177" s="75">
        <v>0</v>
      </c>
      <c r="H177" s="61">
        <v>0</v>
      </c>
      <c r="I177" s="64">
        <v>29894</v>
      </c>
      <c r="J177" s="65">
        <v>0</v>
      </c>
      <c r="K177" s="65">
        <v>0</v>
      </c>
      <c r="L177" s="65">
        <v>0</v>
      </c>
      <c r="M177" s="66">
        <f t="shared" si="5"/>
        <v>29894</v>
      </c>
      <c r="N177" s="67">
        <f t="shared" si="4"/>
        <v>1320106</v>
      </c>
      <c r="O177" s="77">
        <v>181</v>
      </c>
      <c r="P177" s="82" t="s">
        <v>486</v>
      </c>
    </row>
    <row r="178" spans="1:16" ht="18.75" x14ac:dyDescent="0.3">
      <c r="A178" s="56">
        <v>175</v>
      </c>
      <c r="B178" s="98" t="s">
        <v>547</v>
      </c>
      <c r="C178" s="96" t="s">
        <v>99</v>
      </c>
      <c r="D178" s="59" t="s">
        <v>548</v>
      </c>
      <c r="E178" s="84">
        <v>3500000</v>
      </c>
      <c r="F178" s="61">
        <v>0</v>
      </c>
      <c r="G178" s="75">
        <v>0</v>
      </c>
      <c r="H178" s="61">
        <v>0</v>
      </c>
      <c r="I178" s="64">
        <v>35000</v>
      </c>
      <c r="J178" s="65">
        <v>0</v>
      </c>
      <c r="K178" s="65">
        <v>0</v>
      </c>
      <c r="L178" s="65">
        <v>0</v>
      </c>
      <c r="M178" s="66">
        <f t="shared" si="5"/>
        <v>35000</v>
      </c>
      <c r="N178" s="67">
        <f t="shared" si="4"/>
        <v>3465000</v>
      </c>
      <c r="O178" s="68">
        <v>182</v>
      </c>
      <c r="P178" s="82" t="s">
        <v>486</v>
      </c>
    </row>
    <row r="179" spans="1:16" ht="18.75" x14ac:dyDescent="0.3">
      <c r="A179" s="72">
        <v>176</v>
      </c>
      <c r="B179" s="57" t="s">
        <v>549</v>
      </c>
      <c r="C179" s="58" t="s">
        <v>550</v>
      </c>
      <c r="D179" s="59" t="s">
        <v>551</v>
      </c>
      <c r="E179" s="84">
        <v>1200000</v>
      </c>
      <c r="F179" s="61">
        <v>0</v>
      </c>
      <c r="G179" s="75">
        <v>0</v>
      </c>
      <c r="H179" s="61">
        <v>0</v>
      </c>
      <c r="I179" s="64">
        <v>0</v>
      </c>
      <c r="J179" s="65">
        <v>0</v>
      </c>
      <c r="K179" s="65">
        <v>0</v>
      </c>
      <c r="L179" s="65">
        <v>0</v>
      </c>
      <c r="M179" s="66">
        <f t="shared" si="5"/>
        <v>0</v>
      </c>
      <c r="N179" s="67">
        <f t="shared" si="4"/>
        <v>1200000</v>
      </c>
      <c r="O179" s="77">
        <v>183</v>
      </c>
      <c r="P179" s="82" t="s">
        <v>486</v>
      </c>
    </row>
    <row r="180" spans="1:16" ht="18.75" x14ac:dyDescent="0.3">
      <c r="A180" s="72">
        <v>177</v>
      </c>
      <c r="B180" s="57" t="s">
        <v>552</v>
      </c>
      <c r="C180" s="58" t="s">
        <v>553</v>
      </c>
      <c r="D180" s="59" t="s">
        <v>554</v>
      </c>
      <c r="E180" s="84">
        <v>1200000</v>
      </c>
      <c r="F180" s="61">
        <v>0</v>
      </c>
      <c r="G180" s="75">
        <v>0</v>
      </c>
      <c r="H180" s="61">
        <v>0</v>
      </c>
      <c r="I180" s="64">
        <v>29894</v>
      </c>
      <c r="J180" s="65">
        <v>0</v>
      </c>
      <c r="K180" s="65">
        <v>0</v>
      </c>
      <c r="L180" s="65">
        <v>0</v>
      </c>
      <c r="M180" s="66">
        <f t="shared" si="5"/>
        <v>29894</v>
      </c>
      <c r="N180" s="67">
        <f t="shared" si="4"/>
        <v>1170106</v>
      </c>
      <c r="O180" s="68">
        <v>184</v>
      </c>
      <c r="P180" s="82" t="s">
        <v>486</v>
      </c>
    </row>
    <row r="181" spans="1:16" ht="18.75" x14ac:dyDescent="0.3">
      <c r="A181" s="56">
        <v>178</v>
      </c>
      <c r="B181" s="57" t="s">
        <v>555</v>
      </c>
      <c r="C181" s="58" t="s">
        <v>556</v>
      </c>
      <c r="D181" s="59" t="s">
        <v>557</v>
      </c>
      <c r="E181" s="84">
        <v>8200000</v>
      </c>
      <c r="F181" s="61">
        <v>0</v>
      </c>
      <c r="G181" s="75">
        <v>0</v>
      </c>
      <c r="H181" s="61">
        <v>0</v>
      </c>
      <c r="I181" s="64">
        <v>82000</v>
      </c>
      <c r="J181" s="65">
        <v>0</v>
      </c>
      <c r="K181" s="65">
        <v>0</v>
      </c>
      <c r="L181" s="65">
        <v>0</v>
      </c>
      <c r="M181" s="66">
        <f t="shared" si="5"/>
        <v>82000</v>
      </c>
      <c r="N181" s="67">
        <f t="shared" si="4"/>
        <v>8118000</v>
      </c>
      <c r="O181" s="77">
        <v>185</v>
      </c>
      <c r="P181" s="82" t="s">
        <v>486</v>
      </c>
    </row>
    <row r="182" spans="1:16" ht="18.75" x14ac:dyDescent="0.3">
      <c r="A182" s="72">
        <v>179</v>
      </c>
      <c r="B182" s="57" t="s">
        <v>558</v>
      </c>
      <c r="C182" s="58" t="s">
        <v>559</v>
      </c>
      <c r="D182" s="59" t="s">
        <v>560</v>
      </c>
      <c r="E182" s="84">
        <v>3650000</v>
      </c>
      <c r="F182" s="61">
        <v>0</v>
      </c>
      <c r="G182" s="75">
        <v>0</v>
      </c>
      <c r="H182" s="61">
        <v>0</v>
      </c>
      <c r="I182" s="64">
        <v>0</v>
      </c>
      <c r="J182" s="65">
        <v>0</v>
      </c>
      <c r="K182" s="65">
        <v>0</v>
      </c>
      <c r="L182" s="65">
        <v>0</v>
      </c>
      <c r="M182" s="66">
        <f t="shared" si="5"/>
        <v>0</v>
      </c>
      <c r="N182" s="67">
        <f t="shared" si="4"/>
        <v>3650000</v>
      </c>
      <c r="O182" s="68">
        <v>186</v>
      </c>
      <c r="P182" s="82" t="s">
        <v>486</v>
      </c>
    </row>
    <row r="183" spans="1:16" ht="18.75" x14ac:dyDescent="0.3">
      <c r="A183" s="72">
        <v>180</v>
      </c>
      <c r="B183" s="57" t="s">
        <v>561</v>
      </c>
      <c r="C183" s="58" t="s">
        <v>562</v>
      </c>
      <c r="D183" s="59" t="s">
        <v>563</v>
      </c>
      <c r="E183" s="84">
        <v>1200000</v>
      </c>
      <c r="F183" s="61">
        <v>0</v>
      </c>
      <c r="G183" s="75">
        <v>0</v>
      </c>
      <c r="H183" s="61">
        <v>0</v>
      </c>
      <c r="I183" s="64">
        <v>29894</v>
      </c>
      <c r="J183" s="65">
        <v>0</v>
      </c>
      <c r="K183" s="65">
        <v>0</v>
      </c>
      <c r="L183" s="65">
        <v>0</v>
      </c>
      <c r="M183" s="66">
        <f t="shared" si="5"/>
        <v>29894</v>
      </c>
      <c r="N183" s="67">
        <f t="shared" si="4"/>
        <v>1170106</v>
      </c>
      <c r="O183" s="77">
        <v>187</v>
      </c>
      <c r="P183" s="82" t="s">
        <v>486</v>
      </c>
    </row>
    <row r="184" spans="1:16" ht="18.75" x14ac:dyDescent="0.3">
      <c r="A184" s="56">
        <v>181</v>
      </c>
      <c r="B184" s="57" t="s">
        <v>564</v>
      </c>
      <c r="C184" s="58" t="s">
        <v>565</v>
      </c>
      <c r="D184" s="59" t="s">
        <v>566</v>
      </c>
      <c r="E184" s="84">
        <v>1200000</v>
      </c>
      <c r="F184" s="61">
        <v>0</v>
      </c>
      <c r="G184" s="75">
        <v>0</v>
      </c>
      <c r="H184" s="61">
        <v>0</v>
      </c>
      <c r="I184" s="64">
        <v>29894</v>
      </c>
      <c r="J184" s="65">
        <v>0</v>
      </c>
      <c r="K184" s="65">
        <v>0</v>
      </c>
      <c r="L184" s="65">
        <v>0</v>
      </c>
      <c r="M184" s="66">
        <f t="shared" si="5"/>
        <v>29894</v>
      </c>
      <c r="N184" s="67">
        <f t="shared" si="4"/>
        <v>1170106</v>
      </c>
      <c r="O184" s="68">
        <v>188</v>
      </c>
      <c r="P184" s="82" t="s">
        <v>486</v>
      </c>
    </row>
    <row r="185" spans="1:16" ht="18.75" x14ac:dyDescent="0.3">
      <c r="A185" s="72">
        <v>182</v>
      </c>
      <c r="B185" s="57" t="s">
        <v>567</v>
      </c>
      <c r="C185" s="58" t="s">
        <v>568</v>
      </c>
      <c r="D185" s="59" t="s">
        <v>569</v>
      </c>
      <c r="E185" s="84">
        <v>1200000</v>
      </c>
      <c r="F185" s="61">
        <v>0</v>
      </c>
      <c r="G185" s="75">
        <v>0</v>
      </c>
      <c r="H185" s="61">
        <v>0</v>
      </c>
      <c r="I185" s="64">
        <v>29894</v>
      </c>
      <c r="J185" s="65">
        <v>0</v>
      </c>
      <c r="K185" s="65">
        <v>0</v>
      </c>
      <c r="L185" s="65">
        <v>0</v>
      </c>
      <c r="M185" s="66">
        <f t="shared" si="5"/>
        <v>29894</v>
      </c>
      <c r="N185" s="67">
        <f t="shared" si="4"/>
        <v>1170106</v>
      </c>
      <c r="O185" s="77">
        <v>189</v>
      </c>
      <c r="P185" s="82" t="s">
        <v>486</v>
      </c>
    </row>
    <row r="186" spans="1:16" ht="18.75" x14ac:dyDescent="0.3">
      <c r="A186" s="72">
        <v>183</v>
      </c>
      <c r="B186" s="57" t="s">
        <v>570</v>
      </c>
      <c r="C186" s="58" t="s">
        <v>571</v>
      </c>
      <c r="D186" s="59" t="s">
        <v>572</v>
      </c>
      <c r="E186" s="84">
        <v>1200000</v>
      </c>
      <c r="F186" s="61">
        <v>0</v>
      </c>
      <c r="G186" s="75">
        <v>0</v>
      </c>
      <c r="H186" s="61">
        <v>0</v>
      </c>
      <c r="I186" s="64">
        <v>29894</v>
      </c>
      <c r="J186" s="65">
        <v>0</v>
      </c>
      <c r="K186" s="65">
        <v>0</v>
      </c>
      <c r="L186" s="65">
        <v>0</v>
      </c>
      <c r="M186" s="66">
        <f t="shared" si="5"/>
        <v>29894</v>
      </c>
      <c r="N186" s="67">
        <f t="shared" si="4"/>
        <v>1170106</v>
      </c>
      <c r="O186" s="68">
        <v>190</v>
      </c>
      <c r="P186" s="82" t="s">
        <v>486</v>
      </c>
    </row>
    <row r="187" spans="1:16" ht="18.75" x14ac:dyDescent="0.3">
      <c r="A187" s="56">
        <v>184</v>
      </c>
      <c r="B187" s="57" t="s">
        <v>573</v>
      </c>
      <c r="C187" s="58" t="s">
        <v>574</v>
      </c>
      <c r="D187" s="59" t="s">
        <v>575</v>
      </c>
      <c r="E187" s="84">
        <v>1200000</v>
      </c>
      <c r="F187" s="61">
        <v>0</v>
      </c>
      <c r="G187" s="75">
        <v>0</v>
      </c>
      <c r="H187" s="61">
        <v>0</v>
      </c>
      <c r="I187" s="64">
        <v>29894</v>
      </c>
      <c r="J187" s="65">
        <v>0</v>
      </c>
      <c r="K187" s="65">
        <v>0</v>
      </c>
      <c r="L187" s="65">
        <v>0</v>
      </c>
      <c r="M187" s="66">
        <f t="shared" si="5"/>
        <v>29894</v>
      </c>
      <c r="N187" s="67">
        <f t="shared" si="4"/>
        <v>1170106</v>
      </c>
      <c r="O187" s="77">
        <v>191</v>
      </c>
      <c r="P187" s="82" t="s">
        <v>486</v>
      </c>
    </row>
    <row r="188" spans="1:16" ht="18.75" x14ac:dyDescent="0.3">
      <c r="A188" s="72">
        <v>185</v>
      </c>
      <c r="B188" s="57" t="s">
        <v>576</v>
      </c>
      <c r="C188" s="58" t="s">
        <v>577</v>
      </c>
      <c r="D188" s="59" t="s">
        <v>578</v>
      </c>
      <c r="E188" s="84">
        <v>1200000</v>
      </c>
      <c r="F188" s="61">
        <v>0</v>
      </c>
      <c r="G188" s="75">
        <v>0</v>
      </c>
      <c r="H188" s="61">
        <v>0</v>
      </c>
      <c r="I188" s="64">
        <v>29894</v>
      </c>
      <c r="J188" s="65">
        <v>0</v>
      </c>
      <c r="K188" s="65">
        <v>0</v>
      </c>
      <c r="L188" s="65">
        <v>0</v>
      </c>
      <c r="M188" s="66">
        <f t="shared" si="5"/>
        <v>29894</v>
      </c>
      <c r="N188" s="67">
        <f t="shared" si="4"/>
        <v>1170106</v>
      </c>
      <c r="O188" s="68">
        <v>192</v>
      </c>
      <c r="P188" s="82" t="s">
        <v>486</v>
      </c>
    </row>
    <row r="189" spans="1:16" ht="18.75" x14ac:dyDescent="0.3">
      <c r="A189" s="72">
        <v>186</v>
      </c>
      <c r="B189" s="57" t="s">
        <v>579</v>
      </c>
      <c r="C189" s="58" t="s">
        <v>580</v>
      </c>
      <c r="D189" s="59" t="s">
        <v>581</v>
      </c>
      <c r="E189" s="84">
        <v>1200000</v>
      </c>
      <c r="F189" s="61">
        <v>150000</v>
      </c>
      <c r="G189" s="79">
        <v>516667</v>
      </c>
      <c r="H189" s="61">
        <v>0</v>
      </c>
      <c r="I189" s="64">
        <v>29894</v>
      </c>
      <c r="J189" s="65">
        <v>0</v>
      </c>
      <c r="K189" s="65">
        <v>0</v>
      </c>
      <c r="L189" s="65">
        <v>0</v>
      </c>
      <c r="M189" s="66">
        <f t="shared" si="5"/>
        <v>696561</v>
      </c>
      <c r="N189" s="67">
        <f t="shared" si="4"/>
        <v>503439</v>
      </c>
      <c r="O189" s="77">
        <v>193</v>
      </c>
      <c r="P189" s="82" t="s">
        <v>486</v>
      </c>
    </row>
    <row r="190" spans="1:16" ht="18.75" x14ac:dyDescent="0.3">
      <c r="A190" s="56">
        <v>187</v>
      </c>
      <c r="B190" s="57" t="s">
        <v>582</v>
      </c>
      <c r="C190" s="58" t="s">
        <v>583</v>
      </c>
      <c r="D190" s="59" t="s">
        <v>584</v>
      </c>
      <c r="E190" s="84">
        <v>1200000</v>
      </c>
      <c r="F190" s="61">
        <v>0</v>
      </c>
      <c r="G190" s="75">
        <v>0</v>
      </c>
      <c r="H190" s="61">
        <v>0</v>
      </c>
      <c r="I190" s="64">
        <v>29894</v>
      </c>
      <c r="J190" s="65">
        <v>0</v>
      </c>
      <c r="K190" s="65">
        <v>0</v>
      </c>
      <c r="L190" s="65">
        <v>0</v>
      </c>
      <c r="M190" s="66">
        <f t="shared" si="5"/>
        <v>29894</v>
      </c>
      <c r="N190" s="67">
        <f t="shared" si="4"/>
        <v>1170106</v>
      </c>
      <c r="O190" s="68">
        <v>194</v>
      </c>
      <c r="P190" s="82" t="s">
        <v>486</v>
      </c>
    </row>
    <row r="191" spans="1:16" ht="18.75" x14ac:dyDescent="0.3">
      <c r="A191" s="72">
        <v>188</v>
      </c>
      <c r="B191" s="57" t="s">
        <v>585</v>
      </c>
      <c r="C191" s="58" t="s">
        <v>586</v>
      </c>
      <c r="D191" s="59" t="s">
        <v>587</v>
      </c>
      <c r="E191" s="84">
        <v>1200000</v>
      </c>
      <c r="F191" s="61">
        <v>0</v>
      </c>
      <c r="G191" s="75">
        <v>0</v>
      </c>
      <c r="H191" s="61">
        <v>0</v>
      </c>
      <c r="I191" s="64">
        <v>29894</v>
      </c>
      <c r="J191" s="65">
        <v>0</v>
      </c>
      <c r="K191" s="65">
        <v>0</v>
      </c>
      <c r="L191" s="65">
        <v>0</v>
      </c>
      <c r="M191" s="66">
        <f t="shared" si="5"/>
        <v>29894</v>
      </c>
      <c r="N191" s="67">
        <f t="shared" si="4"/>
        <v>1170106</v>
      </c>
      <c r="O191" s="77">
        <v>195</v>
      </c>
      <c r="P191" s="82" t="s">
        <v>486</v>
      </c>
    </row>
    <row r="192" spans="1:16" ht="18.75" x14ac:dyDescent="0.3">
      <c r="A192" s="72">
        <v>189</v>
      </c>
      <c r="B192" s="57" t="s">
        <v>588</v>
      </c>
      <c r="C192" s="58" t="s">
        <v>589</v>
      </c>
      <c r="D192" s="59" t="s">
        <v>590</v>
      </c>
      <c r="E192" s="84">
        <v>1200000</v>
      </c>
      <c r="F192" s="61">
        <v>0</v>
      </c>
      <c r="G192" s="75">
        <v>0</v>
      </c>
      <c r="H192" s="61">
        <v>0</v>
      </c>
      <c r="I192" s="64">
        <v>29894</v>
      </c>
      <c r="J192" s="65">
        <v>0</v>
      </c>
      <c r="K192" s="65">
        <v>0</v>
      </c>
      <c r="L192" s="65">
        <v>0</v>
      </c>
      <c r="M192" s="66">
        <f t="shared" si="5"/>
        <v>29894</v>
      </c>
      <c r="N192" s="67">
        <f t="shared" si="4"/>
        <v>1170106</v>
      </c>
      <c r="O192" s="68">
        <v>196</v>
      </c>
      <c r="P192" s="82" t="s">
        <v>486</v>
      </c>
    </row>
    <row r="193" spans="1:16" ht="18.75" x14ac:dyDescent="0.3">
      <c r="A193" s="56">
        <v>190</v>
      </c>
      <c r="B193" s="57" t="s">
        <v>591</v>
      </c>
      <c r="C193" s="58" t="s">
        <v>592</v>
      </c>
      <c r="D193" s="59" t="s">
        <v>593</v>
      </c>
      <c r="E193" s="84">
        <v>1200000</v>
      </c>
      <c r="F193" s="61">
        <v>0</v>
      </c>
      <c r="G193" s="75">
        <v>0</v>
      </c>
      <c r="H193" s="61">
        <v>0</v>
      </c>
      <c r="I193" s="64">
        <v>29894</v>
      </c>
      <c r="J193" s="65">
        <v>0</v>
      </c>
      <c r="K193" s="65">
        <v>0</v>
      </c>
      <c r="L193" s="65">
        <v>0</v>
      </c>
      <c r="M193" s="66">
        <f t="shared" si="5"/>
        <v>29894</v>
      </c>
      <c r="N193" s="67">
        <f t="shared" si="4"/>
        <v>1170106</v>
      </c>
      <c r="O193" s="77">
        <v>197</v>
      </c>
      <c r="P193" s="82" t="s">
        <v>486</v>
      </c>
    </row>
    <row r="194" spans="1:16" ht="18.75" x14ac:dyDescent="0.3">
      <c r="A194" s="72">
        <v>191</v>
      </c>
      <c r="B194" s="57" t="s">
        <v>594</v>
      </c>
      <c r="C194" s="58" t="s">
        <v>595</v>
      </c>
      <c r="D194" s="59" t="s">
        <v>596</v>
      </c>
      <c r="E194" s="84">
        <v>1200000</v>
      </c>
      <c r="F194" s="61">
        <v>0</v>
      </c>
      <c r="G194" s="75">
        <v>0</v>
      </c>
      <c r="H194" s="61">
        <v>0</v>
      </c>
      <c r="I194" s="64">
        <v>29894</v>
      </c>
      <c r="J194" s="65">
        <v>0</v>
      </c>
      <c r="K194" s="65">
        <v>0</v>
      </c>
      <c r="L194" s="65">
        <v>0</v>
      </c>
      <c r="M194" s="66">
        <f t="shared" si="5"/>
        <v>29894</v>
      </c>
      <c r="N194" s="67">
        <f t="shared" si="4"/>
        <v>1170106</v>
      </c>
      <c r="O194" s="68">
        <v>198</v>
      </c>
      <c r="P194" s="82" t="s">
        <v>486</v>
      </c>
    </row>
    <row r="195" spans="1:16" ht="18.75" x14ac:dyDescent="0.3">
      <c r="A195" s="72">
        <v>192</v>
      </c>
      <c r="B195" s="57" t="s">
        <v>597</v>
      </c>
      <c r="C195" s="58" t="s">
        <v>598</v>
      </c>
      <c r="D195" s="59" t="s">
        <v>599</v>
      </c>
      <c r="E195" s="84">
        <v>1200000</v>
      </c>
      <c r="F195" s="61">
        <v>0</v>
      </c>
      <c r="G195" s="75">
        <v>0</v>
      </c>
      <c r="H195" s="61">
        <v>0</v>
      </c>
      <c r="I195" s="64">
        <v>29894</v>
      </c>
      <c r="J195" s="65">
        <v>0</v>
      </c>
      <c r="K195" s="65">
        <v>0</v>
      </c>
      <c r="L195" s="65">
        <v>0</v>
      </c>
      <c r="M195" s="66">
        <f t="shared" si="5"/>
        <v>29894</v>
      </c>
      <c r="N195" s="67">
        <f t="shared" si="4"/>
        <v>1170106</v>
      </c>
      <c r="O195" s="77">
        <v>199</v>
      </c>
      <c r="P195" s="82" t="s">
        <v>486</v>
      </c>
    </row>
    <row r="196" spans="1:16" ht="18.75" x14ac:dyDescent="0.3">
      <c r="A196" s="56">
        <v>193</v>
      </c>
      <c r="B196" s="57" t="s">
        <v>600</v>
      </c>
      <c r="C196" s="58" t="s">
        <v>601</v>
      </c>
      <c r="D196" s="59" t="s">
        <v>602</v>
      </c>
      <c r="E196" s="84">
        <v>1200000</v>
      </c>
      <c r="F196" s="61">
        <v>0</v>
      </c>
      <c r="G196" s="75">
        <v>0</v>
      </c>
      <c r="H196" s="61">
        <v>0</v>
      </c>
      <c r="I196" s="64">
        <v>29894</v>
      </c>
      <c r="J196" s="65">
        <v>0</v>
      </c>
      <c r="K196" s="65">
        <v>0</v>
      </c>
      <c r="L196" s="65">
        <v>0</v>
      </c>
      <c r="M196" s="66">
        <f t="shared" si="5"/>
        <v>29894</v>
      </c>
      <c r="N196" s="67">
        <f t="shared" ref="N196:N256" si="6">E196-M196</f>
        <v>1170106</v>
      </c>
      <c r="O196" s="68">
        <v>200</v>
      </c>
      <c r="P196" s="82" t="s">
        <v>486</v>
      </c>
    </row>
    <row r="197" spans="1:16" ht="18.75" x14ac:dyDescent="0.3">
      <c r="A197" s="72">
        <v>194</v>
      </c>
      <c r="B197" s="57" t="s">
        <v>603</v>
      </c>
      <c r="C197" s="58" t="s">
        <v>604</v>
      </c>
      <c r="D197" s="59" t="s">
        <v>605</v>
      </c>
      <c r="E197" s="84">
        <v>1200000</v>
      </c>
      <c r="F197" s="61">
        <v>0</v>
      </c>
      <c r="G197" s="75">
        <v>0</v>
      </c>
      <c r="H197" s="61">
        <v>0</v>
      </c>
      <c r="I197" s="64">
        <v>29894</v>
      </c>
      <c r="J197" s="65">
        <v>0</v>
      </c>
      <c r="K197" s="65">
        <v>0</v>
      </c>
      <c r="L197" s="65">
        <v>0</v>
      </c>
      <c r="M197" s="66">
        <f t="shared" ref="M197:M256" si="7">SUM(F197:L197)</f>
        <v>29894</v>
      </c>
      <c r="N197" s="67">
        <f t="shared" si="6"/>
        <v>1170106</v>
      </c>
      <c r="O197" s="77">
        <v>201</v>
      </c>
      <c r="P197" s="82" t="s">
        <v>486</v>
      </c>
    </row>
    <row r="198" spans="1:16" ht="18.75" x14ac:dyDescent="0.3">
      <c r="A198" s="72">
        <v>195</v>
      </c>
      <c r="B198" s="57" t="s">
        <v>606</v>
      </c>
      <c r="C198" s="58" t="s">
        <v>607</v>
      </c>
      <c r="D198" s="59" t="s">
        <v>608</v>
      </c>
      <c r="E198" s="84">
        <v>1200000</v>
      </c>
      <c r="F198" s="61">
        <v>0</v>
      </c>
      <c r="G198" s="75">
        <v>0</v>
      </c>
      <c r="H198" s="61">
        <v>0</v>
      </c>
      <c r="I198" s="64">
        <v>29894</v>
      </c>
      <c r="J198" s="65">
        <v>0</v>
      </c>
      <c r="K198" s="65">
        <v>0</v>
      </c>
      <c r="L198" s="65">
        <v>0</v>
      </c>
      <c r="M198" s="66">
        <f t="shared" si="7"/>
        <v>29894</v>
      </c>
      <c r="N198" s="67">
        <f t="shared" si="6"/>
        <v>1170106</v>
      </c>
      <c r="O198" s="68">
        <v>202</v>
      </c>
      <c r="P198" s="82" t="s">
        <v>486</v>
      </c>
    </row>
    <row r="199" spans="1:16" ht="18.75" x14ac:dyDescent="0.3">
      <c r="A199" s="56">
        <v>196</v>
      </c>
      <c r="B199" s="57" t="s">
        <v>609</v>
      </c>
      <c r="C199" s="58" t="s">
        <v>610</v>
      </c>
      <c r="D199" s="59" t="s">
        <v>611</v>
      </c>
      <c r="E199" s="84">
        <v>1200000</v>
      </c>
      <c r="F199" s="61">
        <v>0</v>
      </c>
      <c r="G199" s="75">
        <v>0</v>
      </c>
      <c r="H199" s="61">
        <v>0</v>
      </c>
      <c r="I199" s="64">
        <v>29894</v>
      </c>
      <c r="J199" s="65">
        <v>0</v>
      </c>
      <c r="K199" s="65">
        <v>0</v>
      </c>
      <c r="L199" s="65">
        <v>0</v>
      </c>
      <c r="M199" s="66">
        <f t="shared" si="7"/>
        <v>29894</v>
      </c>
      <c r="N199" s="67">
        <f t="shared" si="6"/>
        <v>1170106</v>
      </c>
      <c r="O199" s="77">
        <v>203</v>
      </c>
      <c r="P199" s="82" t="s">
        <v>486</v>
      </c>
    </row>
    <row r="200" spans="1:16" ht="18.75" x14ac:dyDescent="0.3">
      <c r="A200" s="72">
        <v>197</v>
      </c>
      <c r="B200" s="57" t="s">
        <v>612</v>
      </c>
      <c r="C200" s="58" t="s">
        <v>613</v>
      </c>
      <c r="D200" s="59" t="s">
        <v>614</v>
      </c>
      <c r="E200" s="84">
        <v>1200000</v>
      </c>
      <c r="F200" s="61">
        <v>0</v>
      </c>
      <c r="G200" s="75">
        <v>0</v>
      </c>
      <c r="H200" s="61">
        <v>0</v>
      </c>
      <c r="I200" s="64">
        <v>29894</v>
      </c>
      <c r="J200" s="65">
        <v>0</v>
      </c>
      <c r="K200" s="65">
        <v>0</v>
      </c>
      <c r="L200" s="65">
        <v>0</v>
      </c>
      <c r="M200" s="66">
        <f t="shared" si="7"/>
        <v>29894</v>
      </c>
      <c r="N200" s="67">
        <f t="shared" si="6"/>
        <v>1170106</v>
      </c>
      <c r="O200" s="68">
        <v>204</v>
      </c>
      <c r="P200" s="82" t="s">
        <v>486</v>
      </c>
    </row>
    <row r="201" spans="1:16" ht="18.75" x14ac:dyDescent="0.3">
      <c r="A201" s="72">
        <v>198</v>
      </c>
      <c r="B201" s="57" t="s">
        <v>615</v>
      </c>
      <c r="C201" s="58" t="s">
        <v>616</v>
      </c>
      <c r="D201" s="59" t="s">
        <v>617</v>
      </c>
      <c r="E201" s="84">
        <v>1200000</v>
      </c>
      <c r="F201" s="61">
        <v>0</v>
      </c>
      <c r="G201" s="75">
        <v>0</v>
      </c>
      <c r="H201" s="61">
        <v>0</v>
      </c>
      <c r="I201" s="64">
        <v>0</v>
      </c>
      <c r="J201" s="65">
        <v>0</v>
      </c>
      <c r="K201" s="65">
        <v>0</v>
      </c>
      <c r="L201" s="65">
        <v>0</v>
      </c>
      <c r="M201" s="66">
        <f t="shared" si="7"/>
        <v>0</v>
      </c>
      <c r="N201" s="67">
        <f t="shared" si="6"/>
        <v>1200000</v>
      </c>
      <c r="O201" s="77">
        <v>205</v>
      </c>
      <c r="P201" s="82" t="s">
        <v>486</v>
      </c>
    </row>
    <row r="202" spans="1:16" ht="18.75" x14ac:dyDescent="0.3">
      <c r="A202" s="56">
        <v>199</v>
      </c>
      <c r="B202" s="57" t="s">
        <v>618</v>
      </c>
      <c r="C202" s="58" t="s">
        <v>619</v>
      </c>
      <c r="D202" s="59" t="s">
        <v>620</v>
      </c>
      <c r="E202" s="84">
        <v>1200000</v>
      </c>
      <c r="F202" s="61">
        <v>0</v>
      </c>
      <c r="G202" s="75">
        <v>0</v>
      </c>
      <c r="H202" s="61">
        <v>0</v>
      </c>
      <c r="I202" s="64">
        <v>0</v>
      </c>
      <c r="J202" s="65">
        <v>0</v>
      </c>
      <c r="K202" s="65">
        <v>0</v>
      </c>
      <c r="L202" s="65">
        <v>0</v>
      </c>
      <c r="M202" s="66">
        <f t="shared" si="7"/>
        <v>0</v>
      </c>
      <c r="N202" s="67">
        <f t="shared" si="6"/>
        <v>1200000</v>
      </c>
      <c r="O202" s="68">
        <v>206</v>
      </c>
      <c r="P202" s="82" t="s">
        <v>486</v>
      </c>
    </row>
    <row r="203" spans="1:16" ht="18.75" x14ac:dyDescent="0.3">
      <c r="A203" s="72">
        <v>200</v>
      </c>
      <c r="B203" s="57" t="s">
        <v>621</v>
      </c>
      <c r="C203" s="58" t="s">
        <v>622</v>
      </c>
      <c r="D203" s="59" t="s">
        <v>623</v>
      </c>
      <c r="E203" s="84">
        <v>1200000</v>
      </c>
      <c r="F203" s="61">
        <v>0</v>
      </c>
      <c r="G203" s="75">
        <v>0</v>
      </c>
      <c r="H203" s="61">
        <v>0</v>
      </c>
      <c r="I203" s="64">
        <v>29894</v>
      </c>
      <c r="J203" s="65">
        <v>0</v>
      </c>
      <c r="K203" s="65">
        <v>0</v>
      </c>
      <c r="L203" s="65">
        <v>0</v>
      </c>
      <c r="M203" s="66">
        <f t="shared" si="7"/>
        <v>29894</v>
      </c>
      <c r="N203" s="67">
        <f t="shared" si="6"/>
        <v>1170106</v>
      </c>
      <c r="O203" s="77">
        <v>207</v>
      </c>
      <c r="P203" s="82" t="s">
        <v>486</v>
      </c>
    </row>
    <row r="204" spans="1:16" ht="18.75" x14ac:dyDescent="0.3">
      <c r="A204" s="72">
        <v>201</v>
      </c>
      <c r="B204" s="57" t="s">
        <v>624</v>
      </c>
      <c r="C204" s="58" t="s">
        <v>625</v>
      </c>
      <c r="D204" s="59" t="s">
        <v>626</v>
      </c>
      <c r="E204" s="84">
        <v>1200000</v>
      </c>
      <c r="F204" s="61">
        <v>150000</v>
      </c>
      <c r="G204" s="75">
        <v>776342</v>
      </c>
      <c r="H204" s="61">
        <v>0</v>
      </c>
      <c r="I204" s="64">
        <v>29894</v>
      </c>
      <c r="J204" s="65">
        <v>0</v>
      </c>
      <c r="K204" s="65">
        <v>0</v>
      </c>
      <c r="L204" s="65">
        <v>0</v>
      </c>
      <c r="M204" s="66">
        <f t="shared" si="7"/>
        <v>956236</v>
      </c>
      <c r="N204" s="67">
        <f t="shared" si="6"/>
        <v>243764</v>
      </c>
      <c r="O204" s="68">
        <v>208</v>
      </c>
      <c r="P204" s="82" t="s">
        <v>486</v>
      </c>
    </row>
    <row r="205" spans="1:16" ht="18.75" x14ac:dyDescent="0.3">
      <c r="A205" s="56">
        <v>202</v>
      </c>
      <c r="B205" s="57" t="s">
        <v>627</v>
      </c>
      <c r="C205" s="58" t="s">
        <v>628</v>
      </c>
      <c r="D205" s="59" t="s">
        <v>629</v>
      </c>
      <c r="E205" s="84">
        <v>1200000</v>
      </c>
      <c r="F205" s="61">
        <v>0</v>
      </c>
      <c r="G205" s="75">
        <v>0</v>
      </c>
      <c r="H205" s="61">
        <v>0</v>
      </c>
      <c r="I205" s="64">
        <v>29894</v>
      </c>
      <c r="J205" s="65">
        <v>0</v>
      </c>
      <c r="K205" s="65">
        <v>0</v>
      </c>
      <c r="L205" s="65">
        <v>0</v>
      </c>
      <c r="M205" s="66">
        <f t="shared" si="7"/>
        <v>29894</v>
      </c>
      <c r="N205" s="67">
        <f t="shared" si="6"/>
        <v>1170106</v>
      </c>
      <c r="O205" s="77">
        <v>209</v>
      </c>
      <c r="P205" s="82" t="s">
        <v>486</v>
      </c>
    </row>
    <row r="206" spans="1:16" ht="18.75" x14ac:dyDescent="0.3">
      <c r="A206" s="72">
        <v>203</v>
      </c>
      <c r="B206" s="57" t="s">
        <v>630</v>
      </c>
      <c r="C206" s="58" t="s">
        <v>631</v>
      </c>
      <c r="D206" s="59" t="s">
        <v>632</v>
      </c>
      <c r="E206" s="84">
        <v>1200000</v>
      </c>
      <c r="F206" s="61">
        <v>0</v>
      </c>
      <c r="G206" s="75">
        <v>0</v>
      </c>
      <c r="H206" s="61">
        <v>0</v>
      </c>
      <c r="I206" s="64">
        <v>29894</v>
      </c>
      <c r="J206" s="65">
        <v>0</v>
      </c>
      <c r="K206" s="65">
        <v>0</v>
      </c>
      <c r="L206" s="65">
        <v>0</v>
      </c>
      <c r="M206" s="66">
        <f t="shared" si="7"/>
        <v>29894</v>
      </c>
      <c r="N206" s="67">
        <f t="shared" si="6"/>
        <v>1170106</v>
      </c>
      <c r="O206" s="68">
        <v>210</v>
      </c>
      <c r="P206" s="82" t="s">
        <v>486</v>
      </c>
    </row>
    <row r="207" spans="1:16" ht="18.75" x14ac:dyDescent="0.3">
      <c r="A207" s="72">
        <v>204</v>
      </c>
      <c r="B207" s="57" t="s">
        <v>633</v>
      </c>
      <c r="C207" s="58" t="s">
        <v>634</v>
      </c>
      <c r="D207" s="59" t="s">
        <v>635</v>
      </c>
      <c r="E207" s="84">
        <v>1350000</v>
      </c>
      <c r="F207" s="61">
        <v>0</v>
      </c>
      <c r="G207" s="75">
        <v>0</v>
      </c>
      <c r="H207" s="61">
        <v>0</v>
      </c>
      <c r="I207" s="64">
        <v>29894</v>
      </c>
      <c r="J207" s="65">
        <v>0</v>
      </c>
      <c r="K207" s="65">
        <v>0</v>
      </c>
      <c r="L207" s="65">
        <v>0</v>
      </c>
      <c r="M207" s="66">
        <f t="shared" si="7"/>
        <v>29894</v>
      </c>
      <c r="N207" s="67">
        <f t="shared" si="6"/>
        <v>1320106</v>
      </c>
      <c r="O207" s="77">
        <v>211</v>
      </c>
      <c r="P207" s="82" t="s">
        <v>486</v>
      </c>
    </row>
    <row r="208" spans="1:16" ht="18.75" x14ac:dyDescent="0.3">
      <c r="A208" s="56">
        <v>205</v>
      </c>
      <c r="B208" s="57" t="s">
        <v>636</v>
      </c>
      <c r="C208" s="58" t="s">
        <v>637</v>
      </c>
      <c r="D208" s="59" t="s">
        <v>638</v>
      </c>
      <c r="E208" s="84">
        <v>1200000</v>
      </c>
      <c r="F208" s="61">
        <v>0</v>
      </c>
      <c r="G208" s="75">
        <v>0</v>
      </c>
      <c r="H208" s="61">
        <v>0</v>
      </c>
      <c r="I208" s="64">
        <v>29894</v>
      </c>
      <c r="J208" s="65">
        <v>0</v>
      </c>
      <c r="K208" s="65">
        <v>0</v>
      </c>
      <c r="L208" s="65">
        <v>0</v>
      </c>
      <c r="M208" s="66">
        <f t="shared" si="7"/>
        <v>29894</v>
      </c>
      <c r="N208" s="67">
        <f t="shared" si="6"/>
        <v>1170106</v>
      </c>
      <c r="O208" s="68">
        <v>212</v>
      </c>
      <c r="P208" s="82" t="s">
        <v>486</v>
      </c>
    </row>
    <row r="209" spans="1:16" ht="18.75" x14ac:dyDescent="0.3">
      <c r="A209" s="72">
        <v>206</v>
      </c>
      <c r="B209" s="57" t="s">
        <v>639</v>
      </c>
      <c r="C209" s="58" t="s">
        <v>640</v>
      </c>
      <c r="D209" s="59" t="s">
        <v>641</v>
      </c>
      <c r="E209" s="84">
        <v>1200000</v>
      </c>
      <c r="F209" s="61">
        <v>0</v>
      </c>
      <c r="G209" s="75">
        <v>0</v>
      </c>
      <c r="H209" s="61">
        <v>0</v>
      </c>
      <c r="I209" s="64">
        <v>29894</v>
      </c>
      <c r="J209" s="65">
        <v>0</v>
      </c>
      <c r="K209" s="65">
        <v>0</v>
      </c>
      <c r="L209" s="65">
        <v>0</v>
      </c>
      <c r="M209" s="66">
        <f t="shared" si="7"/>
        <v>29894</v>
      </c>
      <c r="N209" s="67">
        <f t="shared" si="6"/>
        <v>1170106</v>
      </c>
      <c r="O209" s="68">
        <v>214</v>
      </c>
      <c r="P209" s="82" t="s">
        <v>486</v>
      </c>
    </row>
    <row r="210" spans="1:16" ht="18.75" x14ac:dyDescent="0.3">
      <c r="A210" s="72">
        <v>207</v>
      </c>
      <c r="B210" s="57" t="s">
        <v>642</v>
      </c>
      <c r="C210" s="58" t="s">
        <v>643</v>
      </c>
      <c r="D210" s="59" t="s">
        <v>644</v>
      </c>
      <c r="E210" s="84">
        <v>1200000</v>
      </c>
      <c r="F210" s="61">
        <v>0</v>
      </c>
      <c r="G210" s="75">
        <v>0</v>
      </c>
      <c r="H210" s="61">
        <v>0</v>
      </c>
      <c r="I210" s="64">
        <v>29894</v>
      </c>
      <c r="J210" s="65">
        <v>0</v>
      </c>
      <c r="K210" s="65">
        <v>0</v>
      </c>
      <c r="L210" s="65">
        <v>0</v>
      </c>
      <c r="M210" s="66">
        <f t="shared" si="7"/>
        <v>29894</v>
      </c>
      <c r="N210" s="67">
        <f t="shared" si="6"/>
        <v>1170106</v>
      </c>
      <c r="O210" s="77">
        <v>215</v>
      </c>
      <c r="P210" s="82" t="s">
        <v>486</v>
      </c>
    </row>
    <row r="211" spans="1:16" ht="18.75" x14ac:dyDescent="0.3">
      <c r="A211" s="56">
        <v>208</v>
      </c>
      <c r="B211" s="57" t="s">
        <v>645</v>
      </c>
      <c r="C211" s="58" t="s">
        <v>646</v>
      </c>
      <c r="D211" s="59" t="s">
        <v>647</v>
      </c>
      <c r="E211" s="84">
        <v>1200000</v>
      </c>
      <c r="F211" s="61">
        <v>0</v>
      </c>
      <c r="G211" s="75">
        <v>0</v>
      </c>
      <c r="H211" s="61">
        <v>0</v>
      </c>
      <c r="I211" s="64">
        <v>29894</v>
      </c>
      <c r="J211" s="65">
        <v>0</v>
      </c>
      <c r="K211" s="65">
        <v>0</v>
      </c>
      <c r="L211" s="65">
        <v>0</v>
      </c>
      <c r="M211" s="66">
        <f t="shared" si="7"/>
        <v>29894</v>
      </c>
      <c r="N211" s="67">
        <f t="shared" si="6"/>
        <v>1170106</v>
      </c>
      <c r="O211" s="68">
        <v>216</v>
      </c>
      <c r="P211" s="82" t="s">
        <v>486</v>
      </c>
    </row>
    <row r="212" spans="1:16" ht="18.75" x14ac:dyDescent="0.3">
      <c r="A212" s="56">
        <v>209</v>
      </c>
      <c r="B212" s="57" t="s">
        <v>648</v>
      </c>
      <c r="C212" s="58" t="s">
        <v>649</v>
      </c>
      <c r="D212" s="59" t="s">
        <v>650</v>
      </c>
      <c r="E212" s="84">
        <v>8200000</v>
      </c>
      <c r="F212" s="61">
        <v>0</v>
      </c>
      <c r="G212" s="75">
        <v>0</v>
      </c>
      <c r="H212" s="61">
        <v>0</v>
      </c>
      <c r="I212" s="64">
        <v>82000</v>
      </c>
      <c r="J212" s="65">
        <v>0</v>
      </c>
      <c r="K212" s="65">
        <v>0</v>
      </c>
      <c r="L212" s="65">
        <v>0</v>
      </c>
      <c r="M212" s="66">
        <f t="shared" si="7"/>
        <v>82000</v>
      </c>
      <c r="N212" s="67">
        <f t="shared" si="6"/>
        <v>8118000</v>
      </c>
      <c r="O212" s="77">
        <v>217</v>
      </c>
      <c r="P212" s="82" t="s">
        <v>486</v>
      </c>
    </row>
    <row r="213" spans="1:16" ht="18.75" x14ac:dyDescent="0.3">
      <c r="A213" s="72">
        <v>210</v>
      </c>
      <c r="B213" s="99" t="s">
        <v>651</v>
      </c>
      <c r="C213" s="100" t="s">
        <v>652</v>
      </c>
      <c r="D213" s="59" t="s">
        <v>653</v>
      </c>
      <c r="E213" s="84">
        <v>1200000</v>
      </c>
      <c r="F213" s="61">
        <v>0</v>
      </c>
      <c r="G213" s="75">
        <v>0</v>
      </c>
      <c r="H213" s="61">
        <v>0</v>
      </c>
      <c r="I213" s="64">
        <v>29894</v>
      </c>
      <c r="J213" s="65">
        <v>0</v>
      </c>
      <c r="K213" s="65">
        <v>0</v>
      </c>
      <c r="L213" s="65">
        <v>0</v>
      </c>
      <c r="M213" s="66">
        <f t="shared" si="7"/>
        <v>29894</v>
      </c>
      <c r="N213" s="67">
        <f t="shared" si="6"/>
        <v>1170106</v>
      </c>
      <c r="O213" s="77">
        <v>219</v>
      </c>
      <c r="P213" s="82" t="s">
        <v>486</v>
      </c>
    </row>
    <row r="214" spans="1:16" ht="18.75" x14ac:dyDescent="0.3">
      <c r="A214" s="72">
        <v>211</v>
      </c>
      <c r="B214" s="99" t="s">
        <v>654</v>
      </c>
      <c r="C214" s="100" t="s">
        <v>655</v>
      </c>
      <c r="D214" s="59" t="s">
        <v>656</v>
      </c>
      <c r="E214" s="84">
        <v>1200000</v>
      </c>
      <c r="F214" s="61">
        <v>0</v>
      </c>
      <c r="G214" s="75">
        <v>0</v>
      </c>
      <c r="H214" s="61">
        <v>0</v>
      </c>
      <c r="I214" s="64">
        <v>29894</v>
      </c>
      <c r="J214" s="65">
        <v>0</v>
      </c>
      <c r="K214" s="65">
        <v>0</v>
      </c>
      <c r="L214" s="65">
        <v>0</v>
      </c>
      <c r="M214" s="66">
        <f t="shared" si="7"/>
        <v>29894</v>
      </c>
      <c r="N214" s="67">
        <f t="shared" si="6"/>
        <v>1170106</v>
      </c>
      <c r="O214" s="68">
        <v>220</v>
      </c>
      <c r="P214" s="82" t="s">
        <v>486</v>
      </c>
    </row>
    <row r="215" spans="1:16" ht="18.75" x14ac:dyDescent="0.3">
      <c r="A215" s="56">
        <v>212</v>
      </c>
      <c r="B215" s="57" t="s">
        <v>657</v>
      </c>
      <c r="C215" s="58" t="s">
        <v>658</v>
      </c>
      <c r="D215" s="59" t="s">
        <v>659</v>
      </c>
      <c r="E215" s="84">
        <v>8200000</v>
      </c>
      <c r="F215" s="61">
        <v>0</v>
      </c>
      <c r="G215" s="75">
        <v>0</v>
      </c>
      <c r="H215" s="61">
        <v>0</v>
      </c>
      <c r="I215" s="61">
        <v>0</v>
      </c>
      <c r="J215" s="65">
        <v>0</v>
      </c>
      <c r="K215" s="65">
        <v>0</v>
      </c>
      <c r="L215" s="65">
        <v>0</v>
      </c>
      <c r="M215" s="66">
        <f t="shared" si="7"/>
        <v>0</v>
      </c>
      <c r="N215" s="67">
        <f t="shared" si="6"/>
        <v>8200000</v>
      </c>
      <c r="O215" s="77">
        <v>221</v>
      </c>
      <c r="P215" s="82" t="s">
        <v>486</v>
      </c>
    </row>
    <row r="216" spans="1:16" ht="18.75" x14ac:dyDescent="0.3">
      <c r="A216" s="56">
        <v>213</v>
      </c>
      <c r="B216" s="57" t="s">
        <v>660</v>
      </c>
      <c r="C216" s="58" t="s">
        <v>661</v>
      </c>
      <c r="D216" s="59" t="s">
        <v>662</v>
      </c>
      <c r="E216" s="84">
        <v>1200000</v>
      </c>
      <c r="F216" s="61">
        <v>0</v>
      </c>
      <c r="G216" s="75">
        <v>0</v>
      </c>
      <c r="H216" s="61">
        <v>0</v>
      </c>
      <c r="I216" s="64">
        <v>29894</v>
      </c>
      <c r="J216" s="65">
        <v>0</v>
      </c>
      <c r="K216" s="65">
        <v>0</v>
      </c>
      <c r="L216" s="65">
        <v>0</v>
      </c>
      <c r="M216" s="66">
        <f t="shared" si="7"/>
        <v>29894</v>
      </c>
      <c r="N216" s="67">
        <f t="shared" si="6"/>
        <v>1170106</v>
      </c>
      <c r="O216" s="68">
        <v>222</v>
      </c>
      <c r="P216" s="82" t="s">
        <v>486</v>
      </c>
    </row>
    <row r="217" spans="1:16" ht="18.75" x14ac:dyDescent="0.3">
      <c r="A217" s="72">
        <v>214</v>
      </c>
      <c r="B217" s="57" t="s">
        <v>663</v>
      </c>
      <c r="C217" s="58" t="s">
        <v>664</v>
      </c>
      <c r="D217" s="59" t="s">
        <v>665</v>
      </c>
      <c r="E217" s="84">
        <v>1200000</v>
      </c>
      <c r="F217" s="61">
        <v>0</v>
      </c>
      <c r="G217" s="75">
        <v>0</v>
      </c>
      <c r="H217" s="61">
        <v>0</v>
      </c>
      <c r="I217" s="64">
        <v>29894</v>
      </c>
      <c r="J217" s="65">
        <v>0</v>
      </c>
      <c r="K217" s="65">
        <v>0</v>
      </c>
      <c r="L217" s="65">
        <v>0</v>
      </c>
      <c r="M217" s="66">
        <f t="shared" si="7"/>
        <v>29894</v>
      </c>
      <c r="N217" s="67">
        <f t="shared" si="6"/>
        <v>1170106</v>
      </c>
      <c r="O217" s="77">
        <v>223</v>
      </c>
      <c r="P217" s="82" t="s">
        <v>486</v>
      </c>
    </row>
    <row r="218" spans="1:16" ht="18.75" x14ac:dyDescent="0.3">
      <c r="A218" s="72">
        <v>215</v>
      </c>
      <c r="B218" s="57" t="s">
        <v>666</v>
      </c>
      <c r="C218" s="58" t="s">
        <v>667</v>
      </c>
      <c r="D218" s="59" t="s">
        <v>668</v>
      </c>
      <c r="E218" s="84">
        <v>1200000</v>
      </c>
      <c r="F218" s="61">
        <v>0</v>
      </c>
      <c r="G218" s="75">
        <v>0</v>
      </c>
      <c r="H218" s="61">
        <v>0</v>
      </c>
      <c r="I218" s="64">
        <v>29894</v>
      </c>
      <c r="J218" s="65">
        <v>0</v>
      </c>
      <c r="K218" s="65">
        <v>0</v>
      </c>
      <c r="L218" s="65">
        <v>0</v>
      </c>
      <c r="M218" s="66">
        <f t="shared" si="7"/>
        <v>29894</v>
      </c>
      <c r="N218" s="67">
        <f t="shared" si="6"/>
        <v>1170106</v>
      </c>
      <c r="O218" s="68">
        <v>224</v>
      </c>
      <c r="P218" s="82" t="s">
        <v>486</v>
      </c>
    </row>
    <row r="219" spans="1:16" ht="18.75" x14ac:dyDescent="0.3">
      <c r="A219" s="56">
        <v>216</v>
      </c>
      <c r="B219" s="57" t="s">
        <v>669</v>
      </c>
      <c r="C219" s="58" t="s">
        <v>670</v>
      </c>
      <c r="D219" s="59" t="s">
        <v>671</v>
      </c>
      <c r="E219" s="84">
        <v>3650000</v>
      </c>
      <c r="F219" s="61">
        <v>0</v>
      </c>
      <c r="G219" s="75">
        <v>0</v>
      </c>
      <c r="H219" s="61">
        <v>0</v>
      </c>
      <c r="I219" s="64">
        <v>36500</v>
      </c>
      <c r="J219" s="65">
        <v>0</v>
      </c>
      <c r="K219" s="65">
        <v>0</v>
      </c>
      <c r="L219" s="65">
        <v>0</v>
      </c>
      <c r="M219" s="66">
        <f t="shared" si="7"/>
        <v>36500</v>
      </c>
      <c r="N219" s="67">
        <f t="shared" si="6"/>
        <v>3613500</v>
      </c>
      <c r="O219" s="77">
        <v>225</v>
      </c>
      <c r="P219" s="82" t="s">
        <v>486</v>
      </c>
    </row>
    <row r="220" spans="1:16" ht="18.75" x14ac:dyDescent="0.3">
      <c r="A220" s="56">
        <v>217</v>
      </c>
      <c r="B220" s="57" t="s">
        <v>672</v>
      </c>
      <c r="C220" s="58" t="s">
        <v>673</v>
      </c>
      <c r="D220" s="59" t="s">
        <v>674</v>
      </c>
      <c r="E220" s="84">
        <v>1600000</v>
      </c>
      <c r="F220" s="61">
        <v>0</v>
      </c>
      <c r="G220" s="75">
        <v>0</v>
      </c>
      <c r="H220" s="61">
        <v>0</v>
      </c>
      <c r="I220" s="64">
        <v>29894</v>
      </c>
      <c r="J220" s="65">
        <v>0</v>
      </c>
      <c r="K220" s="65">
        <v>0</v>
      </c>
      <c r="L220" s="65">
        <v>0</v>
      </c>
      <c r="M220" s="66">
        <f t="shared" si="7"/>
        <v>29894</v>
      </c>
      <c r="N220" s="67">
        <f t="shared" si="6"/>
        <v>1570106</v>
      </c>
      <c r="O220" s="68">
        <v>226</v>
      </c>
      <c r="P220" s="82" t="s">
        <v>486</v>
      </c>
    </row>
    <row r="221" spans="1:16" ht="18.75" x14ac:dyDescent="0.3">
      <c r="A221" s="72">
        <v>218</v>
      </c>
      <c r="B221" s="57" t="s">
        <v>675</v>
      </c>
      <c r="C221" s="58" t="s">
        <v>676</v>
      </c>
      <c r="D221" s="59" t="s">
        <v>677</v>
      </c>
      <c r="E221" s="84">
        <v>1200000</v>
      </c>
      <c r="F221" s="61">
        <v>0</v>
      </c>
      <c r="G221" s="75">
        <v>0</v>
      </c>
      <c r="H221" s="61">
        <v>0</v>
      </c>
      <c r="I221" s="64">
        <v>29894</v>
      </c>
      <c r="J221" s="65">
        <v>0</v>
      </c>
      <c r="K221" s="65">
        <v>0</v>
      </c>
      <c r="L221" s="65">
        <v>0</v>
      </c>
      <c r="M221" s="66">
        <f t="shared" si="7"/>
        <v>29894</v>
      </c>
      <c r="N221" s="67">
        <f t="shared" si="6"/>
        <v>1170106</v>
      </c>
      <c r="O221" s="77">
        <v>227</v>
      </c>
      <c r="P221" s="82" t="s">
        <v>486</v>
      </c>
    </row>
    <row r="222" spans="1:16" ht="18.75" x14ac:dyDescent="0.3">
      <c r="A222" s="72">
        <v>219</v>
      </c>
      <c r="B222" s="57" t="s">
        <v>678</v>
      </c>
      <c r="C222" s="58" t="s">
        <v>679</v>
      </c>
      <c r="D222" s="59" t="s">
        <v>680</v>
      </c>
      <c r="E222" s="84">
        <v>1200000</v>
      </c>
      <c r="F222" s="61">
        <v>0</v>
      </c>
      <c r="G222" s="75">
        <v>0</v>
      </c>
      <c r="H222" s="61">
        <v>0</v>
      </c>
      <c r="I222" s="64">
        <v>29894</v>
      </c>
      <c r="J222" s="65">
        <v>0</v>
      </c>
      <c r="K222" s="65">
        <v>0</v>
      </c>
      <c r="L222" s="65">
        <v>0</v>
      </c>
      <c r="M222" s="66">
        <f t="shared" si="7"/>
        <v>29894</v>
      </c>
      <c r="N222" s="67">
        <f t="shared" si="6"/>
        <v>1170106</v>
      </c>
      <c r="O222" s="68">
        <v>228</v>
      </c>
      <c r="P222" s="82" t="s">
        <v>486</v>
      </c>
    </row>
    <row r="223" spans="1:16" ht="18.75" x14ac:dyDescent="0.3">
      <c r="A223" s="56">
        <v>220</v>
      </c>
      <c r="B223" s="57" t="s">
        <v>681</v>
      </c>
      <c r="C223" s="58" t="s">
        <v>682</v>
      </c>
      <c r="D223" s="59" t="s">
        <v>683</v>
      </c>
      <c r="E223" s="84">
        <v>1200000</v>
      </c>
      <c r="F223" s="61">
        <v>0</v>
      </c>
      <c r="G223" s="75">
        <v>0</v>
      </c>
      <c r="H223" s="61">
        <v>0</v>
      </c>
      <c r="I223" s="64">
        <v>29894</v>
      </c>
      <c r="J223" s="65">
        <v>0</v>
      </c>
      <c r="K223" s="65">
        <v>0</v>
      </c>
      <c r="L223" s="65">
        <v>0</v>
      </c>
      <c r="M223" s="66">
        <f t="shared" si="7"/>
        <v>29894</v>
      </c>
      <c r="N223" s="67">
        <f t="shared" si="6"/>
        <v>1170106</v>
      </c>
      <c r="O223" s="77">
        <v>229</v>
      </c>
      <c r="P223" s="82" t="s">
        <v>486</v>
      </c>
    </row>
    <row r="224" spans="1:16" ht="18.75" x14ac:dyDescent="0.3">
      <c r="A224" s="56">
        <v>221</v>
      </c>
      <c r="B224" s="57" t="s">
        <v>684</v>
      </c>
      <c r="C224" s="58" t="s">
        <v>685</v>
      </c>
      <c r="D224" s="59" t="s">
        <v>686</v>
      </c>
      <c r="E224" s="84">
        <v>1350000</v>
      </c>
      <c r="F224" s="61">
        <v>0</v>
      </c>
      <c r="G224" s="75">
        <v>0</v>
      </c>
      <c r="H224" s="61">
        <v>0</v>
      </c>
      <c r="I224" s="64">
        <v>29894</v>
      </c>
      <c r="J224" s="65">
        <v>0</v>
      </c>
      <c r="K224" s="65">
        <v>0</v>
      </c>
      <c r="L224" s="65">
        <v>0</v>
      </c>
      <c r="M224" s="66">
        <f t="shared" si="7"/>
        <v>29894</v>
      </c>
      <c r="N224" s="67">
        <f t="shared" si="6"/>
        <v>1320106</v>
      </c>
      <c r="O224" s="68">
        <v>230</v>
      </c>
      <c r="P224" s="82" t="s">
        <v>486</v>
      </c>
    </row>
    <row r="225" spans="1:16" ht="18.75" x14ac:dyDescent="0.3">
      <c r="A225" s="72">
        <v>222</v>
      </c>
      <c r="B225" s="57" t="s">
        <v>687</v>
      </c>
      <c r="C225" s="58" t="s">
        <v>688</v>
      </c>
      <c r="D225" s="59" t="s">
        <v>689</v>
      </c>
      <c r="E225" s="84">
        <v>1350000</v>
      </c>
      <c r="F225" s="61">
        <v>0</v>
      </c>
      <c r="G225" s="75">
        <v>0</v>
      </c>
      <c r="H225" s="61">
        <v>0</v>
      </c>
      <c r="I225" s="64">
        <v>29894</v>
      </c>
      <c r="J225" s="65">
        <v>0</v>
      </c>
      <c r="K225" s="65">
        <v>0</v>
      </c>
      <c r="L225" s="65">
        <v>0</v>
      </c>
      <c r="M225" s="66">
        <f t="shared" si="7"/>
        <v>29894</v>
      </c>
      <c r="N225" s="67">
        <f t="shared" si="6"/>
        <v>1320106</v>
      </c>
      <c r="O225" s="77">
        <v>231</v>
      </c>
      <c r="P225" s="82" t="s">
        <v>486</v>
      </c>
    </row>
    <row r="226" spans="1:16" ht="18.75" x14ac:dyDescent="0.3">
      <c r="A226" s="72">
        <v>223</v>
      </c>
      <c r="B226" s="57" t="s">
        <v>690</v>
      </c>
      <c r="C226" s="58" t="s">
        <v>691</v>
      </c>
      <c r="D226" s="59" t="s">
        <v>692</v>
      </c>
      <c r="E226" s="84">
        <v>1350000</v>
      </c>
      <c r="F226" s="61">
        <v>0</v>
      </c>
      <c r="G226" s="75">
        <v>0</v>
      </c>
      <c r="H226" s="61">
        <v>0</v>
      </c>
      <c r="I226" s="64">
        <v>29894</v>
      </c>
      <c r="J226" s="65">
        <v>0</v>
      </c>
      <c r="K226" s="65">
        <v>0</v>
      </c>
      <c r="L226" s="65">
        <v>0</v>
      </c>
      <c r="M226" s="66">
        <f t="shared" si="7"/>
        <v>29894</v>
      </c>
      <c r="N226" s="67">
        <f t="shared" si="6"/>
        <v>1320106</v>
      </c>
      <c r="O226" s="68">
        <v>232</v>
      </c>
      <c r="P226" s="82" t="s">
        <v>486</v>
      </c>
    </row>
    <row r="227" spans="1:16" ht="18.75" x14ac:dyDescent="0.3">
      <c r="A227" s="56">
        <v>224</v>
      </c>
      <c r="B227" s="57" t="s">
        <v>693</v>
      </c>
      <c r="C227" s="58" t="s">
        <v>694</v>
      </c>
      <c r="D227" s="59" t="s">
        <v>695</v>
      </c>
      <c r="E227" s="84">
        <v>1350000</v>
      </c>
      <c r="F227" s="61">
        <v>0</v>
      </c>
      <c r="G227" s="75">
        <v>0</v>
      </c>
      <c r="H227" s="61">
        <v>0</v>
      </c>
      <c r="I227" s="64">
        <v>29894</v>
      </c>
      <c r="J227" s="65">
        <v>0</v>
      </c>
      <c r="K227" s="65">
        <v>0</v>
      </c>
      <c r="L227" s="65">
        <v>0</v>
      </c>
      <c r="M227" s="66">
        <f t="shared" si="7"/>
        <v>29894</v>
      </c>
      <c r="N227" s="67">
        <f t="shared" si="6"/>
        <v>1320106</v>
      </c>
      <c r="O227" s="77">
        <v>233</v>
      </c>
      <c r="P227" s="82" t="s">
        <v>486</v>
      </c>
    </row>
    <row r="228" spans="1:16" ht="18.75" x14ac:dyDescent="0.3">
      <c r="A228" s="56">
        <v>225</v>
      </c>
      <c r="B228" s="57" t="s">
        <v>696</v>
      </c>
      <c r="C228" s="58" t="s">
        <v>697</v>
      </c>
      <c r="D228" s="59">
        <v>1902013659</v>
      </c>
      <c r="E228" s="84">
        <v>1200000</v>
      </c>
      <c r="F228" s="61">
        <v>0</v>
      </c>
      <c r="G228" s="75">
        <v>0</v>
      </c>
      <c r="H228" s="61">
        <v>0</v>
      </c>
      <c r="I228" s="64">
        <v>29894</v>
      </c>
      <c r="J228" s="65">
        <v>0</v>
      </c>
      <c r="K228" s="65">
        <v>0</v>
      </c>
      <c r="L228" s="65">
        <v>0</v>
      </c>
      <c r="M228" s="66">
        <f t="shared" si="7"/>
        <v>29894</v>
      </c>
      <c r="N228" s="67">
        <f t="shared" si="6"/>
        <v>1170106</v>
      </c>
      <c r="O228" s="68">
        <v>234</v>
      </c>
      <c r="P228" s="82" t="s">
        <v>486</v>
      </c>
    </row>
    <row r="229" spans="1:16" ht="18.75" x14ac:dyDescent="0.3">
      <c r="A229" s="72">
        <v>226</v>
      </c>
      <c r="B229" s="57" t="s">
        <v>698</v>
      </c>
      <c r="C229" s="58" t="s">
        <v>699</v>
      </c>
      <c r="D229" s="59" t="s">
        <v>700</v>
      </c>
      <c r="E229" s="84">
        <v>1350000</v>
      </c>
      <c r="F229" s="61">
        <v>0</v>
      </c>
      <c r="G229" s="75">
        <v>0</v>
      </c>
      <c r="H229" s="61">
        <v>0</v>
      </c>
      <c r="I229" s="64">
        <v>29894</v>
      </c>
      <c r="J229" s="65">
        <v>0</v>
      </c>
      <c r="K229" s="65">
        <v>0</v>
      </c>
      <c r="L229" s="65">
        <v>0</v>
      </c>
      <c r="M229" s="66">
        <f t="shared" si="7"/>
        <v>29894</v>
      </c>
      <c r="N229" s="67">
        <f t="shared" si="6"/>
        <v>1320106</v>
      </c>
      <c r="O229" s="77">
        <v>235</v>
      </c>
      <c r="P229" s="82" t="s">
        <v>486</v>
      </c>
    </row>
    <row r="230" spans="1:16" ht="18.75" x14ac:dyDescent="0.3">
      <c r="A230" s="72">
        <v>227</v>
      </c>
      <c r="B230" s="57" t="s">
        <v>701</v>
      </c>
      <c r="C230" s="58" t="s">
        <v>702</v>
      </c>
      <c r="D230" s="59" t="s">
        <v>703</v>
      </c>
      <c r="E230" s="84">
        <v>1200000</v>
      </c>
      <c r="F230" s="61">
        <v>0</v>
      </c>
      <c r="G230" s="75">
        <v>0</v>
      </c>
      <c r="H230" s="61">
        <v>0</v>
      </c>
      <c r="I230" s="64">
        <v>29894</v>
      </c>
      <c r="J230" s="65">
        <v>0</v>
      </c>
      <c r="K230" s="65">
        <v>0</v>
      </c>
      <c r="L230" s="65">
        <v>0</v>
      </c>
      <c r="M230" s="66">
        <f t="shared" si="7"/>
        <v>29894</v>
      </c>
      <c r="N230" s="67">
        <f t="shared" si="6"/>
        <v>1170106</v>
      </c>
      <c r="O230" s="68">
        <v>236</v>
      </c>
      <c r="P230" s="82" t="s">
        <v>486</v>
      </c>
    </row>
    <row r="231" spans="1:16" ht="18.75" x14ac:dyDescent="0.3">
      <c r="A231" s="56">
        <v>228</v>
      </c>
      <c r="B231" s="57" t="s">
        <v>704</v>
      </c>
      <c r="C231" s="58" t="s">
        <v>705</v>
      </c>
      <c r="D231" s="59" t="s">
        <v>706</v>
      </c>
      <c r="E231" s="84">
        <v>1200000</v>
      </c>
      <c r="F231" s="61">
        <v>0</v>
      </c>
      <c r="G231" s="75">
        <v>0</v>
      </c>
      <c r="H231" s="61">
        <v>0</v>
      </c>
      <c r="I231" s="64">
        <v>29894</v>
      </c>
      <c r="J231" s="65">
        <v>0</v>
      </c>
      <c r="K231" s="65">
        <v>0</v>
      </c>
      <c r="L231" s="65">
        <v>0</v>
      </c>
      <c r="M231" s="66">
        <f t="shared" si="7"/>
        <v>29894</v>
      </c>
      <c r="N231" s="67">
        <f t="shared" si="6"/>
        <v>1170106</v>
      </c>
      <c r="O231" s="77">
        <v>237</v>
      </c>
      <c r="P231" s="82" t="s">
        <v>486</v>
      </c>
    </row>
    <row r="232" spans="1:16" ht="18.75" x14ac:dyDescent="0.3">
      <c r="A232" s="56">
        <v>229</v>
      </c>
      <c r="B232" s="57" t="s">
        <v>707</v>
      </c>
      <c r="C232" s="58" t="s">
        <v>708</v>
      </c>
      <c r="D232" s="59" t="s">
        <v>709</v>
      </c>
      <c r="E232" s="84">
        <v>3650000</v>
      </c>
      <c r="F232" s="61">
        <v>0</v>
      </c>
      <c r="G232" s="75">
        <v>0</v>
      </c>
      <c r="H232" s="61">
        <v>0</v>
      </c>
      <c r="I232" s="64">
        <v>36500</v>
      </c>
      <c r="J232" s="65">
        <v>0</v>
      </c>
      <c r="K232" s="65">
        <v>0</v>
      </c>
      <c r="L232" s="65">
        <v>0</v>
      </c>
      <c r="M232" s="66">
        <f t="shared" si="7"/>
        <v>36500</v>
      </c>
      <c r="N232" s="67">
        <f t="shared" si="6"/>
        <v>3613500</v>
      </c>
      <c r="O232" s="68">
        <v>238</v>
      </c>
      <c r="P232" s="82" t="s">
        <v>486</v>
      </c>
    </row>
    <row r="233" spans="1:16" ht="18.75" x14ac:dyDescent="0.3">
      <c r="A233" s="72">
        <v>230</v>
      </c>
      <c r="B233" s="57" t="s">
        <v>710</v>
      </c>
      <c r="C233" s="58" t="s">
        <v>711</v>
      </c>
      <c r="D233" s="59" t="s">
        <v>712</v>
      </c>
      <c r="E233" s="84">
        <v>1350000</v>
      </c>
      <c r="F233" s="61">
        <v>0</v>
      </c>
      <c r="G233" s="75">
        <v>0</v>
      </c>
      <c r="H233" s="61">
        <v>0</v>
      </c>
      <c r="I233" s="64">
        <v>29894</v>
      </c>
      <c r="J233" s="65">
        <v>0</v>
      </c>
      <c r="K233" s="65">
        <v>0</v>
      </c>
      <c r="L233" s="65">
        <v>0</v>
      </c>
      <c r="M233" s="66">
        <f t="shared" si="7"/>
        <v>29894</v>
      </c>
      <c r="N233" s="67">
        <f t="shared" si="6"/>
        <v>1320106</v>
      </c>
      <c r="O233" s="77">
        <v>239</v>
      </c>
      <c r="P233" s="82" t="s">
        <v>486</v>
      </c>
    </row>
    <row r="234" spans="1:16" ht="18.75" x14ac:dyDescent="0.3">
      <c r="A234" s="72">
        <v>231</v>
      </c>
      <c r="B234" s="57" t="s">
        <v>713</v>
      </c>
      <c r="C234" s="58" t="s">
        <v>714</v>
      </c>
      <c r="D234" s="59" t="s">
        <v>715</v>
      </c>
      <c r="E234" s="84">
        <v>1200000</v>
      </c>
      <c r="F234" s="61">
        <v>0</v>
      </c>
      <c r="G234" s="75">
        <v>0</v>
      </c>
      <c r="H234" s="61">
        <v>0</v>
      </c>
      <c r="I234" s="64">
        <v>29894</v>
      </c>
      <c r="J234" s="65">
        <v>0</v>
      </c>
      <c r="K234" s="65">
        <v>0</v>
      </c>
      <c r="L234" s="65">
        <v>0</v>
      </c>
      <c r="M234" s="66">
        <f t="shared" si="7"/>
        <v>29894</v>
      </c>
      <c r="N234" s="67">
        <f t="shared" si="6"/>
        <v>1170106</v>
      </c>
      <c r="O234" s="68">
        <v>240</v>
      </c>
      <c r="P234" s="82" t="s">
        <v>486</v>
      </c>
    </row>
    <row r="235" spans="1:16" ht="18.75" x14ac:dyDescent="0.3">
      <c r="A235" s="56">
        <v>232</v>
      </c>
      <c r="B235" s="57" t="s">
        <v>716</v>
      </c>
      <c r="C235" s="58" t="s">
        <v>717</v>
      </c>
      <c r="D235" s="59" t="s">
        <v>718</v>
      </c>
      <c r="E235" s="84">
        <v>1350000</v>
      </c>
      <c r="F235" s="61">
        <v>0</v>
      </c>
      <c r="G235" s="75">
        <v>0</v>
      </c>
      <c r="H235" s="61">
        <v>0</v>
      </c>
      <c r="I235" s="64">
        <v>29894</v>
      </c>
      <c r="J235" s="65">
        <v>0</v>
      </c>
      <c r="K235" s="65">
        <v>0</v>
      </c>
      <c r="L235" s="65">
        <v>0</v>
      </c>
      <c r="M235" s="66">
        <f t="shared" si="7"/>
        <v>29894</v>
      </c>
      <c r="N235" s="67">
        <f t="shared" si="6"/>
        <v>1320106</v>
      </c>
      <c r="O235" s="77">
        <v>241</v>
      </c>
      <c r="P235" s="82" t="s">
        <v>486</v>
      </c>
    </row>
    <row r="236" spans="1:16" ht="18.75" x14ac:dyDescent="0.3">
      <c r="A236" s="56">
        <v>233</v>
      </c>
      <c r="B236" s="57" t="s">
        <v>719</v>
      </c>
      <c r="C236" s="58" t="s">
        <v>720</v>
      </c>
      <c r="D236" s="59" t="s">
        <v>721</v>
      </c>
      <c r="E236" s="84">
        <v>1350000</v>
      </c>
      <c r="F236" s="61">
        <v>0</v>
      </c>
      <c r="G236" s="75">
        <v>0</v>
      </c>
      <c r="H236" s="61">
        <v>0</v>
      </c>
      <c r="I236" s="64">
        <v>29894</v>
      </c>
      <c r="J236" s="65">
        <v>0</v>
      </c>
      <c r="K236" s="65">
        <v>0</v>
      </c>
      <c r="L236" s="65">
        <v>0</v>
      </c>
      <c r="M236" s="66">
        <f t="shared" si="7"/>
        <v>29894</v>
      </c>
      <c r="N236" s="67">
        <f t="shared" si="6"/>
        <v>1320106</v>
      </c>
      <c r="O236" s="68">
        <v>242</v>
      </c>
      <c r="P236" s="82" t="s">
        <v>486</v>
      </c>
    </row>
    <row r="237" spans="1:16" ht="18.75" x14ac:dyDescent="0.3">
      <c r="A237" s="72">
        <v>234</v>
      </c>
      <c r="B237" s="57" t="s">
        <v>722</v>
      </c>
      <c r="C237" s="58" t="s">
        <v>723</v>
      </c>
      <c r="D237" s="59" t="s">
        <v>724</v>
      </c>
      <c r="E237" s="84">
        <v>1350000</v>
      </c>
      <c r="F237" s="61">
        <v>0</v>
      </c>
      <c r="G237" s="75">
        <v>0</v>
      </c>
      <c r="H237" s="61">
        <v>0</v>
      </c>
      <c r="I237" s="64">
        <v>29894</v>
      </c>
      <c r="J237" s="65">
        <v>0</v>
      </c>
      <c r="K237" s="65">
        <v>0</v>
      </c>
      <c r="L237" s="65">
        <v>0</v>
      </c>
      <c r="M237" s="66">
        <f t="shared" si="7"/>
        <v>29894</v>
      </c>
      <c r="N237" s="67">
        <f t="shared" si="6"/>
        <v>1320106</v>
      </c>
      <c r="O237" s="77">
        <v>243</v>
      </c>
      <c r="P237" s="82" t="s">
        <v>486</v>
      </c>
    </row>
    <row r="238" spans="1:16" ht="18.75" x14ac:dyDescent="0.3">
      <c r="A238" s="72">
        <v>235</v>
      </c>
      <c r="B238" s="57" t="s">
        <v>725</v>
      </c>
      <c r="C238" s="58" t="s">
        <v>726</v>
      </c>
      <c r="D238" s="59" t="s">
        <v>727</v>
      </c>
      <c r="E238" s="84">
        <v>1350000</v>
      </c>
      <c r="F238" s="61">
        <v>0</v>
      </c>
      <c r="G238" s="75">
        <v>0</v>
      </c>
      <c r="H238" s="61">
        <v>0</v>
      </c>
      <c r="I238" s="64">
        <v>29894</v>
      </c>
      <c r="J238" s="65">
        <v>0</v>
      </c>
      <c r="K238" s="65">
        <v>0</v>
      </c>
      <c r="L238" s="65">
        <v>0</v>
      </c>
      <c r="M238" s="66">
        <f t="shared" si="7"/>
        <v>29894</v>
      </c>
      <c r="N238" s="67">
        <f t="shared" si="6"/>
        <v>1320106</v>
      </c>
      <c r="O238" s="68">
        <v>244</v>
      </c>
      <c r="P238" s="82" t="s">
        <v>486</v>
      </c>
    </row>
    <row r="239" spans="1:16" ht="18.75" x14ac:dyDescent="0.3">
      <c r="A239" s="56">
        <v>236</v>
      </c>
      <c r="B239" s="57" t="s">
        <v>728</v>
      </c>
      <c r="C239" s="58" t="s">
        <v>729</v>
      </c>
      <c r="D239" s="59" t="s">
        <v>730</v>
      </c>
      <c r="E239" s="84">
        <v>1350000</v>
      </c>
      <c r="F239" s="61">
        <v>0</v>
      </c>
      <c r="G239" s="75">
        <v>0</v>
      </c>
      <c r="H239" s="61">
        <v>0</v>
      </c>
      <c r="I239" s="64">
        <v>29894</v>
      </c>
      <c r="J239" s="65">
        <v>0</v>
      </c>
      <c r="K239" s="65">
        <v>0</v>
      </c>
      <c r="L239" s="65">
        <v>0</v>
      </c>
      <c r="M239" s="66">
        <f t="shared" si="7"/>
        <v>29894</v>
      </c>
      <c r="N239" s="67">
        <f t="shared" si="6"/>
        <v>1320106</v>
      </c>
      <c r="O239" s="77">
        <v>245</v>
      </c>
      <c r="P239" s="82" t="s">
        <v>486</v>
      </c>
    </row>
    <row r="240" spans="1:16" ht="18.75" x14ac:dyDescent="0.3">
      <c r="A240" s="56">
        <v>237</v>
      </c>
      <c r="B240" s="57" t="s">
        <v>731</v>
      </c>
      <c r="C240" s="58" t="s">
        <v>732</v>
      </c>
      <c r="D240" s="59" t="s">
        <v>733</v>
      </c>
      <c r="E240" s="84">
        <v>3650000</v>
      </c>
      <c r="F240" s="61">
        <v>0</v>
      </c>
      <c r="G240" s="75">
        <v>0</v>
      </c>
      <c r="H240" s="61">
        <v>0</v>
      </c>
      <c r="I240" s="64">
        <v>36500</v>
      </c>
      <c r="J240" s="65">
        <v>0</v>
      </c>
      <c r="K240" s="65">
        <v>0</v>
      </c>
      <c r="L240" s="65">
        <v>0</v>
      </c>
      <c r="M240" s="66">
        <f t="shared" si="7"/>
        <v>36500</v>
      </c>
      <c r="N240" s="67">
        <f t="shared" si="6"/>
        <v>3613500</v>
      </c>
      <c r="O240" s="68">
        <v>246</v>
      </c>
      <c r="P240" s="82" t="s">
        <v>486</v>
      </c>
    </row>
    <row r="241" spans="1:17" ht="18.75" x14ac:dyDescent="0.3">
      <c r="A241" s="72">
        <v>238</v>
      </c>
      <c r="B241" s="57" t="s">
        <v>734</v>
      </c>
      <c r="C241" s="58" t="s">
        <v>735</v>
      </c>
      <c r="D241" s="59" t="s">
        <v>736</v>
      </c>
      <c r="E241" s="84">
        <v>1200000</v>
      </c>
      <c r="F241" s="61">
        <v>0</v>
      </c>
      <c r="G241" s="75">
        <v>0</v>
      </c>
      <c r="H241" s="61">
        <v>0</v>
      </c>
      <c r="I241" s="64">
        <v>29894</v>
      </c>
      <c r="J241" s="65">
        <v>0</v>
      </c>
      <c r="K241" s="65">
        <v>0</v>
      </c>
      <c r="L241" s="65">
        <v>0</v>
      </c>
      <c r="M241" s="66">
        <f t="shared" si="7"/>
        <v>29894</v>
      </c>
      <c r="N241" s="67">
        <f t="shared" si="6"/>
        <v>1170106</v>
      </c>
      <c r="O241" s="77">
        <v>247</v>
      </c>
      <c r="P241" s="82" t="s">
        <v>486</v>
      </c>
    </row>
    <row r="242" spans="1:17" ht="18.75" x14ac:dyDescent="0.3">
      <c r="A242" s="72">
        <v>239</v>
      </c>
      <c r="B242" s="57" t="s">
        <v>737</v>
      </c>
      <c r="C242" s="58" t="s">
        <v>738</v>
      </c>
      <c r="D242" s="59" t="s">
        <v>739</v>
      </c>
      <c r="E242" s="84">
        <v>1350000</v>
      </c>
      <c r="F242" s="61">
        <v>0</v>
      </c>
      <c r="G242" s="75">
        <v>0</v>
      </c>
      <c r="H242" s="61">
        <v>0</v>
      </c>
      <c r="I242" s="64">
        <v>29894</v>
      </c>
      <c r="J242" s="65">
        <v>0</v>
      </c>
      <c r="K242" s="65">
        <v>0</v>
      </c>
      <c r="L242" s="65">
        <v>0</v>
      </c>
      <c r="M242" s="66">
        <f t="shared" si="7"/>
        <v>29894</v>
      </c>
      <c r="N242" s="67">
        <f t="shared" si="6"/>
        <v>1320106</v>
      </c>
      <c r="O242" s="68">
        <v>248</v>
      </c>
      <c r="P242" s="82" t="s">
        <v>486</v>
      </c>
    </row>
    <row r="243" spans="1:17" ht="18.75" x14ac:dyDescent="0.3">
      <c r="A243" s="56">
        <v>240</v>
      </c>
      <c r="B243" s="57" t="s">
        <v>740</v>
      </c>
      <c r="C243" s="58" t="s">
        <v>741</v>
      </c>
      <c r="D243" s="59" t="s">
        <v>742</v>
      </c>
      <c r="E243" s="84">
        <v>1200000</v>
      </c>
      <c r="F243" s="61">
        <v>0</v>
      </c>
      <c r="G243" s="75">
        <v>0</v>
      </c>
      <c r="H243" s="61">
        <v>0</v>
      </c>
      <c r="I243" s="64">
        <v>29894</v>
      </c>
      <c r="J243" s="65">
        <v>0</v>
      </c>
      <c r="K243" s="65">
        <v>0</v>
      </c>
      <c r="L243" s="65">
        <v>0</v>
      </c>
      <c r="M243" s="66">
        <f t="shared" si="7"/>
        <v>29894</v>
      </c>
      <c r="N243" s="67">
        <f t="shared" si="6"/>
        <v>1170106</v>
      </c>
      <c r="O243" s="77">
        <v>249</v>
      </c>
      <c r="P243" s="82" t="s">
        <v>486</v>
      </c>
    </row>
    <row r="244" spans="1:17" ht="18.75" x14ac:dyDescent="0.3">
      <c r="A244" s="56">
        <v>241</v>
      </c>
      <c r="B244" s="57" t="s">
        <v>743</v>
      </c>
      <c r="C244" s="58" t="s">
        <v>744</v>
      </c>
      <c r="D244" s="59" t="s">
        <v>745</v>
      </c>
      <c r="E244" s="84">
        <v>1200000</v>
      </c>
      <c r="F244" s="61">
        <v>0</v>
      </c>
      <c r="G244" s="75">
        <v>0</v>
      </c>
      <c r="H244" s="61">
        <v>0</v>
      </c>
      <c r="I244" s="64">
        <v>29894</v>
      </c>
      <c r="J244" s="65">
        <v>0</v>
      </c>
      <c r="K244" s="65">
        <v>0</v>
      </c>
      <c r="L244" s="65">
        <v>0</v>
      </c>
      <c r="M244" s="66">
        <f t="shared" si="7"/>
        <v>29894</v>
      </c>
      <c r="N244" s="67">
        <f t="shared" si="6"/>
        <v>1170106</v>
      </c>
      <c r="O244" s="68">
        <v>250</v>
      </c>
      <c r="P244" s="82" t="s">
        <v>486</v>
      </c>
    </row>
    <row r="245" spans="1:17" ht="18.75" x14ac:dyDescent="0.3">
      <c r="A245" s="72">
        <v>242</v>
      </c>
      <c r="B245" s="57" t="s">
        <v>746</v>
      </c>
      <c r="C245" s="58" t="s">
        <v>747</v>
      </c>
      <c r="D245" s="59" t="s">
        <v>748</v>
      </c>
      <c r="E245" s="84">
        <v>1350000</v>
      </c>
      <c r="F245" s="61">
        <v>0</v>
      </c>
      <c r="G245" s="75">
        <v>0</v>
      </c>
      <c r="H245" s="61">
        <v>0</v>
      </c>
      <c r="I245" s="64">
        <v>29894</v>
      </c>
      <c r="J245" s="65">
        <v>0</v>
      </c>
      <c r="K245" s="65">
        <v>0</v>
      </c>
      <c r="L245" s="65">
        <v>0</v>
      </c>
      <c r="M245" s="66">
        <f t="shared" si="7"/>
        <v>29894</v>
      </c>
      <c r="N245" s="67">
        <f t="shared" si="6"/>
        <v>1320106</v>
      </c>
      <c r="O245" s="68">
        <v>252</v>
      </c>
      <c r="P245" s="82" t="s">
        <v>486</v>
      </c>
    </row>
    <row r="246" spans="1:17" ht="18.75" x14ac:dyDescent="0.3">
      <c r="A246" s="72">
        <v>243</v>
      </c>
      <c r="B246" s="57" t="s">
        <v>749</v>
      </c>
      <c r="C246" s="58" t="s">
        <v>750</v>
      </c>
      <c r="D246" s="59">
        <v>1903024115</v>
      </c>
      <c r="E246" s="84">
        <v>1350000</v>
      </c>
      <c r="F246" s="61">
        <v>0</v>
      </c>
      <c r="G246" s="75">
        <v>0</v>
      </c>
      <c r="H246" s="61">
        <v>0</v>
      </c>
      <c r="I246" s="64">
        <v>29894</v>
      </c>
      <c r="J246" s="65">
        <v>0</v>
      </c>
      <c r="K246" s="65">
        <v>0</v>
      </c>
      <c r="L246" s="65">
        <v>0</v>
      </c>
      <c r="M246" s="66">
        <f t="shared" si="7"/>
        <v>29894</v>
      </c>
      <c r="N246" s="67">
        <f t="shared" si="6"/>
        <v>1320106</v>
      </c>
      <c r="O246" s="77">
        <v>253</v>
      </c>
      <c r="P246" s="82" t="s">
        <v>486</v>
      </c>
    </row>
    <row r="247" spans="1:17" ht="18.75" x14ac:dyDescent="0.3">
      <c r="A247" s="56">
        <v>244</v>
      </c>
      <c r="B247" s="57" t="s">
        <v>751</v>
      </c>
      <c r="C247" s="58" t="s">
        <v>752</v>
      </c>
      <c r="D247" s="59" t="s">
        <v>753</v>
      </c>
      <c r="E247" s="84">
        <v>1350000</v>
      </c>
      <c r="F247" s="61">
        <v>150000</v>
      </c>
      <c r="G247" s="75">
        <v>516667</v>
      </c>
      <c r="H247" s="61">
        <v>0</v>
      </c>
      <c r="I247" s="64">
        <v>29894</v>
      </c>
      <c r="J247" s="65">
        <v>0</v>
      </c>
      <c r="K247" s="65">
        <v>0</v>
      </c>
      <c r="L247" s="65">
        <v>0</v>
      </c>
      <c r="M247" s="66">
        <f t="shared" si="7"/>
        <v>696561</v>
      </c>
      <c r="N247" s="67">
        <f t="shared" si="6"/>
        <v>653439</v>
      </c>
      <c r="O247" s="68">
        <v>254</v>
      </c>
      <c r="P247" s="82" t="s">
        <v>486</v>
      </c>
    </row>
    <row r="248" spans="1:17" ht="18.75" x14ac:dyDescent="0.3">
      <c r="A248" s="56">
        <v>245</v>
      </c>
      <c r="B248" s="57" t="s">
        <v>754</v>
      </c>
      <c r="C248" s="58" t="s">
        <v>755</v>
      </c>
      <c r="D248" s="59" t="s">
        <v>756</v>
      </c>
      <c r="E248" s="84">
        <v>1350000</v>
      </c>
      <c r="F248" s="61">
        <v>0</v>
      </c>
      <c r="G248" s="75">
        <v>0</v>
      </c>
      <c r="H248" s="61">
        <v>0</v>
      </c>
      <c r="I248" s="64">
        <v>29894</v>
      </c>
      <c r="J248" s="65">
        <v>0</v>
      </c>
      <c r="K248" s="65">
        <v>0</v>
      </c>
      <c r="L248" s="65">
        <v>0</v>
      </c>
      <c r="M248" s="66">
        <f t="shared" si="7"/>
        <v>29894</v>
      </c>
      <c r="N248" s="67">
        <f t="shared" si="6"/>
        <v>1320106</v>
      </c>
      <c r="O248" s="77">
        <v>255</v>
      </c>
      <c r="P248" s="82" t="s">
        <v>486</v>
      </c>
    </row>
    <row r="249" spans="1:17" ht="18.75" x14ac:dyDescent="0.3">
      <c r="A249" s="72">
        <v>246</v>
      </c>
      <c r="B249" s="57" t="s">
        <v>757</v>
      </c>
      <c r="C249" s="58" t="s">
        <v>758</v>
      </c>
      <c r="D249" s="59">
        <v>1612080450</v>
      </c>
      <c r="E249" s="84">
        <v>1200000</v>
      </c>
      <c r="F249" s="61">
        <v>0</v>
      </c>
      <c r="G249" s="75">
        <v>0</v>
      </c>
      <c r="H249" s="61">
        <v>0</v>
      </c>
      <c r="I249" s="64">
        <v>29894</v>
      </c>
      <c r="J249" s="65">
        <v>0</v>
      </c>
      <c r="K249" s="65">
        <v>0</v>
      </c>
      <c r="L249" s="65">
        <v>0</v>
      </c>
      <c r="M249" s="66">
        <f t="shared" si="7"/>
        <v>29894</v>
      </c>
      <c r="N249" s="67">
        <f t="shared" si="6"/>
        <v>1170106</v>
      </c>
      <c r="O249" s="68">
        <v>256</v>
      </c>
      <c r="P249" s="82" t="s">
        <v>486</v>
      </c>
    </row>
    <row r="250" spans="1:17" ht="18.75" x14ac:dyDescent="0.3">
      <c r="A250" s="72">
        <v>247</v>
      </c>
      <c r="B250" s="57" t="s">
        <v>759</v>
      </c>
      <c r="C250" s="58" t="s">
        <v>760</v>
      </c>
      <c r="D250" s="59" t="s">
        <v>761</v>
      </c>
      <c r="E250" s="84">
        <v>1350000</v>
      </c>
      <c r="F250" s="61">
        <v>0</v>
      </c>
      <c r="G250" s="75">
        <v>0</v>
      </c>
      <c r="H250" s="61">
        <v>0</v>
      </c>
      <c r="I250" s="64">
        <v>29894</v>
      </c>
      <c r="J250" s="65">
        <v>0</v>
      </c>
      <c r="K250" s="65">
        <v>0</v>
      </c>
      <c r="L250" s="65">
        <v>0</v>
      </c>
      <c r="M250" s="66">
        <f t="shared" si="7"/>
        <v>29894</v>
      </c>
      <c r="N250" s="67">
        <f t="shared" si="6"/>
        <v>1320106</v>
      </c>
      <c r="O250" s="77">
        <v>257</v>
      </c>
      <c r="P250" s="82" t="s">
        <v>486</v>
      </c>
    </row>
    <row r="251" spans="1:17" ht="18.75" x14ac:dyDescent="0.3">
      <c r="A251" s="56">
        <v>248</v>
      </c>
      <c r="B251" s="57" t="s">
        <v>762</v>
      </c>
      <c r="C251" s="58" t="s">
        <v>763</v>
      </c>
      <c r="D251" s="59" t="s">
        <v>764</v>
      </c>
      <c r="E251" s="84">
        <v>1350000</v>
      </c>
      <c r="F251" s="61">
        <v>0</v>
      </c>
      <c r="G251" s="75">
        <v>0</v>
      </c>
      <c r="H251" s="61">
        <v>0</v>
      </c>
      <c r="I251" s="64">
        <v>29894</v>
      </c>
      <c r="J251" s="65">
        <v>0</v>
      </c>
      <c r="K251" s="65">
        <v>0</v>
      </c>
      <c r="L251" s="65">
        <v>0</v>
      </c>
      <c r="M251" s="66">
        <f t="shared" si="7"/>
        <v>29894</v>
      </c>
      <c r="N251" s="67">
        <f t="shared" si="6"/>
        <v>1320106</v>
      </c>
      <c r="O251" s="68">
        <v>258</v>
      </c>
      <c r="P251" s="82" t="s">
        <v>486</v>
      </c>
    </row>
    <row r="252" spans="1:17" ht="18.75" x14ac:dyDescent="0.3">
      <c r="A252" s="56">
        <v>249</v>
      </c>
      <c r="B252" s="57" t="s">
        <v>765</v>
      </c>
      <c r="C252" s="58" t="s">
        <v>766</v>
      </c>
      <c r="D252" s="59" t="s">
        <v>767</v>
      </c>
      <c r="E252" s="84">
        <v>1350000</v>
      </c>
      <c r="F252" s="61">
        <v>0</v>
      </c>
      <c r="G252" s="75">
        <v>0</v>
      </c>
      <c r="H252" s="61">
        <v>0</v>
      </c>
      <c r="I252" s="64">
        <v>29894</v>
      </c>
      <c r="J252" s="65">
        <v>0</v>
      </c>
      <c r="K252" s="65">
        <v>0</v>
      </c>
      <c r="L252" s="65">
        <v>0</v>
      </c>
      <c r="M252" s="66">
        <f t="shared" si="7"/>
        <v>29894</v>
      </c>
      <c r="N252" s="67">
        <f t="shared" si="6"/>
        <v>1320106</v>
      </c>
      <c r="O252" s="77">
        <v>259</v>
      </c>
      <c r="P252" s="82" t="s">
        <v>486</v>
      </c>
    </row>
    <row r="253" spans="1:17" ht="18.75" x14ac:dyDescent="0.3">
      <c r="A253" s="72">
        <v>250</v>
      </c>
      <c r="B253" s="57" t="s">
        <v>768</v>
      </c>
      <c r="C253" s="58" t="s">
        <v>769</v>
      </c>
      <c r="D253" s="59" t="s">
        <v>770</v>
      </c>
      <c r="E253" s="84">
        <v>2475000</v>
      </c>
      <c r="F253" s="61">
        <v>150000</v>
      </c>
      <c r="G253" s="79">
        <v>1033333</v>
      </c>
      <c r="H253" s="61">
        <v>0</v>
      </c>
      <c r="I253" s="64">
        <v>29894</v>
      </c>
      <c r="J253" s="65"/>
      <c r="K253" s="65"/>
      <c r="L253" s="65"/>
      <c r="M253" s="66">
        <f t="shared" si="7"/>
        <v>1213227</v>
      </c>
      <c r="N253" s="67">
        <f t="shared" si="6"/>
        <v>1261773</v>
      </c>
      <c r="O253" s="68">
        <v>260</v>
      </c>
      <c r="P253" s="82"/>
    </row>
    <row r="254" spans="1:17" ht="18.75" x14ac:dyDescent="0.3">
      <c r="A254" s="72">
        <v>251</v>
      </c>
      <c r="B254" s="57" t="s">
        <v>771</v>
      </c>
      <c r="C254" s="58" t="s">
        <v>772</v>
      </c>
      <c r="D254" s="59" t="s">
        <v>773</v>
      </c>
      <c r="E254" s="84">
        <v>2525000</v>
      </c>
      <c r="F254" s="61">
        <v>0</v>
      </c>
      <c r="G254" s="75">
        <v>0</v>
      </c>
      <c r="H254" s="61">
        <v>0</v>
      </c>
      <c r="I254" s="64">
        <v>29894</v>
      </c>
      <c r="J254" s="65"/>
      <c r="K254" s="65"/>
      <c r="L254" s="65"/>
      <c r="M254" s="66">
        <f t="shared" si="7"/>
        <v>29894</v>
      </c>
      <c r="N254" s="67">
        <f t="shared" si="6"/>
        <v>2495106</v>
      </c>
      <c r="O254" s="77">
        <v>261</v>
      </c>
      <c r="P254" s="82"/>
    </row>
    <row r="255" spans="1:17" ht="18.75" x14ac:dyDescent="0.3">
      <c r="A255" s="56">
        <v>252</v>
      </c>
      <c r="B255" s="57" t="s">
        <v>774</v>
      </c>
      <c r="C255" s="58" t="s">
        <v>775</v>
      </c>
      <c r="D255" s="59" t="s">
        <v>776</v>
      </c>
      <c r="E255" s="84">
        <v>2375000</v>
      </c>
      <c r="F255" s="61">
        <v>0</v>
      </c>
      <c r="G255" s="75">
        <v>0</v>
      </c>
      <c r="H255" s="61">
        <v>0</v>
      </c>
      <c r="I255" s="64">
        <v>29894</v>
      </c>
      <c r="J255" s="65"/>
      <c r="K255" s="65"/>
      <c r="L255" s="65"/>
      <c r="M255" s="66">
        <f t="shared" si="7"/>
        <v>29894</v>
      </c>
      <c r="N255" s="67">
        <f t="shared" si="6"/>
        <v>2345106</v>
      </c>
      <c r="O255" s="68">
        <v>262</v>
      </c>
      <c r="P255" s="82"/>
    </row>
    <row r="256" spans="1:17" s="113" customFormat="1" ht="19.5" thickBot="1" x14ac:dyDescent="0.35">
      <c r="A256" s="101">
        <v>253</v>
      </c>
      <c r="B256" s="102" t="s">
        <v>777</v>
      </c>
      <c r="C256" s="103" t="s">
        <v>778</v>
      </c>
      <c r="D256" s="104" t="s">
        <v>779</v>
      </c>
      <c r="E256" s="105">
        <v>2525000</v>
      </c>
      <c r="F256" s="106"/>
      <c r="G256" s="107"/>
      <c r="H256" s="106"/>
      <c r="I256" s="108">
        <v>29894</v>
      </c>
      <c r="J256" s="109"/>
      <c r="K256" s="109"/>
      <c r="L256" s="109"/>
      <c r="M256" s="110">
        <f t="shared" si="7"/>
        <v>29894</v>
      </c>
      <c r="N256" s="111">
        <f t="shared" si="6"/>
        <v>2495106</v>
      </c>
      <c r="O256" s="112"/>
      <c r="P256" s="82"/>
      <c r="Q256" s="69"/>
    </row>
    <row r="257" spans="1:22" ht="19.5" thickBot="1" x14ac:dyDescent="0.35">
      <c r="A257" s="114"/>
      <c r="B257" s="115"/>
      <c r="C257" s="116"/>
      <c r="D257" s="117"/>
      <c r="E257" s="118"/>
      <c r="F257" s="63"/>
      <c r="G257" s="119"/>
      <c r="H257" s="63"/>
      <c r="I257" s="120"/>
      <c r="J257" s="121"/>
      <c r="K257" s="121"/>
      <c r="L257" s="121"/>
      <c r="M257" s="66"/>
      <c r="N257" s="67"/>
      <c r="O257" s="122"/>
      <c r="P257" s="82" t="s">
        <v>486</v>
      </c>
    </row>
    <row r="258" spans="1:22" s="113" customFormat="1" ht="19.5" thickBot="1" x14ac:dyDescent="0.35">
      <c r="A258" s="123"/>
      <c r="B258" s="124"/>
      <c r="C258" s="125"/>
      <c r="D258" s="124"/>
      <c r="E258" s="126">
        <f t="shared" ref="E258:N258" si="8">SUM(E4:E257)</f>
        <v>460200000</v>
      </c>
      <c r="F258" s="127">
        <f t="shared" si="8"/>
        <v>12750000</v>
      </c>
      <c r="G258" s="128">
        <f t="shared" si="8"/>
        <v>50682614</v>
      </c>
      <c r="H258" s="127">
        <f t="shared" si="8"/>
        <v>576000</v>
      </c>
      <c r="I258" s="127">
        <f t="shared" si="8"/>
        <v>7519590</v>
      </c>
      <c r="J258" s="129">
        <f t="shared" si="8"/>
        <v>0</v>
      </c>
      <c r="K258" s="129">
        <f t="shared" si="8"/>
        <v>0</v>
      </c>
      <c r="L258" s="129">
        <f t="shared" si="8"/>
        <v>0</v>
      </c>
      <c r="M258" s="127">
        <f t="shared" si="8"/>
        <v>71528204</v>
      </c>
      <c r="N258" s="130">
        <f t="shared" si="8"/>
        <v>388671796</v>
      </c>
      <c r="O258" s="131"/>
      <c r="P258" s="82"/>
      <c r="Q258" s="132">
        <f>N258+M258</f>
        <v>460200000</v>
      </c>
    </row>
    <row r="259" spans="1:22" ht="18.75" x14ac:dyDescent="0.3">
      <c r="A259" s="133"/>
      <c r="B259" s="133"/>
      <c r="C259" s="134"/>
      <c r="D259" s="133"/>
      <c r="E259" s="135"/>
      <c r="F259" s="136"/>
      <c r="G259" s="137"/>
      <c r="H259" s="136"/>
      <c r="I259" s="138"/>
      <c r="J259" s="135"/>
      <c r="K259" s="135"/>
      <c r="L259" s="135"/>
      <c r="M259" s="138"/>
      <c r="N259" s="138"/>
      <c r="O259" s="139"/>
      <c r="P259" s="82"/>
      <c r="Q259" s="140">
        <f>F258+G258+H258+I258</f>
        <v>71528204</v>
      </c>
    </row>
    <row r="260" spans="1:22" ht="18.75" x14ac:dyDescent="0.3">
      <c r="A260" s="133"/>
      <c r="B260" s="133"/>
      <c r="C260" s="134"/>
      <c r="D260" s="133"/>
      <c r="E260" s="141"/>
      <c r="F260" s="142"/>
      <c r="G260" s="143"/>
      <c r="H260" s="140"/>
      <c r="I260" s="187" t="s">
        <v>780</v>
      </c>
      <c r="J260" s="187"/>
      <c r="K260" s="187"/>
      <c r="L260" s="187"/>
      <c r="M260" s="187"/>
      <c r="N260" s="187"/>
      <c r="O260" s="144"/>
      <c r="P260" s="82"/>
    </row>
    <row r="261" spans="1:22" ht="18.75" x14ac:dyDescent="0.3">
      <c r="A261" s="133"/>
      <c r="B261" s="145"/>
      <c r="C261" s="146"/>
      <c r="D261" s="145"/>
      <c r="E261" s="69"/>
      <c r="F261" s="147"/>
      <c r="G261" s="148"/>
      <c r="H261" s="147"/>
      <c r="I261" s="187" t="s">
        <v>781</v>
      </c>
      <c r="J261" s="187"/>
      <c r="K261" s="187"/>
      <c r="L261" s="187"/>
      <c r="M261" s="187"/>
      <c r="N261" s="187"/>
      <c r="O261" s="144"/>
      <c r="P261" s="82"/>
    </row>
    <row r="262" spans="1:22" ht="18.75" x14ac:dyDescent="0.3">
      <c r="A262" s="133"/>
      <c r="B262" s="145"/>
      <c r="C262" s="146"/>
      <c r="D262" s="145"/>
      <c r="E262" s="69"/>
      <c r="F262" s="147"/>
      <c r="G262" s="148"/>
      <c r="H262" s="147"/>
      <c r="I262" s="188" t="s">
        <v>782</v>
      </c>
      <c r="J262" s="188"/>
      <c r="K262" s="188"/>
      <c r="L262" s="188"/>
      <c r="M262" s="188"/>
      <c r="N262" s="188"/>
      <c r="O262" s="149"/>
      <c r="P262" s="82"/>
    </row>
    <row r="263" spans="1:22" ht="18.75" x14ac:dyDescent="0.3">
      <c r="A263" s="133"/>
      <c r="B263" s="145"/>
      <c r="C263" s="146"/>
      <c r="D263" s="69"/>
      <c r="E263" s="150"/>
      <c r="F263" s="140"/>
      <c r="G263" s="143"/>
      <c r="H263" s="151"/>
      <c r="I263" s="152"/>
      <c r="J263" s="153"/>
      <c r="K263" s="153"/>
      <c r="L263" s="140"/>
      <c r="M263" s="151"/>
      <c r="N263" s="154"/>
      <c r="O263" s="82"/>
      <c r="V263" s="71"/>
    </row>
    <row r="264" spans="1:22" ht="19.5" customHeight="1" x14ac:dyDescent="0.3">
      <c r="A264" s="133"/>
      <c r="B264" s="145"/>
      <c r="C264" s="146"/>
      <c r="D264" s="145"/>
      <c r="E264" s="69"/>
      <c r="F264" s="140"/>
      <c r="G264" s="143"/>
      <c r="H264" s="140"/>
      <c r="I264" s="155"/>
      <c r="J264" s="156"/>
      <c r="M264" s="140"/>
      <c r="N264" s="155"/>
      <c r="O264" s="158"/>
      <c r="Q264" s="159">
        <f>F258+G258+H258+N258</f>
        <v>452680410</v>
      </c>
    </row>
    <row r="265" spans="1:22" ht="13.5" customHeight="1" x14ac:dyDescent="0.3">
      <c r="A265" s="133"/>
      <c r="B265" s="145"/>
      <c r="C265" s="146"/>
      <c r="D265" s="145"/>
      <c r="E265" s="69"/>
      <c r="F265" s="140"/>
      <c r="G265" s="148"/>
      <c r="H265" s="147"/>
      <c r="I265" s="189" t="s">
        <v>783</v>
      </c>
      <c r="J265" s="189"/>
      <c r="K265" s="189"/>
      <c r="L265" s="189"/>
      <c r="M265" s="189"/>
      <c r="N265" s="189"/>
      <c r="O265" s="160"/>
      <c r="Q265" s="161">
        <f>F258+G258</f>
        <v>63432614</v>
      </c>
    </row>
    <row r="266" spans="1:22" s="69" customFormat="1" ht="18.75" x14ac:dyDescent="0.3">
      <c r="A266" s="133"/>
      <c r="B266" s="153"/>
      <c r="C266" s="134"/>
      <c r="D266" s="153"/>
      <c r="F266" s="140"/>
      <c r="G266" s="143"/>
      <c r="H266" s="140"/>
      <c r="I266" s="190" t="s">
        <v>784</v>
      </c>
      <c r="J266" s="190"/>
      <c r="K266" s="190"/>
      <c r="L266" s="190"/>
      <c r="M266" s="190"/>
      <c r="N266" s="190"/>
      <c r="O266" s="162"/>
    </row>
    <row r="267" spans="1:22" s="69" customFormat="1" ht="18.75" customHeight="1" x14ac:dyDescent="0.3">
      <c r="A267" s="133"/>
      <c r="C267" s="134"/>
      <c r="D267" s="133"/>
      <c r="E267" s="163"/>
      <c r="F267" s="164"/>
      <c r="G267" s="165"/>
      <c r="H267" s="164"/>
      <c r="I267" s="166"/>
      <c r="J267" s="157"/>
      <c r="K267" s="157"/>
      <c r="L267" s="157"/>
      <c r="M267" s="166"/>
      <c r="N267" s="155"/>
      <c r="O267" s="71"/>
      <c r="Q267" s="97"/>
    </row>
    <row r="268" spans="1:22" s="69" customFormat="1" ht="18.75" customHeight="1" x14ac:dyDescent="0.3">
      <c r="A268" s="133"/>
      <c r="C268" s="134"/>
      <c r="D268" s="145"/>
      <c r="E268" s="163"/>
      <c r="F268" s="164"/>
      <c r="G268" s="165"/>
      <c r="H268" s="164"/>
      <c r="I268" s="166"/>
      <c r="J268" s="157"/>
      <c r="K268" s="157"/>
      <c r="L268" s="157"/>
      <c r="M268" s="166"/>
      <c r="N268" s="155"/>
      <c r="O268" s="156"/>
      <c r="Q268" s="161"/>
    </row>
    <row r="269" spans="1:22" s="69" customFormat="1" ht="19.5" customHeight="1" x14ac:dyDescent="0.3">
      <c r="A269" s="133"/>
      <c r="C269" s="134"/>
      <c r="D269" s="145"/>
      <c r="E269" s="167"/>
      <c r="F269" s="164"/>
      <c r="G269" s="168"/>
      <c r="H269" s="169"/>
      <c r="I269" s="166"/>
      <c r="J269" s="157"/>
      <c r="K269" s="157"/>
      <c r="L269" s="157"/>
      <c r="M269" s="166"/>
      <c r="N269" s="155"/>
      <c r="O269" s="170"/>
      <c r="Q269" s="132"/>
    </row>
    <row r="270" spans="1:22" s="69" customFormat="1" ht="3.75" customHeight="1" x14ac:dyDescent="0.3">
      <c r="A270" s="133"/>
      <c r="C270" s="134"/>
      <c r="D270" s="145"/>
      <c r="E270" s="167"/>
      <c r="F270" s="169"/>
      <c r="G270" s="168"/>
      <c r="H270" s="169"/>
      <c r="I270" s="166"/>
      <c r="J270" s="157"/>
      <c r="K270" s="157"/>
      <c r="L270" s="157"/>
      <c r="M270" s="166"/>
      <c r="N270" s="155"/>
      <c r="O270" s="156"/>
    </row>
    <row r="271" spans="1:22" s="69" customFormat="1" ht="24.95" customHeight="1" x14ac:dyDescent="0.3">
      <c r="A271" s="133"/>
      <c r="C271" s="134"/>
      <c r="D271" s="145"/>
      <c r="E271" s="167"/>
      <c r="F271" s="169"/>
      <c r="G271" s="168">
        <f>F258+G258+H258+I258</f>
        <v>71528204</v>
      </c>
      <c r="H271" s="169"/>
      <c r="I271" s="166">
        <f>N258+M258</f>
        <v>460200000</v>
      </c>
      <c r="J271" s="157"/>
      <c r="K271" s="157"/>
      <c r="L271" s="157"/>
      <c r="M271" s="166"/>
      <c r="N271" s="155"/>
      <c r="O271" s="71"/>
      <c r="Q271" s="171">
        <v>483820622</v>
      </c>
      <c r="R271" s="161">
        <f>E258-I258</f>
        <v>452680410</v>
      </c>
    </row>
    <row r="272" spans="1:22" s="69" customFormat="1" ht="15.75" customHeight="1" x14ac:dyDescent="0.4">
      <c r="A272" s="133"/>
      <c r="C272" s="134"/>
      <c r="D272" s="145"/>
      <c r="E272" s="167"/>
      <c r="F272" s="169"/>
      <c r="G272" s="172"/>
      <c r="H272" s="173"/>
      <c r="I272" s="166"/>
      <c r="J272" s="157"/>
      <c r="K272" s="157"/>
      <c r="L272" s="157"/>
      <c r="M272" s="166"/>
      <c r="N272" s="155"/>
      <c r="O272" s="71"/>
      <c r="Q272" s="171">
        <v>7579378</v>
      </c>
      <c r="R272" s="150">
        <f>Q272-I258</f>
        <v>59788</v>
      </c>
    </row>
    <row r="273" spans="1:17" ht="21.95" customHeight="1" x14ac:dyDescent="0.3">
      <c r="A273" s="133"/>
      <c r="B273" s="69"/>
      <c r="C273" s="134"/>
      <c r="D273" s="145"/>
      <c r="E273" s="167"/>
      <c r="F273" s="169"/>
      <c r="G273" s="168"/>
      <c r="H273" s="169"/>
      <c r="N273" s="155"/>
      <c r="Q273" s="171"/>
    </row>
    <row r="274" spans="1:17" ht="21.95" customHeight="1" x14ac:dyDescent="0.3">
      <c r="A274" s="133"/>
      <c r="B274" s="69"/>
      <c r="C274" s="134"/>
      <c r="D274" s="145"/>
      <c r="E274" s="167"/>
      <c r="F274" s="169"/>
      <c r="G274" s="168"/>
      <c r="H274" s="169"/>
      <c r="N274" s="155"/>
    </row>
    <row r="275" spans="1:17" s="69" customFormat="1" ht="21.95" customHeight="1" x14ac:dyDescent="0.3">
      <c r="A275" s="133"/>
      <c r="C275" s="134"/>
      <c r="D275" s="133"/>
      <c r="E275" s="167"/>
      <c r="F275" s="169"/>
      <c r="G275" s="168"/>
      <c r="H275" s="169"/>
      <c r="I275" s="166"/>
      <c r="J275" s="157"/>
      <c r="K275" s="157"/>
      <c r="L275" s="157"/>
      <c r="M275" s="166"/>
      <c r="N275" s="155"/>
      <c r="O275" s="71"/>
    </row>
    <row r="276" spans="1:17" s="69" customFormat="1" ht="21.95" customHeight="1" x14ac:dyDescent="0.3">
      <c r="A276" s="133"/>
      <c r="C276" s="134"/>
      <c r="D276" s="133"/>
      <c r="E276" s="167"/>
      <c r="F276" s="169"/>
      <c r="G276" s="168"/>
      <c r="H276" s="169"/>
      <c r="I276" s="166"/>
      <c r="J276" s="157"/>
      <c r="K276" s="157"/>
      <c r="L276" s="157"/>
      <c r="M276" s="166"/>
      <c r="N276" s="155"/>
      <c r="O276" s="71"/>
    </row>
    <row r="277" spans="1:17" s="69" customFormat="1" ht="21.95" customHeight="1" x14ac:dyDescent="0.3">
      <c r="A277" s="133"/>
      <c r="C277" s="134"/>
      <c r="D277" s="153"/>
      <c r="E277" s="167"/>
      <c r="F277" s="169"/>
      <c r="G277" s="168"/>
      <c r="H277" s="169"/>
      <c r="I277" s="166"/>
      <c r="J277" s="157"/>
      <c r="K277" s="157"/>
      <c r="L277" s="157"/>
      <c r="M277" s="166"/>
      <c r="N277" s="155"/>
      <c r="O277" s="71"/>
    </row>
    <row r="278" spans="1:17" s="69" customFormat="1" ht="21.95" customHeight="1" x14ac:dyDescent="0.3">
      <c r="A278" s="133"/>
      <c r="C278" s="134"/>
      <c r="D278" s="133"/>
      <c r="E278" s="167"/>
      <c r="F278" s="169"/>
      <c r="G278" s="168"/>
      <c r="H278" s="169"/>
      <c r="I278" s="166"/>
      <c r="J278" s="157"/>
      <c r="K278" s="157"/>
      <c r="L278" s="157"/>
      <c r="M278" s="166"/>
      <c r="N278" s="155"/>
      <c r="O278" s="71"/>
    </row>
    <row r="279" spans="1:17" s="69" customFormat="1" ht="21.95" customHeight="1" x14ac:dyDescent="0.3">
      <c r="A279" s="133"/>
      <c r="C279" s="134"/>
      <c r="D279" s="133"/>
      <c r="E279" s="167"/>
      <c r="F279" s="169"/>
      <c r="G279" s="165"/>
      <c r="H279" s="164"/>
      <c r="I279" s="166"/>
      <c r="J279" s="157"/>
      <c r="K279" s="157"/>
      <c r="L279" s="157"/>
      <c r="M279" s="166"/>
      <c r="N279" s="155"/>
      <c r="O279" s="71"/>
    </row>
    <row r="280" spans="1:17" s="69" customFormat="1" ht="21.95" customHeight="1" x14ac:dyDescent="0.3">
      <c r="A280" s="133"/>
      <c r="C280" s="134"/>
      <c r="D280" s="133"/>
      <c r="E280" s="153"/>
      <c r="F280" s="164"/>
      <c r="G280" s="165"/>
      <c r="H280" s="164"/>
      <c r="I280" s="166"/>
      <c r="J280" s="157"/>
      <c r="K280" s="157"/>
      <c r="L280" s="157"/>
      <c r="M280" s="166"/>
      <c r="N280" s="155"/>
      <c r="O280" s="71"/>
    </row>
    <row r="281" spans="1:17" s="69" customFormat="1" ht="21.95" customHeight="1" x14ac:dyDescent="0.3">
      <c r="A281" s="133"/>
      <c r="C281" s="134"/>
      <c r="D281" s="133"/>
      <c r="E281" s="153"/>
      <c r="F281" s="164"/>
      <c r="G281" s="165"/>
      <c r="H281" s="164"/>
      <c r="I281" s="166"/>
      <c r="J281" s="157"/>
      <c r="K281" s="157"/>
      <c r="L281" s="157"/>
      <c r="M281" s="166"/>
      <c r="N281" s="155"/>
      <c r="O281" s="71"/>
    </row>
    <row r="282" spans="1:17" s="69" customFormat="1" ht="21.95" customHeight="1" x14ac:dyDescent="0.3">
      <c r="A282" s="133"/>
      <c r="C282" s="134"/>
      <c r="D282" s="133"/>
      <c r="E282" s="153"/>
      <c r="F282" s="164"/>
      <c r="G282" s="165"/>
      <c r="H282" s="164"/>
      <c r="I282" s="166"/>
      <c r="J282" s="157"/>
      <c r="K282" s="157"/>
      <c r="L282" s="157"/>
      <c r="M282" s="166"/>
      <c r="N282" s="155"/>
      <c r="O282" s="71"/>
    </row>
    <row r="283" spans="1:17" s="69" customFormat="1" ht="21.95" customHeight="1" x14ac:dyDescent="0.3">
      <c r="A283" s="133"/>
      <c r="C283" s="134"/>
      <c r="D283" s="133"/>
      <c r="E283" s="153"/>
      <c r="F283" s="164"/>
      <c r="G283" s="165"/>
      <c r="H283" s="164"/>
      <c r="I283" s="166"/>
      <c r="J283" s="157"/>
      <c r="K283" s="157"/>
      <c r="L283" s="164">
        <f>SUM(I213:I252)</f>
        <v>1185684</v>
      </c>
      <c r="M283" s="166"/>
      <c r="N283" s="155"/>
      <c r="O283" s="71"/>
    </row>
    <row r="284" spans="1:17" s="69" customFormat="1" ht="21.95" customHeight="1" x14ac:dyDescent="0.3">
      <c r="A284" s="133"/>
      <c r="C284" s="134"/>
      <c r="D284" s="133"/>
      <c r="E284" s="174">
        <f>SUM(E213:E252)</f>
        <v>65600000</v>
      </c>
      <c r="F284" s="142"/>
      <c r="G284" s="175">
        <v>53966626</v>
      </c>
      <c r="H284" s="176"/>
      <c r="I284" s="166"/>
      <c r="J284" s="157"/>
      <c r="K284" s="157"/>
      <c r="L284" s="177">
        <f>L283-[1]NOVEMBER!$E$296</f>
        <v>149887.20000000054</v>
      </c>
      <c r="M284" s="166"/>
      <c r="N284" s="155"/>
      <c r="O284" s="71"/>
    </row>
    <row r="285" spans="1:17" s="69" customFormat="1" ht="21.95" customHeight="1" x14ac:dyDescent="0.3">
      <c r="A285" s="133"/>
      <c r="C285" s="134"/>
      <c r="D285" s="133"/>
      <c r="E285" s="178">
        <f>[1]NOVEMBER!$E$272-E284</f>
        <v>3750000</v>
      </c>
      <c r="F285" s="179"/>
      <c r="G285" s="143"/>
      <c r="H285" s="140"/>
      <c r="I285" s="166"/>
      <c r="J285" s="157"/>
      <c r="K285" s="157"/>
      <c r="L285" s="157"/>
      <c r="M285" s="166"/>
      <c r="N285" s="155"/>
      <c r="O285" s="71"/>
    </row>
    <row r="286" spans="1:17" s="69" customFormat="1" ht="21.95" customHeight="1" x14ac:dyDescent="0.3">
      <c r="A286" s="133"/>
      <c r="C286" s="134"/>
      <c r="D286" s="133"/>
      <c r="E286" s="145" t="e">
        <f>SUM(E224:E227)+E229+E233+E237+E238+E239+#REF!+E245+E246+E247+E248+E250+E251+E252</f>
        <v>#REF!</v>
      </c>
      <c r="F286" s="152"/>
      <c r="G286" s="143">
        <f>G258-G284</f>
        <v>-3284012</v>
      </c>
      <c r="H286" s="140"/>
      <c r="I286" s="166"/>
      <c r="J286" s="157"/>
      <c r="K286" s="157"/>
      <c r="L286" s="157"/>
      <c r="M286" s="166"/>
      <c r="N286" s="155"/>
      <c r="O286" s="71"/>
    </row>
    <row r="287" spans="1:17" s="69" customFormat="1" ht="21.95" customHeight="1" x14ac:dyDescent="0.3">
      <c r="A287" s="133"/>
      <c r="C287" s="134"/>
      <c r="D287" s="133"/>
      <c r="E287" s="180"/>
      <c r="F287" s="164"/>
      <c r="G287" s="143">
        <f>I258-[1]NOVEMBER!$H$270</f>
        <v>400664.40000002272</v>
      </c>
      <c r="H287" s="140"/>
      <c r="I287" s="166"/>
      <c r="J287" s="157"/>
      <c r="K287" s="157"/>
      <c r="L287" s="157"/>
      <c r="M287" s="166"/>
      <c r="N287" s="155"/>
      <c r="O287" s="71"/>
    </row>
    <row r="288" spans="1:17" s="69" customFormat="1" ht="21.95" customHeight="1" x14ac:dyDescent="0.3">
      <c r="A288" s="133"/>
      <c r="C288" s="134"/>
      <c r="D288" s="133"/>
      <c r="E288" s="181"/>
      <c r="F288" s="182"/>
      <c r="G288" s="143"/>
      <c r="H288" s="140"/>
      <c r="I288" s="166"/>
      <c r="J288" s="157"/>
      <c r="K288" s="157"/>
      <c r="L288" s="157"/>
      <c r="M288" s="166"/>
      <c r="N288" s="155"/>
      <c r="O288" s="71"/>
    </row>
    <row r="289" spans="1:22" s="69" customFormat="1" ht="21.95" customHeight="1" x14ac:dyDescent="0.3">
      <c r="A289" s="133"/>
      <c r="C289" s="134"/>
      <c r="D289" s="133"/>
      <c r="E289" s="183"/>
      <c r="F289" s="179"/>
      <c r="G289" s="143"/>
      <c r="H289" s="140"/>
      <c r="I289" s="166"/>
      <c r="J289" s="157"/>
      <c r="K289" s="157"/>
      <c r="L289" s="157"/>
      <c r="M289" s="166"/>
      <c r="N289" s="155"/>
      <c r="O289" s="71"/>
    </row>
    <row r="290" spans="1:22" s="69" customFormat="1" ht="21.95" customHeight="1" x14ac:dyDescent="0.3">
      <c r="A290" s="133"/>
      <c r="C290" s="134"/>
      <c r="D290" s="133"/>
      <c r="E290" s="153">
        <f>E258-[1]NOVEMBER!$F$270</f>
        <v>-20250000</v>
      </c>
      <c r="F290" s="164"/>
      <c r="G290" s="165"/>
      <c r="H290" s="164"/>
      <c r="I290" s="166"/>
      <c r="J290" s="157"/>
      <c r="K290" s="157"/>
      <c r="L290" s="157"/>
      <c r="M290" s="166"/>
      <c r="N290" s="155"/>
      <c r="O290" s="71"/>
    </row>
    <row r="291" spans="1:22" s="133" customFormat="1" ht="21.95" customHeight="1" x14ac:dyDescent="0.3">
      <c r="A291" s="69"/>
      <c r="B291" s="69"/>
      <c r="C291" s="134"/>
      <c r="E291" s="167"/>
      <c r="F291" s="164"/>
      <c r="G291" s="165"/>
      <c r="H291" s="164"/>
      <c r="I291" s="166"/>
      <c r="J291" s="157"/>
      <c r="K291" s="157"/>
      <c r="L291" s="157"/>
      <c r="M291" s="166"/>
      <c r="N291" s="155"/>
      <c r="O291" s="71"/>
      <c r="P291" s="69"/>
      <c r="Q291" s="69"/>
      <c r="R291" s="69"/>
      <c r="S291" s="69"/>
      <c r="T291" s="69"/>
      <c r="U291" s="69"/>
      <c r="V291" s="69"/>
    </row>
    <row r="292" spans="1:22" s="133" customFormat="1" ht="21.95" customHeight="1" x14ac:dyDescent="0.3">
      <c r="A292" s="69"/>
      <c r="B292" s="69"/>
      <c r="C292" s="134"/>
      <c r="E292" s="153"/>
      <c r="F292" s="164"/>
      <c r="G292" s="165"/>
      <c r="H292" s="164"/>
      <c r="I292" s="166"/>
      <c r="J292" s="157"/>
      <c r="K292" s="157"/>
      <c r="L292" s="157"/>
      <c r="M292" s="166"/>
      <c r="N292" s="155"/>
      <c r="O292" s="71"/>
      <c r="P292" s="69"/>
      <c r="Q292" s="69"/>
      <c r="R292" s="69"/>
      <c r="S292" s="69"/>
      <c r="T292" s="69"/>
      <c r="U292" s="69"/>
      <c r="V292" s="69"/>
    </row>
    <row r="293" spans="1:22" s="133" customFormat="1" ht="21.95" customHeight="1" x14ac:dyDescent="0.3">
      <c r="A293" s="69"/>
      <c r="B293" s="69"/>
      <c r="C293" s="134"/>
      <c r="E293" s="153"/>
      <c r="F293" s="164"/>
      <c r="G293" s="165"/>
      <c r="H293" s="164"/>
      <c r="I293" s="166"/>
      <c r="J293" s="157"/>
      <c r="K293" s="157"/>
      <c r="L293" s="157"/>
      <c r="M293" s="166"/>
      <c r="N293" s="155"/>
      <c r="O293" s="71"/>
      <c r="P293" s="69"/>
      <c r="Q293" s="69"/>
      <c r="R293" s="69"/>
      <c r="S293" s="69"/>
      <c r="T293" s="69"/>
      <c r="U293" s="69"/>
      <c r="V293" s="69"/>
    </row>
    <row r="294" spans="1:22" s="133" customFormat="1" ht="21.95" customHeight="1" x14ac:dyDescent="0.3">
      <c r="A294" s="69"/>
      <c r="B294" s="69"/>
      <c r="C294" s="134"/>
      <c r="E294" s="153"/>
      <c r="F294" s="164"/>
      <c r="G294" s="165"/>
      <c r="H294" s="164"/>
      <c r="I294" s="166"/>
      <c r="J294" s="157"/>
      <c r="K294" s="157"/>
      <c r="L294" s="157"/>
      <c r="M294" s="166"/>
      <c r="N294" s="155"/>
      <c r="O294" s="71"/>
      <c r="P294" s="69"/>
      <c r="Q294" s="69"/>
      <c r="R294" s="69"/>
      <c r="S294" s="69"/>
      <c r="T294" s="69"/>
      <c r="U294" s="69"/>
      <c r="V294" s="69"/>
    </row>
    <row r="295" spans="1:22" s="133" customFormat="1" ht="21.95" customHeight="1" x14ac:dyDescent="0.3">
      <c r="A295" s="69"/>
      <c r="B295" s="71"/>
      <c r="C295" s="184"/>
      <c r="D295" s="185"/>
      <c r="E295" s="163"/>
      <c r="F295" s="164"/>
      <c r="G295" s="165"/>
      <c r="H295" s="164"/>
      <c r="I295" s="166"/>
      <c r="J295" s="157"/>
      <c r="K295" s="157"/>
      <c r="L295" s="157"/>
      <c r="M295" s="166"/>
      <c r="N295" s="155"/>
      <c r="O295" s="71"/>
      <c r="P295" s="69"/>
      <c r="Q295" s="69"/>
      <c r="R295" s="69"/>
      <c r="S295" s="69"/>
      <c r="T295" s="69"/>
      <c r="U295" s="69"/>
      <c r="V295" s="69"/>
    </row>
    <row r="296" spans="1:22" s="133" customFormat="1" ht="21.95" customHeight="1" x14ac:dyDescent="0.3">
      <c r="A296" s="69"/>
      <c r="B296" s="71"/>
      <c r="C296" s="184"/>
      <c r="D296" s="185"/>
      <c r="E296" s="163"/>
      <c r="F296" s="164"/>
      <c r="G296" s="165"/>
      <c r="H296" s="164"/>
      <c r="I296" s="166"/>
      <c r="J296" s="157"/>
      <c r="K296" s="157"/>
      <c r="L296" s="157"/>
      <c r="M296" s="166"/>
      <c r="N296" s="155"/>
      <c r="O296" s="71"/>
      <c r="P296" s="69"/>
      <c r="Q296" s="69"/>
      <c r="R296" s="69"/>
      <c r="S296" s="69"/>
      <c r="T296" s="69"/>
      <c r="U296" s="69"/>
      <c r="V296" s="69"/>
    </row>
    <row r="297" spans="1:22" s="133" customFormat="1" ht="21.95" customHeight="1" x14ac:dyDescent="0.3">
      <c r="A297" s="69"/>
      <c r="B297" s="71"/>
      <c r="C297" s="184"/>
      <c r="D297" s="185"/>
      <c r="E297" s="163"/>
      <c r="F297" s="164"/>
      <c r="G297" s="165"/>
      <c r="H297" s="164"/>
      <c r="I297" s="166"/>
      <c r="J297" s="157"/>
      <c r="K297" s="157"/>
      <c r="L297" s="157"/>
      <c r="M297" s="166"/>
      <c r="N297" s="155"/>
      <c r="O297" s="71"/>
      <c r="P297" s="69"/>
      <c r="Q297" s="69"/>
      <c r="R297" s="69"/>
      <c r="S297" s="69"/>
      <c r="T297" s="69"/>
      <c r="U297" s="69"/>
      <c r="V297" s="69"/>
    </row>
    <row r="298" spans="1:22" s="133" customFormat="1" ht="21.95" customHeight="1" x14ac:dyDescent="0.3">
      <c r="A298" s="69"/>
      <c r="B298" s="71"/>
      <c r="C298" s="184"/>
      <c r="D298" s="185"/>
      <c r="E298" s="163"/>
      <c r="F298" s="164"/>
      <c r="G298" s="165"/>
      <c r="H298" s="164"/>
      <c r="I298" s="166"/>
      <c r="J298" s="157"/>
      <c r="K298" s="157"/>
      <c r="L298" s="157"/>
      <c r="M298" s="166"/>
      <c r="N298" s="155"/>
      <c r="O298" s="71"/>
      <c r="P298" s="69"/>
      <c r="Q298" s="69"/>
      <c r="R298" s="69"/>
      <c r="S298" s="69"/>
      <c r="T298" s="69"/>
      <c r="U298" s="69"/>
      <c r="V298" s="69"/>
    </row>
    <row r="299" spans="1:22" s="133" customFormat="1" ht="21.95" customHeight="1" x14ac:dyDescent="0.3">
      <c r="A299" s="69"/>
      <c r="B299" s="71"/>
      <c r="C299" s="184"/>
      <c r="D299" s="185"/>
      <c r="E299" s="163"/>
      <c r="F299" s="164"/>
      <c r="G299" s="165"/>
      <c r="H299" s="164"/>
      <c r="I299" s="166"/>
      <c r="J299" s="157"/>
      <c r="K299" s="157"/>
      <c r="L299" s="157"/>
      <c r="M299" s="166"/>
      <c r="N299" s="155"/>
      <c r="O299" s="71"/>
      <c r="P299" s="69"/>
      <c r="Q299" s="69"/>
      <c r="R299" s="69"/>
      <c r="S299" s="69"/>
      <c r="T299" s="69"/>
      <c r="U299" s="69"/>
      <c r="V299" s="69"/>
    </row>
    <row r="300" spans="1:22" s="133" customFormat="1" ht="21.95" customHeight="1" x14ac:dyDescent="0.3">
      <c r="A300" s="69"/>
      <c r="B300" s="71"/>
      <c r="C300" s="184"/>
      <c r="D300" s="185"/>
      <c r="E300" s="163"/>
      <c r="F300" s="164"/>
      <c r="G300" s="165"/>
      <c r="H300" s="164"/>
      <c r="I300" s="166"/>
      <c r="J300" s="157"/>
      <c r="K300" s="157"/>
      <c r="L300" s="157"/>
      <c r="M300" s="166"/>
      <c r="N300" s="155"/>
      <c r="O300" s="71"/>
      <c r="P300" s="69"/>
      <c r="Q300" s="69"/>
      <c r="R300" s="69"/>
      <c r="S300" s="69"/>
      <c r="T300" s="69"/>
      <c r="U300" s="69"/>
      <c r="V300" s="69"/>
    </row>
    <row r="301" spans="1:22" s="133" customFormat="1" ht="21.95" customHeight="1" x14ac:dyDescent="0.3">
      <c r="C301" s="134"/>
      <c r="D301" s="185"/>
      <c r="E301" s="163"/>
      <c r="F301" s="164"/>
      <c r="G301" s="165"/>
      <c r="H301" s="164"/>
      <c r="I301" s="166"/>
      <c r="J301" s="157"/>
      <c r="K301" s="157"/>
      <c r="L301" s="157"/>
      <c r="M301" s="166"/>
      <c r="N301" s="155"/>
      <c r="O301" s="71"/>
      <c r="P301" s="69"/>
      <c r="Q301" s="69"/>
      <c r="R301" s="69"/>
      <c r="S301" s="69"/>
      <c r="T301" s="69"/>
      <c r="U301" s="69"/>
      <c r="V301" s="69"/>
    </row>
    <row r="302" spans="1:22" s="133" customFormat="1" ht="21.95" customHeight="1" x14ac:dyDescent="0.3">
      <c r="C302" s="134"/>
      <c r="D302" s="185"/>
      <c r="E302" s="163"/>
      <c r="F302" s="164"/>
      <c r="G302" s="165"/>
      <c r="H302" s="164"/>
      <c r="I302" s="166"/>
      <c r="J302" s="157"/>
      <c r="K302" s="157"/>
      <c r="L302" s="157"/>
      <c r="M302" s="166"/>
      <c r="N302" s="155"/>
      <c r="O302" s="71"/>
      <c r="P302" s="69"/>
      <c r="Q302" s="69"/>
      <c r="R302" s="69"/>
      <c r="S302" s="69"/>
      <c r="T302" s="69"/>
      <c r="U302" s="69"/>
      <c r="V302" s="69"/>
    </row>
    <row r="303" spans="1:22" s="133" customFormat="1" ht="21.95" customHeight="1" x14ac:dyDescent="0.3">
      <c r="C303" s="134"/>
      <c r="D303" s="185"/>
      <c r="E303" s="163"/>
      <c r="F303" s="164"/>
      <c r="G303" s="165"/>
      <c r="H303" s="164"/>
      <c r="I303" s="166"/>
      <c r="J303" s="157"/>
      <c r="K303" s="157"/>
      <c r="L303" s="157"/>
      <c r="M303" s="166"/>
      <c r="N303" s="155"/>
      <c r="O303" s="71"/>
      <c r="P303" s="69"/>
      <c r="Q303" s="69"/>
      <c r="R303" s="69"/>
      <c r="S303" s="69"/>
      <c r="T303" s="69"/>
      <c r="U303" s="69"/>
      <c r="V303" s="69"/>
    </row>
    <row r="304" spans="1:22" s="133" customFormat="1" ht="21.95" customHeight="1" x14ac:dyDescent="0.3">
      <c r="C304" s="134"/>
      <c r="D304" s="185"/>
      <c r="E304" s="163"/>
      <c r="F304" s="164"/>
      <c r="G304" s="165"/>
      <c r="H304" s="164"/>
      <c r="I304" s="166"/>
      <c r="J304" s="157"/>
      <c r="K304" s="157"/>
      <c r="L304" s="157"/>
      <c r="M304" s="166"/>
      <c r="N304" s="155"/>
      <c r="O304" s="71"/>
      <c r="P304" s="69"/>
      <c r="Q304" s="69"/>
      <c r="R304" s="69"/>
      <c r="S304" s="69"/>
      <c r="T304" s="69"/>
      <c r="U304" s="69"/>
      <c r="V304" s="69"/>
    </row>
    <row r="305" spans="3:22" s="133" customFormat="1" ht="21.95" customHeight="1" x14ac:dyDescent="0.3">
      <c r="C305" s="134"/>
      <c r="D305" s="185"/>
      <c r="E305" s="163"/>
      <c r="F305" s="164"/>
      <c r="G305" s="165"/>
      <c r="H305" s="164"/>
      <c r="I305" s="166"/>
      <c r="J305" s="157"/>
      <c r="K305" s="157"/>
      <c r="L305" s="157"/>
      <c r="M305" s="166"/>
      <c r="N305" s="155"/>
      <c r="O305" s="71"/>
      <c r="P305" s="69"/>
      <c r="Q305" s="69"/>
      <c r="R305" s="69"/>
      <c r="S305" s="69"/>
      <c r="T305" s="69"/>
      <c r="U305" s="69"/>
      <c r="V305" s="69"/>
    </row>
    <row r="306" spans="3:22" s="133" customFormat="1" ht="21.95" customHeight="1" x14ac:dyDescent="0.3">
      <c r="C306" s="134"/>
      <c r="D306" s="185"/>
      <c r="E306" s="163"/>
      <c r="F306" s="164"/>
      <c r="G306" s="165"/>
      <c r="H306" s="164"/>
      <c r="I306" s="166"/>
      <c r="J306" s="157"/>
      <c r="K306" s="157"/>
      <c r="L306" s="157"/>
      <c r="M306" s="166"/>
      <c r="N306" s="155"/>
      <c r="O306" s="71"/>
      <c r="P306" s="69"/>
      <c r="Q306" s="69"/>
      <c r="R306" s="69"/>
      <c r="S306" s="69"/>
      <c r="T306" s="69"/>
      <c r="U306" s="69"/>
      <c r="V306" s="69"/>
    </row>
    <row r="307" spans="3:22" s="133" customFormat="1" ht="21.95" customHeight="1" x14ac:dyDescent="0.3">
      <c r="C307" s="134"/>
      <c r="D307" s="185"/>
      <c r="E307" s="163"/>
      <c r="F307" s="164"/>
      <c r="G307" s="165"/>
      <c r="H307" s="164"/>
      <c r="I307" s="166"/>
      <c r="J307" s="157"/>
      <c r="K307" s="157"/>
      <c r="L307" s="157"/>
      <c r="M307" s="166"/>
      <c r="N307" s="155"/>
      <c r="O307" s="71"/>
      <c r="P307" s="69"/>
      <c r="Q307" s="69"/>
      <c r="R307" s="69"/>
      <c r="S307" s="69"/>
      <c r="T307" s="69"/>
      <c r="U307" s="69"/>
      <c r="V307" s="69"/>
    </row>
    <row r="308" spans="3:22" s="133" customFormat="1" ht="21.95" customHeight="1" x14ac:dyDescent="0.3">
      <c r="C308" s="134"/>
      <c r="D308" s="185"/>
      <c r="E308" s="163"/>
      <c r="F308" s="164"/>
      <c r="G308" s="165"/>
      <c r="H308" s="164"/>
      <c r="I308" s="166"/>
      <c r="J308" s="157"/>
      <c r="K308" s="157"/>
      <c r="L308" s="157"/>
      <c r="M308" s="166"/>
      <c r="N308" s="155"/>
      <c r="O308" s="71"/>
      <c r="P308" s="69"/>
      <c r="Q308" s="69"/>
      <c r="R308" s="69"/>
      <c r="S308" s="69"/>
      <c r="T308" s="69"/>
      <c r="U308" s="69"/>
      <c r="V308" s="69"/>
    </row>
    <row r="309" spans="3:22" s="133" customFormat="1" ht="21.95" customHeight="1" x14ac:dyDescent="0.3">
      <c r="C309" s="134"/>
      <c r="D309" s="185"/>
      <c r="E309" s="163"/>
      <c r="F309" s="164"/>
      <c r="G309" s="165"/>
      <c r="H309" s="164"/>
      <c r="I309" s="166"/>
      <c r="J309" s="157"/>
      <c r="K309" s="157"/>
      <c r="L309" s="157"/>
      <c r="M309" s="166"/>
      <c r="N309" s="155"/>
      <c r="O309" s="71"/>
      <c r="P309" s="69"/>
      <c r="Q309" s="69"/>
      <c r="R309" s="69"/>
      <c r="S309" s="69"/>
      <c r="T309" s="69"/>
      <c r="U309" s="69"/>
      <c r="V309" s="69"/>
    </row>
    <row r="310" spans="3:22" s="133" customFormat="1" ht="21.95" customHeight="1" x14ac:dyDescent="0.3">
      <c r="C310" s="134"/>
      <c r="D310" s="185"/>
      <c r="E310" s="163"/>
      <c r="F310" s="164"/>
      <c r="G310" s="165"/>
      <c r="H310" s="164"/>
      <c r="I310" s="166"/>
      <c r="J310" s="157"/>
      <c r="K310" s="157"/>
      <c r="L310" s="157"/>
      <c r="M310" s="166"/>
      <c r="N310" s="155"/>
      <c r="O310" s="71"/>
      <c r="P310" s="69"/>
      <c r="Q310" s="69"/>
      <c r="R310" s="69"/>
      <c r="S310" s="69"/>
      <c r="T310" s="69"/>
      <c r="U310" s="69"/>
      <c r="V310" s="69"/>
    </row>
    <row r="311" spans="3:22" s="133" customFormat="1" ht="21.95" customHeight="1" x14ac:dyDescent="0.3">
      <c r="C311" s="134"/>
      <c r="D311" s="185"/>
      <c r="E311" s="163"/>
      <c r="F311" s="164"/>
      <c r="G311" s="165"/>
      <c r="H311" s="164"/>
      <c r="I311" s="166"/>
      <c r="J311" s="157"/>
      <c r="K311" s="157"/>
      <c r="L311" s="157"/>
      <c r="M311" s="166"/>
      <c r="N311" s="155"/>
      <c r="O311" s="71"/>
      <c r="P311" s="69"/>
      <c r="Q311" s="69"/>
      <c r="R311" s="69"/>
      <c r="S311" s="69"/>
      <c r="T311" s="69"/>
      <c r="U311" s="69"/>
      <c r="V311" s="69"/>
    </row>
    <row r="312" spans="3:22" s="133" customFormat="1" ht="21.95" customHeight="1" x14ac:dyDescent="0.3">
      <c r="C312" s="134"/>
      <c r="D312" s="185"/>
      <c r="E312" s="163"/>
      <c r="F312" s="164"/>
      <c r="G312" s="165"/>
      <c r="H312" s="164"/>
      <c r="I312" s="166"/>
      <c r="J312" s="157"/>
      <c r="K312" s="157"/>
      <c r="L312" s="157"/>
      <c r="M312" s="166"/>
      <c r="N312" s="155"/>
      <c r="O312" s="71"/>
      <c r="P312" s="69"/>
      <c r="Q312" s="69"/>
      <c r="R312" s="69"/>
      <c r="S312" s="69"/>
      <c r="T312" s="69"/>
      <c r="U312" s="69"/>
      <c r="V312" s="69"/>
    </row>
    <row r="313" spans="3:22" s="133" customFormat="1" ht="21.95" customHeight="1" x14ac:dyDescent="0.3">
      <c r="C313" s="134"/>
      <c r="D313" s="185"/>
      <c r="E313" s="163"/>
      <c r="F313" s="164"/>
      <c r="G313" s="165"/>
      <c r="H313" s="164"/>
      <c r="I313" s="166"/>
      <c r="J313" s="157"/>
      <c r="K313" s="157"/>
      <c r="L313" s="157"/>
      <c r="M313" s="166"/>
      <c r="N313" s="155"/>
      <c r="O313" s="71"/>
      <c r="P313" s="69"/>
      <c r="Q313" s="69"/>
      <c r="R313" s="69"/>
      <c r="S313" s="69"/>
      <c r="T313" s="69"/>
      <c r="U313" s="69"/>
      <c r="V313" s="69"/>
    </row>
    <row r="314" spans="3:22" s="133" customFormat="1" ht="21.95" customHeight="1" x14ac:dyDescent="0.3">
      <c r="C314" s="134"/>
      <c r="D314" s="185"/>
      <c r="E314" s="163"/>
      <c r="F314" s="164"/>
      <c r="G314" s="165"/>
      <c r="H314" s="164"/>
      <c r="I314" s="166"/>
      <c r="J314" s="157"/>
      <c r="K314" s="157"/>
      <c r="L314" s="157"/>
      <c r="M314" s="166"/>
      <c r="N314" s="155"/>
      <c r="O314" s="71"/>
      <c r="P314" s="69"/>
      <c r="Q314" s="69"/>
      <c r="R314" s="69"/>
      <c r="S314" s="69"/>
      <c r="T314" s="69"/>
      <c r="U314" s="69"/>
      <c r="V314" s="69"/>
    </row>
    <row r="315" spans="3:22" s="133" customFormat="1" ht="21.95" customHeight="1" x14ac:dyDescent="0.3">
      <c r="C315" s="134"/>
      <c r="D315" s="185"/>
      <c r="E315" s="163"/>
      <c r="F315" s="164"/>
      <c r="G315" s="165"/>
      <c r="H315" s="164"/>
      <c r="I315" s="166"/>
      <c r="J315" s="157"/>
      <c r="K315" s="157"/>
      <c r="L315" s="157"/>
      <c r="M315" s="166"/>
      <c r="N315" s="155"/>
      <c r="O315" s="71"/>
      <c r="P315" s="69"/>
      <c r="Q315" s="69"/>
      <c r="R315" s="69"/>
      <c r="S315" s="69"/>
      <c r="T315" s="69"/>
      <c r="U315" s="69"/>
      <c r="V315" s="69"/>
    </row>
    <row r="316" spans="3:22" s="133" customFormat="1" ht="21.95" customHeight="1" x14ac:dyDescent="0.3">
      <c r="C316" s="134"/>
      <c r="D316" s="185"/>
      <c r="E316" s="163"/>
      <c r="F316" s="164"/>
      <c r="G316" s="165"/>
      <c r="H316" s="164"/>
      <c r="I316" s="166"/>
      <c r="J316" s="157"/>
      <c r="K316" s="157"/>
      <c r="L316" s="157"/>
      <c r="M316" s="166"/>
      <c r="N316" s="155"/>
      <c r="O316" s="71"/>
      <c r="P316" s="69"/>
      <c r="Q316" s="69"/>
      <c r="R316" s="69"/>
      <c r="S316" s="69"/>
      <c r="T316" s="69"/>
      <c r="U316" s="69"/>
      <c r="V316" s="69"/>
    </row>
    <row r="317" spans="3:22" s="133" customFormat="1" ht="21.95" customHeight="1" x14ac:dyDescent="0.3">
      <c r="C317" s="134"/>
      <c r="D317" s="185"/>
      <c r="E317" s="163"/>
      <c r="F317" s="164"/>
      <c r="G317" s="165"/>
      <c r="H317" s="164"/>
      <c r="I317" s="166"/>
      <c r="J317" s="157"/>
      <c r="K317" s="157"/>
      <c r="L317" s="157"/>
      <c r="M317" s="166"/>
      <c r="N317" s="155"/>
      <c r="O317" s="71"/>
      <c r="P317" s="69"/>
      <c r="Q317" s="69"/>
      <c r="R317" s="69"/>
      <c r="S317" s="69"/>
      <c r="T317" s="69"/>
      <c r="U317" s="69"/>
      <c r="V317" s="69"/>
    </row>
    <row r="318" spans="3:22" s="133" customFormat="1" ht="21.95" customHeight="1" x14ac:dyDescent="0.3">
      <c r="C318" s="134"/>
      <c r="D318" s="185"/>
      <c r="E318" s="163"/>
      <c r="F318" s="164"/>
      <c r="G318" s="165"/>
      <c r="H318" s="164"/>
      <c r="I318" s="166"/>
      <c r="J318" s="157"/>
      <c r="K318" s="157"/>
      <c r="L318" s="157"/>
      <c r="M318" s="166"/>
      <c r="N318" s="155"/>
      <c r="O318" s="71"/>
      <c r="P318" s="69"/>
      <c r="Q318" s="69"/>
      <c r="R318" s="69"/>
      <c r="S318" s="69"/>
      <c r="T318" s="69"/>
      <c r="U318" s="69"/>
      <c r="V318" s="69"/>
    </row>
    <row r="319" spans="3:22" s="133" customFormat="1" ht="21.95" customHeight="1" x14ac:dyDescent="0.3">
      <c r="C319" s="134"/>
      <c r="D319" s="185"/>
      <c r="E319" s="163"/>
      <c r="F319" s="164"/>
      <c r="G319" s="165"/>
      <c r="H319" s="164"/>
      <c r="I319" s="166"/>
      <c r="J319" s="157"/>
      <c r="K319" s="157"/>
      <c r="L319" s="157"/>
      <c r="M319" s="166"/>
      <c r="N319" s="155"/>
      <c r="O319" s="71"/>
      <c r="P319" s="69"/>
      <c r="Q319" s="69"/>
      <c r="R319" s="69"/>
      <c r="S319" s="69"/>
      <c r="T319" s="69"/>
      <c r="U319" s="69"/>
      <c r="V319" s="69"/>
    </row>
    <row r="320" spans="3:22" s="133" customFormat="1" ht="21.95" customHeight="1" x14ac:dyDescent="0.3">
      <c r="C320" s="134"/>
      <c r="D320" s="185"/>
      <c r="E320" s="163"/>
      <c r="F320" s="164"/>
      <c r="G320" s="165"/>
      <c r="H320" s="164"/>
      <c r="I320" s="166"/>
      <c r="J320" s="157"/>
      <c r="K320" s="157"/>
      <c r="L320" s="157"/>
      <c r="M320" s="166"/>
      <c r="N320" s="155"/>
      <c r="O320" s="71"/>
      <c r="P320" s="69"/>
      <c r="Q320" s="69"/>
      <c r="R320" s="69"/>
      <c r="S320" s="69"/>
      <c r="T320" s="69"/>
      <c r="U320" s="69"/>
      <c r="V320" s="69"/>
    </row>
    <row r="321" spans="3:22" s="133" customFormat="1" ht="21.95" customHeight="1" x14ac:dyDescent="0.3">
      <c r="C321" s="134"/>
      <c r="D321" s="185"/>
      <c r="E321" s="163"/>
      <c r="F321" s="164"/>
      <c r="G321" s="165"/>
      <c r="H321" s="164"/>
      <c r="I321" s="166"/>
      <c r="J321" s="157"/>
      <c r="K321" s="157"/>
      <c r="L321" s="157"/>
      <c r="M321" s="166"/>
      <c r="N321" s="155"/>
      <c r="O321" s="71"/>
      <c r="P321" s="69"/>
      <c r="Q321" s="69"/>
      <c r="R321" s="69"/>
      <c r="S321" s="69"/>
      <c r="T321" s="69"/>
      <c r="U321" s="69"/>
      <c r="V321" s="69"/>
    </row>
    <row r="322" spans="3:22" s="133" customFormat="1" ht="21.95" customHeight="1" x14ac:dyDescent="0.3">
      <c r="C322" s="134"/>
      <c r="D322" s="185"/>
      <c r="E322" s="163"/>
      <c r="F322" s="164"/>
      <c r="G322" s="165"/>
      <c r="H322" s="164"/>
      <c r="I322" s="166"/>
      <c r="J322" s="157"/>
      <c r="K322" s="157"/>
      <c r="L322" s="157"/>
      <c r="M322" s="166"/>
      <c r="N322" s="155"/>
      <c r="O322" s="71"/>
      <c r="P322" s="69"/>
      <c r="Q322" s="69"/>
      <c r="R322" s="69"/>
      <c r="S322" s="69"/>
      <c r="T322" s="69"/>
      <c r="U322" s="69"/>
      <c r="V322" s="69"/>
    </row>
    <row r="323" spans="3:22" s="133" customFormat="1" ht="21.95" customHeight="1" x14ac:dyDescent="0.3">
      <c r="C323" s="134"/>
      <c r="D323" s="185"/>
      <c r="E323" s="163"/>
      <c r="F323" s="164"/>
      <c r="G323" s="165"/>
      <c r="H323" s="164"/>
      <c r="I323" s="166"/>
      <c r="J323" s="157"/>
      <c r="K323" s="157"/>
      <c r="L323" s="157"/>
      <c r="M323" s="166"/>
      <c r="N323" s="155"/>
      <c r="O323" s="71"/>
      <c r="P323" s="69"/>
      <c r="Q323" s="69"/>
      <c r="R323" s="69"/>
      <c r="S323" s="69"/>
      <c r="T323" s="69"/>
      <c r="U323" s="69"/>
      <c r="V323" s="69"/>
    </row>
    <row r="324" spans="3:22" s="133" customFormat="1" ht="21.95" customHeight="1" x14ac:dyDescent="0.3">
      <c r="C324" s="134"/>
      <c r="D324" s="185"/>
      <c r="E324" s="163"/>
      <c r="F324" s="164"/>
      <c r="G324" s="165"/>
      <c r="H324" s="164"/>
      <c r="I324" s="166"/>
      <c r="J324" s="157"/>
      <c r="K324" s="157"/>
      <c r="L324" s="157"/>
      <c r="M324" s="166"/>
      <c r="N324" s="155"/>
      <c r="O324" s="71"/>
      <c r="P324" s="69"/>
      <c r="Q324" s="69"/>
      <c r="R324" s="69"/>
      <c r="S324" s="69"/>
      <c r="T324" s="69"/>
      <c r="U324" s="69"/>
      <c r="V324" s="69"/>
    </row>
    <row r="325" spans="3:22" s="133" customFormat="1" ht="21.95" customHeight="1" x14ac:dyDescent="0.3">
      <c r="C325" s="134"/>
      <c r="D325" s="185"/>
      <c r="E325" s="163"/>
      <c r="F325" s="164"/>
      <c r="G325" s="165"/>
      <c r="H325" s="164"/>
      <c r="I325" s="166"/>
      <c r="J325" s="157"/>
      <c r="K325" s="157"/>
      <c r="L325" s="157"/>
      <c r="M325" s="166"/>
      <c r="N325" s="155"/>
      <c r="O325" s="71"/>
      <c r="P325" s="69"/>
      <c r="Q325" s="69"/>
      <c r="R325" s="69"/>
      <c r="S325" s="69"/>
      <c r="T325" s="69"/>
      <c r="U325" s="69"/>
      <c r="V325" s="69"/>
    </row>
    <row r="326" spans="3:22" s="133" customFormat="1" ht="21.95" customHeight="1" x14ac:dyDescent="0.3">
      <c r="C326" s="134"/>
      <c r="D326" s="185"/>
      <c r="E326" s="163"/>
      <c r="F326" s="164"/>
      <c r="G326" s="165"/>
      <c r="H326" s="164"/>
      <c r="I326" s="166"/>
      <c r="J326" s="157"/>
      <c r="K326" s="157"/>
      <c r="L326" s="157"/>
      <c r="M326" s="166"/>
      <c r="N326" s="155"/>
      <c r="O326" s="71"/>
      <c r="P326" s="69"/>
      <c r="Q326" s="69"/>
      <c r="R326" s="69"/>
      <c r="S326" s="69"/>
      <c r="T326" s="69"/>
      <c r="U326" s="69"/>
      <c r="V326" s="69"/>
    </row>
    <row r="327" spans="3:22" s="133" customFormat="1" ht="21.95" customHeight="1" x14ac:dyDescent="0.3">
      <c r="C327" s="134"/>
      <c r="D327" s="185"/>
      <c r="E327" s="163"/>
      <c r="F327" s="164"/>
      <c r="G327" s="165"/>
      <c r="H327" s="164"/>
      <c r="I327" s="166"/>
      <c r="J327" s="157"/>
      <c r="K327" s="157"/>
      <c r="L327" s="157"/>
      <c r="M327" s="166"/>
      <c r="N327" s="155"/>
      <c r="O327" s="71"/>
      <c r="P327" s="69"/>
      <c r="Q327" s="69"/>
      <c r="R327" s="69"/>
      <c r="S327" s="69"/>
      <c r="T327" s="69"/>
      <c r="U327" s="69"/>
      <c r="V327" s="69"/>
    </row>
    <row r="328" spans="3:22" s="133" customFormat="1" ht="21.95" customHeight="1" x14ac:dyDescent="0.3">
      <c r="C328" s="134"/>
      <c r="D328" s="185"/>
      <c r="E328" s="163"/>
      <c r="F328" s="164"/>
      <c r="G328" s="165"/>
      <c r="H328" s="164"/>
      <c r="I328" s="166"/>
      <c r="J328" s="157"/>
      <c r="K328" s="157"/>
      <c r="L328" s="157"/>
      <c r="M328" s="166"/>
      <c r="N328" s="155"/>
      <c r="O328" s="71"/>
      <c r="P328" s="69"/>
      <c r="Q328" s="69"/>
      <c r="R328" s="69"/>
      <c r="S328" s="69"/>
      <c r="T328" s="69"/>
      <c r="U328" s="69"/>
      <c r="V328" s="69"/>
    </row>
    <row r="329" spans="3:22" s="133" customFormat="1" ht="21.95" customHeight="1" x14ac:dyDescent="0.3">
      <c r="C329" s="134"/>
      <c r="D329" s="185"/>
      <c r="E329" s="163"/>
      <c r="F329" s="164"/>
      <c r="G329" s="165"/>
      <c r="H329" s="164"/>
      <c r="I329" s="166"/>
      <c r="J329" s="157"/>
      <c r="K329" s="157"/>
      <c r="L329" s="157"/>
      <c r="M329" s="166"/>
      <c r="N329" s="155"/>
      <c r="O329" s="71"/>
      <c r="P329" s="69"/>
      <c r="Q329" s="69"/>
      <c r="R329" s="69"/>
      <c r="S329" s="69"/>
      <c r="T329" s="69"/>
      <c r="U329" s="69"/>
      <c r="V329" s="69"/>
    </row>
    <row r="330" spans="3:22" s="133" customFormat="1" ht="21.95" customHeight="1" x14ac:dyDescent="0.3">
      <c r="C330" s="134"/>
      <c r="D330" s="185"/>
      <c r="E330" s="163"/>
      <c r="F330" s="164"/>
      <c r="G330" s="165"/>
      <c r="H330" s="164"/>
      <c r="I330" s="166"/>
      <c r="J330" s="157"/>
      <c r="K330" s="157"/>
      <c r="L330" s="157"/>
      <c r="M330" s="166"/>
      <c r="N330" s="155"/>
      <c r="O330" s="71"/>
      <c r="P330" s="69"/>
      <c r="Q330" s="69"/>
      <c r="R330" s="69"/>
      <c r="S330" s="69"/>
      <c r="T330" s="69"/>
      <c r="U330" s="69"/>
      <c r="V330" s="69"/>
    </row>
    <row r="331" spans="3:22" s="133" customFormat="1" ht="21.95" customHeight="1" x14ac:dyDescent="0.3">
      <c r="C331" s="134"/>
      <c r="D331" s="185"/>
      <c r="E331" s="163"/>
      <c r="F331" s="164"/>
      <c r="G331" s="165"/>
      <c r="H331" s="164"/>
      <c r="I331" s="166"/>
      <c r="J331" s="157"/>
      <c r="K331" s="157"/>
      <c r="L331" s="157"/>
      <c r="M331" s="166"/>
      <c r="N331" s="155"/>
      <c r="O331" s="71"/>
      <c r="P331" s="69"/>
      <c r="Q331" s="69"/>
      <c r="R331" s="69"/>
      <c r="S331" s="69"/>
      <c r="T331" s="69"/>
      <c r="U331" s="69"/>
      <c r="V331" s="69"/>
    </row>
    <row r="332" spans="3:22" s="133" customFormat="1" ht="21.95" customHeight="1" x14ac:dyDescent="0.3">
      <c r="C332" s="134"/>
      <c r="D332" s="185"/>
      <c r="E332" s="163"/>
      <c r="F332" s="164"/>
      <c r="G332" s="165"/>
      <c r="H332" s="164"/>
      <c r="I332" s="166"/>
      <c r="J332" s="157"/>
      <c r="K332" s="157"/>
      <c r="L332" s="157"/>
      <c r="M332" s="166"/>
      <c r="N332" s="155"/>
      <c r="O332" s="71"/>
      <c r="P332" s="69"/>
      <c r="Q332" s="69"/>
      <c r="R332" s="69"/>
      <c r="S332" s="69"/>
      <c r="T332" s="69"/>
      <c r="U332" s="69"/>
      <c r="V332" s="69"/>
    </row>
    <row r="333" spans="3:22" s="133" customFormat="1" ht="21.95" customHeight="1" x14ac:dyDescent="0.3">
      <c r="C333" s="134"/>
      <c r="D333" s="185"/>
      <c r="E333" s="163"/>
      <c r="F333" s="164"/>
      <c r="G333" s="165"/>
      <c r="H333" s="164"/>
      <c r="I333" s="166"/>
      <c r="J333" s="157"/>
      <c r="K333" s="157"/>
      <c r="L333" s="157"/>
      <c r="M333" s="166"/>
      <c r="N333" s="155"/>
      <c r="O333" s="71"/>
      <c r="P333" s="69"/>
      <c r="Q333" s="69"/>
      <c r="R333" s="69"/>
      <c r="S333" s="69"/>
      <c r="T333" s="69"/>
      <c r="U333" s="69"/>
      <c r="V333" s="69"/>
    </row>
    <row r="334" spans="3:22" s="133" customFormat="1" ht="21.95" customHeight="1" x14ac:dyDescent="0.3">
      <c r="C334" s="134"/>
      <c r="D334" s="185"/>
      <c r="E334" s="163"/>
      <c r="F334" s="164"/>
      <c r="G334" s="165"/>
      <c r="H334" s="164"/>
      <c r="I334" s="166"/>
      <c r="J334" s="157"/>
      <c r="K334" s="157"/>
      <c r="L334" s="157"/>
      <c r="M334" s="166"/>
      <c r="N334" s="155"/>
      <c r="O334" s="71"/>
      <c r="P334" s="69"/>
      <c r="Q334" s="69"/>
      <c r="R334" s="69"/>
      <c r="S334" s="69"/>
      <c r="T334" s="69"/>
      <c r="U334" s="69"/>
      <c r="V334" s="69"/>
    </row>
    <row r="335" spans="3:22" s="133" customFormat="1" ht="21.95" customHeight="1" x14ac:dyDescent="0.3">
      <c r="C335" s="134"/>
      <c r="D335" s="185"/>
      <c r="E335" s="163"/>
      <c r="F335" s="164"/>
      <c r="G335" s="165"/>
      <c r="H335" s="164"/>
      <c r="I335" s="166"/>
      <c r="J335" s="157"/>
      <c r="K335" s="157"/>
      <c r="L335" s="157"/>
      <c r="M335" s="166"/>
      <c r="N335" s="155"/>
      <c r="O335" s="71"/>
      <c r="P335" s="69"/>
      <c r="Q335" s="69"/>
      <c r="R335" s="69"/>
      <c r="S335" s="69"/>
      <c r="T335" s="69"/>
      <c r="U335" s="69"/>
      <c r="V335" s="69"/>
    </row>
    <row r="336" spans="3:22" s="133" customFormat="1" ht="21.95" customHeight="1" x14ac:dyDescent="0.3">
      <c r="C336" s="134"/>
      <c r="D336" s="185"/>
      <c r="E336" s="163"/>
      <c r="F336" s="164"/>
      <c r="G336" s="165"/>
      <c r="H336" s="164"/>
      <c r="I336" s="166"/>
      <c r="J336" s="157"/>
      <c r="K336" s="157"/>
      <c r="L336" s="157"/>
      <c r="M336" s="166"/>
      <c r="N336" s="155"/>
      <c r="O336" s="71"/>
      <c r="P336" s="69"/>
      <c r="Q336" s="69"/>
      <c r="R336" s="69"/>
      <c r="S336" s="69"/>
      <c r="T336" s="69"/>
      <c r="U336" s="69"/>
      <c r="V336" s="69"/>
    </row>
    <row r="337" spans="3:22" s="133" customFormat="1" ht="21.95" customHeight="1" x14ac:dyDescent="0.3">
      <c r="C337" s="134"/>
      <c r="D337" s="185"/>
      <c r="E337" s="163"/>
      <c r="F337" s="164"/>
      <c r="G337" s="165"/>
      <c r="H337" s="164"/>
      <c r="I337" s="166"/>
      <c r="J337" s="157"/>
      <c r="K337" s="157"/>
      <c r="L337" s="157"/>
      <c r="M337" s="166"/>
      <c r="N337" s="155"/>
      <c r="O337" s="71"/>
      <c r="P337" s="69"/>
      <c r="Q337" s="69"/>
      <c r="R337" s="69"/>
      <c r="S337" s="69"/>
      <c r="T337" s="69"/>
      <c r="U337" s="69"/>
      <c r="V337" s="69"/>
    </row>
    <row r="338" spans="3:22" s="133" customFormat="1" ht="21.95" customHeight="1" x14ac:dyDescent="0.3">
      <c r="C338" s="134"/>
      <c r="D338" s="185"/>
      <c r="E338" s="163"/>
      <c r="F338" s="164"/>
      <c r="G338" s="165"/>
      <c r="H338" s="164"/>
      <c r="I338" s="166"/>
      <c r="J338" s="157"/>
      <c r="K338" s="157"/>
      <c r="L338" s="157"/>
      <c r="M338" s="166"/>
      <c r="N338" s="155"/>
      <c r="O338" s="71"/>
      <c r="P338" s="69"/>
      <c r="Q338" s="69"/>
      <c r="R338" s="69"/>
      <c r="S338" s="69"/>
      <c r="T338" s="69"/>
      <c r="U338" s="69"/>
      <c r="V338" s="69"/>
    </row>
    <row r="339" spans="3:22" s="133" customFormat="1" ht="21.95" customHeight="1" x14ac:dyDescent="0.3">
      <c r="C339" s="134"/>
      <c r="D339" s="185"/>
      <c r="E339" s="163"/>
      <c r="F339" s="164"/>
      <c r="G339" s="165"/>
      <c r="H339" s="164"/>
      <c r="I339" s="166"/>
      <c r="J339" s="157"/>
      <c r="K339" s="157"/>
      <c r="L339" s="157"/>
      <c r="M339" s="166"/>
      <c r="N339" s="155"/>
      <c r="O339" s="71"/>
      <c r="P339" s="69"/>
      <c r="Q339" s="69"/>
      <c r="R339" s="69"/>
      <c r="S339" s="69"/>
      <c r="T339" s="69"/>
      <c r="U339" s="69"/>
      <c r="V339" s="69"/>
    </row>
    <row r="340" spans="3:22" s="133" customFormat="1" ht="21.95" customHeight="1" x14ac:dyDescent="0.3">
      <c r="C340" s="134"/>
      <c r="D340" s="185"/>
      <c r="E340" s="163"/>
      <c r="F340" s="164"/>
      <c r="G340" s="165"/>
      <c r="H340" s="164"/>
      <c r="I340" s="166"/>
      <c r="J340" s="157"/>
      <c r="K340" s="157"/>
      <c r="L340" s="157"/>
      <c r="M340" s="166"/>
      <c r="N340" s="155"/>
      <c r="O340" s="71"/>
      <c r="P340" s="69"/>
      <c r="Q340" s="69"/>
      <c r="R340" s="69"/>
      <c r="S340" s="69"/>
      <c r="T340" s="69"/>
      <c r="U340" s="69"/>
      <c r="V340" s="69"/>
    </row>
    <row r="341" spans="3:22" s="133" customFormat="1" ht="21.95" customHeight="1" x14ac:dyDescent="0.3">
      <c r="C341" s="134"/>
      <c r="D341" s="185"/>
      <c r="E341" s="163"/>
      <c r="F341" s="164"/>
      <c r="G341" s="165"/>
      <c r="H341" s="164"/>
      <c r="I341" s="166"/>
      <c r="J341" s="157"/>
      <c r="K341" s="157"/>
      <c r="L341" s="157"/>
      <c r="M341" s="166"/>
      <c r="N341" s="155"/>
      <c r="O341" s="71"/>
      <c r="P341" s="69"/>
      <c r="Q341" s="69"/>
      <c r="R341" s="69"/>
      <c r="S341" s="69"/>
      <c r="T341" s="69"/>
      <c r="U341" s="69"/>
      <c r="V341" s="69"/>
    </row>
    <row r="342" spans="3:22" s="133" customFormat="1" ht="21.95" customHeight="1" x14ac:dyDescent="0.3">
      <c r="C342" s="134"/>
      <c r="D342" s="185"/>
      <c r="E342" s="163"/>
      <c r="F342" s="164"/>
      <c r="G342" s="165"/>
      <c r="H342" s="164"/>
      <c r="I342" s="166"/>
      <c r="J342" s="157"/>
      <c r="K342" s="157"/>
      <c r="L342" s="157"/>
      <c r="M342" s="166"/>
      <c r="N342" s="155"/>
      <c r="O342" s="71"/>
      <c r="P342" s="69"/>
      <c r="Q342" s="69"/>
      <c r="R342" s="69"/>
      <c r="S342" s="69"/>
      <c r="T342" s="69"/>
      <c r="U342" s="69"/>
      <c r="V342" s="69"/>
    </row>
    <row r="343" spans="3:22" s="133" customFormat="1" ht="21.95" customHeight="1" x14ac:dyDescent="0.3">
      <c r="C343" s="134"/>
      <c r="D343" s="185"/>
      <c r="E343" s="163"/>
      <c r="F343" s="164"/>
      <c r="G343" s="165"/>
      <c r="H343" s="164"/>
      <c r="I343" s="166"/>
      <c r="J343" s="157"/>
      <c r="K343" s="157"/>
      <c r="L343" s="157"/>
      <c r="M343" s="166"/>
      <c r="N343" s="155"/>
      <c r="O343" s="71"/>
      <c r="P343" s="69"/>
      <c r="Q343" s="69"/>
      <c r="R343" s="69"/>
      <c r="S343" s="69"/>
      <c r="T343" s="69"/>
      <c r="U343" s="69"/>
      <c r="V343" s="69"/>
    </row>
    <row r="344" spans="3:22" s="133" customFormat="1" ht="21.95" customHeight="1" x14ac:dyDescent="0.3">
      <c r="C344" s="134"/>
      <c r="D344" s="185"/>
      <c r="E344" s="163"/>
      <c r="F344" s="164"/>
      <c r="G344" s="165"/>
      <c r="H344" s="164"/>
      <c r="I344" s="166"/>
      <c r="J344" s="157"/>
      <c r="K344" s="157"/>
      <c r="L344" s="157"/>
      <c r="M344" s="166"/>
      <c r="N344" s="155"/>
      <c r="O344" s="71"/>
      <c r="P344" s="69"/>
      <c r="Q344" s="69"/>
      <c r="R344" s="69"/>
      <c r="S344" s="69"/>
      <c r="T344" s="69"/>
      <c r="U344" s="69"/>
      <c r="V344" s="69"/>
    </row>
    <row r="345" spans="3:22" s="133" customFormat="1" ht="21.95" customHeight="1" x14ac:dyDescent="0.3">
      <c r="C345" s="134"/>
      <c r="D345" s="185"/>
      <c r="E345" s="163"/>
      <c r="F345" s="164"/>
      <c r="G345" s="165"/>
      <c r="H345" s="164"/>
      <c r="I345" s="166"/>
      <c r="J345" s="157"/>
      <c r="K345" s="157"/>
      <c r="L345" s="157"/>
      <c r="M345" s="166"/>
      <c r="N345" s="155"/>
      <c r="O345" s="71"/>
      <c r="P345" s="69"/>
      <c r="Q345" s="69"/>
      <c r="R345" s="69"/>
      <c r="S345" s="69"/>
      <c r="T345" s="69"/>
      <c r="U345" s="69"/>
      <c r="V345" s="69"/>
    </row>
    <row r="346" spans="3:22" s="133" customFormat="1" ht="21.95" customHeight="1" x14ac:dyDescent="0.3">
      <c r="C346" s="134"/>
      <c r="D346" s="185"/>
      <c r="E346" s="163"/>
      <c r="F346" s="164"/>
      <c r="G346" s="165"/>
      <c r="H346" s="164"/>
      <c r="I346" s="166"/>
      <c r="J346" s="157"/>
      <c r="K346" s="157"/>
      <c r="L346" s="157"/>
      <c r="M346" s="166"/>
      <c r="N346" s="155"/>
      <c r="O346" s="71"/>
      <c r="P346" s="69"/>
      <c r="Q346" s="69"/>
      <c r="R346" s="69"/>
      <c r="S346" s="69"/>
      <c r="T346" s="69"/>
      <c r="U346" s="69"/>
      <c r="V346" s="69"/>
    </row>
    <row r="347" spans="3:22" s="133" customFormat="1" ht="21.95" customHeight="1" x14ac:dyDescent="0.3">
      <c r="C347" s="134"/>
      <c r="D347" s="185"/>
      <c r="E347" s="163"/>
      <c r="F347" s="164"/>
      <c r="G347" s="165"/>
      <c r="H347" s="164"/>
      <c r="I347" s="166"/>
      <c r="J347" s="157"/>
      <c r="K347" s="157"/>
      <c r="L347" s="157"/>
      <c r="M347" s="166"/>
      <c r="N347" s="155"/>
      <c r="O347" s="71"/>
      <c r="P347" s="69"/>
      <c r="Q347" s="69"/>
      <c r="R347" s="69"/>
      <c r="S347" s="69"/>
      <c r="T347" s="69"/>
      <c r="U347" s="69"/>
      <c r="V347" s="69"/>
    </row>
    <row r="348" spans="3:22" s="133" customFormat="1" ht="21.95" customHeight="1" x14ac:dyDescent="0.3">
      <c r="C348" s="134"/>
      <c r="D348" s="185"/>
      <c r="E348" s="163"/>
      <c r="F348" s="164"/>
      <c r="G348" s="165"/>
      <c r="H348" s="164"/>
      <c r="I348" s="166"/>
      <c r="J348" s="157"/>
      <c r="K348" s="157"/>
      <c r="L348" s="157"/>
      <c r="M348" s="166"/>
      <c r="N348" s="155"/>
      <c r="O348" s="71"/>
      <c r="P348" s="69"/>
      <c r="Q348" s="69"/>
      <c r="R348" s="69"/>
      <c r="S348" s="69"/>
      <c r="T348" s="69"/>
      <c r="U348" s="69"/>
      <c r="V348" s="69"/>
    </row>
    <row r="349" spans="3:22" s="133" customFormat="1" ht="21.95" customHeight="1" x14ac:dyDescent="0.3">
      <c r="C349" s="134"/>
      <c r="D349" s="185"/>
      <c r="E349" s="163"/>
      <c r="F349" s="164"/>
      <c r="G349" s="165"/>
      <c r="H349" s="164"/>
      <c r="I349" s="166"/>
      <c r="J349" s="157"/>
      <c r="K349" s="157"/>
      <c r="L349" s="157"/>
      <c r="M349" s="166"/>
      <c r="N349" s="155"/>
      <c r="O349" s="71"/>
      <c r="P349" s="69"/>
      <c r="Q349" s="69"/>
      <c r="R349" s="69"/>
      <c r="S349" s="69"/>
      <c r="T349" s="69"/>
      <c r="U349" s="69"/>
      <c r="V349" s="69"/>
    </row>
    <row r="350" spans="3:22" s="133" customFormat="1" ht="21.95" customHeight="1" x14ac:dyDescent="0.3">
      <c r="C350" s="134"/>
      <c r="D350" s="185"/>
      <c r="E350" s="163"/>
      <c r="F350" s="164"/>
      <c r="G350" s="165"/>
      <c r="H350" s="164"/>
      <c r="I350" s="166"/>
      <c r="J350" s="157"/>
      <c r="K350" s="157"/>
      <c r="L350" s="157"/>
      <c r="M350" s="166"/>
      <c r="N350" s="155"/>
      <c r="O350" s="71"/>
      <c r="P350" s="69"/>
      <c r="Q350" s="69"/>
      <c r="R350" s="69"/>
      <c r="S350" s="69"/>
      <c r="T350" s="69"/>
      <c r="U350" s="69"/>
      <c r="V350" s="69"/>
    </row>
    <row r="351" spans="3:22" s="133" customFormat="1" ht="21.95" customHeight="1" x14ac:dyDescent="0.3">
      <c r="C351" s="134"/>
      <c r="D351" s="185"/>
      <c r="E351" s="163"/>
      <c r="F351" s="164"/>
      <c r="G351" s="165"/>
      <c r="H351" s="164"/>
      <c r="I351" s="166"/>
      <c r="J351" s="157"/>
      <c r="K351" s="157"/>
      <c r="L351" s="157"/>
      <c r="M351" s="166"/>
      <c r="N351" s="155"/>
      <c r="O351" s="71"/>
      <c r="P351" s="69"/>
      <c r="Q351" s="69"/>
      <c r="R351" s="69"/>
      <c r="S351" s="69"/>
      <c r="T351" s="69"/>
      <c r="U351" s="69"/>
      <c r="V351" s="69"/>
    </row>
    <row r="352" spans="3:22" s="133" customFormat="1" ht="21.95" customHeight="1" x14ac:dyDescent="0.3">
      <c r="C352" s="134"/>
      <c r="D352" s="185"/>
      <c r="E352" s="163"/>
      <c r="F352" s="164"/>
      <c r="G352" s="165"/>
      <c r="H352" s="164"/>
      <c r="I352" s="166"/>
      <c r="J352" s="157"/>
      <c r="K352" s="157"/>
      <c r="L352" s="157"/>
      <c r="M352" s="166"/>
      <c r="N352" s="155"/>
      <c r="O352" s="71"/>
      <c r="P352" s="69"/>
      <c r="Q352" s="69"/>
      <c r="R352" s="69"/>
      <c r="S352" s="69"/>
      <c r="T352" s="69"/>
      <c r="U352" s="69"/>
      <c r="V352" s="69"/>
    </row>
    <row r="353" spans="3:22" s="133" customFormat="1" ht="21.95" customHeight="1" x14ac:dyDescent="0.3">
      <c r="C353" s="134"/>
      <c r="D353" s="185"/>
      <c r="E353" s="163"/>
      <c r="F353" s="164"/>
      <c r="G353" s="165"/>
      <c r="H353" s="164"/>
      <c r="I353" s="166"/>
      <c r="J353" s="157"/>
      <c r="K353" s="157"/>
      <c r="L353" s="157"/>
      <c r="M353" s="166"/>
      <c r="N353" s="155"/>
      <c r="O353" s="71"/>
      <c r="P353" s="69"/>
      <c r="Q353" s="69"/>
      <c r="R353" s="69"/>
      <c r="S353" s="69"/>
      <c r="T353" s="69"/>
      <c r="U353" s="69"/>
      <c r="V353" s="69"/>
    </row>
    <row r="354" spans="3:22" s="133" customFormat="1" ht="21.95" customHeight="1" x14ac:dyDescent="0.3">
      <c r="C354" s="134"/>
      <c r="D354" s="185"/>
      <c r="E354" s="163"/>
      <c r="F354" s="164"/>
      <c r="G354" s="165"/>
      <c r="H354" s="164"/>
      <c r="I354" s="166"/>
      <c r="J354" s="157"/>
      <c r="K354" s="157"/>
      <c r="L354" s="157"/>
      <c r="M354" s="166"/>
      <c r="N354" s="155"/>
      <c r="O354" s="71"/>
      <c r="P354" s="69"/>
      <c r="Q354" s="69"/>
      <c r="R354" s="69"/>
      <c r="S354" s="69"/>
      <c r="T354" s="69"/>
      <c r="U354" s="69"/>
      <c r="V354" s="69"/>
    </row>
    <row r="355" spans="3:22" s="133" customFormat="1" ht="21.95" customHeight="1" x14ac:dyDescent="0.3">
      <c r="C355" s="134"/>
      <c r="D355" s="185"/>
      <c r="E355" s="163"/>
      <c r="F355" s="164"/>
      <c r="G355" s="165"/>
      <c r="H355" s="164"/>
      <c r="I355" s="166"/>
      <c r="J355" s="157"/>
      <c r="K355" s="157"/>
      <c r="L355" s="157"/>
      <c r="M355" s="166"/>
      <c r="N355" s="155"/>
      <c r="O355" s="71"/>
      <c r="P355" s="69"/>
      <c r="Q355" s="69"/>
      <c r="R355" s="69"/>
      <c r="S355" s="69"/>
      <c r="T355" s="69"/>
      <c r="U355" s="69"/>
      <c r="V355" s="69"/>
    </row>
    <row r="356" spans="3:22" s="133" customFormat="1" ht="21.95" customHeight="1" x14ac:dyDescent="0.3">
      <c r="C356" s="134"/>
      <c r="D356" s="185"/>
      <c r="E356" s="163"/>
      <c r="F356" s="164"/>
      <c r="G356" s="165"/>
      <c r="H356" s="164"/>
      <c r="I356" s="166"/>
      <c r="J356" s="157"/>
      <c r="K356" s="157"/>
      <c r="L356" s="157"/>
      <c r="M356" s="166"/>
      <c r="N356" s="155"/>
      <c r="O356" s="71"/>
      <c r="P356" s="69"/>
      <c r="Q356" s="69"/>
      <c r="R356" s="69"/>
      <c r="S356" s="69"/>
      <c r="T356" s="69"/>
      <c r="U356" s="69"/>
      <c r="V356" s="69"/>
    </row>
    <row r="357" spans="3:22" s="133" customFormat="1" ht="21.95" customHeight="1" x14ac:dyDescent="0.3">
      <c r="C357" s="134"/>
      <c r="D357" s="185"/>
      <c r="E357" s="163"/>
      <c r="F357" s="164"/>
      <c r="G357" s="165"/>
      <c r="H357" s="164"/>
      <c r="I357" s="166"/>
      <c r="J357" s="157"/>
      <c r="K357" s="157"/>
      <c r="L357" s="157"/>
      <c r="M357" s="166"/>
      <c r="N357" s="155"/>
      <c r="O357" s="71"/>
      <c r="P357" s="69"/>
      <c r="Q357" s="69"/>
      <c r="R357" s="69"/>
      <c r="S357" s="69"/>
      <c r="T357" s="69"/>
      <c r="U357" s="69"/>
      <c r="V357" s="69"/>
    </row>
    <row r="358" spans="3:22" s="133" customFormat="1" ht="21.95" customHeight="1" x14ac:dyDescent="0.3">
      <c r="C358" s="134"/>
      <c r="D358" s="185"/>
      <c r="E358" s="163"/>
      <c r="F358" s="164"/>
      <c r="G358" s="165"/>
      <c r="H358" s="164"/>
      <c r="I358" s="166"/>
      <c r="J358" s="157"/>
      <c r="K358" s="157"/>
      <c r="L358" s="157"/>
      <c r="M358" s="166"/>
      <c r="N358" s="155"/>
      <c r="O358" s="71"/>
      <c r="P358" s="69"/>
      <c r="Q358" s="69"/>
      <c r="R358" s="69"/>
      <c r="S358" s="69"/>
      <c r="T358" s="69"/>
      <c r="U358" s="69"/>
      <c r="V358" s="69"/>
    </row>
    <row r="359" spans="3:22" s="133" customFormat="1" ht="21.95" customHeight="1" x14ac:dyDescent="0.3">
      <c r="C359" s="134"/>
      <c r="D359" s="185"/>
      <c r="E359" s="163"/>
      <c r="F359" s="164"/>
      <c r="G359" s="165"/>
      <c r="H359" s="164"/>
      <c r="I359" s="166"/>
      <c r="J359" s="157"/>
      <c r="K359" s="157"/>
      <c r="L359" s="157"/>
      <c r="M359" s="166"/>
      <c r="N359" s="155"/>
      <c r="O359" s="71"/>
      <c r="P359" s="69"/>
      <c r="Q359" s="69"/>
      <c r="R359" s="69"/>
      <c r="S359" s="69"/>
      <c r="T359" s="69"/>
      <c r="U359" s="69"/>
      <c r="V359" s="69"/>
    </row>
    <row r="360" spans="3:22" s="133" customFormat="1" ht="21.95" customHeight="1" x14ac:dyDescent="0.3">
      <c r="C360" s="134"/>
      <c r="D360" s="185"/>
      <c r="E360" s="163"/>
      <c r="F360" s="164"/>
      <c r="G360" s="165"/>
      <c r="H360" s="164"/>
      <c r="I360" s="166"/>
      <c r="J360" s="157"/>
      <c r="K360" s="157"/>
      <c r="L360" s="157"/>
      <c r="M360" s="166"/>
      <c r="N360" s="155"/>
      <c r="O360" s="71"/>
      <c r="P360" s="69"/>
      <c r="Q360" s="69"/>
      <c r="R360" s="69"/>
      <c r="S360" s="69"/>
      <c r="T360" s="69"/>
      <c r="U360" s="69"/>
      <c r="V360" s="69"/>
    </row>
    <row r="361" spans="3:22" s="133" customFormat="1" ht="21.95" customHeight="1" x14ac:dyDescent="0.3">
      <c r="C361" s="134"/>
      <c r="D361" s="185"/>
      <c r="E361" s="163"/>
      <c r="F361" s="164"/>
      <c r="G361" s="165"/>
      <c r="H361" s="164"/>
      <c r="I361" s="166"/>
      <c r="J361" s="157"/>
      <c r="K361" s="157"/>
      <c r="L361" s="157"/>
      <c r="M361" s="166"/>
      <c r="N361" s="155"/>
      <c r="O361" s="71"/>
      <c r="P361" s="69"/>
      <c r="Q361" s="69"/>
      <c r="R361" s="69"/>
      <c r="S361" s="69"/>
      <c r="T361" s="69"/>
      <c r="U361" s="69"/>
      <c r="V361" s="69"/>
    </row>
    <row r="362" spans="3:22" s="133" customFormat="1" ht="21.95" customHeight="1" x14ac:dyDescent="0.3">
      <c r="C362" s="134"/>
      <c r="D362" s="185"/>
      <c r="E362" s="163"/>
      <c r="F362" s="164"/>
      <c r="G362" s="165"/>
      <c r="H362" s="164"/>
      <c r="I362" s="166"/>
      <c r="J362" s="157"/>
      <c r="K362" s="157"/>
      <c r="L362" s="157"/>
      <c r="M362" s="166"/>
      <c r="N362" s="155"/>
      <c r="O362" s="71"/>
      <c r="P362" s="69"/>
      <c r="Q362" s="69"/>
      <c r="R362" s="69"/>
      <c r="S362" s="69"/>
      <c r="T362" s="69"/>
      <c r="U362" s="69"/>
      <c r="V362" s="69"/>
    </row>
    <row r="363" spans="3:22" s="133" customFormat="1" ht="21.95" customHeight="1" x14ac:dyDescent="0.3">
      <c r="C363" s="134"/>
      <c r="D363" s="185"/>
      <c r="E363" s="163"/>
      <c r="F363" s="164"/>
      <c r="G363" s="165"/>
      <c r="H363" s="164"/>
      <c r="I363" s="166"/>
      <c r="J363" s="157"/>
      <c r="K363" s="157"/>
      <c r="L363" s="157"/>
      <c r="M363" s="166"/>
      <c r="N363" s="155"/>
      <c r="O363" s="71"/>
      <c r="P363" s="69"/>
      <c r="Q363" s="69"/>
      <c r="R363" s="69"/>
      <c r="S363" s="69"/>
      <c r="T363" s="69"/>
      <c r="U363" s="69"/>
      <c r="V363" s="69"/>
    </row>
    <row r="364" spans="3:22" s="133" customFormat="1" ht="21.95" customHeight="1" x14ac:dyDescent="0.3">
      <c r="C364" s="134"/>
      <c r="D364" s="185"/>
      <c r="E364" s="163"/>
      <c r="F364" s="164"/>
      <c r="G364" s="165"/>
      <c r="H364" s="164"/>
      <c r="I364" s="166"/>
      <c r="J364" s="157"/>
      <c r="K364" s="157"/>
      <c r="L364" s="157"/>
      <c r="M364" s="166"/>
      <c r="N364" s="155"/>
      <c r="O364" s="71"/>
      <c r="P364" s="69"/>
      <c r="Q364" s="69"/>
      <c r="R364" s="69"/>
      <c r="S364" s="69"/>
      <c r="T364" s="69"/>
      <c r="U364" s="69"/>
      <c r="V364" s="69"/>
    </row>
    <row r="365" spans="3:22" s="133" customFormat="1" ht="21.95" customHeight="1" x14ac:dyDescent="0.3">
      <c r="C365" s="134"/>
      <c r="D365" s="185"/>
      <c r="E365" s="163"/>
      <c r="F365" s="164"/>
      <c r="G365" s="165"/>
      <c r="H365" s="164"/>
      <c r="I365" s="166"/>
      <c r="J365" s="157"/>
      <c r="K365" s="157"/>
      <c r="L365" s="157"/>
      <c r="M365" s="166"/>
      <c r="N365" s="155"/>
      <c r="O365" s="71"/>
      <c r="P365" s="69"/>
      <c r="Q365" s="69"/>
      <c r="R365" s="69"/>
      <c r="S365" s="69"/>
      <c r="T365" s="69"/>
      <c r="U365" s="69"/>
      <c r="V365" s="69"/>
    </row>
    <row r="366" spans="3:22" s="133" customFormat="1" ht="21.95" customHeight="1" x14ac:dyDescent="0.3">
      <c r="C366" s="134"/>
      <c r="D366" s="185"/>
      <c r="E366" s="163"/>
      <c r="F366" s="164"/>
      <c r="G366" s="165"/>
      <c r="H366" s="164"/>
      <c r="I366" s="166"/>
      <c r="J366" s="157"/>
      <c r="K366" s="157"/>
      <c r="L366" s="157"/>
      <c r="M366" s="166"/>
      <c r="N366" s="155"/>
      <c r="O366" s="71"/>
      <c r="P366" s="69"/>
      <c r="Q366" s="69"/>
      <c r="R366" s="69"/>
      <c r="S366" s="69"/>
      <c r="T366" s="69"/>
      <c r="U366" s="69"/>
      <c r="V366" s="69"/>
    </row>
    <row r="367" spans="3:22" s="133" customFormat="1" ht="21.95" customHeight="1" x14ac:dyDescent="0.3">
      <c r="C367" s="134"/>
      <c r="D367" s="185"/>
      <c r="E367" s="163"/>
      <c r="F367" s="164"/>
      <c r="G367" s="165"/>
      <c r="H367" s="164"/>
      <c r="I367" s="166"/>
      <c r="J367" s="157"/>
      <c r="K367" s="157"/>
      <c r="L367" s="157"/>
      <c r="M367" s="166"/>
      <c r="N367" s="155"/>
      <c r="O367" s="71"/>
      <c r="P367" s="69"/>
      <c r="Q367" s="69"/>
      <c r="R367" s="69"/>
      <c r="S367" s="69"/>
      <c r="T367" s="69"/>
      <c r="U367" s="69"/>
      <c r="V367" s="69"/>
    </row>
    <row r="368" spans="3:22" s="133" customFormat="1" ht="21.95" customHeight="1" x14ac:dyDescent="0.3">
      <c r="C368" s="134"/>
      <c r="D368" s="185"/>
      <c r="E368" s="163"/>
      <c r="F368" s="164"/>
      <c r="G368" s="165"/>
      <c r="H368" s="164"/>
      <c r="I368" s="166"/>
      <c r="J368" s="157"/>
      <c r="K368" s="157"/>
      <c r="L368" s="157"/>
      <c r="M368" s="166"/>
      <c r="N368" s="155"/>
      <c r="O368" s="71"/>
      <c r="P368" s="69"/>
      <c r="Q368" s="69"/>
      <c r="R368" s="69"/>
      <c r="S368" s="69"/>
      <c r="T368" s="69"/>
      <c r="U368" s="69"/>
      <c r="V368" s="69"/>
    </row>
    <row r="369" spans="3:22" s="133" customFormat="1" ht="21.95" customHeight="1" x14ac:dyDescent="0.3">
      <c r="C369" s="134"/>
      <c r="D369" s="185"/>
      <c r="E369" s="163"/>
      <c r="F369" s="164"/>
      <c r="G369" s="165"/>
      <c r="H369" s="164"/>
      <c r="I369" s="166"/>
      <c r="J369" s="157"/>
      <c r="K369" s="157"/>
      <c r="L369" s="157"/>
      <c r="M369" s="166"/>
      <c r="N369" s="155"/>
      <c r="O369" s="71"/>
      <c r="P369" s="69"/>
      <c r="Q369" s="69"/>
      <c r="R369" s="69"/>
      <c r="S369" s="69"/>
      <c r="T369" s="69"/>
      <c r="U369" s="69"/>
      <c r="V369" s="69"/>
    </row>
    <row r="370" spans="3:22" s="133" customFormat="1" ht="21.95" customHeight="1" x14ac:dyDescent="0.3">
      <c r="C370" s="134"/>
      <c r="D370" s="185"/>
      <c r="E370" s="163"/>
      <c r="F370" s="164"/>
      <c r="G370" s="165"/>
      <c r="H370" s="164"/>
      <c r="I370" s="166"/>
      <c r="J370" s="157"/>
      <c r="K370" s="157"/>
      <c r="L370" s="157"/>
      <c r="M370" s="166"/>
      <c r="N370" s="155"/>
      <c r="O370" s="71"/>
      <c r="P370" s="69"/>
      <c r="Q370" s="69"/>
      <c r="R370" s="69"/>
      <c r="S370" s="69"/>
      <c r="T370" s="69"/>
      <c r="U370" s="69"/>
      <c r="V370" s="69"/>
    </row>
    <row r="371" spans="3:22" s="133" customFormat="1" ht="21.95" customHeight="1" x14ac:dyDescent="0.3">
      <c r="C371" s="134"/>
      <c r="D371" s="185"/>
      <c r="E371" s="163"/>
      <c r="F371" s="164"/>
      <c r="G371" s="165"/>
      <c r="H371" s="164"/>
      <c r="I371" s="166"/>
      <c r="J371" s="157"/>
      <c r="K371" s="157"/>
      <c r="L371" s="157"/>
      <c r="M371" s="166"/>
      <c r="N371" s="155"/>
      <c r="O371" s="71"/>
      <c r="P371" s="69"/>
      <c r="Q371" s="69"/>
      <c r="R371" s="69"/>
      <c r="S371" s="69"/>
      <c r="T371" s="69"/>
      <c r="U371" s="69"/>
      <c r="V371" s="69"/>
    </row>
    <row r="372" spans="3:22" s="133" customFormat="1" ht="21.95" customHeight="1" x14ac:dyDescent="0.3">
      <c r="C372" s="134"/>
      <c r="D372" s="185"/>
      <c r="E372" s="163"/>
      <c r="F372" s="164"/>
      <c r="G372" s="165"/>
      <c r="H372" s="164"/>
      <c r="I372" s="166"/>
      <c r="J372" s="157"/>
      <c r="K372" s="157"/>
      <c r="L372" s="157"/>
      <c r="M372" s="166"/>
      <c r="N372" s="155"/>
      <c r="O372" s="71"/>
      <c r="P372" s="69"/>
      <c r="Q372" s="69"/>
      <c r="R372" s="69"/>
      <c r="S372" s="69"/>
      <c r="T372" s="69"/>
      <c r="U372" s="69"/>
      <c r="V372" s="69"/>
    </row>
    <row r="373" spans="3:22" s="133" customFormat="1" ht="21.95" customHeight="1" x14ac:dyDescent="0.3">
      <c r="C373" s="134"/>
      <c r="D373" s="185"/>
      <c r="E373" s="163"/>
      <c r="F373" s="164"/>
      <c r="G373" s="165"/>
      <c r="H373" s="164"/>
      <c r="I373" s="166"/>
      <c r="J373" s="157"/>
      <c r="K373" s="157"/>
      <c r="L373" s="157"/>
      <c r="M373" s="166"/>
      <c r="N373" s="155"/>
      <c r="O373" s="71"/>
      <c r="P373" s="69"/>
      <c r="Q373" s="69"/>
      <c r="R373" s="69"/>
      <c r="S373" s="69"/>
      <c r="T373" s="69"/>
      <c r="U373" s="69"/>
      <c r="V373" s="69"/>
    </row>
    <row r="374" spans="3:22" s="133" customFormat="1" ht="21.95" customHeight="1" x14ac:dyDescent="0.3">
      <c r="C374" s="134"/>
      <c r="D374" s="185"/>
      <c r="E374" s="163"/>
      <c r="F374" s="164"/>
      <c r="G374" s="165"/>
      <c r="H374" s="164"/>
      <c r="I374" s="166"/>
      <c r="J374" s="157"/>
      <c r="K374" s="157"/>
      <c r="L374" s="157"/>
      <c r="M374" s="166"/>
      <c r="N374" s="155"/>
      <c r="O374" s="71"/>
      <c r="P374" s="69"/>
      <c r="Q374" s="69"/>
      <c r="R374" s="69"/>
      <c r="S374" s="69"/>
      <c r="T374" s="69"/>
      <c r="U374" s="69"/>
      <c r="V374" s="69"/>
    </row>
    <row r="375" spans="3:22" s="133" customFormat="1" ht="21.95" customHeight="1" x14ac:dyDescent="0.3">
      <c r="C375" s="134"/>
      <c r="D375" s="185"/>
      <c r="E375" s="163"/>
      <c r="F375" s="164"/>
      <c r="G375" s="165"/>
      <c r="H375" s="164"/>
      <c r="I375" s="166"/>
      <c r="J375" s="157"/>
      <c r="K375" s="157"/>
      <c r="L375" s="157"/>
      <c r="M375" s="166"/>
      <c r="N375" s="155"/>
      <c r="O375" s="71"/>
      <c r="P375" s="69"/>
      <c r="Q375" s="69"/>
      <c r="R375" s="69"/>
      <c r="S375" s="69"/>
      <c r="T375" s="69"/>
      <c r="U375" s="69"/>
      <c r="V375" s="69"/>
    </row>
    <row r="376" spans="3:22" s="133" customFormat="1" ht="21.95" customHeight="1" x14ac:dyDescent="0.3">
      <c r="C376" s="134"/>
      <c r="D376" s="185"/>
      <c r="E376" s="163"/>
      <c r="F376" s="164"/>
      <c r="G376" s="165"/>
      <c r="H376" s="164"/>
      <c r="I376" s="166"/>
      <c r="J376" s="157"/>
      <c r="K376" s="157"/>
      <c r="L376" s="157"/>
      <c r="M376" s="166"/>
      <c r="N376" s="155"/>
      <c r="O376" s="71"/>
      <c r="P376" s="69"/>
      <c r="Q376" s="69"/>
      <c r="R376" s="69"/>
      <c r="S376" s="69"/>
      <c r="T376" s="69"/>
      <c r="U376" s="69"/>
      <c r="V376" s="69"/>
    </row>
    <row r="377" spans="3:22" s="133" customFormat="1" ht="21.95" customHeight="1" x14ac:dyDescent="0.3">
      <c r="C377" s="134"/>
      <c r="D377" s="185"/>
      <c r="E377" s="163"/>
      <c r="F377" s="164"/>
      <c r="G377" s="165"/>
      <c r="H377" s="164"/>
      <c r="I377" s="166"/>
      <c r="J377" s="157"/>
      <c r="K377" s="157"/>
      <c r="L377" s="157"/>
      <c r="M377" s="166"/>
      <c r="N377" s="155"/>
      <c r="O377" s="71"/>
      <c r="P377" s="69"/>
      <c r="Q377" s="69"/>
      <c r="R377" s="69"/>
      <c r="S377" s="69"/>
      <c r="T377" s="69"/>
      <c r="U377" s="69"/>
      <c r="V377" s="69"/>
    </row>
    <row r="378" spans="3:22" s="133" customFormat="1" ht="21.95" customHeight="1" x14ac:dyDescent="0.3">
      <c r="C378" s="134"/>
      <c r="D378" s="185"/>
      <c r="E378" s="163"/>
      <c r="F378" s="164"/>
      <c r="G378" s="165"/>
      <c r="H378" s="164"/>
      <c r="I378" s="166"/>
      <c r="J378" s="157"/>
      <c r="K378" s="157"/>
      <c r="L378" s="157"/>
      <c r="M378" s="166"/>
      <c r="N378" s="155"/>
      <c r="O378" s="71"/>
      <c r="P378" s="69"/>
      <c r="Q378" s="69"/>
      <c r="R378" s="69"/>
      <c r="S378" s="69"/>
      <c r="T378" s="69"/>
      <c r="U378" s="69"/>
      <c r="V378" s="69"/>
    </row>
    <row r="379" spans="3:22" s="133" customFormat="1" ht="21.95" customHeight="1" x14ac:dyDescent="0.3">
      <c r="C379" s="134"/>
      <c r="D379" s="185"/>
      <c r="E379" s="163"/>
      <c r="F379" s="164"/>
      <c r="G379" s="165"/>
      <c r="H379" s="164"/>
      <c r="I379" s="166"/>
      <c r="J379" s="157"/>
      <c r="K379" s="157"/>
      <c r="L379" s="157"/>
      <c r="M379" s="166"/>
      <c r="N379" s="155"/>
      <c r="O379" s="71"/>
      <c r="P379" s="69"/>
      <c r="Q379" s="69"/>
      <c r="R379" s="69"/>
      <c r="S379" s="69"/>
      <c r="T379" s="69"/>
      <c r="U379" s="69"/>
      <c r="V379" s="69"/>
    </row>
    <row r="380" spans="3:22" s="133" customFormat="1" ht="21.95" customHeight="1" x14ac:dyDescent="0.3">
      <c r="C380" s="134"/>
      <c r="D380" s="185"/>
      <c r="E380" s="163"/>
      <c r="F380" s="164"/>
      <c r="G380" s="165"/>
      <c r="H380" s="164"/>
      <c r="I380" s="166"/>
      <c r="J380" s="157"/>
      <c r="K380" s="157"/>
      <c r="L380" s="157"/>
      <c r="M380" s="166"/>
      <c r="N380" s="155"/>
      <c r="O380" s="71"/>
      <c r="P380" s="69"/>
      <c r="Q380" s="69"/>
      <c r="R380" s="69"/>
      <c r="S380" s="69"/>
      <c r="T380" s="69"/>
      <c r="U380" s="69"/>
      <c r="V380" s="69"/>
    </row>
    <row r="381" spans="3:22" s="133" customFormat="1" ht="21.95" customHeight="1" x14ac:dyDescent="0.3">
      <c r="C381" s="134"/>
      <c r="D381" s="185"/>
      <c r="E381" s="163"/>
      <c r="F381" s="164"/>
      <c r="G381" s="165"/>
      <c r="H381" s="164"/>
      <c r="I381" s="166"/>
      <c r="J381" s="157"/>
      <c r="K381" s="157"/>
      <c r="L381" s="157"/>
      <c r="M381" s="166"/>
      <c r="N381" s="155"/>
      <c r="O381" s="71"/>
      <c r="P381" s="69"/>
      <c r="Q381" s="69"/>
      <c r="R381" s="69"/>
      <c r="S381" s="69"/>
      <c r="T381" s="69"/>
      <c r="U381" s="69"/>
      <c r="V381" s="69"/>
    </row>
    <row r="382" spans="3:22" s="133" customFormat="1" ht="21.95" customHeight="1" x14ac:dyDescent="0.3">
      <c r="C382" s="134"/>
      <c r="D382" s="185"/>
      <c r="E382" s="163"/>
      <c r="F382" s="164"/>
      <c r="G382" s="165"/>
      <c r="H382" s="164"/>
      <c r="I382" s="166"/>
      <c r="J382" s="157"/>
      <c r="K382" s="157"/>
      <c r="L382" s="157"/>
      <c r="M382" s="166"/>
      <c r="N382" s="155"/>
      <c r="O382" s="71"/>
      <c r="P382" s="69"/>
      <c r="Q382" s="69"/>
      <c r="R382" s="69"/>
      <c r="S382" s="69"/>
      <c r="T382" s="69"/>
      <c r="U382" s="69"/>
      <c r="V382" s="69"/>
    </row>
    <row r="383" spans="3:22" s="133" customFormat="1" ht="21.95" customHeight="1" x14ac:dyDescent="0.3">
      <c r="C383" s="134"/>
      <c r="D383" s="185"/>
      <c r="E383" s="163"/>
      <c r="F383" s="164"/>
      <c r="G383" s="165"/>
      <c r="H383" s="164"/>
      <c r="I383" s="166"/>
      <c r="J383" s="157"/>
      <c r="K383" s="157"/>
      <c r="L383" s="157"/>
      <c r="M383" s="166"/>
      <c r="N383" s="155"/>
      <c r="O383" s="71"/>
      <c r="P383" s="69"/>
      <c r="Q383" s="69"/>
      <c r="R383" s="69"/>
      <c r="S383" s="69"/>
      <c r="T383" s="69"/>
      <c r="U383" s="69"/>
      <c r="V383" s="69"/>
    </row>
    <row r="384" spans="3:22" s="133" customFormat="1" ht="21.95" customHeight="1" x14ac:dyDescent="0.3">
      <c r="C384" s="134"/>
      <c r="D384" s="185"/>
      <c r="E384" s="163"/>
      <c r="F384" s="164"/>
      <c r="G384" s="165"/>
      <c r="H384" s="164"/>
      <c r="I384" s="166"/>
      <c r="J384" s="157"/>
      <c r="K384" s="157"/>
      <c r="L384" s="157"/>
      <c r="M384" s="166"/>
      <c r="N384" s="155"/>
      <c r="O384" s="71"/>
      <c r="P384" s="69"/>
      <c r="Q384" s="69"/>
      <c r="R384" s="69"/>
      <c r="S384" s="69"/>
      <c r="T384" s="69"/>
      <c r="U384" s="69"/>
      <c r="V384" s="69"/>
    </row>
    <row r="385" spans="3:22" s="133" customFormat="1" ht="21.95" customHeight="1" x14ac:dyDescent="0.3">
      <c r="C385" s="134"/>
      <c r="D385" s="185"/>
      <c r="E385" s="163"/>
      <c r="F385" s="164"/>
      <c r="G385" s="165"/>
      <c r="H385" s="164"/>
      <c r="I385" s="166"/>
      <c r="J385" s="157"/>
      <c r="K385" s="157"/>
      <c r="L385" s="157"/>
      <c r="M385" s="166"/>
      <c r="N385" s="155"/>
      <c r="O385" s="71"/>
      <c r="P385" s="69"/>
      <c r="Q385" s="69"/>
      <c r="R385" s="69"/>
      <c r="S385" s="69"/>
      <c r="T385" s="69"/>
      <c r="U385" s="69"/>
      <c r="V385" s="69"/>
    </row>
    <row r="386" spans="3:22" s="133" customFormat="1" ht="21.95" customHeight="1" x14ac:dyDescent="0.3">
      <c r="C386" s="134"/>
      <c r="D386" s="185"/>
      <c r="E386" s="163"/>
      <c r="F386" s="164"/>
      <c r="G386" s="165"/>
      <c r="H386" s="164"/>
      <c r="I386" s="166"/>
      <c r="J386" s="157"/>
      <c r="K386" s="157"/>
      <c r="L386" s="157"/>
      <c r="M386" s="166"/>
      <c r="N386" s="155"/>
      <c r="O386" s="71"/>
      <c r="P386" s="69"/>
      <c r="Q386" s="69"/>
      <c r="R386" s="69"/>
      <c r="S386" s="69"/>
      <c r="T386" s="69"/>
      <c r="U386" s="69"/>
      <c r="V386" s="69"/>
    </row>
    <row r="387" spans="3:22" s="133" customFormat="1" ht="21.95" customHeight="1" x14ac:dyDescent="0.3">
      <c r="C387" s="134"/>
      <c r="D387" s="185"/>
      <c r="E387" s="163"/>
      <c r="F387" s="164"/>
      <c r="G387" s="165"/>
      <c r="H387" s="164"/>
      <c r="I387" s="166"/>
      <c r="J387" s="157"/>
      <c r="K387" s="157"/>
      <c r="L387" s="157"/>
      <c r="M387" s="166"/>
      <c r="N387" s="155"/>
      <c r="O387" s="71"/>
      <c r="P387" s="69"/>
      <c r="Q387" s="69"/>
      <c r="R387" s="69"/>
      <c r="S387" s="69"/>
      <c r="T387" s="69"/>
      <c r="U387" s="69"/>
      <c r="V387" s="69"/>
    </row>
    <row r="388" spans="3:22" s="133" customFormat="1" ht="21.95" customHeight="1" x14ac:dyDescent="0.3">
      <c r="C388" s="134"/>
      <c r="D388" s="185"/>
      <c r="E388" s="163"/>
      <c r="F388" s="164"/>
      <c r="G388" s="165"/>
      <c r="H388" s="164"/>
      <c r="I388" s="166"/>
      <c r="J388" s="157"/>
      <c r="K388" s="157"/>
      <c r="L388" s="157"/>
      <c r="M388" s="166"/>
      <c r="N388" s="155"/>
      <c r="O388" s="71"/>
      <c r="P388" s="69"/>
      <c r="Q388" s="69"/>
      <c r="R388" s="69"/>
      <c r="S388" s="69"/>
      <c r="T388" s="69"/>
      <c r="U388" s="69"/>
      <c r="V388" s="69"/>
    </row>
    <row r="389" spans="3:22" s="133" customFormat="1" ht="21.95" customHeight="1" x14ac:dyDescent="0.3">
      <c r="C389" s="134"/>
      <c r="D389" s="185"/>
      <c r="E389" s="163"/>
      <c r="F389" s="164"/>
      <c r="G389" s="165"/>
      <c r="H389" s="164"/>
      <c r="I389" s="166"/>
      <c r="J389" s="157"/>
      <c r="K389" s="157"/>
      <c r="L389" s="157"/>
      <c r="M389" s="166"/>
      <c r="N389" s="155"/>
      <c r="O389" s="71"/>
      <c r="P389" s="69"/>
      <c r="Q389" s="69"/>
      <c r="R389" s="69"/>
      <c r="S389" s="69"/>
      <c r="T389" s="69"/>
      <c r="U389" s="69"/>
      <c r="V389" s="69"/>
    </row>
    <row r="390" spans="3:22" s="133" customFormat="1" ht="21.95" customHeight="1" x14ac:dyDescent="0.3">
      <c r="C390" s="134"/>
      <c r="D390" s="185"/>
      <c r="E390" s="163"/>
      <c r="F390" s="164"/>
      <c r="G390" s="165"/>
      <c r="H390" s="164"/>
      <c r="I390" s="166"/>
      <c r="J390" s="157"/>
      <c r="K390" s="157"/>
      <c r="L390" s="157"/>
      <c r="M390" s="166"/>
      <c r="N390" s="155"/>
      <c r="O390" s="71"/>
      <c r="P390" s="69"/>
      <c r="Q390" s="69"/>
      <c r="R390" s="69"/>
      <c r="S390" s="69"/>
      <c r="T390" s="69"/>
      <c r="U390" s="69"/>
      <c r="V390" s="69"/>
    </row>
    <row r="391" spans="3:22" s="133" customFormat="1" ht="21.95" customHeight="1" x14ac:dyDescent="0.3">
      <c r="C391" s="134"/>
      <c r="D391" s="185"/>
      <c r="E391" s="163"/>
      <c r="F391" s="164"/>
      <c r="G391" s="165"/>
      <c r="H391" s="164"/>
      <c r="I391" s="166"/>
      <c r="J391" s="157"/>
      <c r="K391" s="157"/>
      <c r="L391" s="157"/>
      <c r="M391" s="166"/>
      <c r="N391" s="155"/>
      <c r="O391" s="71"/>
      <c r="P391" s="69"/>
      <c r="Q391" s="69"/>
      <c r="R391" s="69"/>
      <c r="S391" s="69"/>
      <c r="T391" s="69"/>
      <c r="U391" s="69"/>
      <c r="V391" s="69"/>
    </row>
    <row r="392" spans="3:22" s="133" customFormat="1" ht="21.95" customHeight="1" x14ac:dyDescent="0.3">
      <c r="C392" s="134"/>
      <c r="D392" s="185"/>
      <c r="E392" s="163"/>
      <c r="F392" s="164"/>
      <c r="G392" s="165"/>
      <c r="H392" s="164"/>
      <c r="I392" s="166"/>
      <c r="J392" s="157"/>
      <c r="K392" s="157"/>
      <c r="L392" s="157"/>
      <c r="M392" s="166"/>
      <c r="N392" s="155"/>
      <c r="O392" s="71"/>
      <c r="P392" s="69"/>
      <c r="Q392" s="69"/>
      <c r="R392" s="69"/>
      <c r="S392" s="69"/>
      <c r="T392" s="69"/>
      <c r="U392" s="69"/>
      <c r="V392" s="69"/>
    </row>
    <row r="393" spans="3:22" s="133" customFormat="1" ht="21.95" customHeight="1" x14ac:dyDescent="0.3">
      <c r="C393" s="134"/>
      <c r="D393" s="185"/>
      <c r="E393" s="163"/>
      <c r="F393" s="164"/>
      <c r="G393" s="165"/>
      <c r="H393" s="164"/>
      <c r="I393" s="166"/>
      <c r="J393" s="157"/>
      <c r="K393" s="157"/>
      <c r="L393" s="157"/>
      <c r="M393" s="166"/>
      <c r="N393" s="155"/>
      <c r="O393" s="71"/>
      <c r="P393" s="69"/>
      <c r="Q393" s="69"/>
      <c r="R393" s="69"/>
      <c r="S393" s="69"/>
      <c r="T393" s="69"/>
      <c r="U393" s="69"/>
      <c r="V393" s="69"/>
    </row>
    <row r="394" spans="3:22" s="133" customFormat="1" ht="21.95" customHeight="1" x14ac:dyDescent="0.3">
      <c r="C394" s="134"/>
      <c r="D394" s="185"/>
      <c r="E394" s="163"/>
      <c r="F394" s="164"/>
      <c r="G394" s="165"/>
      <c r="H394" s="164"/>
      <c r="I394" s="166"/>
      <c r="J394" s="157"/>
      <c r="K394" s="157"/>
      <c r="L394" s="157"/>
      <c r="M394" s="166"/>
      <c r="N394" s="155"/>
      <c r="O394" s="71"/>
      <c r="P394" s="69"/>
      <c r="Q394" s="69"/>
      <c r="R394" s="69"/>
      <c r="S394" s="69"/>
      <c r="T394" s="69"/>
      <c r="U394" s="69"/>
      <c r="V394" s="69"/>
    </row>
    <row r="395" spans="3:22" s="133" customFormat="1" ht="21.95" customHeight="1" x14ac:dyDescent="0.3">
      <c r="C395" s="134"/>
      <c r="D395" s="185"/>
      <c r="E395" s="163"/>
      <c r="F395" s="164"/>
      <c r="G395" s="165"/>
      <c r="H395" s="164"/>
      <c r="I395" s="166"/>
      <c r="J395" s="157"/>
      <c r="K395" s="157"/>
      <c r="L395" s="157"/>
      <c r="M395" s="166"/>
      <c r="N395" s="155"/>
      <c r="O395" s="71"/>
      <c r="P395" s="69"/>
      <c r="Q395" s="69"/>
      <c r="R395" s="69"/>
      <c r="S395" s="69"/>
      <c r="T395" s="69"/>
      <c r="U395" s="69"/>
      <c r="V395" s="69"/>
    </row>
    <row r="396" spans="3:22" s="133" customFormat="1" ht="21.95" customHeight="1" x14ac:dyDescent="0.3">
      <c r="C396" s="134"/>
      <c r="D396" s="185"/>
      <c r="E396" s="163"/>
      <c r="F396" s="164"/>
      <c r="G396" s="165"/>
      <c r="H396" s="164"/>
      <c r="I396" s="166"/>
      <c r="J396" s="157"/>
      <c r="K396" s="157"/>
      <c r="L396" s="157"/>
      <c r="M396" s="166"/>
      <c r="N396" s="155"/>
      <c r="O396" s="71"/>
      <c r="P396" s="69"/>
      <c r="Q396" s="69"/>
      <c r="R396" s="69"/>
      <c r="S396" s="69"/>
      <c r="T396" s="69"/>
      <c r="U396" s="69"/>
      <c r="V396" s="69"/>
    </row>
    <row r="397" spans="3:22" s="133" customFormat="1" ht="21.95" customHeight="1" x14ac:dyDescent="0.3">
      <c r="C397" s="134"/>
      <c r="D397" s="185"/>
      <c r="E397" s="163"/>
      <c r="F397" s="164"/>
      <c r="G397" s="165"/>
      <c r="H397" s="164"/>
      <c r="I397" s="166"/>
      <c r="J397" s="157"/>
      <c r="K397" s="157"/>
      <c r="L397" s="157"/>
      <c r="M397" s="166"/>
      <c r="N397" s="155"/>
      <c r="O397" s="71"/>
      <c r="P397" s="69"/>
      <c r="Q397" s="69"/>
      <c r="R397" s="69"/>
      <c r="S397" s="69"/>
      <c r="T397" s="69"/>
      <c r="U397" s="69"/>
      <c r="V397" s="69"/>
    </row>
    <row r="398" spans="3:22" s="133" customFormat="1" ht="21.95" customHeight="1" x14ac:dyDescent="0.3">
      <c r="C398" s="134"/>
      <c r="D398" s="185"/>
      <c r="E398" s="163"/>
      <c r="F398" s="164"/>
      <c r="G398" s="165"/>
      <c r="H398" s="164"/>
      <c r="I398" s="166"/>
      <c r="J398" s="157"/>
      <c r="K398" s="157"/>
      <c r="L398" s="157"/>
      <c r="M398" s="166"/>
      <c r="N398" s="155"/>
      <c r="O398" s="71"/>
      <c r="P398" s="69"/>
      <c r="Q398" s="69"/>
      <c r="R398" s="69"/>
      <c r="S398" s="69"/>
      <c r="T398" s="69"/>
      <c r="U398" s="69"/>
      <c r="V398" s="69"/>
    </row>
    <row r="399" spans="3:22" s="133" customFormat="1" ht="21.95" customHeight="1" x14ac:dyDescent="0.3">
      <c r="C399" s="134"/>
      <c r="D399" s="185"/>
      <c r="E399" s="163"/>
      <c r="F399" s="164"/>
      <c r="G399" s="165"/>
      <c r="H399" s="164"/>
      <c r="I399" s="166"/>
      <c r="J399" s="157"/>
      <c r="K399" s="157"/>
      <c r="L399" s="157"/>
      <c r="M399" s="166"/>
      <c r="N399" s="155"/>
      <c r="O399" s="71"/>
      <c r="P399" s="69"/>
      <c r="Q399" s="69"/>
      <c r="R399" s="69"/>
      <c r="S399" s="69"/>
      <c r="T399" s="69"/>
      <c r="U399" s="69"/>
      <c r="V399" s="69"/>
    </row>
    <row r="400" spans="3:22" s="133" customFormat="1" ht="21.95" customHeight="1" x14ac:dyDescent="0.3">
      <c r="C400" s="134"/>
      <c r="D400" s="185"/>
      <c r="E400" s="163"/>
      <c r="F400" s="164"/>
      <c r="G400" s="165"/>
      <c r="H400" s="164"/>
      <c r="I400" s="166"/>
      <c r="J400" s="157"/>
      <c r="K400" s="157"/>
      <c r="L400" s="157"/>
      <c r="M400" s="166"/>
      <c r="N400" s="155"/>
      <c r="O400" s="71"/>
      <c r="P400" s="69"/>
      <c r="Q400" s="69"/>
      <c r="R400" s="69"/>
      <c r="S400" s="69"/>
      <c r="T400" s="69"/>
      <c r="U400" s="69"/>
      <c r="V400" s="69"/>
    </row>
    <row r="401" spans="3:22" s="133" customFormat="1" ht="21.95" customHeight="1" x14ac:dyDescent="0.3">
      <c r="C401" s="134"/>
      <c r="D401" s="185"/>
      <c r="E401" s="163"/>
      <c r="F401" s="164"/>
      <c r="G401" s="165"/>
      <c r="H401" s="164"/>
      <c r="I401" s="166"/>
      <c r="J401" s="157"/>
      <c r="K401" s="157"/>
      <c r="L401" s="157"/>
      <c r="M401" s="166"/>
      <c r="N401" s="155"/>
      <c r="O401" s="71"/>
      <c r="P401" s="69"/>
      <c r="Q401" s="69"/>
      <c r="R401" s="69"/>
      <c r="S401" s="69"/>
      <c r="T401" s="69"/>
      <c r="U401" s="69"/>
      <c r="V401" s="69"/>
    </row>
    <row r="402" spans="3:22" s="133" customFormat="1" ht="21.95" customHeight="1" x14ac:dyDescent="0.3">
      <c r="C402" s="134"/>
      <c r="D402" s="185"/>
      <c r="E402" s="163"/>
      <c r="F402" s="164"/>
      <c r="G402" s="165"/>
      <c r="H402" s="164"/>
      <c r="I402" s="166"/>
      <c r="J402" s="157"/>
      <c r="K402" s="157"/>
      <c r="L402" s="157"/>
      <c r="M402" s="166"/>
      <c r="N402" s="155"/>
      <c r="O402" s="71"/>
      <c r="P402" s="69"/>
      <c r="Q402" s="69"/>
      <c r="R402" s="69"/>
      <c r="S402" s="69"/>
      <c r="T402" s="69"/>
      <c r="U402" s="69"/>
      <c r="V402" s="69"/>
    </row>
    <row r="403" spans="3:22" s="133" customFormat="1" ht="21.95" customHeight="1" x14ac:dyDescent="0.3">
      <c r="C403" s="134"/>
      <c r="D403" s="185"/>
      <c r="E403" s="163"/>
      <c r="F403" s="164"/>
      <c r="G403" s="165"/>
      <c r="H403" s="164"/>
      <c r="I403" s="166"/>
      <c r="J403" s="157"/>
      <c r="K403" s="157"/>
      <c r="L403" s="157"/>
      <c r="M403" s="166"/>
      <c r="N403" s="155"/>
      <c r="O403" s="71"/>
      <c r="P403" s="69"/>
      <c r="Q403" s="69"/>
      <c r="R403" s="69"/>
      <c r="S403" s="69"/>
      <c r="T403" s="69"/>
      <c r="U403" s="69"/>
      <c r="V403" s="69"/>
    </row>
    <row r="404" spans="3:22" s="133" customFormat="1" ht="21.95" customHeight="1" x14ac:dyDescent="0.3">
      <c r="C404" s="134"/>
      <c r="D404" s="185"/>
      <c r="E404" s="163"/>
      <c r="F404" s="164"/>
      <c r="G404" s="165"/>
      <c r="H404" s="164"/>
      <c r="I404" s="166"/>
      <c r="J404" s="157"/>
      <c r="K404" s="157"/>
      <c r="L404" s="157"/>
      <c r="M404" s="166"/>
      <c r="N404" s="155"/>
      <c r="O404" s="71"/>
      <c r="P404" s="69"/>
      <c r="Q404" s="69"/>
      <c r="R404" s="69"/>
      <c r="S404" s="69"/>
      <c r="T404" s="69"/>
      <c r="U404" s="69"/>
      <c r="V404" s="69"/>
    </row>
    <row r="405" spans="3:22" s="133" customFormat="1" ht="21.95" customHeight="1" x14ac:dyDescent="0.3">
      <c r="C405" s="134"/>
      <c r="D405" s="185"/>
      <c r="E405" s="163"/>
      <c r="F405" s="164"/>
      <c r="G405" s="165"/>
      <c r="H405" s="164"/>
      <c r="I405" s="166"/>
      <c r="J405" s="157"/>
      <c r="K405" s="157"/>
      <c r="L405" s="157"/>
      <c r="M405" s="166"/>
      <c r="N405" s="155"/>
      <c r="O405" s="71"/>
      <c r="P405" s="69"/>
      <c r="Q405" s="69"/>
      <c r="R405" s="69"/>
      <c r="S405" s="69"/>
      <c r="T405" s="69"/>
      <c r="U405" s="69"/>
      <c r="V405" s="69"/>
    </row>
    <row r="406" spans="3:22" s="133" customFormat="1" ht="21.95" customHeight="1" x14ac:dyDescent="0.3">
      <c r="C406" s="134"/>
      <c r="D406" s="185"/>
      <c r="E406" s="163"/>
      <c r="F406" s="164"/>
      <c r="G406" s="165"/>
      <c r="H406" s="164"/>
      <c r="I406" s="166"/>
      <c r="J406" s="157"/>
      <c r="K406" s="157"/>
      <c r="L406" s="157"/>
      <c r="M406" s="166"/>
      <c r="N406" s="155"/>
      <c r="O406" s="71"/>
      <c r="P406" s="69"/>
      <c r="Q406" s="69"/>
      <c r="R406" s="69"/>
      <c r="S406" s="69"/>
      <c r="T406" s="69"/>
      <c r="U406" s="69"/>
      <c r="V406" s="69"/>
    </row>
    <row r="407" spans="3:22" s="133" customFormat="1" ht="21.95" customHeight="1" x14ac:dyDescent="0.3">
      <c r="C407" s="134"/>
      <c r="D407" s="185"/>
      <c r="E407" s="163"/>
      <c r="F407" s="164"/>
      <c r="G407" s="165"/>
      <c r="H407" s="164"/>
      <c r="I407" s="166"/>
      <c r="J407" s="157"/>
      <c r="K407" s="157"/>
      <c r="L407" s="157"/>
      <c r="M407" s="166"/>
      <c r="N407" s="155"/>
      <c r="O407" s="71"/>
      <c r="P407" s="69"/>
      <c r="Q407" s="69"/>
      <c r="R407" s="69"/>
      <c r="S407" s="69"/>
      <c r="T407" s="69"/>
      <c r="U407" s="69"/>
      <c r="V407" s="69"/>
    </row>
    <row r="408" spans="3:22" s="133" customFormat="1" ht="21.95" customHeight="1" x14ac:dyDescent="0.3">
      <c r="C408" s="134"/>
      <c r="D408" s="185"/>
      <c r="E408" s="163"/>
      <c r="F408" s="164"/>
      <c r="G408" s="165"/>
      <c r="H408" s="164"/>
      <c r="I408" s="166"/>
      <c r="J408" s="157"/>
      <c r="K408" s="157"/>
      <c r="L408" s="157"/>
      <c r="M408" s="166"/>
      <c r="N408" s="155"/>
      <c r="O408" s="71"/>
      <c r="P408" s="69"/>
      <c r="Q408" s="69"/>
      <c r="R408" s="69"/>
      <c r="S408" s="69"/>
      <c r="T408" s="69"/>
      <c r="U408" s="69"/>
      <c r="V408" s="69"/>
    </row>
    <row r="409" spans="3:22" s="133" customFormat="1" ht="21.95" customHeight="1" x14ac:dyDescent="0.3">
      <c r="C409" s="134"/>
      <c r="D409" s="185"/>
      <c r="E409" s="163"/>
      <c r="F409" s="164"/>
      <c r="G409" s="165"/>
      <c r="H409" s="164"/>
      <c r="I409" s="166"/>
      <c r="J409" s="157"/>
      <c r="K409" s="157"/>
      <c r="L409" s="157"/>
      <c r="M409" s="166"/>
      <c r="N409" s="155"/>
      <c r="O409" s="71"/>
      <c r="P409" s="69"/>
      <c r="Q409" s="69"/>
      <c r="R409" s="69"/>
      <c r="S409" s="69"/>
      <c r="T409" s="69"/>
      <c r="U409" s="69"/>
      <c r="V409" s="69"/>
    </row>
    <row r="410" spans="3:22" s="133" customFormat="1" ht="21.95" customHeight="1" x14ac:dyDescent="0.3">
      <c r="C410" s="134"/>
      <c r="D410" s="185"/>
      <c r="E410" s="163"/>
      <c r="F410" s="164"/>
      <c r="G410" s="165"/>
      <c r="H410" s="164"/>
      <c r="I410" s="166"/>
      <c r="J410" s="157"/>
      <c r="K410" s="157"/>
      <c r="L410" s="157"/>
      <c r="M410" s="166"/>
      <c r="N410" s="155"/>
      <c r="O410" s="71"/>
      <c r="P410" s="69"/>
      <c r="Q410" s="69"/>
      <c r="R410" s="69"/>
      <c r="S410" s="69"/>
      <c r="T410" s="69"/>
      <c r="U410" s="69"/>
      <c r="V410" s="69"/>
    </row>
    <row r="411" spans="3:22" s="133" customFormat="1" ht="21.95" customHeight="1" x14ac:dyDescent="0.3">
      <c r="C411" s="134"/>
      <c r="D411" s="185"/>
      <c r="E411" s="163"/>
      <c r="F411" s="164"/>
      <c r="G411" s="165"/>
      <c r="H411" s="164"/>
      <c r="I411" s="166"/>
      <c r="J411" s="157"/>
      <c r="K411" s="157"/>
      <c r="L411" s="157"/>
      <c r="M411" s="166"/>
      <c r="N411" s="155"/>
      <c r="O411" s="71"/>
      <c r="P411" s="69"/>
      <c r="Q411" s="69"/>
      <c r="R411" s="69"/>
      <c r="S411" s="69"/>
      <c r="T411" s="69"/>
      <c r="U411" s="69"/>
      <c r="V411" s="69"/>
    </row>
    <row r="412" spans="3:22" s="133" customFormat="1" ht="21.95" customHeight="1" x14ac:dyDescent="0.3">
      <c r="C412" s="134"/>
      <c r="D412" s="185"/>
      <c r="E412" s="163"/>
      <c r="F412" s="164"/>
      <c r="G412" s="165"/>
      <c r="H412" s="164"/>
      <c r="I412" s="166"/>
      <c r="J412" s="157"/>
      <c r="K412" s="157"/>
      <c r="L412" s="157"/>
      <c r="M412" s="166"/>
      <c r="N412" s="155"/>
      <c r="O412" s="71"/>
      <c r="P412" s="69"/>
      <c r="Q412" s="69"/>
      <c r="R412" s="69"/>
      <c r="S412" s="69"/>
      <c r="T412" s="69"/>
      <c r="U412" s="69"/>
      <c r="V412" s="69"/>
    </row>
    <row r="413" spans="3:22" s="133" customFormat="1" ht="21.95" customHeight="1" x14ac:dyDescent="0.3">
      <c r="C413" s="134"/>
      <c r="D413" s="185"/>
      <c r="E413" s="163"/>
      <c r="F413" s="164"/>
      <c r="G413" s="165"/>
      <c r="H413" s="164"/>
      <c r="I413" s="166"/>
      <c r="J413" s="157"/>
      <c r="K413" s="157"/>
      <c r="L413" s="157"/>
      <c r="M413" s="166"/>
      <c r="N413" s="155"/>
      <c r="O413" s="71"/>
      <c r="P413" s="69"/>
      <c r="Q413" s="69"/>
      <c r="R413" s="69"/>
      <c r="S413" s="69"/>
      <c r="T413" s="69"/>
      <c r="U413" s="69"/>
      <c r="V413" s="69"/>
    </row>
    <row r="414" spans="3:22" s="133" customFormat="1" ht="21.95" customHeight="1" x14ac:dyDescent="0.3">
      <c r="C414" s="134"/>
      <c r="D414" s="185"/>
      <c r="E414" s="163"/>
      <c r="F414" s="164"/>
      <c r="G414" s="165"/>
      <c r="H414" s="164"/>
      <c r="I414" s="166"/>
      <c r="J414" s="157"/>
      <c r="K414" s="157"/>
      <c r="L414" s="157"/>
      <c r="M414" s="166"/>
      <c r="N414" s="155"/>
      <c r="O414" s="71"/>
      <c r="P414" s="69"/>
      <c r="Q414" s="69"/>
      <c r="R414" s="69"/>
      <c r="S414" s="69"/>
      <c r="T414" s="69"/>
      <c r="U414" s="69"/>
      <c r="V414" s="69"/>
    </row>
    <row r="415" spans="3:22" s="133" customFormat="1" ht="21.95" customHeight="1" x14ac:dyDescent="0.3">
      <c r="C415" s="134"/>
      <c r="D415" s="185"/>
      <c r="E415" s="163"/>
      <c r="F415" s="164"/>
      <c r="G415" s="165"/>
      <c r="H415" s="164"/>
      <c r="I415" s="166"/>
      <c r="J415" s="157"/>
      <c r="K415" s="157"/>
      <c r="L415" s="157"/>
      <c r="M415" s="166"/>
      <c r="N415" s="155"/>
      <c r="O415" s="71"/>
      <c r="P415" s="69"/>
      <c r="Q415" s="69"/>
      <c r="R415" s="69"/>
      <c r="S415" s="69"/>
      <c r="T415" s="69"/>
      <c r="U415" s="69"/>
      <c r="V415" s="69"/>
    </row>
    <row r="416" spans="3:22" s="133" customFormat="1" ht="21.95" customHeight="1" x14ac:dyDescent="0.3">
      <c r="C416" s="134"/>
      <c r="D416" s="185"/>
      <c r="E416" s="163"/>
      <c r="F416" s="164"/>
      <c r="G416" s="165"/>
      <c r="H416" s="164"/>
      <c r="I416" s="166"/>
      <c r="J416" s="157"/>
      <c r="K416" s="157"/>
      <c r="L416" s="157"/>
      <c r="M416" s="166"/>
      <c r="N416" s="155"/>
      <c r="O416" s="71"/>
      <c r="P416" s="69"/>
      <c r="Q416" s="69"/>
      <c r="R416" s="69"/>
      <c r="S416" s="69"/>
      <c r="T416" s="69"/>
      <c r="U416" s="69"/>
      <c r="V416" s="69"/>
    </row>
    <row r="417" spans="3:22" s="133" customFormat="1" ht="21.95" customHeight="1" x14ac:dyDescent="0.3">
      <c r="C417" s="134"/>
      <c r="D417" s="185"/>
      <c r="E417" s="163"/>
      <c r="F417" s="164"/>
      <c r="G417" s="165"/>
      <c r="H417" s="164"/>
      <c r="I417" s="166"/>
      <c r="J417" s="157"/>
      <c r="K417" s="157"/>
      <c r="L417" s="157"/>
      <c r="M417" s="166"/>
      <c r="N417" s="155"/>
      <c r="O417" s="71"/>
      <c r="P417" s="69"/>
      <c r="Q417" s="69"/>
      <c r="R417" s="69"/>
      <c r="S417" s="69"/>
      <c r="T417" s="69"/>
      <c r="U417" s="69"/>
      <c r="V417" s="69"/>
    </row>
    <row r="418" spans="3:22" s="133" customFormat="1" ht="21.95" customHeight="1" x14ac:dyDescent="0.3">
      <c r="C418" s="134"/>
      <c r="D418" s="185"/>
      <c r="E418" s="163"/>
      <c r="F418" s="164"/>
      <c r="G418" s="165"/>
      <c r="H418" s="164"/>
      <c r="I418" s="166"/>
      <c r="J418" s="157"/>
      <c r="K418" s="157"/>
      <c r="L418" s="157"/>
      <c r="M418" s="166"/>
      <c r="N418" s="155"/>
      <c r="O418" s="71"/>
      <c r="P418" s="69"/>
      <c r="Q418" s="69"/>
      <c r="R418" s="69"/>
      <c r="S418" s="69"/>
      <c r="T418" s="69"/>
      <c r="U418" s="69"/>
      <c r="V418" s="69"/>
    </row>
    <row r="419" spans="3:22" s="133" customFormat="1" ht="21.95" customHeight="1" x14ac:dyDescent="0.3">
      <c r="C419" s="134"/>
      <c r="D419" s="185"/>
      <c r="E419" s="163"/>
      <c r="F419" s="164"/>
      <c r="G419" s="165"/>
      <c r="H419" s="164"/>
      <c r="I419" s="166"/>
      <c r="J419" s="157"/>
      <c r="K419" s="157"/>
      <c r="L419" s="157"/>
      <c r="M419" s="166"/>
      <c r="N419" s="155"/>
      <c r="O419" s="71"/>
      <c r="P419" s="69"/>
      <c r="Q419" s="69"/>
      <c r="R419" s="69"/>
      <c r="S419" s="69"/>
      <c r="T419" s="69"/>
      <c r="U419" s="69"/>
      <c r="V419" s="69"/>
    </row>
    <row r="420" spans="3:22" s="133" customFormat="1" ht="21.95" customHeight="1" x14ac:dyDescent="0.3">
      <c r="C420" s="134"/>
      <c r="D420" s="185"/>
      <c r="E420" s="163"/>
      <c r="F420" s="164"/>
      <c r="G420" s="165"/>
      <c r="H420" s="164"/>
      <c r="I420" s="166"/>
      <c r="J420" s="157"/>
      <c r="K420" s="157"/>
      <c r="L420" s="157"/>
      <c r="M420" s="166"/>
      <c r="N420" s="155"/>
      <c r="O420" s="71"/>
      <c r="P420" s="69"/>
      <c r="Q420" s="69"/>
      <c r="R420" s="69"/>
      <c r="S420" s="69"/>
      <c r="T420" s="69"/>
      <c r="U420" s="69"/>
      <c r="V420" s="69"/>
    </row>
    <row r="421" spans="3:22" s="133" customFormat="1" ht="21.95" customHeight="1" x14ac:dyDescent="0.3">
      <c r="C421" s="134"/>
      <c r="D421" s="185"/>
      <c r="E421" s="163"/>
      <c r="F421" s="164"/>
      <c r="G421" s="165"/>
      <c r="H421" s="164"/>
      <c r="I421" s="166"/>
      <c r="J421" s="157"/>
      <c r="K421" s="157"/>
      <c r="L421" s="157"/>
      <c r="M421" s="166"/>
      <c r="N421" s="155"/>
      <c r="O421" s="71"/>
      <c r="P421" s="69"/>
      <c r="Q421" s="69"/>
      <c r="R421" s="69"/>
      <c r="S421" s="69"/>
      <c r="T421" s="69"/>
      <c r="U421" s="69"/>
      <c r="V421" s="69"/>
    </row>
    <row r="422" spans="3:22" s="133" customFormat="1" ht="21.95" customHeight="1" x14ac:dyDescent="0.3">
      <c r="C422" s="134"/>
      <c r="D422" s="185"/>
      <c r="E422" s="163"/>
      <c r="F422" s="164"/>
      <c r="G422" s="165"/>
      <c r="H422" s="164"/>
      <c r="I422" s="166"/>
      <c r="J422" s="157"/>
      <c r="K422" s="157"/>
      <c r="L422" s="157"/>
      <c r="M422" s="166"/>
      <c r="N422" s="155"/>
      <c r="O422" s="71"/>
      <c r="P422" s="69"/>
      <c r="Q422" s="69"/>
      <c r="R422" s="69"/>
      <c r="S422" s="69"/>
      <c r="T422" s="69"/>
      <c r="U422" s="69"/>
      <c r="V422" s="69"/>
    </row>
    <row r="423" spans="3:22" s="133" customFormat="1" ht="21.95" customHeight="1" x14ac:dyDescent="0.3">
      <c r="C423" s="134"/>
      <c r="D423" s="185"/>
      <c r="E423" s="163"/>
      <c r="F423" s="164"/>
      <c r="G423" s="165"/>
      <c r="H423" s="164"/>
      <c r="I423" s="166"/>
      <c r="J423" s="157"/>
      <c r="K423" s="157"/>
      <c r="L423" s="157"/>
      <c r="M423" s="166"/>
      <c r="N423" s="155"/>
      <c r="O423" s="71"/>
      <c r="P423" s="69"/>
      <c r="Q423" s="69"/>
      <c r="R423" s="69"/>
      <c r="S423" s="69"/>
      <c r="T423" s="69"/>
      <c r="U423" s="69"/>
      <c r="V423" s="69"/>
    </row>
    <row r="424" spans="3:22" s="133" customFormat="1" ht="21.95" customHeight="1" x14ac:dyDescent="0.3">
      <c r="C424" s="134"/>
      <c r="D424" s="185"/>
      <c r="E424" s="163"/>
      <c r="F424" s="164"/>
      <c r="G424" s="165"/>
      <c r="H424" s="164"/>
      <c r="I424" s="166"/>
      <c r="J424" s="157"/>
      <c r="K424" s="157"/>
      <c r="L424" s="157"/>
      <c r="M424" s="166"/>
      <c r="N424" s="155"/>
      <c r="O424" s="71"/>
      <c r="P424" s="69"/>
      <c r="Q424" s="69"/>
      <c r="R424" s="69"/>
      <c r="S424" s="69"/>
      <c r="T424" s="69"/>
      <c r="U424" s="69"/>
      <c r="V424" s="69"/>
    </row>
    <row r="425" spans="3:22" s="133" customFormat="1" ht="21.95" customHeight="1" x14ac:dyDescent="0.3">
      <c r="C425" s="134"/>
      <c r="D425" s="185"/>
      <c r="E425" s="163"/>
      <c r="F425" s="164"/>
      <c r="G425" s="165"/>
      <c r="H425" s="164"/>
      <c r="I425" s="166"/>
      <c r="J425" s="157"/>
      <c r="K425" s="157"/>
      <c r="L425" s="157"/>
      <c r="M425" s="166"/>
      <c r="N425" s="155"/>
      <c r="O425" s="71"/>
      <c r="P425" s="69"/>
      <c r="Q425" s="69"/>
      <c r="R425" s="69"/>
      <c r="S425" s="69"/>
      <c r="T425" s="69"/>
      <c r="U425" s="69"/>
      <c r="V425" s="69"/>
    </row>
    <row r="426" spans="3:22" s="133" customFormat="1" ht="21.95" customHeight="1" x14ac:dyDescent="0.3">
      <c r="C426" s="134"/>
      <c r="D426" s="185"/>
      <c r="E426" s="163"/>
      <c r="F426" s="164"/>
      <c r="G426" s="165"/>
      <c r="H426" s="164"/>
      <c r="I426" s="166"/>
      <c r="J426" s="157"/>
      <c r="K426" s="157"/>
      <c r="L426" s="157"/>
      <c r="M426" s="166"/>
      <c r="N426" s="155"/>
      <c r="O426" s="71"/>
      <c r="P426" s="69"/>
      <c r="Q426" s="69"/>
      <c r="R426" s="69"/>
      <c r="S426" s="69"/>
      <c r="T426" s="69"/>
      <c r="U426" s="69"/>
      <c r="V426" s="69"/>
    </row>
    <row r="427" spans="3:22" s="133" customFormat="1" ht="21.95" customHeight="1" x14ac:dyDescent="0.3">
      <c r="C427" s="134"/>
      <c r="D427" s="185"/>
      <c r="E427" s="163"/>
      <c r="F427" s="164"/>
      <c r="G427" s="165"/>
      <c r="H427" s="164"/>
      <c r="I427" s="166"/>
      <c r="J427" s="157"/>
      <c r="K427" s="157"/>
      <c r="L427" s="157"/>
      <c r="M427" s="166"/>
      <c r="N427" s="155"/>
      <c r="O427" s="71"/>
      <c r="P427" s="69"/>
      <c r="Q427" s="69"/>
      <c r="R427" s="69"/>
      <c r="S427" s="69"/>
      <c r="T427" s="69"/>
      <c r="U427" s="69"/>
      <c r="V427" s="69"/>
    </row>
    <row r="428" spans="3:22" s="133" customFormat="1" ht="21.95" customHeight="1" x14ac:dyDescent="0.3">
      <c r="C428" s="134"/>
      <c r="D428" s="185"/>
      <c r="E428" s="163"/>
      <c r="F428" s="164"/>
      <c r="G428" s="165"/>
      <c r="H428" s="164"/>
      <c r="I428" s="166"/>
      <c r="J428" s="157"/>
      <c r="K428" s="157"/>
      <c r="L428" s="157"/>
      <c r="M428" s="166"/>
      <c r="N428" s="155"/>
      <c r="O428" s="71"/>
      <c r="P428" s="69"/>
      <c r="Q428" s="69"/>
      <c r="R428" s="69"/>
      <c r="S428" s="69"/>
      <c r="T428" s="69"/>
      <c r="U428" s="69"/>
      <c r="V428" s="69"/>
    </row>
    <row r="429" spans="3:22" s="133" customFormat="1" ht="21.95" customHeight="1" x14ac:dyDescent="0.3">
      <c r="C429" s="134"/>
      <c r="D429" s="185"/>
      <c r="E429" s="163"/>
      <c r="F429" s="164"/>
      <c r="G429" s="165"/>
      <c r="H429" s="164"/>
      <c r="I429" s="166"/>
      <c r="J429" s="157"/>
      <c r="K429" s="157"/>
      <c r="L429" s="157"/>
      <c r="M429" s="166"/>
      <c r="N429" s="155"/>
      <c r="O429" s="71"/>
      <c r="P429" s="69"/>
      <c r="Q429" s="69"/>
      <c r="R429" s="69"/>
      <c r="S429" s="69"/>
      <c r="T429" s="69"/>
      <c r="U429" s="69"/>
      <c r="V429" s="69"/>
    </row>
    <row r="430" spans="3:22" s="133" customFormat="1" ht="21.95" customHeight="1" x14ac:dyDescent="0.3">
      <c r="C430" s="134"/>
      <c r="D430" s="185"/>
      <c r="E430" s="163"/>
      <c r="F430" s="164"/>
      <c r="G430" s="165"/>
      <c r="H430" s="164"/>
      <c r="I430" s="166"/>
      <c r="J430" s="157"/>
      <c r="K430" s="157"/>
      <c r="L430" s="157"/>
      <c r="M430" s="166"/>
      <c r="N430" s="155"/>
      <c r="O430" s="71"/>
      <c r="P430" s="69"/>
      <c r="Q430" s="69"/>
      <c r="R430" s="69"/>
      <c r="S430" s="69"/>
      <c r="T430" s="69"/>
      <c r="U430" s="69"/>
      <c r="V430" s="69"/>
    </row>
    <row r="431" spans="3:22" s="133" customFormat="1" ht="21.95" customHeight="1" x14ac:dyDescent="0.3">
      <c r="C431" s="134"/>
      <c r="D431" s="185"/>
      <c r="E431" s="163"/>
      <c r="F431" s="164"/>
      <c r="G431" s="165"/>
      <c r="H431" s="164"/>
      <c r="I431" s="166"/>
      <c r="J431" s="157"/>
      <c r="K431" s="157"/>
      <c r="L431" s="157"/>
      <c r="M431" s="166"/>
      <c r="N431" s="155"/>
      <c r="O431" s="71"/>
      <c r="P431" s="69"/>
      <c r="Q431" s="69"/>
      <c r="R431" s="69"/>
      <c r="S431" s="69"/>
      <c r="T431" s="69"/>
      <c r="U431" s="69"/>
      <c r="V431" s="69"/>
    </row>
    <row r="432" spans="3:22" s="133" customFormat="1" ht="21.95" customHeight="1" x14ac:dyDescent="0.3">
      <c r="C432" s="134"/>
      <c r="D432" s="185"/>
      <c r="E432" s="163"/>
      <c r="F432" s="164"/>
      <c r="G432" s="165"/>
      <c r="H432" s="164"/>
      <c r="I432" s="166"/>
      <c r="J432" s="157"/>
      <c r="K432" s="157"/>
      <c r="L432" s="157"/>
      <c r="M432" s="166"/>
      <c r="N432" s="155"/>
      <c r="O432" s="71"/>
      <c r="P432" s="69"/>
      <c r="Q432" s="69"/>
      <c r="R432" s="69"/>
      <c r="S432" s="69"/>
      <c r="T432" s="69"/>
      <c r="U432" s="69"/>
      <c r="V432" s="69"/>
    </row>
    <row r="433" spans="3:22" s="133" customFormat="1" ht="21.95" customHeight="1" x14ac:dyDescent="0.3">
      <c r="C433" s="134"/>
      <c r="D433" s="185"/>
      <c r="E433" s="163"/>
      <c r="F433" s="164"/>
      <c r="G433" s="165"/>
      <c r="H433" s="164"/>
      <c r="I433" s="166"/>
      <c r="J433" s="157"/>
      <c r="K433" s="157"/>
      <c r="L433" s="157"/>
      <c r="M433" s="166"/>
      <c r="N433" s="155"/>
      <c r="O433" s="71"/>
      <c r="P433" s="69"/>
      <c r="Q433" s="69"/>
      <c r="R433" s="69"/>
      <c r="S433" s="69"/>
      <c r="T433" s="69"/>
      <c r="U433" s="69"/>
      <c r="V433" s="69"/>
    </row>
    <row r="434" spans="3:22" s="133" customFormat="1" ht="21.95" customHeight="1" x14ac:dyDescent="0.3">
      <c r="C434" s="134"/>
      <c r="D434" s="185"/>
      <c r="E434" s="163"/>
      <c r="F434" s="164"/>
      <c r="G434" s="165"/>
      <c r="H434" s="164"/>
      <c r="I434" s="166"/>
      <c r="J434" s="157"/>
      <c r="K434" s="157"/>
      <c r="L434" s="157"/>
      <c r="M434" s="166"/>
      <c r="N434" s="155"/>
      <c r="O434" s="71"/>
      <c r="P434" s="69"/>
      <c r="Q434" s="69"/>
      <c r="R434" s="69"/>
      <c r="S434" s="69"/>
      <c r="T434" s="69"/>
      <c r="U434" s="69"/>
      <c r="V434" s="69"/>
    </row>
    <row r="435" spans="3:22" s="133" customFormat="1" ht="21.95" customHeight="1" x14ac:dyDescent="0.3">
      <c r="C435" s="134"/>
      <c r="D435" s="185"/>
      <c r="E435" s="163"/>
      <c r="F435" s="164"/>
      <c r="G435" s="165"/>
      <c r="H435" s="164"/>
      <c r="I435" s="166"/>
      <c r="J435" s="157"/>
      <c r="K435" s="157"/>
      <c r="L435" s="157"/>
      <c r="M435" s="166"/>
      <c r="N435" s="155"/>
      <c r="O435" s="71"/>
      <c r="P435" s="69"/>
      <c r="Q435" s="69"/>
      <c r="R435" s="69"/>
      <c r="S435" s="69"/>
      <c r="T435" s="69"/>
      <c r="U435" s="69"/>
      <c r="V435" s="69"/>
    </row>
    <row r="436" spans="3:22" s="133" customFormat="1" ht="21.95" customHeight="1" x14ac:dyDescent="0.3">
      <c r="C436" s="134"/>
      <c r="D436" s="185"/>
      <c r="E436" s="163"/>
      <c r="F436" s="164"/>
      <c r="G436" s="165"/>
      <c r="H436" s="164"/>
      <c r="I436" s="166"/>
      <c r="J436" s="157"/>
      <c r="K436" s="157"/>
      <c r="L436" s="157"/>
      <c r="M436" s="166"/>
      <c r="N436" s="155"/>
      <c r="O436" s="71"/>
      <c r="P436" s="69"/>
      <c r="Q436" s="69"/>
      <c r="R436" s="69"/>
      <c r="S436" s="69"/>
      <c r="T436" s="69"/>
      <c r="U436" s="69"/>
      <c r="V436" s="69"/>
    </row>
    <row r="437" spans="3:22" s="133" customFormat="1" ht="21.95" customHeight="1" x14ac:dyDescent="0.3">
      <c r="C437" s="134"/>
      <c r="D437" s="185"/>
      <c r="E437" s="163"/>
      <c r="F437" s="164"/>
      <c r="G437" s="165"/>
      <c r="H437" s="164"/>
      <c r="I437" s="166"/>
      <c r="J437" s="157"/>
      <c r="K437" s="157"/>
      <c r="L437" s="157"/>
      <c r="M437" s="166"/>
      <c r="N437" s="155"/>
      <c r="O437" s="71"/>
      <c r="P437" s="69"/>
      <c r="Q437" s="69"/>
      <c r="R437" s="69"/>
      <c r="S437" s="69"/>
      <c r="T437" s="69"/>
      <c r="U437" s="69"/>
      <c r="V437" s="69"/>
    </row>
    <row r="438" spans="3:22" s="133" customFormat="1" ht="21.95" customHeight="1" x14ac:dyDescent="0.3">
      <c r="C438" s="134"/>
      <c r="D438" s="185"/>
      <c r="E438" s="163"/>
      <c r="F438" s="164"/>
      <c r="G438" s="165"/>
      <c r="H438" s="164"/>
      <c r="I438" s="166"/>
      <c r="J438" s="157"/>
      <c r="K438" s="157"/>
      <c r="L438" s="157"/>
      <c r="M438" s="166"/>
      <c r="N438" s="155"/>
      <c r="O438" s="71"/>
      <c r="P438" s="69"/>
      <c r="Q438" s="69"/>
      <c r="R438" s="69"/>
      <c r="S438" s="69"/>
      <c r="T438" s="69"/>
      <c r="U438" s="69"/>
      <c r="V438" s="69"/>
    </row>
    <row r="439" spans="3:22" s="133" customFormat="1" ht="21.95" customHeight="1" x14ac:dyDescent="0.3">
      <c r="C439" s="134"/>
      <c r="D439" s="185"/>
      <c r="E439" s="163"/>
      <c r="F439" s="164"/>
      <c r="G439" s="165"/>
      <c r="H439" s="164"/>
      <c r="I439" s="166"/>
      <c r="J439" s="157"/>
      <c r="K439" s="157"/>
      <c r="L439" s="157"/>
      <c r="M439" s="166"/>
      <c r="N439" s="155"/>
      <c r="O439" s="71"/>
      <c r="P439" s="69"/>
      <c r="Q439" s="69"/>
      <c r="R439" s="69"/>
      <c r="S439" s="69"/>
      <c r="T439" s="69"/>
      <c r="U439" s="69"/>
      <c r="V439" s="69"/>
    </row>
    <row r="440" spans="3:22" s="133" customFormat="1" ht="21.95" customHeight="1" x14ac:dyDescent="0.3">
      <c r="C440" s="134"/>
      <c r="D440" s="185"/>
      <c r="E440" s="163"/>
      <c r="F440" s="164"/>
      <c r="G440" s="165"/>
      <c r="H440" s="164"/>
      <c r="I440" s="166"/>
      <c r="J440" s="157"/>
      <c r="K440" s="157"/>
      <c r="L440" s="157"/>
      <c r="M440" s="166"/>
      <c r="N440" s="155"/>
      <c r="O440" s="71"/>
      <c r="P440" s="69"/>
      <c r="Q440" s="69"/>
      <c r="R440" s="69"/>
      <c r="S440" s="69"/>
      <c r="T440" s="69"/>
      <c r="U440" s="69"/>
      <c r="V440" s="69"/>
    </row>
    <row r="441" spans="3:22" s="133" customFormat="1" ht="21.95" customHeight="1" x14ac:dyDescent="0.3">
      <c r="C441" s="134"/>
      <c r="D441" s="185"/>
      <c r="E441" s="163"/>
      <c r="F441" s="164"/>
      <c r="G441" s="165"/>
      <c r="H441" s="164"/>
      <c r="I441" s="166"/>
      <c r="J441" s="157"/>
      <c r="K441" s="157"/>
      <c r="L441" s="157"/>
      <c r="M441" s="166"/>
      <c r="N441" s="155"/>
      <c r="O441" s="71"/>
      <c r="P441" s="69"/>
      <c r="Q441" s="69"/>
      <c r="R441" s="69"/>
      <c r="S441" s="69"/>
      <c r="T441" s="69"/>
      <c r="U441" s="69"/>
      <c r="V441" s="69"/>
    </row>
    <row r="442" spans="3:22" s="133" customFormat="1" ht="21.95" customHeight="1" x14ac:dyDescent="0.3">
      <c r="C442" s="134"/>
      <c r="D442" s="185"/>
      <c r="E442" s="163"/>
      <c r="F442" s="164"/>
      <c r="G442" s="165"/>
      <c r="H442" s="164"/>
      <c r="I442" s="166"/>
      <c r="J442" s="157"/>
      <c r="K442" s="157"/>
      <c r="L442" s="157"/>
      <c r="M442" s="166"/>
      <c r="N442" s="155"/>
      <c r="O442" s="71"/>
      <c r="P442" s="69"/>
      <c r="Q442" s="69"/>
      <c r="R442" s="69"/>
      <c r="S442" s="69"/>
      <c r="T442" s="69"/>
      <c r="U442" s="69"/>
      <c r="V442" s="69"/>
    </row>
    <row r="443" spans="3:22" s="133" customFormat="1" ht="21.95" customHeight="1" x14ac:dyDescent="0.3">
      <c r="C443" s="134"/>
      <c r="D443" s="185"/>
      <c r="E443" s="163"/>
      <c r="F443" s="164"/>
      <c r="G443" s="165"/>
      <c r="H443" s="164"/>
      <c r="I443" s="166"/>
      <c r="J443" s="157"/>
      <c r="K443" s="157"/>
      <c r="L443" s="157"/>
      <c r="M443" s="166"/>
      <c r="N443" s="155"/>
      <c r="O443" s="71"/>
      <c r="P443" s="69"/>
      <c r="Q443" s="69"/>
      <c r="R443" s="69"/>
      <c r="S443" s="69"/>
      <c r="T443" s="69"/>
      <c r="U443" s="69"/>
      <c r="V443" s="69"/>
    </row>
    <row r="444" spans="3:22" s="133" customFormat="1" ht="21.95" customHeight="1" x14ac:dyDescent="0.3">
      <c r="C444" s="134"/>
      <c r="D444" s="185"/>
      <c r="E444" s="163"/>
      <c r="F444" s="164"/>
      <c r="G444" s="165"/>
      <c r="H444" s="164"/>
      <c r="I444" s="166"/>
      <c r="J444" s="157"/>
      <c r="K444" s="157"/>
      <c r="L444" s="157"/>
      <c r="M444" s="166"/>
      <c r="N444" s="155"/>
      <c r="O444" s="71"/>
      <c r="P444" s="69"/>
      <c r="Q444" s="69"/>
      <c r="R444" s="69"/>
      <c r="S444" s="69"/>
      <c r="T444" s="69"/>
      <c r="U444" s="69"/>
      <c r="V444" s="69"/>
    </row>
    <row r="445" spans="3:22" s="133" customFormat="1" ht="21.95" customHeight="1" x14ac:dyDescent="0.3">
      <c r="C445" s="134"/>
      <c r="D445" s="185"/>
      <c r="E445" s="163"/>
      <c r="F445" s="164"/>
      <c r="G445" s="165"/>
      <c r="H445" s="164"/>
      <c r="I445" s="166"/>
      <c r="J445" s="157"/>
      <c r="K445" s="157"/>
      <c r="L445" s="157"/>
      <c r="M445" s="166"/>
      <c r="N445" s="155"/>
      <c r="O445" s="71"/>
      <c r="P445" s="69"/>
      <c r="Q445" s="69"/>
      <c r="R445" s="69"/>
      <c r="S445" s="69"/>
      <c r="T445" s="69"/>
      <c r="U445" s="69"/>
      <c r="V445" s="69"/>
    </row>
    <row r="446" spans="3:22" s="133" customFormat="1" ht="21.95" customHeight="1" x14ac:dyDescent="0.3">
      <c r="C446" s="134"/>
      <c r="D446" s="185"/>
      <c r="E446" s="163"/>
      <c r="F446" s="164"/>
      <c r="G446" s="165"/>
      <c r="H446" s="164"/>
      <c r="I446" s="166"/>
      <c r="J446" s="157"/>
      <c r="K446" s="157"/>
      <c r="L446" s="157"/>
      <c r="M446" s="166"/>
      <c r="N446" s="155"/>
      <c r="O446" s="71"/>
      <c r="P446" s="69"/>
      <c r="Q446" s="69"/>
      <c r="R446" s="69"/>
      <c r="S446" s="69"/>
      <c r="T446" s="69"/>
      <c r="U446" s="69"/>
      <c r="V446" s="69"/>
    </row>
    <row r="447" spans="3:22" s="133" customFormat="1" ht="21.95" customHeight="1" x14ac:dyDescent="0.3">
      <c r="C447" s="134"/>
      <c r="D447" s="185"/>
      <c r="E447" s="163"/>
      <c r="F447" s="164"/>
      <c r="G447" s="165"/>
      <c r="H447" s="164"/>
      <c r="I447" s="166"/>
      <c r="J447" s="157"/>
      <c r="K447" s="157"/>
      <c r="L447" s="157"/>
      <c r="M447" s="166"/>
      <c r="N447" s="155"/>
      <c r="O447" s="71"/>
      <c r="P447" s="69"/>
      <c r="Q447" s="69"/>
      <c r="R447" s="69"/>
      <c r="S447" s="69"/>
      <c r="T447" s="69"/>
      <c r="U447" s="69"/>
      <c r="V447" s="69"/>
    </row>
    <row r="448" spans="3:22" s="133" customFormat="1" ht="21.95" customHeight="1" x14ac:dyDescent="0.3">
      <c r="C448" s="134"/>
      <c r="D448" s="185"/>
      <c r="E448" s="163"/>
      <c r="F448" s="164"/>
      <c r="G448" s="165"/>
      <c r="H448" s="164"/>
      <c r="I448" s="166"/>
      <c r="J448" s="157"/>
      <c r="K448" s="157"/>
      <c r="L448" s="157"/>
      <c r="M448" s="166"/>
      <c r="N448" s="155"/>
      <c r="O448" s="71"/>
      <c r="P448" s="69"/>
      <c r="Q448" s="69"/>
      <c r="R448" s="69"/>
      <c r="S448" s="69"/>
      <c r="T448" s="69"/>
      <c r="U448" s="69"/>
      <c r="V448" s="69"/>
    </row>
    <row r="449" spans="3:22" s="133" customFormat="1" ht="21.95" customHeight="1" x14ac:dyDescent="0.3">
      <c r="C449" s="134"/>
      <c r="D449" s="185"/>
      <c r="E449" s="163"/>
      <c r="F449" s="164"/>
      <c r="G449" s="165"/>
      <c r="H449" s="164"/>
      <c r="I449" s="166"/>
      <c r="J449" s="157"/>
      <c r="K449" s="157"/>
      <c r="L449" s="157"/>
      <c r="M449" s="166"/>
      <c r="N449" s="155"/>
      <c r="O449" s="71"/>
      <c r="P449" s="69"/>
      <c r="Q449" s="69"/>
      <c r="R449" s="69"/>
      <c r="S449" s="69"/>
      <c r="T449" s="69"/>
      <c r="U449" s="69"/>
      <c r="V449" s="69"/>
    </row>
    <row r="450" spans="3:22" s="133" customFormat="1" ht="21.95" customHeight="1" x14ac:dyDescent="0.3">
      <c r="C450" s="134"/>
      <c r="D450" s="185"/>
      <c r="E450" s="163"/>
      <c r="F450" s="164"/>
      <c r="G450" s="165"/>
      <c r="H450" s="164"/>
      <c r="I450" s="166"/>
      <c r="J450" s="157"/>
      <c r="K450" s="157"/>
      <c r="L450" s="157"/>
      <c r="M450" s="166"/>
      <c r="N450" s="155"/>
      <c r="O450" s="71"/>
      <c r="P450" s="69"/>
      <c r="Q450" s="69"/>
      <c r="R450" s="69"/>
      <c r="S450" s="69"/>
      <c r="T450" s="69"/>
      <c r="U450" s="69"/>
      <c r="V450" s="69"/>
    </row>
    <row r="451" spans="3:22" s="133" customFormat="1" ht="21.95" customHeight="1" x14ac:dyDescent="0.3">
      <c r="C451" s="134"/>
      <c r="D451" s="185"/>
      <c r="E451" s="163"/>
      <c r="F451" s="164"/>
      <c r="G451" s="165"/>
      <c r="H451" s="164"/>
      <c r="I451" s="166"/>
      <c r="J451" s="157"/>
      <c r="K451" s="157"/>
      <c r="L451" s="157"/>
      <c r="M451" s="166"/>
      <c r="N451" s="155"/>
      <c r="O451" s="71"/>
      <c r="P451" s="69"/>
      <c r="Q451" s="69"/>
      <c r="R451" s="69"/>
      <c r="S451" s="69"/>
      <c r="T451" s="69"/>
      <c r="U451" s="69"/>
      <c r="V451" s="69"/>
    </row>
    <row r="452" spans="3:22" s="133" customFormat="1" ht="21.95" customHeight="1" x14ac:dyDescent="0.3">
      <c r="C452" s="134"/>
      <c r="D452" s="185"/>
      <c r="E452" s="163"/>
      <c r="F452" s="164"/>
      <c r="G452" s="165"/>
      <c r="H452" s="164"/>
      <c r="I452" s="166"/>
      <c r="J452" s="157"/>
      <c r="K452" s="157"/>
      <c r="L452" s="157"/>
      <c r="M452" s="166"/>
      <c r="N452" s="155"/>
      <c r="O452" s="71"/>
      <c r="P452" s="69"/>
      <c r="Q452" s="69"/>
      <c r="R452" s="69"/>
      <c r="S452" s="69"/>
      <c r="T452" s="69"/>
      <c r="U452" s="69"/>
      <c r="V452" s="69"/>
    </row>
    <row r="453" spans="3:22" s="133" customFormat="1" ht="21.95" customHeight="1" x14ac:dyDescent="0.3">
      <c r="C453" s="134"/>
      <c r="D453" s="185"/>
      <c r="E453" s="163"/>
      <c r="F453" s="164"/>
      <c r="G453" s="165"/>
      <c r="H453" s="164"/>
      <c r="I453" s="166"/>
      <c r="J453" s="157"/>
      <c r="K453" s="157"/>
      <c r="L453" s="157"/>
      <c r="M453" s="166"/>
      <c r="N453" s="155"/>
      <c r="O453" s="71"/>
      <c r="P453" s="69"/>
      <c r="Q453" s="69"/>
      <c r="R453" s="69"/>
      <c r="S453" s="69"/>
      <c r="T453" s="69"/>
      <c r="U453" s="69"/>
      <c r="V453" s="69"/>
    </row>
    <row r="454" spans="3:22" s="133" customFormat="1" ht="21.95" customHeight="1" x14ac:dyDescent="0.3">
      <c r="C454" s="134"/>
      <c r="D454" s="185"/>
      <c r="E454" s="163"/>
      <c r="F454" s="164"/>
      <c r="G454" s="165"/>
      <c r="H454" s="164"/>
      <c r="I454" s="166"/>
      <c r="J454" s="157"/>
      <c r="K454" s="157"/>
      <c r="L454" s="157"/>
      <c r="M454" s="166"/>
      <c r="N454" s="155"/>
      <c r="O454" s="71"/>
      <c r="P454" s="69"/>
      <c r="Q454" s="69"/>
      <c r="R454" s="69"/>
      <c r="S454" s="69"/>
      <c r="T454" s="69"/>
      <c r="U454" s="69"/>
      <c r="V454" s="69"/>
    </row>
    <row r="455" spans="3:22" s="133" customFormat="1" ht="21.95" customHeight="1" x14ac:dyDescent="0.3">
      <c r="C455" s="134"/>
      <c r="D455" s="185"/>
      <c r="E455" s="163"/>
      <c r="F455" s="164"/>
      <c r="G455" s="165"/>
      <c r="H455" s="164"/>
      <c r="I455" s="166"/>
      <c r="J455" s="157"/>
      <c r="K455" s="157"/>
      <c r="L455" s="157"/>
      <c r="M455" s="166"/>
      <c r="N455" s="155"/>
      <c r="O455" s="71"/>
      <c r="P455" s="69"/>
      <c r="Q455" s="69"/>
      <c r="R455" s="69"/>
      <c r="S455" s="69"/>
      <c r="T455" s="69"/>
      <c r="U455" s="69"/>
      <c r="V455" s="69"/>
    </row>
    <row r="456" spans="3:22" s="133" customFormat="1" ht="21.95" customHeight="1" x14ac:dyDescent="0.3">
      <c r="C456" s="134"/>
      <c r="D456" s="185"/>
      <c r="E456" s="163"/>
      <c r="F456" s="164"/>
      <c r="G456" s="165"/>
      <c r="H456" s="164"/>
      <c r="I456" s="166"/>
      <c r="J456" s="157"/>
      <c r="K456" s="157"/>
      <c r="L456" s="157"/>
      <c r="M456" s="166"/>
      <c r="N456" s="155"/>
      <c r="O456" s="71"/>
      <c r="P456" s="69"/>
      <c r="Q456" s="69"/>
      <c r="R456" s="69"/>
      <c r="S456" s="69"/>
      <c r="T456" s="69"/>
      <c r="U456" s="69"/>
      <c r="V456" s="69"/>
    </row>
    <row r="457" spans="3:22" s="133" customFormat="1" ht="21.95" customHeight="1" x14ac:dyDescent="0.3">
      <c r="C457" s="134"/>
      <c r="D457" s="185"/>
      <c r="E457" s="163"/>
      <c r="F457" s="164"/>
      <c r="G457" s="165"/>
      <c r="H457" s="164"/>
      <c r="I457" s="166"/>
      <c r="J457" s="157"/>
      <c r="K457" s="157"/>
      <c r="L457" s="157"/>
      <c r="M457" s="166"/>
      <c r="N457" s="155"/>
      <c r="O457" s="71"/>
      <c r="P457" s="69"/>
      <c r="Q457" s="69"/>
      <c r="R457" s="69"/>
      <c r="S457" s="69"/>
      <c r="T457" s="69"/>
      <c r="U457" s="69"/>
      <c r="V457" s="69"/>
    </row>
    <row r="458" spans="3:22" s="133" customFormat="1" ht="21.95" customHeight="1" x14ac:dyDescent="0.3">
      <c r="C458" s="134"/>
      <c r="D458" s="185"/>
      <c r="E458" s="163"/>
      <c r="F458" s="164"/>
      <c r="G458" s="165"/>
      <c r="H458" s="164"/>
      <c r="I458" s="166"/>
      <c r="J458" s="157"/>
      <c r="K458" s="157"/>
      <c r="L458" s="157"/>
      <c r="M458" s="166"/>
      <c r="N458" s="155"/>
      <c r="O458" s="71"/>
      <c r="P458" s="69"/>
      <c r="Q458" s="69"/>
      <c r="R458" s="69"/>
      <c r="S458" s="69"/>
      <c r="T458" s="69"/>
      <c r="U458" s="69"/>
      <c r="V458" s="69"/>
    </row>
    <row r="459" spans="3:22" s="133" customFormat="1" ht="21.95" customHeight="1" x14ac:dyDescent="0.3">
      <c r="C459" s="134"/>
      <c r="D459" s="185"/>
      <c r="E459" s="163"/>
      <c r="F459" s="164"/>
      <c r="G459" s="165"/>
      <c r="H459" s="164"/>
      <c r="I459" s="166"/>
      <c r="J459" s="157"/>
      <c r="K459" s="157"/>
      <c r="L459" s="157"/>
      <c r="M459" s="166"/>
      <c r="N459" s="155"/>
      <c r="O459" s="71"/>
      <c r="P459" s="69"/>
      <c r="Q459" s="69"/>
      <c r="R459" s="69"/>
      <c r="S459" s="69"/>
      <c r="T459" s="69"/>
      <c r="U459" s="69"/>
      <c r="V459" s="69"/>
    </row>
    <row r="460" spans="3:22" s="133" customFormat="1" ht="21.95" customHeight="1" x14ac:dyDescent="0.3">
      <c r="C460" s="134"/>
      <c r="D460" s="185"/>
      <c r="E460" s="163"/>
      <c r="F460" s="164"/>
      <c r="G460" s="165"/>
      <c r="H460" s="164"/>
      <c r="I460" s="166"/>
      <c r="J460" s="157"/>
      <c r="K460" s="157"/>
      <c r="L460" s="157"/>
      <c r="M460" s="166"/>
      <c r="N460" s="155"/>
      <c r="O460" s="71"/>
      <c r="P460" s="69"/>
      <c r="Q460" s="69"/>
      <c r="R460" s="69"/>
      <c r="S460" s="69"/>
      <c r="T460" s="69"/>
      <c r="U460" s="69"/>
      <c r="V460" s="69"/>
    </row>
    <row r="461" spans="3:22" s="133" customFormat="1" ht="21.95" customHeight="1" x14ac:dyDescent="0.3">
      <c r="C461" s="134"/>
      <c r="D461" s="185"/>
      <c r="E461" s="163"/>
      <c r="F461" s="164"/>
      <c r="G461" s="165"/>
      <c r="H461" s="164"/>
      <c r="I461" s="166"/>
      <c r="J461" s="157"/>
      <c r="K461" s="157"/>
      <c r="L461" s="157"/>
      <c r="M461" s="166"/>
      <c r="N461" s="155"/>
      <c r="O461" s="71"/>
      <c r="P461" s="69"/>
      <c r="Q461" s="69"/>
      <c r="R461" s="69"/>
      <c r="S461" s="69"/>
      <c r="T461" s="69"/>
      <c r="U461" s="69"/>
      <c r="V461" s="69"/>
    </row>
    <row r="462" spans="3:22" s="133" customFormat="1" ht="21.95" customHeight="1" x14ac:dyDescent="0.3">
      <c r="C462" s="134"/>
      <c r="D462" s="185"/>
      <c r="E462" s="163"/>
      <c r="F462" s="164"/>
      <c r="G462" s="165"/>
      <c r="H462" s="164"/>
      <c r="I462" s="166"/>
      <c r="J462" s="157"/>
      <c r="K462" s="157"/>
      <c r="L462" s="157"/>
      <c r="M462" s="166"/>
      <c r="N462" s="155"/>
      <c r="O462" s="71"/>
      <c r="P462" s="69"/>
      <c r="Q462" s="69"/>
      <c r="R462" s="69"/>
      <c r="S462" s="69"/>
      <c r="T462" s="69"/>
      <c r="U462" s="69"/>
      <c r="V462" s="69"/>
    </row>
    <row r="463" spans="3:22" s="133" customFormat="1" ht="21.95" customHeight="1" x14ac:dyDescent="0.3">
      <c r="C463" s="134"/>
      <c r="D463" s="185"/>
      <c r="E463" s="163"/>
      <c r="F463" s="164"/>
      <c r="G463" s="165"/>
      <c r="H463" s="164"/>
      <c r="I463" s="166"/>
      <c r="J463" s="157"/>
      <c r="K463" s="157"/>
      <c r="L463" s="157"/>
      <c r="M463" s="166"/>
      <c r="N463" s="155"/>
      <c r="O463" s="71"/>
      <c r="P463" s="69"/>
      <c r="Q463" s="69"/>
      <c r="R463" s="69"/>
      <c r="S463" s="69"/>
      <c r="T463" s="69"/>
      <c r="U463" s="69"/>
      <c r="V463" s="69"/>
    </row>
    <row r="464" spans="3:22" s="133" customFormat="1" ht="21.95" customHeight="1" x14ac:dyDescent="0.3">
      <c r="C464" s="134"/>
      <c r="D464" s="185"/>
      <c r="E464" s="163"/>
      <c r="F464" s="164"/>
      <c r="G464" s="165"/>
      <c r="H464" s="164"/>
      <c r="I464" s="166"/>
      <c r="J464" s="157"/>
      <c r="K464" s="157"/>
      <c r="L464" s="157"/>
      <c r="M464" s="166"/>
      <c r="N464" s="155"/>
      <c r="O464" s="71"/>
      <c r="P464" s="69"/>
      <c r="Q464" s="69"/>
      <c r="R464" s="69"/>
      <c r="S464" s="69"/>
      <c r="T464" s="69"/>
      <c r="U464" s="69"/>
      <c r="V464" s="69"/>
    </row>
    <row r="465" spans="3:22" s="133" customFormat="1" ht="21.95" customHeight="1" x14ac:dyDescent="0.3">
      <c r="C465" s="134"/>
      <c r="D465" s="185"/>
      <c r="E465" s="163"/>
      <c r="F465" s="164"/>
      <c r="G465" s="165"/>
      <c r="H465" s="164"/>
      <c r="I465" s="166"/>
      <c r="J465" s="157"/>
      <c r="K465" s="157"/>
      <c r="L465" s="157"/>
      <c r="M465" s="166"/>
      <c r="N465" s="155"/>
      <c r="O465" s="71"/>
      <c r="P465" s="69"/>
      <c r="Q465" s="69"/>
      <c r="R465" s="69"/>
      <c r="S465" s="69"/>
      <c r="T465" s="69"/>
      <c r="U465" s="69"/>
      <c r="V465" s="69"/>
    </row>
    <row r="466" spans="3:22" s="133" customFormat="1" ht="21.95" customHeight="1" x14ac:dyDescent="0.3">
      <c r="C466" s="134"/>
      <c r="D466" s="185"/>
      <c r="E466" s="163"/>
      <c r="F466" s="164"/>
      <c r="G466" s="165"/>
      <c r="H466" s="164"/>
      <c r="I466" s="166"/>
      <c r="J466" s="157"/>
      <c r="K466" s="157"/>
      <c r="L466" s="157"/>
      <c r="M466" s="166"/>
      <c r="N466" s="155"/>
      <c r="O466" s="71"/>
      <c r="P466" s="69"/>
      <c r="Q466" s="69"/>
      <c r="R466" s="69"/>
      <c r="S466" s="69"/>
      <c r="T466" s="69"/>
      <c r="U466" s="69"/>
      <c r="V466" s="69"/>
    </row>
    <row r="467" spans="3:22" s="133" customFormat="1" ht="21.95" customHeight="1" x14ac:dyDescent="0.3">
      <c r="C467" s="134"/>
      <c r="D467" s="185"/>
      <c r="E467" s="163"/>
      <c r="F467" s="164"/>
      <c r="G467" s="165"/>
      <c r="H467" s="164"/>
      <c r="I467" s="166"/>
      <c r="J467" s="157"/>
      <c r="K467" s="157"/>
      <c r="L467" s="157"/>
      <c r="M467" s="166"/>
      <c r="N467" s="155"/>
      <c r="O467" s="71"/>
      <c r="P467" s="69"/>
      <c r="Q467" s="69"/>
      <c r="R467" s="69"/>
      <c r="S467" s="69"/>
      <c r="T467" s="69"/>
      <c r="U467" s="69"/>
      <c r="V467" s="69"/>
    </row>
    <row r="468" spans="3:22" s="133" customFormat="1" ht="21.95" customHeight="1" x14ac:dyDescent="0.3">
      <c r="C468" s="134"/>
      <c r="D468" s="185"/>
      <c r="E468" s="163"/>
      <c r="F468" s="164"/>
      <c r="G468" s="165"/>
      <c r="H468" s="164"/>
      <c r="I468" s="166"/>
      <c r="J468" s="157"/>
      <c r="K468" s="157"/>
      <c r="L468" s="157"/>
      <c r="M468" s="166"/>
      <c r="N468" s="155"/>
      <c r="O468" s="71"/>
      <c r="P468" s="69"/>
      <c r="Q468" s="69"/>
      <c r="R468" s="69"/>
      <c r="S468" s="69"/>
      <c r="T468" s="69"/>
      <c r="U468" s="69"/>
      <c r="V468" s="69"/>
    </row>
    <row r="469" spans="3:22" s="133" customFormat="1" ht="21.95" customHeight="1" x14ac:dyDescent="0.3">
      <c r="C469" s="134"/>
      <c r="D469" s="185"/>
      <c r="E469" s="163"/>
      <c r="F469" s="164"/>
      <c r="G469" s="165"/>
      <c r="H469" s="164"/>
      <c r="I469" s="166"/>
      <c r="J469" s="157"/>
      <c r="K469" s="157"/>
      <c r="L469" s="157"/>
      <c r="M469" s="166"/>
      <c r="N469" s="155"/>
      <c r="O469" s="71"/>
      <c r="P469" s="69"/>
      <c r="Q469" s="69"/>
      <c r="R469" s="69"/>
      <c r="S469" s="69"/>
      <c r="T469" s="69"/>
      <c r="U469" s="69"/>
      <c r="V469" s="69"/>
    </row>
    <row r="470" spans="3:22" s="133" customFormat="1" ht="21.95" customHeight="1" x14ac:dyDescent="0.3">
      <c r="C470" s="134"/>
      <c r="D470" s="185"/>
      <c r="E470" s="163"/>
      <c r="F470" s="164"/>
      <c r="G470" s="165"/>
      <c r="H470" s="164"/>
      <c r="I470" s="166"/>
      <c r="J470" s="157"/>
      <c r="K470" s="157"/>
      <c r="L470" s="157"/>
      <c r="M470" s="166"/>
      <c r="N470" s="155"/>
      <c r="O470" s="71"/>
      <c r="P470" s="69"/>
      <c r="Q470" s="69"/>
      <c r="R470" s="69"/>
      <c r="S470" s="69"/>
      <c r="T470" s="69"/>
      <c r="U470" s="69"/>
      <c r="V470" s="69"/>
    </row>
    <row r="471" spans="3:22" s="133" customFormat="1" ht="21.95" customHeight="1" x14ac:dyDescent="0.3">
      <c r="C471" s="134"/>
      <c r="D471" s="185"/>
      <c r="E471" s="163"/>
      <c r="F471" s="164"/>
      <c r="G471" s="165"/>
      <c r="H471" s="164"/>
      <c r="I471" s="166"/>
      <c r="J471" s="157"/>
      <c r="K471" s="157"/>
      <c r="L471" s="157"/>
      <c r="M471" s="166"/>
      <c r="N471" s="155"/>
      <c r="O471" s="71"/>
      <c r="P471" s="69"/>
      <c r="Q471" s="69"/>
      <c r="R471" s="69"/>
      <c r="S471" s="69"/>
      <c r="T471" s="69"/>
      <c r="U471" s="69"/>
      <c r="V471" s="69"/>
    </row>
    <row r="472" spans="3:22" s="133" customFormat="1" ht="21.95" customHeight="1" x14ac:dyDescent="0.3">
      <c r="C472" s="134"/>
      <c r="D472" s="185"/>
      <c r="E472" s="163"/>
      <c r="F472" s="164"/>
      <c r="G472" s="165"/>
      <c r="H472" s="164"/>
      <c r="I472" s="166"/>
      <c r="J472" s="157"/>
      <c r="K472" s="157"/>
      <c r="L472" s="157"/>
      <c r="M472" s="166"/>
      <c r="N472" s="155"/>
      <c r="O472" s="71"/>
      <c r="P472" s="69"/>
      <c r="Q472" s="69"/>
      <c r="R472" s="69"/>
      <c r="S472" s="69"/>
      <c r="T472" s="69"/>
      <c r="U472" s="69"/>
      <c r="V472" s="69"/>
    </row>
    <row r="473" spans="3:22" s="133" customFormat="1" ht="21.95" customHeight="1" x14ac:dyDescent="0.3">
      <c r="C473" s="134"/>
      <c r="D473" s="185"/>
      <c r="E473" s="163"/>
      <c r="F473" s="164"/>
      <c r="G473" s="165"/>
      <c r="H473" s="164"/>
      <c r="I473" s="166"/>
      <c r="J473" s="157"/>
      <c r="K473" s="157"/>
      <c r="L473" s="157"/>
      <c r="M473" s="166"/>
      <c r="N473" s="155"/>
      <c r="O473" s="71"/>
      <c r="P473" s="69"/>
      <c r="Q473" s="69"/>
      <c r="R473" s="69"/>
      <c r="S473" s="69"/>
      <c r="T473" s="69"/>
      <c r="U473" s="69"/>
      <c r="V473" s="69"/>
    </row>
    <row r="474" spans="3:22" s="133" customFormat="1" ht="21.95" customHeight="1" x14ac:dyDescent="0.3">
      <c r="C474" s="134"/>
      <c r="D474" s="185"/>
      <c r="E474" s="163"/>
      <c r="F474" s="164"/>
      <c r="G474" s="165"/>
      <c r="H474" s="164"/>
      <c r="I474" s="166"/>
      <c r="J474" s="157"/>
      <c r="K474" s="157"/>
      <c r="L474" s="157"/>
      <c r="M474" s="166"/>
      <c r="N474" s="155"/>
      <c r="O474" s="71"/>
      <c r="P474" s="69"/>
      <c r="Q474" s="69"/>
      <c r="R474" s="69"/>
      <c r="S474" s="69"/>
      <c r="T474" s="69"/>
      <c r="U474" s="69"/>
      <c r="V474" s="69"/>
    </row>
    <row r="475" spans="3:22" s="133" customFormat="1" ht="21.95" customHeight="1" x14ac:dyDescent="0.3">
      <c r="C475" s="134"/>
      <c r="D475" s="185"/>
      <c r="E475" s="163"/>
      <c r="F475" s="164"/>
      <c r="G475" s="165"/>
      <c r="H475" s="164"/>
      <c r="I475" s="166"/>
      <c r="J475" s="157"/>
      <c r="K475" s="157"/>
      <c r="L475" s="157"/>
      <c r="M475" s="166"/>
      <c r="N475" s="155"/>
      <c r="O475" s="71"/>
      <c r="P475" s="69"/>
      <c r="Q475" s="69"/>
      <c r="R475" s="69"/>
      <c r="S475" s="69"/>
      <c r="T475" s="69"/>
      <c r="U475" s="69"/>
      <c r="V475" s="69"/>
    </row>
    <row r="476" spans="3:22" s="133" customFormat="1" ht="21.95" customHeight="1" x14ac:dyDescent="0.3">
      <c r="C476" s="134"/>
      <c r="D476" s="185"/>
      <c r="E476" s="163"/>
      <c r="F476" s="164"/>
      <c r="G476" s="165"/>
      <c r="H476" s="164"/>
      <c r="I476" s="166"/>
      <c r="J476" s="157"/>
      <c r="K476" s="157"/>
      <c r="L476" s="157"/>
      <c r="M476" s="166"/>
      <c r="N476" s="155"/>
      <c r="O476" s="71"/>
      <c r="P476" s="69"/>
      <c r="Q476" s="69"/>
      <c r="R476" s="69"/>
      <c r="S476" s="69"/>
      <c r="T476" s="69"/>
      <c r="U476" s="69"/>
      <c r="V476" s="69"/>
    </row>
    <row r="477" spans="3:22" s="133" customFormat="1" ht="21.95" customHeight="1" x14ac:dyDescent="0.3">
      <c r="C477" s="134"/>
      <c r="D477" s="185"/>
      <c r="E477" s="163"/>
      <c r="F477" s="164"/>
      <c r="G477" s="165"/>
      <c r="H477" s="164"/>
      <c r="I477" s="166"/>
      <c r="J477" s="157"/>
      <c r="K477" s="157"/>
      <c r="L477" s="157"/>
      <c r="M477" s="166"/>
      <c r="N477" s="155"/>
      <c r="O477" s="71"/>
      <c r="P477" s="69"/>
      <c r="Q477" s="69"/>
      <c r="R477" s="69"/>
      <c r="S477" s="69"/>
      <c r="T477" s="69"/>
      <c r="U477" s="69"/>
      <c r="V477" s="69"/>
    </row>
    <row r="478" spans="3:22" s="133" customFormat="1" ht="21.95" customHeight="1" x14ac:dyDescent="0.3">
      <c r="C478" s="134"/>
      <c r="D478" s="185"/>
      <c r="E478" s="163"/>
      <c r="F478" s="164"/>
      <c r="G478" s="165"/>
      <c r="H478" s="164"/>
      <c r="I478" s="166"/>
      <c r="J478" s="157"/>
      <c r="K478" s="157"/>
      <c r="L478" s="157"/>
      <c r="M478" s="166"/>
      <c r="N478" s="155"/>
      <c r="O478" s="71"/>
      <c r="P478" s="69"/>
      <c r="Q478" s="69"/>
      <c r="R478" s="69"/>
      <c r="S478" s="69"/>
      <c r="T478" s="69"/>
      <c r="U478" s="69"/>
      <c r="V478" s="69"/>
    </row>
    <row r="479" spans="3:22" s="133" customFormat="1" ht="21.95" customHeight="1" x14ac:dyDescent="0.3">
      <c r="C479" s="134"/>
      <c r="D479" s="185"/>
      <c r="E479" s="163"/>
      <c r="F479" s="164"/>
      <c r="G479" s="165"/>
      <c r="H479" s="164"/>
      <c r="I479" s="166"/>
      <c r="J479" s="157"/>
      <c r="K479" s="157"/>
      <c r="L479" s="157"/>
      <c r="M479" s="166"/>
      <c r="N479" s="155"/>
      <c r="O479" s="71"/>
      <c r="P479" s="69"/>
      <c r="Q479" s="69"/>
      <c r="R479" s="69"/>
      <c r="S479" s="69"/>
      <c r="T479" s="69"/>
      <c r="U479" s="69"/>
      <c r="V479" s="69"/>
    </row>
    <row r="480" spans="3:22" s="133" customFormat="1" ht="21.95" customHeight="1" x14ac:dyDescent="0.3">
      <c r="C480" s="134"/>
      <c r="D480" s="185"/>
      <c r="E480" s="163"/>
      <c r="F480" s="164"/>
      <c r="G480" s="165"/>
      <c r="H480" s="164"/>
      <c r="I480" s="166"/>
      <c r="J480" s="157"/>
      <c r="K480" s="157"/>
      <c r="L480" s="157"/>
      <c r="M480" s="166"/>
      <c r="N480" s="155"/>
      <c r="O480" s="71"/>
      <c r="P480" s="69"/>
      <c r="Q480" s="69"/>
      <c r="R480" s="69"/>
      <c r="S480" s="69"/>
      <c r="T480" s="69"/>
      <c r="U480" s="69"/>
      <c r="V480" s="69"/>
    </row>
    <row r="481" spans="1:22" s="133" customFormat="1" ht="21.95" customHeight="1" x14ac:dyDescent="0.3">
      <c r="C481" s="134"/>
      <c r="D481" s="185"/>
      <c r="E481" s="163"/>
      <c r="F481" s="164"/>
      <c r="G481" s="165"/>
      <c r="H481" s="164"/>
      <c r="I481" s="166"/>
      <c r="J481" s="157"/>
      <c r="K481" s="157"/>
      <c r="L481" s="157"/>
      <c r="M481" s="166"/>
      <c r="N481" s="155"/>
      <c r="O481" s="71"/>
      <c r="P481" s="69"/>
      <c r="Q481" s="69"/>
      <c r="R481" s="69"/>
      <c r="S481" s="69"/>
      <c r="T481" s="69"/>
      <c r="U481" s="69"/>
      <c r="V481" s="69"/>
    </row>
    <row r="482" spans="1:22" s="133" customFormat="1" ht="21.95" customHeight="1" x14ac:dyDescent="0.3">
      <c r="C482" s="134"/>
      <c r="D482" s="185"/>
      <c r="E482" s="163"/>
      <c r="F482" s="164"/>
      <c r="G482" s="165"/>
      <c r="H482" s="164"/>
      <c r="I482" s="166"/>
      <c r="J482" s="157"/>
      <c r="K482" s="157"/>
      <c r="L482" s="157"/>
      <c r="M482" s="166"/>
      <c r="N482" s="155"/>
      <c r="O482" s="71"/>
      <c r="P482" s="69"/>
      <c r="Q482" s="69"/>
      <c r="R482" s="69"/>
      <c r="S482" s="69"/>
      <c r="T482" s="69"/>
      <c r="U482" s="69"/>
      <c r="V482" s="69"/>
    </row>
    <row r="483" spans="1:22" s="133" customFormat="1" ht="21.95" customHeight="1" x14ac:dyDescent="0.3">
      <c r="C483" s="134"/>
      <c r="D483" s="185"/>
      <c r="E483" s="163"/>
      <c r="F483" s="164"/>
      <c r="G483" s="165"/>
      <c r="H483" s="164"/>
      <c r="I483" s="166"/>
      <c r="J483" s="157"/>
      <c r="K483" s="157"/>
      <c r="L483" s="157"/>
      <c r="M483" s="166"/>
      <c r="N483" s="155"/>
      <c r="O483" s="71"/>
      <c r="P483" s="69"/>
      <c r="Q483" s="69"/>
      <c r="R483" s="69"/>
      <c r="S483" s="69"/>
      <c r="T483" s="69"/>
      <c r="U483" s="69"/>
      <c r="V483" s="69"/>
    </row>
    <row r="484" spans="1:22" s="133" customFormat="1" ht="21.95" customHeight="1" x14ac:dyDescent="0.3">
      <c r="C484" s="134"/>
      <c r="D484" s="185"/>
      <c r="E484" s="163"/>
      <c r="F484" s="164"/>
      <c r="G484" s="165"/>
      <c r="H484" s="164"/>
      <c r="I484" s="166"/>
      <c r="J484" s="157"/>
      <c r="K484" s="157"/>
      <c r="L484" s="157"/>
      <c r="M484" s="166"/>
      <c r="N484" s="155"/>
      <c r="O484" s="71"/>
      <c r="P484" s="69"/>
      <c r="Q484" s="69"/>
      <c r="R484" s="69"/>
      <c r="S484" s="69"/>
      <c r="T484" s="69"/>
      <c r="U484" s="69"/>
      <c r="V484" s="69"/>
    </row>
    <row r="485" spans="1:22" s="133" customFormat="1" ht="21.95" customHeight="1" x14ac:dyDescent="0.3">
      <c r="C485" s="134"/>
      <c r="D485" s="185"/>
      <c r="E485" s="163"/>
      <c r="F485" s="164"/>
      <c r="G485" s="165"/>
      <c r="H485" s="164"/>
      <c r="I485" s="166"/>
      <c r="J485" s="157"/>
      <c r="K485" s="157"/>
      <c r="L485" s="157"/>
      <c r="M485" s="166"/>
      <c r="N485" s="155"/>
      <c r="O485" s="71"/>
      <c r="P485" s="69"/>
      <c r="Q485" s="69"/>
      <c r="R485" s="69"/>
      <c r="S485" s="69"/>
      <c r="T485" s="69"/>
      <c r="U485" s="69"/>
      <c r="V485" s="69"/>
    </row>
    <row r="486" spans="1:22" s="133" customFormat="1" ht="21.95" customHeight="1" x14ac:dyDescent="0.3">
      <c r="C486" s="134"/>
      <c r="D486" s="185"/>
      <c r="E486" s="163"/>
      <c r="F486" s="164"/>
      <c r="G486" s="165"/>
      <c r="H486" s="164"/>
      <c r="I486" s="166"/>
      <c r="J486" s="157"/>
      <c r="K486" s="157"/>
      <c r="L486" s="157"/>
      <c r="M486" s="166"/>
      <c r="N486" s="155"/>
      <c r="O486" s="71"/>
      <c r="P486" s="69"/>
      <c r="Q486" s="69"/>
      <c r="R486" s="69"/>
      <c r="S486" s="69"/>
      <c r="T486" s="69"/>
      <c r="U486" s="69"/>
      <c r="V486" s="69"/>
    </row>
    <row r="487" spans="1:22" s="133" customFormat="1" ht="21.95" customHeight="1" x14ac:dyDescent="0.3">
      <c r="A487" s="71"/>
      <c r="B487" s="71"/>
      <c r="C487" s="184"/>
      <c r="D487" s="185"/>
      <c r="E487" s="163"/>
      <c r="F487" s="164"/>
      <c r="G487" s="165"/>
      <c r="H487" s="164"/>
      <c r="I487" s="166"/>
      <c r="J487" s="157"/>
      <c r="K487" s="157"/>
      <c r="L487" s="157"/>
      <c r="M487" s="166"/>
      <c r="N487" s="186"/>
      <c r="O487" s="71"/>
      <c r="P487" s="69"/>
      <c r="Q487" s="69"/>
      <c r="R487" s="69"/>
      <c r="S487" s="69"/>
      <c r="T487" s="69"/>
      <c r="U487" s="69"/>
      <c r="V487" s="69"/>
    </row>
    <row r="488" spans="1:22" s="133" customFormat="1" ht="21.95" customHeight="1" x14ac:dyDescent="0.3">
      <c r="A488" s="71"/>
      <c r="B488" s="71"/>
      <c r="C488" s="184"/>
      <c r="D488" s="185"/>
      <c r="E488" s="163"/>
      <c r="F488" s="164"/>
      <c r="G488" s="165"/>
      <c r="H488" s="164"/>
      <c r="I488" s="166"/>
      <c r="J488" s="157"/>
      <c r="K488" s="157"/>
      <c r="L488" s="157"/>
      <c r="M488" s="166"/>
      <c r="N488" s="186"/>
      <c r="O488" s="71"/>
      <c r="P488" s="69"/>
      <c r="Q488" s="69"/>
      <c r="R488" s="69"/>
      <c r="S488" s="69"/>
      <c r="T488" s="69"/>
      <c r="U488" s="69"/>
      <c r="V488" s="69"/>
    </row>
    <row r="489" spans="1:22" s="133" customFormat="1" ht="21.95" customHeight="1" x14ac:dyDescent="0.3">
      <c r="A489" s="71"/>
      <c r="B489" s="71"/>
      <c r="C489" s="184"/>
      <c r="D489" s="185"/>
      <c r="E489" s="163"/>
      <c r="F489" s="164"/>
      <c r="G489" s="165"/>
      <c r="H489" s="164"/>
      <c r="I489" s="166"/>
      <c r="J489" s="157"/>
      <c r="K489" s="157"/>
      <c r="L489" s="157"/>
      <c r="M489" s="166"/>
      <c r="N489" s="186"/>
      <c r="O489" s="71"/>
      <c r="P489" s="69"/>
      <c r="Q489" s="69"/>
      <c r="R489" s="69"/>
      <c r="S489" s="69"/>
      <c r="T489" s="69"/>
      <c r="U489" s="69"/>
      <c r="V489" s="69"/>
    </row>
    <row r="490" spans="1:22" s="133" customFormat="1" ht="21.95" customHeight="1" x14ac:dyDescent="0.3">
      <c r="A490" s="71"/>
      <c r="B490" s="71"/>
      <c r="C490" s="184"/>
      <c r="D490" s="185"/>
      <c r="E490" s="163"/>
      <c r="F490" s="164"/>
      <c r="G490" s="165"/>
      <c r="H490" s="164"/>
      <c r="I490" s="166"/>
      <c r="J490" s="157"/>
      <c r="K490" s="157"/>
      <c r="L490" s="157"/>
      <c r="M490" s="166"/>
      <c r="N490" s="186"/>
      <c r="O490" s="71"/>
      <c r="P490" s="69"/>
      <c r="Q490" s="69"/>
      <c r="R490" s="69"/>
      <c r="S490" s="69"/>
      <c r="T490" s="69"/>
      <c r="U490" s="69"/>
      <c r="V490" s="69"/>
    </row>
    <row r="491" spans="1:22" s="133" customFormat="1" ht="21.95" customHeight="1" x14ac:dyDescent="0.3">
      <c r="A491" s="71"/>
      <c r="B491" s="71"/>
      <c r="C491" s="184"/>
      <c r="D491" s="185"/>
      <c r="E491" s="163"/>
      <c r="F491" s="164"/>
      <c r="G491" s="165"/>
      <c r="H491" s="164"/>
      <c r="I491" s="166"/>
      <c r="J491" s="157"/>
      <c r="K491" s="157"/>
      <c r="L491" s="157"/>
      <c r="M491" s="166"/>
      <c r="N491" s="186"/>
      <c r="O491" s="71"/>
      <c r="P491" s="69"/>
      <c r="Q491" s="69"/>
      <c r="R491" s="69"/>
      <c r="S491" s="69"/>
      <c r="T491" s="69"/>
      <c r="U491" s="69"/>
      <c r="V491" s="69"/>
    </row>
    <row r="492" spans="1:22" s="133" customFormat="1" ht="21.95" customHeight="1" x14ac:dyDescent="0.3">
      <c r="A492" s="71"/>
      <c r="B492" s="71"/>
      <c r="C492" s="184"/>
      <c r="D492" s="185"/>
      <c r="E492" s="163"/>
      <c r="F492" s="164"/>
      <c r="G492" s="165"/>
      <c r="H492" s="164"/>
      <c r="I492" s="166"/>
      <c r="J492" s="157"/>
      <c r="K492" s="157"/>
      <c r="L492" s="157"/>
      <c r="M492" s="166"/>
      <c r="N492" s="186"/>
      <c r="O492" s="71"/>
      <c r="P492" s="69"/>
      <c r="Q492" s="69"/>
      <c r="R492" s="69"/>
      <c r="S492" s="69"/>
      <c r="T492" s="69"/>
      <c r="U492" s="69"/>
      <c r="V492" s="69"/>
    </row>
  </sheetData>
  <autoFilter ref="A3:O267"/>
  <mergeCells count="11">
    <mergeCell ref="O1:O2"/>
    <mergeCell ref="A1:A2"/>
    <mergeCell ref="B1:B2"/>
    <mergeCell ref="C1:C2"/>
    <mergeCell ref="E1:E2"/>
    <mergeCell ref="F1:L1"/>
    <mergeCell ref="I260:N260"/>
    <mergeCell ref="I261:N261"/>
    <mergeCell ref="I262:N262"/>
    <mergeCell ref="I265:N265"/>
    <mergeCell ref="I266:N266"/>
  </mergeCells>
  <printOptions horizontalCentered="1"/>
  <pageMargins left="0.19" right="0.19685039370078741" top="0.19685039370078741" bottom="0.19685039370078741" header="0.15748031496062992" footer="0.23"/>
  <pageSetup paperSize="10000" scale="44" fitToWidth="0" fitToHeight="0" orientation="landscape" horizontalDpi="4294967293" verticalDpi="180" r:id="rId1"/>
  <headerFooter alignWithMargins="0"/>
  <rowBreaks count="5" manualBreakCount="5">
    <brk id="47" max="13" man="1"/>
    <brk id="91" max="13" man="1"/>
    <brk id="139" max="13" man="1"/>
    <brk id="183" max="13" man="1"/>
    <brk id="227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REKAP GAJI BLUD JULI 2025</vt:lpstr>
      <vt:lpstr>'REKAP GAJI BLUD JULI 2025'!Print_Area</vt:lpstr>
      <vt:lpstr>'REKAP GAJI BLUD JULI 2025'!Print_Titles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2025-09-04T07:00:30Z</dcterms:created>
  <dcterms:modified xsi:type="dcterms:W3CDTF">2025-09-04T07:23:29Z</dcterms:modified>
</cp:coreProperties>
</file>