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740" activeTab="1"/>
  </bookViews>
  <sheets>
    <sheet name="skp_unit" sheetId="1" r:id="rId1"/>
    <sheet name="pemetaan" sheetId="2" r:id="rId2"/>
  </sheets>
  <calcPr calcId="144525"/>
</workbook>
</file>

<file path=xl/calcChain.xml><?xml version="1.0" encoding="utf-8"?>
<calcChain xmlns="http://schemas.openxmlformats.org/spreadsheetml/2006/main">
  <c r="N49" i="2" l="1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</calcChain>
</file>

<file path=xl/sharedStrings.xml><?xml version="1.0" encoding="utf-8"?>
<sst xmlns="http://schemas.openxmlformats.org/spreadsheetml/2006/main" count="566" uniqueCount="359">
  <si>
    <t>UNT001</t>
  </si>
  <si>
    <t>R. ASOKA</t>
  </si>
  <si>
    <t>EFRI FURQONIYAH,S.Kep.,Ns.</t>
  </si>
  <si>
    <t>19780416 200604 2 017</t>
  </si>
  <si>
    <t>Rawat Inap</t>
  </si>
  <si>
    <t>Aktif</t>
  </si>
  <si>
    <t>UNT002</t>
  </si>
  <si>
    <t>R. MELATI</t>
  </si>
  <si>
    <t>KARTIKA AGUSTINI,S.Kep.,Ns.</t>
  </si>
  <si>
    <t>19760422 200604 2 016</t>
  </si>
  <si>
    <t>Non Aktif</t>
  </si>
  <si>
    <t>UNT003</t>
  </si>
  <si>
    <t>R. MAWAR</t>
  </si>
  <si>
    <t>MILLAH MALIKA NURIL LAILI,S.Kep.,Ns.</t>
  </si>
  <si>
    <t>19840507 201101 2 012</t>
  </si>
  <si>
    <t>UNT004</t>
  </si>
  <si>
    <t>R. ROSELLA ATAS</t>
  </si>
  <si>
    <t>ELMA KHURIYATUL FATATI,SST.</t>
  </si>
  <si>
    <t>19740510 199302 2 001</t>
  </si>
  <si>
    <t>UNT005</t>
  </si>
  <si>
    <t>R. ICU</t>
  </si>
  <si>
    <t>SITI MAIMUNAH, S.Kep.Ns</t>
  </si>
  <si>
    <t>19831201 200701 2 002</t>
  </si>
  <si>
    <t>UNT006</t>
  </si>
  <si>
    <t>R. NICU</t>
  </si>
  <si>
    <t>LILIK MUSKIATUN,S.Kep.,Ns.</t>
  </si>
  <si>
    <t>19730906 199703 2 004</t>
  </si>
  <si>
    <t>UNT007</t>
  </si>
  <si>
    <t>R. BOUGENVILLE</t>
  </si>
  <si>
    <t>UNT008</t>
  </si>
  <si>
    <t>R. DAHLIA</t>
  </si>
  <si>
    <t>DIA YOGA PRATAMA,A.Md.Kep</t>
  </si>
  <si>
    <t>19850514 200903 2 007</t>
  </si>
  <si>
    <t>UNT009</t>
  </si>
  <si>
    <t>R. OK/IBS</t>
  </si>
  <si>
    <t>ANDI WIJAYA,S.Kep.</t>
  </si>
  <si>
    <t>19620406 198502 1 003</t>
  </si>
  <si>
    <t>UNT010</t>
  </si>
  <si>
    <t>R. TENGGER</t>
  </si>
  <si>
    <t>DYAH ARI SUSANTI, A.Md.Kep</t>
  </si>
  <si>
    <t>19791231 201001 2 015</t>
  </si>
  <si>
    <t>UNT011</t>
  </si>
  <si>
    <t>INSTALASI GAWAT DARURAT</t>
  </si>
  <si>
    <t>FERI ANTONI HERMAWANA.Md.Kep.</t>
  </si>
  <si>
    <t>19820122 200701 1 002</t>
  </si>
  <si>
    <t>UNT012</t>
  </si>
  <si>
    <t>SIMRS</t>
  </si>
  <si>
    <t>LAILATUL FITRIYAH,S.Sos.</t>
  </si>
  <si>
    <t>19780811 201001 2 001</t>
  </si>
  <si>
    <t>Manajemen</t>
  </si>
  <si>
    <t>UNT013</t>
  </si>
  <si>
    <t>Komite PPI</t>
  </si>
  <si>
    <t>dr. IZZUKI MUHASHONAH, SpPK</t>
  </si>
  <si>
    <t>19781101 200701 2 011</t>
  </si>
  <si>
    <t>Pokja</t>
  </si>
  <si>
    <t>UNT014</t>
  </si>
  <si>
    <t>IPS</t>
  </si>
  <si>
    <t>WEDARING PRASETYO</t>
  </si>
  <si>
    <t>19680314 198903 1 005</t>
  </si>
  <si>
    <t>UNT015</t>
  </si>
  <si>
    <t>Pokja SKP</t>
  </si>
  <si>
    <t>dr. GUSTI PINDO ASA ANINDITO</t>
  </si>
  <si>
    <t>UNT016</t>
  </si>
  <si>
    <t>FARMASI</t>
  </si>
  <si>
    <t>LELY AGUSTIN, Ssi.Apt</t>
  </si>
  <si>
    <t>1976 0802 2011012004</t>
  </si>
  <si>
    <t>Penunjang</t>
  </si>
  <si>
    <t>UNT017</t>
  </si>
  <si>
    <t>RADIOLOGI</t>
  </si>
  <si>
    <t>SAIFUL JUHRI,S.ST.</t>
  </si>
  <si>
    <t>19670908 198811 1 001</t>
  </si>
  <si>
    <t>UNT018</t>
  </si>
  <si>
    <t>LABORATORIUM</t>
  </si>
  <si>
    <t>UNT019</t>
  </si>
  <si>
    <t>LABORATORIUM PATOLOGI ANATOMI</t>
  </si>
  <si>
    <t>dr. ARIES SASONGKO, Sp.PA.</t>
  </si>
  <si>
    <t>UNT020</t>
  </si>
  <si>
    <t>POLI VCT</t>
  </si>
  <si>
    <t>Rawat Jalan</t>
  </si>
  <si>
    <t>UNT021</t>
  </si>
  <si>
    <t>POLI GIGI</t>
  </si>
  <si>
    <t>UNT022</t>
  </si>
  <si>
    <t>POLI ANAK</t>
  </si>
  <si>
    <t>UNT023</t>
  </si>
  <si>
    <t>POLI OBGYN</t>
  </si>
  <si>
    <t>UNT024</t>
  </si>
  <si>
    <t>POLI ORTHOPEDI</t>
  </si>
  <si>
    <t>UNT025</t>
  </si>
  <si>
    <t>POLI JANTUNG</t>
  </si>
  <si>
    <t>UNT026</t>
  </si>
  <si>
    <t>POLI BEDAH</t>
  </si>
  <si>
    <t>UNT027</t>
  </si>
  <si>
    <t>POLI SARAF</t>
  </si>
  <si>
    <t>UNT028</t>
  </si>
  <si>
    <t>POLI DALAM</t>
  </si>
  <si>
    <t>UNT029</t>
  </si>
  <si>
    <t>POLI DOTS</t>
  </si>
  <si>
    <t>UNT030</t>
  </si>
  <si>
    <t>POLI PARU</t>
  </si>
  <si>
    <t>UNT031</t>
  </si>
  <si>
    <t>POLI REHABILITASI MEDIK</t>
  </si>
  <si>
    <t>UNT032</t>
  </si>
  <si>
    <t>POLI UMUM</t>
  </si>
  <si>
    <t>UNT033</t>
  </si>
  <si>
    <t>R. NEONATOLOGI</t>
  </si>
  <si>
    <t>RETNO PALUPI,A.Md.Kep</t>
  </si>
  <si>
    <t>19800907 200701 2 015</t>
  </si>
  <si>
    <t>UNT034</t>
  </si>
  <si>
    <t>R. ISOLASI BARAT ATAS</t>
  </si>
  <si>
    <t>WIWIK ISTIMEWATI HARININGSIH,S.Kep.,Ns.</t>
  </si>
  <si>
    <t>19850707 201101 2 026</t>
  </si>
  <si>
    <t>UNT035</t>
  </si>
  <si>
    <t>INSTALASI GIZI</t>
  </si>
  <si>
    <t>DYAN INDAH PERWITASARI,SKM.,MM.</t>
  </si>
  <si>
    <t>19700626 199803 2 011</t>
  </si>
  <si>
    <t>UNT036</t>
  </si>
  <si>
    <t>BIDANG PELAYANAN</t>
  </si>
  <si>
    <t>dr. DWI INDAH LESTARI</t>
  </si>
  <si>
    <t>19640131 198903 2 010</t>
  </si>
  <si>
    <t>UNT037</t>
  </si>
  <si>
    <t>BIDANG PENUNJANG</t>
  </si>
  <si>
    <t>SUGIANTO,A.Md,Kep.</t>
  </si>
  <si>
    <t>19681212 199303 1 017</t>
  </si>
  <si>
    <t>UNT038</t>
  </si>
  <si>
    <t>Perencanaan dan Pengembangan</t>
  </si>
  <si>
    <t>ARI DIANTI,S.Gz,MMRS</t>
  </si>
  <si>
    <t>19710121 199503 2 003</t>
  </si>
  <si>
    <t>UNT039</t>
  </si>
  <si>
    <t>Kepegawaian</t>
  </si>
  <si>
    <t>NURYAKUB, S.KM.</t>
  </si>
  <si>
    <t>UNT040</t>
  </si>
  <si>
    <t>UMUM DAN PERLENGKAPAN</t>
  </si>
  <si>
    <t>AGUS BUDI RAHARDJO, S.Sos.,MM.</t>
  </si>
  <si>
    <t>19650817 198703 1 025</t>
  </si>
  <si>
    <t>UNT041</t>
  </si>
  <si>
    <t>Keuangan</t>
  </si>
  <si>
    <t>ARIES PURWANTO, SE, MSi</t>
  </si>
  <si>
    <t>19780330 200312 1 004</t>
  </si>
  <si>
    <t>UNT042</t>
  </si>
  <si>
    <t>POLI MATA</t>
  </si>
  <si>
    <t>UNT043</t>
  </si>
  <si>
    <t>POLI KULIT KELAMIN</t>
  </si>
  <si>
    <t>UNT044</t>
  </si>
  <si>
    <t>POLI COVID</t>
  </si>
  <si>
    <t>UNT045</t>
  </si>
  <si>
    <t>POLI THT</t>
  </si>
  <si>
    <t>UNT046</t>
  </si>
  <si>
    <t>PMI</t>
  </si>
  <si>
    <t>UNT047</t>
  </si>
  <si>
    <t>Koordinator Rawat Jalan</t>
  </si>
  <si>
    <t>NURUL MAHMUDA,S.Kep.Ns.</t>
  </si>
  <si>
    <t>19761126 200604 2 015</t>
  </si>
  <si>
    <t>UNT048</t>
  </si>
  <si>
    <t>R. PICU</t>
  </si>
  <si>
    <t>RINA DWI PUSPITASARI, A.Md.Kep</t>
  </si>
  <si>
    <t>19840421 201101 2 020</t>
  </si>
  <si>
    <t>UNT049</t>
  </si>
  <si>
    <t>POLI ANASTESI</t>
  </si>
  <si>
    <t>UNT050</t>
  </si>
  <si>
    <t>RECOVERY ROOM</t>
  </si>
  <si>
    <t>UNT051</t>
  </si>
  <si>
    <t>CSSD</t>
  </si>
  <si>
    <t>PRAMITA DUWI NAWANG SARI,A.Md.Kep</t>
  </si>
  <si>
    <t>19860409 200903 2 003</t>
  </si>
  <si>
    <t>UNT052</t>
  </si>
  <si>
    <t>R. ISOLASI BARAT</t>
  </si>
  <si>
    <t>UNT053</t>
  </si>
  <si>
    <t>R. ISOLASI TIMUR</t>
  </si>
  <si>
    <t>UNT054</t>
  </si>
  <si>
    <t>R. ISOLASI TIMUR ATAS</t>
  </si>
  <si>
    <t>UNT055</t>
  </si>
  <si>
    <t>R. HCU</t>
  </si>
  <si>
    <t>UNT056</t>
  </si>
  <si>
    <t>Ruang Airborne</t>
  </si>
  <si>
    <t>AHMAD HASAN ZAINI,A.Md.Kep</t>
  </si>
  <si>
    <t>19821010 200701 1 009</t>
  </si>
  <si>
    <t>UNT057</t>
  </si>
  <si>
    <t>Instalasi Rekam Medis</t>
  </si>
  <si>
    <t>ENDANG FITRIYANI, S.ST</t>
  </si>
  <si>
    <t>UNT058</t>
  </si>
  <si>
    <t>R. MAWAR KUNING</t>
  </si>
  <si>
    <t>UNT059</t>
  </si>
  <si>
    <t>R. MAWAR UNGU</t>
  </si>
  <si>
    <t>UNT060</t>
  </si>
  <si>
    <t>R. MAWAR PUTIH</t>
  </si>
  <si>
    <t>UNT061</t>
  </si>
  <si>
    <t>R. MAWAR MERAH</t>
  </si>
  <si>
    <t>UNT062</t>
  </si>
  <si>
    <t>R. ROSELLA BAWAH</t>
  </si>
  <si>
    <t>ITA TOBING,A.Md.Keb</t>
  </si>
  <si>
    <t>19771212 200604 2 019</t>
  </si>
  <si>
    <t>UNT063</t>
  </si>
  <si>
    <t>LAUNDRY</t>
  </si>
  <si>
    <t>UNT064</t>
  </si>
  <si>
    <t>POLI BEDAH SYARAF</t>
  </si>
  <si>
    <t>UNT065</t>
  </si>
  <si>
    <t>ICCU</t>
  </si>
  <si>
    <t>ANANG KURNIAWAN,S.Kep.,Ns.</t>
  </si>
  <si>
    <t>19770413 199703 1 002</t>
  </si>
  <si>
    <t>UNT066</t>
  </si>
  <si>
    <t>ADMISI/LOKET PENDAFTARAN</t>
  </si>
  <si>
    <t>UNT067</t>
  </si>
  <si>
    <t>POLI PSIKIATRI</t>
  </si>
  <si>
    <t>UNT068</t>
  </si>
  <si>
    <t>HCU</t>
  </si>
  <si>
    <t>SANTI MALIKA DEWI,A.Md,Kep</t>
  </si>
  <si>
    <t>19801130 200312 2 002</t>
  </si>
  <si>
    <t>UNT069</t>
  </si>
  <si>
    <t>R. CEMPAKA</t>
  </si>
  <si>
    <t>UNT070</t>
  </si>
  <si>
    <t>R. LOTUS</t>
  </si>
  <si>
    <t>Bidang Pelayanan Medik</t>
  </si>
  <si>
    <t>No</t>
  </si>
  <si>
    <t>HIRARKI RUANGAN (Untuk Pelaporan Data Berjenjang)</t>
  </si>
  <si>
    <t>Level 3 (UNIT)</t>
  </si>
  <si>
    <t>Level 2 (INSTALASI)</t>
  </si>
  <si>
    <t>Level 1 (BIDANG/BAGIAN)</t>
  </si>
  <si>
    <t>POLI ANESTESI</t>
  </si>
  <si>
    <t>POLI BEDAH SARAF</t>
  </si>
  <si>
    <t>Instalasi Rawat Jalan</t>
  </si>
  <si>
    <t>HASAN BASRI, S.Kep.Ns</t>
  </si>
  <si>
    <t>DYNA  PRIHATIN, Amd.Kep</t>
  </si>
  <si>
    <t>ROLIS PUTRO NUGROHO</t>
  </si>
  <si>
    <t>WIWIT ASIH HANUN, S.Kep.Ns</t>
  </si>
  <si>
    <t>ELOK MERDEKAWATI, S.Kep.Ns</t>
  </si>
  <si>
    <t>SELVI SITORINA, S.Kep.Ns</t>
  </si>
  <si>
    <t>INDATUN BADRIATI, S.Kep.Ns</t>
  </si>
  <si>
    <t>ERIKA RAHMAWATI, S.Kep.Ns</t>
  </si>
  <si>
    <t>ROHMATIKA, S.Kep.Ns</t>
  </si>
  <si>
    <t>ELYS BAIROH, S.Kep.Ns</t>
  </si>
  <si>
    <t>R. ICCU</t>
  </si>
  <si>
    <t>BAMBANG MEW,S.Kep.NS</t>
  </si>
  <si>
    <t>ANANG KURNIAWAN, S.Kep.Ns</t>
  </si>
  <si>
    <t xml:space="preserve">R. ROSELLA </t>
  </si>
  <si>
    <t>MUFLIKAH, SST</t>
  </si>
  <si>
    <t>SEKTIAYU AGUSTINA, S.Kep.Ns</t>
  </si>
  <si>
    <t xml:space="preserve">R.LOTUS </t>
  </si>
  <si>
    <t>ADI AKARI SUGIA, S.Kep.Ns , M.Kep</t>
  </si>
  <si>
    <t>Instalasi  Rawat Inap</t>
  </si>
  <si>
    <t>LINA INDRIYANI, , S.Kep.Ns</t>
  </si>
  <si>
    <t>TETI HANDAYATI, , S.Kep.Ns</t>
  </si>
  <si>
    <t>MELY ANGGRAENI, , S.Kep.Ns</t>
  </si>
  <si>
    <t>DIAN NOVITASARI, , S.Kep.Ns</t>
  </si>
  <si>
    <t>ERIK BUDI KUSWOYYO, , S.Kep.Ns</t>
  </si>
  <si>
    <t>ELMA FATATI, SST</t>
  </si>
  <si>
    <t>ERNI BUDII ROSITA, Amd.Ft</t>
  </si>
  <si>
    <t>FAIQOH TURROHMA, Amd.</t>
  </si>
  <si>
    <t>Instalasi Penunjang</t>
  </si>
  <si>
    <t>LABORATORIUM PATOLOGI KLINIK</t>
  </si>
  <si>
    <t>R.PICU</t>
  </si>
  <si>
    <t>INST. REHABILITASI MEDIK</t>
  </si>
  <si>
    <t>INSTALASI REKAM MEDIK</t>
  </si>
  <si>
    <t>INSTALASI PEMELHARAAN SARANA</t>
  </si>
  <si>
    <t>WEDARING PRASETYO, SKM</t>
  </si>
  <si>
    <t>CSSD DAN LOUNDRY</t>
  </si>
  <si>
    <t>INSTALASI PEMULASARAAN JENAZAH</t>
  </si>
  <si>
    <t>MUJINO</t>
  </si>
  <si>
    <t>Bidang Pelayanan Penunjang</t>
  </si>
  <si>
    <t>Bidang Pelayanan keperawaatan dan Kebidanan</t>
  </si>
  <si>
    <t>NAMA USER</t>
  </si>
  <si>
    <t>username</t>
  </si>
  <si>
    <t>password</t>
  </si>
  <si>
    <t>asih</t>
  </si>
  <si>
    <t>elok</t>
  </si>
  <si>
    <t>elma</t>
  </si>
  <si>
    <t>rolis</t>
  </si>
  <si>
    <t>hasan</t>
  </si>
  <si>
    <t>selvi</t>
  </si>
  <si>
    <t>faiqo</t>
  </si>
  <si>
    <t>dyna</t>
  </si>
  <si>
    <t>indatun</t>
  </si>
  <si>
    <t>erika</t>
  </si>
  <si>
    <t>erikar</t>
  </si>
  <si>
    <t>tika</t>
  </si>
  <si>
    <t>elys</t>
  </si>
  <si>
    <t>lina</t>
  </si>
  <si>
    <t>teti</t>
  </si>
  <si>
    <t>mely</t>
  </si>
  <si>
    <t>dian</t>
  </si>
  <si>
    <t>erik</t>
  </si>
  <si>
    <t>efri</t>
  </si>
  <si>
    <t>anang</t>
  </si>
  <si>
    <t>siti</t>
  </si>
  <si>
    <t>lilik</t>
  </si>
  <si>
    <t>malika</t>
  </si>
  <si>
    <t>rina</t>
  </si>
  <si>
    <t>bambang</t>
  </si>
  <si>
    <t>dyah</t>
  </si>
  <si>
    <t>anton</t>
  </si>
  <si>
    <t>retno</t>
  </si>
  <si>
    <t>kartika</t>
  </si>
  <si>
    <t>wiwik</t>
  </si>
  <si>
    <t>yoga</t>
  </si>
  <si>
    <t>zaini</t>
  </si>
  <si>
    <t>muflika</t>
  </si>
  <si>
    <t>sekti</t>
  </si>
  <si>
    <t>adi</t>
  </si>
  <si>
    <t>lely</t>
  </si>
  <si>
    <t>saiful</t>
  </si>
  <si>
    <t>dr.izzuki</t>
  </si>
  <si>
    <t>dr.aries</t>
  </si>
  <si>
    <t>dyan</t>
  </si>
  <si>
    <t>mita</t>
  </si>
  <si>
    <t>ila</t>
  </si>
  <si>
    <t>erni</t>
  </si>
  <si>
    <t>yani</t>
  </si>
  <si>
    <t>setyo</t>
  </si>
  <si>
    <t>mujiono</t>
  </si>
  <si>
    <t>INSERT INTO tb_unit kode_unit, nama_unit, kode_bidbag, kode_instalasi, spm_group_indicator_id, status</t>
  </si>
  <si>
    <t>kode_bidbag</t>
  </si>
  <si>
    <t>kode_instalasi</t>
  </si>
  <si>
    <t>kd_unit</t>
  </si>
  <si>
    <t>INSERT INTO tb_user (kode_user, nama, nip, kode_bidbag, kode_instalasi, kode_unit, username, password, status, level, jabatan</t>
  </si>
  <si>
    <t>efri123</t>
  </si>
  <si>
    <t>anang123</t>
  </si>
  <si>
    <t>siti123</t>
  </si>
  <si>
    <t>lilik123</t>
  </si>
  <si>
    <t>malika123</t>
  </si>
  <si>
    <t>rina123</t>
  </si>
  <si>
    <t>bambang123</t>
  </si>
  <si>
    <t>dyah123</t>
  </si>
  <si>
    <t>anton123</t>
  </si>
  <si>
    <t>retno123</t>
  </si>
  <si>
    <t>kartika123</t>
  </si>
  <si>
    <t>wiwik123</t>
  </si>
  <si>
    <t>yoga123</t>
  </si>
  <si>
    <t>zaini123</t>
  </si>
  <si>
    <t>muflika123</t>
  </si>
  <si>
    <t>sekti123</t>
  </si>
  <si>
    <t>adi123</t>
  </si>
  <si>
    <t>asih123</t>
  </si>
  <si>
    <t>faiqo123</t>
  </si>
  <si>
    <t>elok123</t>
  </si>
  <si>
    <t>elma123</t>
  </si>
  <si>
    <t>rolis123</t>
  </si>
  <si>
    <t>hasan123</t>
  </si>
  <si>
    <t>selvi123</t>
  </si>
  <si>
    <t>dyna123</t>
  </si>
  <si>
    <t>indatun123</t>
  </si>
  <si>
    <t>erika123</t>
  </si>
  <si>
    <t>erikar123</t>
  </si>
  <si>
    <t>tika123</t>
  </si>
  <si>
    <t>elys123</t>
  </si>
  <si>
    <t>lina123</t>
  </si>
  <si>
    <t>teti123</t>
  </si>
  <si>
    <t>mely123</t>
  </si>
  <si>
    <t>dian123</t>
  </si>
  <si>
    <t>erik123</t>
  </si>
  <si>
    <t>lely123</t>
  </si>
  <si>
    <t>saiful123</t>
  </si>
  <si>
    <t>dr.izzuki123</t>
  </si>
  <si>
    <t>dr.aries123</t>
  </si>
  <si>
    <t>dyan123</t>
  </si>
  <si>
    <t>mita123</t>
  </si>
  <si>
    <t>ila123</t>
  </si>
  <si>
    <t>erni123</t>
  </si>
  <si>
    <t>yani123</t>
  </si>
  <si>
    <t>setyo123</t>
  </si>
  <si>
    <t>mujiono123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</si>
</sst>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2" fillId="0" borderId="0" xfId="0" applyFont="1" applyFill="1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20" fillId="0" borderId="10" xfId="0" applyFont="1" applyBorder="1" applyAlignment="1">
      <alignment horizontal="center"/>
    </xf>
    <xf numFmtId="0" fontId="20" fillId="0" borderId="10" xfId="0" applyFont="1" applyBorder="1"/>
    <xf numFmtId="0" fontId="19" fillId="0" borderId="0" xfId="0" applyFon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20" fillId="0" borderId="0" xfId="0" applyFont="1" applyBorder="1"/>
    <xf numFmtId="0" fontId="20" fillId="0" borderId="0" xfId="0" applyFont="1" applyBorder="1" applyAlignment="1">
      <alignment horizontal="center"/>
    </xf>
    <xf numFmtId="0" fontId="21" fillId="36" borderId="0" xfId="0" applyFont="1" applyFill="1" applyBorder="1"/>
    <xf numFmtId="0" fontId="20" fillId="37" borderId="0" xfId="0" applyFont="1" applyFill="1" applyBorder="1"/>
    <xf numFmtId="0" fontId="17" fillId="0" borderId="0" xfId="0" applyFont="1" applyBorder="1"/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7" fillId="0" borderId="10" xfId="0" applyFont="1" applyBorder="1"/>
    <xf numFmtId="0" fontId="17" fillId="0" borderId="0" xfId="0" applyFont="1"/>
    <xf numFmtId="0" fontId="0" fillId="0" borderId="0" xfId="0" applyFont="1" applyBorder="1"/>
    <xf numFmtId="0" fontId="22" fillId="0" borderId="0" xfId="0" applyFont="1" applyBorder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opLeftCell="A40" workbookViewId="0">
      <selection activeCell="B57" sqref="B57:C57"/>
    </sheetView>
  </sheetViews>
  <sheetFormatPr defaultRowHeight="15" x14ac:dyDescent="0.25"/>
  <cols>
    <col min="1" max="1" width="7.7109375" bestFit="1" customWidth="1"/>
    <col min="2" max="2" width="34.7109375" bestFit="1" customWidth="1"/>
    <col min="3" max="3" width="40.85546875" bestFit="1" customWidth="1"/>
    <col min="4" max="4" width="20.5703125" bestFit="1" customWidth="1"/>
    <col min="5" max="5" width="11.5703125" bestFit="1" customWidth="1"/>
    <col min="6" max="6" width="9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4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4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4</v>
      </c>
      <c r="F4" t="s">
        <v>5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4</v>
      </c>
      <c r="F5" t="s">
        <v>5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4</v>
      </c>
      <c r="F6" t="s">
        <v>5</v>
      </c>
    </row>
    <row r="7" spans="1:6" x14ac:dyDescent="0.25">
      <c r="A7" t="s">
        <v>27</v>
      </c>
      <c r="B7" t="s">
        <v>28</v>
      </c>
      <c r="C7" t="s">
        <v>25</v>
      </c>
      <c r="D7" t="s">
        <v>26</v>
      </c>
      <c r="E7" t="s">
        <v>4</v>
      </c>
      <c r="F7" t="s">
        <v>10</v>
      </c>
    </row>
    <row r="8" spans="1:6" x14ac:dyDescent="0.25">
      <c r="A8" t="s">
        <v>29</v>
      </c>
      <c r="B8" t="s">
        <v>30</v>
      </c>
      <c r="C8" t="s">
        <v>31</v>
      </c>
      <c r="D8" t="s">
        <v>32</v>
      </c>
      <c r="E8" t="s">
        <v>4</v>
      </c>
      <c r="F8" t="s">
        <v>10</v>
      </c>
    </row>
    <row r="9" spans="1:6" x14ac:dyDescent="0.25">
      <c r="A9" t="s">
        <v>33</v>
      </c>
      <c r="B9" t="s">
        <v>34</v>
      </c>
      <c r="C9" t="s">
        <v>35</v>
      </c>
      <c r="D9" t="s">
        <v>36</v>
      </c>
      <c r="E9" t="s">
        <v>4</v>
      </c>
      <c r="F9" t="s">
        <v>5</v>
      </c>
    </row>
    <row r="10" spans="1:6" x14ac:dyDescent="0.25">
      <c r="A10" t="s">
        <v>37</v>
      </c>
      <c r="B10" t="s">
        <v>38</v>
      </c>
      <c r="C10" t="s">
        <v>39</v>
      </c>
      <c r="D10" t="s">
        <v>40</v>
      </c>
      <c r="E10" t="s">
        <v>4</v>
      </c>
      <c r="F10" t="s">
        <v>5</v>
      </c>
    </row>
    <row r="11" spans="1:6" x14ac:dyDescent="0.25">
      <c r="A11" t="s">
        <v>41</v>
      </c>
      <c r="B11" t="s">
        <v>42</v>
      </c>
      <c r="C11" t="s">
        <v>43</v>
      </c>
      <c r="D11" t="s">
        <v>44</v>
      </c>
      <c r="E11" t="s">
        <v>4</v>
      </c>
      <c r="F11" t="s">
        <v>5</v>
      </c>
    </row>
    <row r="12" spans="1:6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</v>
      </c>
    </row>
    <row r="13" spans="1:6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</v>
      </c>
    </row>
    <row r="14" spans="1:6" s="3" customFormat="1" x14ac:dyDescent="0.25">
      <c r="A14" s="3" t="s">
        <v>55</v>
      </c>
      <c r="B14" s="3" t="s">
        <v>56</v>
      </c>
      <c r="C14" s="3" t="s">
        <v>57</v>
      </c>
      <c r="D14" s="3" t="s">
        <v>58</v>
      </c>
      <c r="E14" s="3" t="s">
        <v>49</v>
      </c>
      <c r="F14" s="3" t="s">
        <v>5</v>
      </c>
    </row>
    <row r="15" spans="1:6" x14ac:dyDescent="0.25">
      <c r="A15" t="s">
        <v>59</v>
      </c>
      <c r="B15" t="s">
        <v>60</v>
      </c>
      <c r="C15" t="s">
        <v>61</v>
      </c>
      <c r="E15" t="s">
        <v>54</v>
      </c>
      <c r="F15" t="s">
        <v>5</v>
      </c>
    </row>
    <row r="16" spans="1:6" x14ac:dyDescent="0.25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5</v>
      </c>
    </row>
    <row r="17" spans="1:6" x14ac:dyDescent="0.25">
      <c r="A17" t="s">
        <v>67</v>
      </c>
      <c r="B17" t="s">
        <v>68</v>
      </c>
      <c r="C17" t="s">
        <v>69</v>
      </c>
      <c r="D17" t="s">
        <v>70</v>
      </c>
      <c r="E17" t="s">
        <v>66</v>
      </c>
      <c r="F17" t="s">
        <v>5</v>
      </c>
    </row>
    <row r="18" spans="1:6" x14ac:dyDescent="0.25">
      <c r="A18" t="s">
        <v>71</v>
      </c>
      <c r="B18" t="s">
        <v>72</v>
      </c>
      <c r="C18" t="s">
        <v>52</v>
      </c>
      <c r="D18" t="s">
        <v>53</v>
      </c>
      <c r="E18" t="s">
        <v>66</v>
      </c>
      <c r="F18" t="s">
        <v>5</v>
      </c>
    </row>
    <row r="19" spans="1:6" x14ac:dyDescent="0.25">
      <c r="A19" t="s">
        <v>73</v>
      </c>
      <c r="B19" t="s">
        <v>74</v>
      </c>
      <c r="C19" t="s">
        <v>75</v>
      </c>
      <c r="E19" t="s">
        <v>66</v>
      </c>
      <c r="F19" t="s">
        <v>5</v>
      </c>
    </row>
    <row r="20" spans="1:6" x14ac:dyDescent="0.25">
      <c r="A20" t="s">
        <v>76</v>
      </c>
      <c r="B20" t="s">
        <v>77</v>
      </c>
      <c r="C20" t="s">
        <v>17</v>
      </c>
      <c r="D20" t="s">
        <v>18</v>
      </c>
      <c r="E20" t="s">
        <v>78</v>
      </c>
      <c r="F20" t="s">
        <v>5</v>
      </c>
    </row>
    <row r="21" spans="1:6" x14ac:dyDescent="0.25">
      <c r="A21" t="s">
        <v>79</v>
      </c>
      <c r="B21" t="s">
        <v>80</v>
      </c>
      <c r="E21" t="s">
        <v>78</v>
      </c>
      <c r="F21" t="s">
        <v>5</v>
      </c>
    </row>
    <row r="22" spans="1:6" x14ac:dyDescent="0.25">
      <c r="A22" t="s">
        <v>81</v>
      </c>
      <c r="B22" t="s">
        <v>82</v>
      </c>
      <c r="E22" t="s">
        <v>78</v>
      </c>
      <c r="F22" t="s">
        <v>5</v>
      </c>
    </row>
    <row r="23" spans="1:6" x14ac:dyDescent="0.25">
      <c r="A23" t="s">
        <v>83</v>
      </c>
      <c r="B23" t="s">
        <v>84</v>
      </c>
      <c r="E23" t="s">
        <v>78</v>
      </c>
      <c r="F23" t="s">
        <v>5</v>
      </c>
    </row>
    <row r="24" spans="1:6" x14ac:dyDescent="0.25">
      <c r="A24" t="s">
        <v>85</v>
      </c>
      <c r="B24" t="s">
        <v>86</v>
      </c>
      <c r="E24" t="s">
        <v>78</v>
      </c>
      <c r="F24" t="s">
        <v>5</v>
      </c>
    </row>
    <row r="25" spans="1:6" x14ac:dyDescent="0.25">
      <c r="A25" t="s">
        <v>87</v>
      </c>
      <c r="B25" t="s">
        <v>88</v>
      </c>
      <c r="E25" t="s">
        <v>78</v>
      </c>
      <c r="F25" t="s">
        <v>5</v>
      </c>
    </row>
    <row r="26" spans="1:6" x14ac:dyDescent="0.25">
      <c r="A26" t="s">
        <v>89</v>
      </c>
      <c r="B26" t="s">
        <v>90</v>
      </c>
      <c r="E26" t="s">
        <v>78</v>
      </c>
      <c r="F26" t="s">
        <v>5</v>
      </c>
    </row>
    <row r="27" spans="1:6" x14ac:dyDescent="0.25">
      <c r="A27" t="s">
        <v>91</v>
      </c>
      <c r="B27" t="s">
        <v>92</v>
      </c>
      <c r="E27" t="s">
        <v>78</v>
      </c>
      <c r="F27" t="s">
        <v>5</v>
      </c>
    </row>
    <row r="28" spans="1:6" x14ac:dyDescent="0.25">
      <c r="A28" t="s">
        <v>93</v>
      </c>
      <c r="B28" t="s">
        <v>94</v>
      </c>
      <c r="E28" t="s">
        <v>78</v>
      </c>
      <c r="F28" t="s">
        <v>5</v>
      </c>
    </row>
    <row r="29" spans="1:6" x14ac:dyDescent="0.25">
      <c r="A29" t="s">
        <v>95</v>
      </c>
      <c r="B29" t="s">
        <v>96</v>
      </c>
      <c r="E29" t="s">
        <v>78</v>
      </c>
      <c r="F29" t="s">
        <v>5</v>
      </c>
    </row>
    <row r="30" spans="1:6" x14ac:dyDescent="0.25">
      <c r="A30" t="s">
        <v>97</v>
      </c>
      <c r="B30" t="s">
        <v>98</v>
      </c>
      <c r="E30" t="s">
        <v>78</v>
      </c>
      <c r="F30" t="s">
        <v>5</v>
      </c>
    </row>
    <row r="31" spans="1:6" x14ac:dyDescent="0.25">
      <c r="A31" t="s">
        <v>99</v>
      </c>
      <c r="B31" t="s">
        <v>100</v>
      </c>
      <c r="E31" t="s">
        <v>78</v>
      </c>
      <c r="F31" t="s">
        <v>5</v>
      </c>
    </row>
    <row r="32" spans="1:6" x14ac:dyDescent="0.25">
      <c r="A32" t="s">
        <v>101</v>
      </c>
      <c r="B32" t="s">
        <v>102</v>
      </c>
      <c r="E32" t="s">
        <v>78</v>
      </c>
      <c r="F32" t="s">
        <v>5</v>
      </c>
    </row>
    <row r="33" spans="1:6" x14ac:dyDescent="0.25">
      <c r="A33" t="s">
        <v>103</v>
      </c>
      <c r="B33" t="s">
        <v>104</v>
      </c>
      <c r="C33" t="s">
        <v>105</v>
      </c>
      <c r="D33" t="s">
        <v>106</v>
      </c>
      <c r="E33" t="s">
        <v>4</v>
      </c>
      <c r="F33" t="s">
        <v>5</v>
      </c>
    </row>
    <row r="34" spans="1:6" x14ac:dyDescent="0.25">
      <c r="A34" t="s">
        <v>107</v>
      </c>
      <c r="B34" t="s">
        <v>108</v>
      </c>
      <c r="C34" t="s">
        <v>109</v>
      </c>
      <c r="D34" t="s">
        <v>110</v>
      </c>
      <c r="E34" t="s">
        <v>4</v>
      </c>
      <c r="F34" t="s">
        <v>10</v>
      </c>
    </row>
    <row r="35" spans="1:6" s="3" customFormat="1" x14ac:dyDescent="0.25">
      <c r="A35" s="3" t="s">
        <v>111</v>
      </c>
      <c r="B35" s="3" t="s">
        <v>112</v>
      </c>
      <c r="C35" s="3" t="s">
        <v>113</v>
      </c>
      <c r="D35" s="3" t="s">
        <v>114</v>
      </c>
      <c r="E35" s="3" t="s">
        <v>66</v>
      </c>
      <c r="F35" s="3" t="s">
        <v>5</v>
      </c>
    </row>
    <row r="36" spans="1:6" s="1" customFormat="1" x14ac:dyDescent="0.25">
      <c r="A36" s="1" t="s">
        <v>115</v>
      </c>
      <c r="B36" s="1" t="s">
        <v>116</v>
      </c>
      <c r="C36" s="1" t="s">
        <v>117</v>
      </c>
      <c r="D36" s="1" t="s">
        <v>118</v>
      </c>
      <c r="E36" s="1" t="s">
        <v>49</v>
      </c>
      <c r="F36" s="1" t="s">
        <v>5</v>
      </c>
    </row>
    <row r="37" spans="1:6" s="1" customFormat="1" x14ac:dyDescent="0.25">
      <c r="A37" s="1" t="s">
        <v>119</v>
      </c>
      <c r="B37" s="1" t="s">
        <v>120</v>
      </c>
      <c r="C37" s="1" t="s">
        <v>121</v>
      </c>
      <c r="D37" s="1" t="s">
        <v>122</v>
      </c>
      <c r="E37" s="1" t="s">
        <v>49</v>
      </c>
      <c r="F37" s="1" t="s">
        <v>5</v>
      </c>
    </row>
    <row r="38" spans="1:6" s="2" customFormat="1" x14ac:dyDescent="0.25">
      <c r="A38" s="2" t="s">
        <v>123</v>
      </c>
      <c r="B38" s="2" t="s">
        <v>124</v>
      </c>
      <c r="C38" s="2" t="s">
        <v>125</v>
      </c>
      <c r="D38" s="2" t="s">
        <v>126</v>
      </c>
      <c r="E38" s="2" t="s">
        <v>49</v>
      </c>
      <c r="F38" s="2" t="s">
        <v>5</v>
      </c>
    </row>
    <row r="39" spans="1:6" s="2" customFormat="1" x14ac:dyDescent="0.25">
      <c r="A39" s="2" t="s">
        <v>127</v>
      </c>
      <c r="B39" s="2" t="s">
        <v>128</v>
      </c>
      <c r="C39" s="2" t="s">
        <v>129</v>
      </c>
      <c r="E39" s="2" t="s">
        <v>49</v>
      </c>
      <c r="F39" s="2" t="s">
        <v>5</v>
      </c>
    </row>
    <row r="40" spans="1:6" s="2" customFormat="1" x14ac:dyDescent="0.25">
      <c r="A40" s="2" t="s">
        <v>130</v>
      </c>
      <c r="B40" s="2" t="s">
        <v>131</v>
      </c>
      <c r="C40" s="2" t="s">
        <v>132</v>
      </c>
      <c r="D40" s="2" t="s">
        <v>133</v>
      </c>
      <c r="E40" s="2" t="s">
        <v>49</v>
      </c>
      <c r="F40" s="2" t="s">
        <v>5</v>
      </c>
    </row>
    <row r="41" spans="1:6" s="2" customFormat="1" x14ac:dyDescent="0.25">
      <c r="A41" s="2" t="s">
        <v>134</v>
      </c>
      <c r="B41" s="2" t="s">
        <v>135</v>
      </c>
      <c r="C41" s="2" t="s">
        <v>136</v>
      </c>
      <c r="D41" s="2" t="s">
        <v>137</v>
      </c>
      <c r="E41" s="2" t="s">
        <v>49</v>
      </c>
      <c r="F41" s="2" t="s">
        <v>5</v>
      </c>
    </row>
    <row r="42" spans="1:6" x14ac:dyDescent="0.25">
      <c r="A42" t="s">
        <v>138</v>
      </c>
      <c r="B42" t="s">
        <v>139</v>
      </c>
      <c r="E42" t="s">
        <v>78</v>
      </c>
      <c r="F42" t="s">
        <v>5</v>
      </c>
    </row>
    <row r="43" spans="1:6" x14ac:dyDescent="0.25">
      <c r="A43" t="s">
        <v>140</v>
      </c>
      <c r="B43" t="s">
        <v>141</v>
      </c>
      <c r="E43" t="s">
        <v>78</v>
      </c>
      <c r="F43" t="s">
        <v>5</v>
      </c>
    </row>
    <row r="44" spans="1:6" x14ac:dyDescent="0.25">
      <c r="A44" t="s">
        <v>142</v>
      </c>
      <c r="B44" t="s">
        <v>143</v>
      </c>
      <c r="E44" t="s">
        <v>78</v>
      </c>
      <c r="F44" t="s">
        <v>5</v>
      </c>
    </row>
    <row r="45" spans="1:6" x14ac:dyDescent="0.25">
      <c r="A45" t="s">
        <v>144</v>
      </c>
      <c r="B45" t="s">
        <v>145</v>
      </c>
      <c r="E45" t="s">
        <v>78</v>
      </c>
      <c r="F45" t="s">
        <v>5</v>
      </c>
    </row>
    <row r="46" spans="1:6" x14ac:dyDescent="0.25">
      <c r="A46" t="s">
        <v>146</v>
      </c>
      <c r="B46" t="s">
        <v>147</v>
      </c>
      <c r="E46" t="s">
        <v>66</v>
      </c>
      <c r="F46" t="s">
        <v>5</v>
      </c>
    </row>
    <row r="47" spans="1:6" s="3" customFormat="1" x14ac:dyDescent="0.25">
      <c r="A47" s="3" t="s">
        <v>148</v>
      </c>
      <c r="B47" s="3" t="s">
        <v>149</v>
      </c>
      <c r="C47" s="3" t="s">
        <v>150</v>
      </c>
      <c r="D47" s="3" t="s">
        <v>151</v>
      </c>
      <c r="E47" s="3" t="s">
        <v>49</v>
      </c>
      <c r="F47" s="3" t="s">
        <v>5</v>
      </c>
    </row>
    <row r="48" spans="1:6" x14ac:dyDescent="0.25">
      <c r="A48" t="s">
        <v>152</v>
      </c>
      <c r="B48" t="s">
        <v>153</v>
      </c>
      <c r="C48" t="s">
        <v>154</v>
      </c>
      <c r="D48" t="s">
        <v>155</v>
      </c>
      <c r="E48" t="s">
        <v>4</v>
      </c>
      <c r="F48" t="s">
        <v>5</v>
      </c>
    </row>
    <row r="49" spans="1:6" x14ac:dyDescent="0.25">
      <c r="A49" t="s">
        <v>156</v>
      </c>
      <c r="B49" t="s">
        <v>157</v>
      </c>
      <c r="E49" t="s">
        <v>78</v>
      </c>
      <c r="F49" t="s">
        <v>5</v>
      </c>
    </row>
    <row r="50" spans="1:6" x14ac:dyDescent="0.25">
      <c r="A50" t="s">
        <v>158</v>
      </c>
      <c r="B50" t="s">
        <v>159</v>
      </c>
      <c r="E50" t="s">
        <v>4</v>
      </c>
      <c r="F50" t="s">
        <v>10</v>
      </c>
    </row>
    <row r="51" spans="1:6" x14ac:dyDescent="0.25">
      <c r="A51" t="s">
        <v>160</v>
      </c>
      <c r="B51" t="s">
        <v>161</v>
      </c>
      <c r="C51" t="s">
        <v>162</v>
      </c>
      <c r="D51" t="s">
        <v>163</v>
      </c>
      <c r="E51" t="s">
        <v>66</v>
      </c>
      <c r="F51" t="s">
        <v>5</v>
      </c>
    </row>
    <row r="52" spans="1:6" x14ac:dyDescent="0.25">
      <c r="A52" t="s">
        <v>164</v>
      </c>
      <c r="B52" t="s">
        <v>165</v>
      </c>
      <c r="E52" t="s">
        <v>4</v>
      </c>
      <c r="F52" t="s">
        <v>10</v>
      </c>
    </row>
    <row r="53" spans="1:6" x14ac:dyDescent="0.25">
      <c r="A53" t="s">
        <v>166</v>
      </c>
      <c r="B53" t="s">
        <v>167</v>
      </c>
      <c r="E53" t="s">
        <v>4</v>
      </c>
      <c r="F53" t="s">
        <v>10</v>
      </c>
    </row>
    <row r="54" spans="1:6" x14ac:dyDescent="0.25">
      <c r="A54" t="s">
        <v>168</v>
      </c>
      <c r="B54" t="s">
        <v>169</v>
      </c>
      <c r="E54" t="s">
        <v>4</v>
      </c>
      <c r="F54" t="s">
        <v>10</v>
      </c>
    </row>
    <row r="55" spans="1:6" x14ac:dyDescent="0.25">
      <c r="A55" t="s">
        <v>170</v>
      </c>
      <c r="B55" t="s">
        <v>171</v>
      </c>
      <c r="E55" t="s">
        <v>4</v>
      </c>
      <c r="F55" t="s">
        <v>10</v>
      </c>
    </row>
    <row r="56" spans="1:6" x14ac:dyDescent="0.25">
      <c r="A56" t="s">
        <v>172</v>
      </c>
      <c r="B56" t="s">
        <v>173</v>
      </c>
      <c r="C56" t="s">
        <v>174</v>
      </c>
      <c r="D56" t="s">
        <v>175</v>
      </c>
      <c r="E56" t="s">
        <v>4</v>
      </c>
      <c r="F56" t="s">
        <v>10</v>
      </c>
    </row>
    <row r="57" spans="1:6" s="3" customFormat="1" x14ac:dyDescent="0.25">
      <c r="A57" s="3" t="s">
        <v>176</v>
      </c>
      <c r="B57" s="3" t="s">
        <v>177</v>
      </c>
      <c r="C57" s="3" t="s">
        <v>178</v>
      </c>
      <c r="E57" s="3" t="s">
        <v>49</v>
      </c>
      <c r="F57" s="3" t="s">
        <v>5</v>
      </c>
    </row>
    <row r="58" spans="1:6" x14ac:dyDescent="0.25">
      <c r="A58" t="s">
        <v>179</v>
      </c>
      <c r="B58" t="s">
        <v>180</v>
      </c>
      <c r="C58" t="s">
        <v>8</v>
      </c>
      <c r="D58" t="s">
        <v>9</v>
      </c>
      <c r="E58" t="s">
        <v>4</v>
      </c>
      <c r="F58" t="s">
        <v>5</v>
      </c>
    </row>
    <row r="59" spans="1:6" x14ac:dyDescent="0.25">
      <c r="A59" t="s">
        <v>181</v>
      </c>
      <c r="B59" t="s">
        <v>182</v>
      </c>
      <c r="C59" t="s">
        <v>109</v>
      </c>
      <c r="D59" t="s">
        <v>110</v>
      </c>
      <c r="E59" t="s">
        <v>4</v>
      </c>
      <c r="F59" t="s">
        <v>5</v>
      </c>
    </row>
    <row r="60" spans="1:6" x14ac:dyDescent="0.25">
      <c r="A60" t="s">
        <v>183</v>
      </c>
      <c r="B60" t="s">
        <v>184</v>
      </c>
      <c r="C60" t="s">
        <v>31</v>
      </c>
      <c r="D60" t="s">
        <v>32</v>
      </c>
      <c r="E60" t="s">
        <v>4</v>
      </c>
      <c r="F60" t="s">
        <v>5</v>
      </c>
    </row>
    <row r="61" spans="1:6" x14ac:dyDescent="0.25">
      <c r="A61" t="s">
        <v>185</v>
      </c>
      <c r="B61" t="s">
        <v>186</v>
      </c>
      <c r="C61" t="s">
        <v>174</v>
      </c>
      <c r="D61" t="s">
        <v>175</v>
      </c>
      <c r="E61" t="s">
        <v>4</v>
      </c>
      <c r="F61" t="s">
        <v>5</v>
      </c>
    </row>
    <row r="62" spans="1:6" x14ac:dyDescent="0.25">
      <c r="A62" t="s">
        <v>187</v>
      </c>
      <c r="B62" t="s">
        <v>188</v>
      </c>
      <c r="C62" t="s">
        <v>189</v>
      </c>
      <c r="D62" t="s">
        <v>190</v>
      </c>
      <c r="E62" t="s">
        <v>4</v>
      </c>
      <c r="F62" t="s">
        <v>5</v>
      </c>
    </row>
    <row r="63" spans="1:6" x14ac:dyDescent="0.25">
      <c r="A63" t="s">
        <v>191</v>
      </c>
      <c r="B63" t="s">
        <v>192</v>
      </c>
      <c r="C63" t="s">
        <v>162</v>
      </c>
      <c r="D63" t="s">
        <v>163</v>
      </c>
      <c r="E63" t="s">
        <v>66</v>
      </c>
      <c r="F63" t="s">
        <v>5</v>
      </c>
    </row>
    <row r="64" spans="1:6" x14ac:dyDescent="0.25">
      <c r="A64" t="s">
        <v>193</v>
      </c>
      <c r="B64" t="s">
        <v>194</v>
      </c>
      <c r="E64" t="s">
        <v>78</v>
      </c>
      <c r="F64" t="s">
        <v>5</v>
      </c>
    </row>
    <row r="65" spans="1:6" x14ac:dyDescent="0.25">
      <c r="A65" t="s">
        <v>195</v>
      </c>
      <c r="B65" t="s">
        <v>196</v>
      </c>
      <c r="C65" t="s">
        <v>197</v>
      </c>
      <c r="D65" t="s">
        <v>198</v>
      </c>
      <c r="E65" t="s">
        <v>4</v>
      </c>
      <c r="F65" t="s">
        <v>5</v>
      </c>
    </row>
    <row r="66" spans="1:6" x14ac:dyDescent="0.25">
      <c r="A66" t="s">
        <v>199</v>
      </c>
      <c r="B66" t="s">
        <v>200</v>
      </c>
      <c r="E66" t="s">
        <v>66</v>
      </c>
      <c r="F66" t="s">
        <v>5</v>
      </c>
    </row>
    <row r="67" spans="1:6" x14ac:dyDescent="0.25">
      <c r="A67" t="s">
        <v>201</v>
      </c>
      <c r="B67" t="s">
        <v>202</v>
      </c>
      <c r="E67" t="s">
        <v>78</v>
      </c>
      <c r="F67" t="s">
        <v>5</v>
      </c>
    </row>
    <row r="68" spans="1:6" x14ac:dyDescent="0.25">
      <c r="A68" t="s">
        <v>203</v>
      </c>
      <c r="B68" t="s">
        <v>204</v>
      </c>
      <c r="C68" t="s">
        <v>205</v>
      </c>
      <c r="D68" t="s">
        <v>206</v>
      </c>
      <c r="E68" t="s">
        <v>4</v>
      </c>
      <c r="F68" t="s">
        <v>5</v>
      </c>
    </row>
    <row r="69" spans="1:6" x14ac:dyDescent="0.25">
      <c r="A69" t="s">
        <v>207</v>
      </c>
      <c r="B69" t="s">
        <v>208</v>
      </c>
      <c r="E69" t="s">
        <v>4</v>
      </c>
      <c r="F69" t="s">
        <v>5</v>
      </c>
    </row>
    <row r="70" spans="1:6" x14ac:dyDescent="0.25">
      <c r="A70" t="s">
        <v>209</v>
      </c>
      <c r="B70" t="s">
        <v>210</v>
      </c>
      <c r="E70" t="s">
        <v>4</v>
      </c>
      <c r="F7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zoomScale="85" zoomScaleNormal="85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4.28515625" style="4" customWidth="1"/>
    <col min="2" max="2" width="36.5703125" customWidth="1"/>
    <col min="3" max="3" width="4.42578125" style="4" customWidth="1"/>
    <col min="4" max="4" width="40" customWidth="1"/>
    <col min="5" max="5" width="4.140625" style="4" customWidth="1"/>
    <col min="6" max="6" width="39.5703125" customWidth="1"/>
    <col min="7" max="7" width="44.85546875" customWidth="1"/>
    <col min="8" max="8" width="14.42578125" style="28" customWidth="1"/>
    <col min="9" max="9" width="13.28515625" customWidth="1"/>
    <col min="10" max="10" width="12.42578125" style="25" hidden="1" customWidth="1"/>
    <col min="11" max="11" width="13.85546875" style="25" hidden="1" customWidth="1"/>
    <col min="12" max="12" width="7.7109375" style="25" hidden="1" customWidth="1"/>
    <col min="13" max="13" width="96.5703125" style="25" hidden="1" customWidth="1"/>
    <col min="14" max="14" width="117.7109375" style="25" hidden="1" customWidth="1"/>
  </cols>
  <sheetData>
    <row r="1" spans="1:14" s="14" customFormat="1" ht="23.25" x14ac:dyDescent="0.35">
      <c r="A1" s="13" t="s">
        <v>213</v>
      </c>
      <c r="C1" s="15"/>
      <c r="E1" s="15"/>
      <c r="H1" s="26"/>
      <c r="J1" s="21"/>
      <c r="K1" s="21"/>
      <c r="L1" s="21"/>
      <c r="M1" s="21"/>
      <c r="N1" s="21"/>
    </row>
    <row r="2" spans="1:14" s="14" customFormat="1" x14ac:dyDescent="0.25">
      <c r="A2" s="15"/>
      <c r="C2" s="15"/>
      <c r="E2" s="15"/>
      <c r="H2" s="26"/>
      <c r="J2" s="21"/>
      <c r="K2" s="21"/>
      <c r="L2" s="21"/>
      <c r="M2" s="21"/>
      <c r="N2" s="21"/>
    </row>
    <row r="3" spans="1:14" s="16" customFormat="1" ht="26.25" customHeight="1" x14ac:dyDescent="0.25">
      <c r="A3" s="16" t="s">
        <v>212</v>
      </c>
      <c r="B3" s="16" t="s">
        <v>216</v>
      </c>
      <c r="C3" s="16" t="s">
        <v>212</v>
      </c>
      <c r="D3" s="16" t="s">
        <v>215</v>
      </c>
      <c r="E3" s="16" t="s">
        <v>212</v>
      </c>
      <c r="F3" s="16" t="s">
        <v>214</v>
      </c>
      <c r="G3" s="16" t="s">
        <v>259</v>
      </c>
      <c r="H3" s="16" t="s">
        <v>260</v>
      </c>
      <c r="I3" s="16" t="s">
        <v>261</v>
      </c>
      <c r="J3" s="22" t="s">
        <v>309</v>
      </c>
      <c r="K3" s="22" t="s">
        <v>310</v>
      </c>
      <c r="L3" s="22" t="s">
        <v>311</v>
      </c>
      <c r="M3" s="23" t="s">
        <v>308</v>
      </c>
      <c r="N3" s="22" t="s">
        <v>312</v>
      </c>
    </row>
    <row r="4" spans="1:14" s="14" customFormat="1" x14ac:dyDescent="0.25">
      <c r="A4" s="15">
        <v>1</v>
      </c>
      <c r="B4" s="14" t="s">
        <v>211</v>
      </c>
      <c r="C4" s="15">
        <v>1</v>
      </c>
      <c r="D4" s="14" t="s">
        <v>238</v>
      </c>
      <c r="E4" s="15">
        <v>1</v>
      </c>
      <c r="F4" s="17" t="s">
        <v>1</v>
      </c>
      <c r="G4" s="17" t="s">
        <v>2</v>
      </c>
      <c r="H4" s="26" t="s">
        <v>280</v>
      </c>
      <c r="I4" s="14" t="s">
        <v>313</v>
      </c>
      <c r="J4" s="21">
        <v>1</v>
      </c>
      <c r="K4" s="21">
        <v>1</v>
      </c>
      <c r="L4" s="21">
        <v>1</v>
      </c>
      <c r="M4" s="21" t="str">
        <f>"INSERT INTO tb_unit VALUES('"&amp;L4&amp;"','"&amp;F4&amp;"','"&amp;J4&amp;"','"&amp;K4&amp;"','0','Aktif')"</f>
        <v>INSERT INTO tb_unit VALUES('1','R. ASOKA','1','1','0','Aktif')</v>
      </c>
      <c r="N4" s="21" t="str">
        <f>"INSERT INTO tb_user VALUES('"&amp;L4&amp;"','"&amp;G4&amp;"','"&amp;L4&amp;"','"&amp;J4&amp;"','"&amp;K4&amp;"','"&amp;L4&amp;"','"&amp;H4&amp;"',MD5('"&amp;I4&amp;"'),'Aktif','User','Karyawan');"</f>
        <v>INSERT INTO tb_user VALUES('1','EFRI FURQONIYAH,S.Kep.,Ns.','1','1','1','1','efri',MD5('efri123'),'Aktif','User','Karyawan');</v>
      </c>
    </row>
    <row r="5" spans="1:14" s="14" customFormat="1" x14ac:dyDescent="0.25">
      <c r="A5" s="15"/>
      <c r="C5" s="15"/>
      <c r="E5" s="15">
        <v>2</v>
      </c>
      <c r="F5" s="17" t="s">
        <v>230</v>
      </c>
      <c r="G5" s="17" t="s">
        <v>232</v>
      </c>
      <c r="H5" s="26" t="s">
        <v>281</v>
      </c>
      <c r="I5" s="14" t="s">
        <v>314</v>
      </c>
      <c r="J5" s="21">
        <v>1</v>
      </c>
      <c r="K5" s="21">
        <v>1</v>
      </c>
      <c r="L5" s="21">
        <v>2</v>
      </c>
      <c r="M5" s="21" t="str">
        <f t="shared" ref="M5:M49" si="0">"INSERT INTO tb_unit VALUES('"&amp;L5&amp;"','"&amp;F5&amp;"','"&amp;J5&amp;"','"&amp;K5&amp;"','0','Aktif')"</f>
        <v>INSERT INTO tb_unit VALUES('2','R. ICCU','1','1','0','Aktif')</v>
      </c>
      <c r="N5" s="21" t="str">
        <f t="shared" ref="N5:N49" si="1">"INSERT INTO tb_user VALUES('"&amp;L5&amp;"','"&amp;G5&amp;"','"&amp;L5&amp;"','"&amp;J5&amp;"','"&amp;K5&amp;"','"&amp;L5&amp;"','"&amp;H5&amp;"',MD5('"&amp;I5&amp;"'),'Aktif','User','Karyawan');"</f>
        <v>INSERT INTO tb_user VALUES('2','ANANG KURNIAWAN, S.Kep.Ns','2','1','1','2','anang',MD5('anang123'),'Aktif','User','Karyawan');</v>
      </c>
    </row>
    <row r="6" spans="1:14" s="14" customFormat="1" x14ac:dyDescent="0.25">
      <c r="A6" s="15"/>
      <c r="C6" s="15"/>
      <c r="E6" s="15">
        <v>3</v>
      </c>
      <c r="F6" s="17" t="s">
        <v>20</v>
      </c>
      <c r="G6" s="17" t="s">
        <v>21</v>
      </c>
      <c r="H6" s="26" t="s">
        <v>282</v>
      </c>
      <c r="I6" s="14" t="s">
        <v>315</v>
      </c>
      <c r="J6" s="21">
        <v>1</v>
      </c>
      <c r="K6" s="21">
        <v>1</v>
      </c>
      <c r="L6" s="21">
        <v>3</v>
      </c>
      <c r="M6" s="21" t="str">
        <f t="shared" si="0"/>
        <v>INSERT INTO tb_unit VALUES('3','R. ICU','1','1','0','Aktif')</v>
      </c>
      <c r="N6" s="21" t="str">
        <f t="shared" si="1"/>
        <v>INSERT INTO tb_user VALUES('3','SITI MAIMUNAH, S.Kep.Ns','3','1','1','3','siti',MD5('siti123'),'Aktif','User','Karyawan');</v>
      </c>
    </row>
    <row r="7" spans="1:14" s="14" customFormat="1" x14ac:dyDescent="0.25">
      <c r="A7" s="15"/>
      <c r="C7" s="15"/>
      <c r="E7" s="15">
        <v>4</v>
      </c>
      <c r="F7" s="17" t="s">
        <v>24</v>
      </c>
      <c r="G7" s="17" t="s">
        <v>25</v>
      </c>
      <c r="H7" s="26" t="s">
        <v>283</v>
      </c>
      <c r="I7" s="14" t="s">
        <v>316</v>
      </c>
      <c r="J7" s="21">
        <v>1</v>
      </c>
      <c r="K7" s="21">
        <v>1</v>
      </c>
      <c r="L7" s="21">
        <v>4</v>
      </c>
      <c r="M7" s="21" t="str">
        <f t="shared" si="0"/>
        <v>INSERT INTO tb_unit VALUES('4','R. NICU','1','1','0','Aktif')</v>
      </c>
      <c r="N7" s="21" t="str">
        <f t="shared" si="1"/>
        <v>INSERT INTO tb_user VALUES('4','LILIK MUSKIATUN,S.Kep.,Ns.','4','1','1','4','lilik',MD5('lilik123'),'Aktif','User','Karyawan');</v>
      </c>
    </row>
    <row r="8" spans="1:14" s="14" customFormat="1" x14ac:dyDescent="0.25">
      <c r="A8" s="15"/>
      <c r="C8" s="15"/>
      <c r="E8" s="15">
        <v>5</v>
      </c>
      <c r="F8" s="17" t="s">
        <v>204</v>
      </c>
      <c r="G8" s="17" t="s">
        <v>205</v>
      </c>
      <c r="H8" s="26" t="s">
        <v>284</v>
      </c>
      <c r="I8" s="14" t="s">
        <v>317</v>
      </c>
      <c r="J8" s="21">
        <v>1</v>
      </c>
      <c r="K8" s="21">
        <v>1</v>
      </c>
      <c r="L8" s="21">
        <v>5</v>
      </c>
      <c r="M8" s="21" t="str">
        <f t="shared" si="0"/>
        <v>INSERT INTO tb_unit VALUES('5','HCU','1','1','0','Aktif')</v>
      </c>
      <c r="N8" s="21" t="str">
        <f t="shared" si="1"/>
        <v>INSERT INTO tb_user VALUES('5','SANTI MALIKA DEWI,A.Md,Kep','5','1','1','5','malika',MD5('malika123'),'Aktif','User','Karyawan');</v>
      </c>
    </row>
    <row r="9" spans="1:14" s="14" customFormat="1" x14ac:dyDescent="0.25">
      <c r="A9" s="15"/>
      <c r="C9" s="15"/>
      <c r="E9" s="15">
        <v>6</v>
      </c>
      <c r="F9" s="17" t="s">
        <v>249</v>
      </c>
      <c r="G9" s="17" t="s">
        <v>154</v>
      </c>
      <c r="H9" s="26" t="s">
        <v>285</v>
      </c>
      <c r="I9" s="14" t="s">
        <v>318</v>
      </c>
      <c r="J9" s="21">
        <v>1</v>
      </c>
      <c r="K9" s="21">
        <v>1</v>
      </c>
      <c r="L9" s="21">
        <v>6</v>
      </c>
      <c r="M9" s="21" t="str">
        <f t="shared" si="0"/>
        <v>INSERT INTO tb_unit VALUES('6','R.PICU','1','1','0','Aktif')</v>
      </c>
      <c r="N9" s="21" t="str">
        <f t="shared" si="1"/>
        <v>INSERT INTO tb_user VALUES('6','RINA DWI PUSPITASARI, A.Md.Kep','6','1','1','6','rina',MD5('rina123'),'Aktif','User','Karyawan');</v>
      </c>
    </row>
    <row r="10" spans="1:14" s="14" customFormat="1" x14ac:dyDescent="0.25">
      <c r="A10" s="15"/>
      <c r="C10" s="15"/>
      <c r="E10" s="15">
        <v>7</v>
      </c>
      <c r="F10" s="17" t="s">
        <v>34</v>
      </c>
      <c r="G10" s="17" t="s">
        <v>231</v>
      </c>
      <c r="H10" s="26" t="s">
        <v>286</v>
      </c>
      <c r="I10" s="14" t="s">
        <v>319</v>
      </c>
      <c r="J10" s="21">
        <v>1</v>
      </c>
      <c r="K10" s="21">
        <v>1</v>
      </c>
      <c r="L10" s="21">
        <v>7</v>
      </c>
      <c r="M10" s="21" t="str">
        <f t="shared" si="0"/>
        <v>INSERT INTO tb_unit VALUES('7','R. OK/IBS','1','1','0','Aktif')</v>
      </c>
      <c r="N10" s="21" t="str">
        <f t="shared" si="1"/>
        <v>INSERT INTO tb_user VALUES('7','BAMBANG MEW,S.Kep.NS','7','1','1','7','bambang',MD5('bambang123'),'Aktif','User','Karyawan');</v>
      </c>
    </row>
    <row r="11" spans="1:14" s="14" customFormat="1" x14ac:dyDescent="0.25">
      <c r="A11" s="15"/>
      <c r="C11" s="15"/>
      <c r="E11" s="15">
        <v>8</v>
      </c>
      <c r="F11" s="17" t="s">
        <v>38</v>
      </c>
      <c r="G11" s="17" t="s">
        <v>39</v>
      </c>
      <c r="H11" s="26" t="s">
        <v>287</v>
      </c>
      <c r="I11" s="14" t="s">
        <v>320</v>
      </c>
      <c r="J11" s="21">
        <v>1</v>
      </c>
      <c r="K11" s="21">
        <v>1</v>
      </c>
      <c r="L11" s="21">
        <v>8</v>
      </c>
      <c r="M11" s="21" t="str">
        <f t="shared" si="0"/>
        <v>INSERT INTO tb_unit VALUES('8','R. TENGGER','1','1','0','Aktif')</v>
      </c>
      <c r="N11" s="21" t="str">
        <f t="shared" si="1"/>
        <v>INSERT INTO tb_user VALUES('8','DYAH ARI SUSANTI, A.Md.Kep','8','1','1','8','dyah',MD5('dyah123'),'Aktif','User','Karyawan');</v>
      </c>
    </row>
    <row r="12" spans="1:14" s="14" customFormat="1" x14ac:dyDescent="0.25">
      <c r="A12" s="15"/>
      <c r="C12" s="15"/>
      <c r="E12" s="15">
        <v>9</v>
      </c>
      <c r="F12" s="17" t="s">
        <v>42</v>
      </c>
      <c r="G12" s="17" t="s">
        <v>43</v>
      </c>
      <c r="H12" s="26" t="s">
        <v>288</v>
      </c>
      <c r="I12" s="14" t="s">
        <v>321</v>
      </c>
      <c r="J12" s="21">
        <v>1</v>
      </c>
      <c r="K12" s="21">
        <v>1</v>
      </c>
      <c r="L12" s="21">
        <v>9</v>
      </c>
      <c r="M12" s="21" t="str">
        <f t="shared" si="0"/>
        <v>INSERT INTO tb_unit VALUES('9','INSTALASI GAWAT DARURAT','1','1','0','Aktif')</v>
      </c>
      <c r="N12" s="21" t="str">
        <f t="shared" si="1"/>
        <v>INSERT INTO tb_user VALUES('9','FERI ANTONI HERMAWANA.Md.Kep.','9','1','1','9','anton',MD5('anton123'),'Aktif','User','Karyawan');</v>
      </c>
    </row>
    <row r="13" spans="1:14" s="14" customFormat="1" x14ac:dyDescent="0.25">
      <c r="A13" s="15"/>
      <c r="C13" s="15"/>
      <c r="E13" s="15">
        <v>10</v>
      </c>
      <c r="F13" s="17" t="s">
        <v>104</v>
      </c>
      <c r="G13" s="17" t="s">
        <v>105</v>
      </c>
      <c r="H13" s="26" t="s">
        <v>289</v>
      </c>
      <c r="I13" s="14" t="s">
        <v>322</v>
      </c>
      <c r="J13" s="21">
        <v>1</v>
      </c>
      <c r="K13" s="21">
        <v>1</v>
      </c>
      <c r="L13" s="21">
        <v>10</v>
      </c>
      <c r="M13" s="21" t="str">
        <f t="shared" si="0"/>
        <v>INSERT INTO tb_unit VALUES('10','R. NEONATOLOGI','1','1','0','Aktif')</v>
      </c>
      <c r="N13" s="21" t="str">
        <f t="shared" si="1"/>
        <v>INSERT INTO tb_user VALUES('10','RETNO PALUPI,A.Md.Kep','10','1','1','10','retno',MD5('retno123'),'Aktif','User','Karyawan');</v>
      </c>
    </row>
    <row r="14" spans="1:14" s="14" customFormat="1" x14ac:dyDescent="0.25">
      <c r="A14" s="15"/>
      <c r="C14" s="15"/>
      <c r="E14" s="15">
        <v>11</v>
      </c>
      <c r="F14" s="17" t="s">
        <v>180</v>
      </c>
      <c r="G14" s="17" t="s">
        <v>8</v>
      </c>
      <c r="H14" s="26" t="s">
        <v>290</v>
      </c>
      <c r="I14" s="14" t="s">
        <v>323</v>
      </c>
      <c r="J14" s="21">
        <v>1</v>
      </c>
      <c r="K14" s="21">
        <v>1</v>
      </c>
      <c r="L14" s="21">
        <v>11</v>
      </c>
      <c r="M14" s="21" t="str">
        <f t="shared" si="0"/>
        <v>INSERT INTO tb_unit VALUES('11','R. MAWAR KUNING','1','1','0','Aktif')</v>
      </c>
      <c r="N14" s="21" t="str">
        <f t="shared" si="1"/>
        <v>INSERT INTO tb_user VALUES('11','KARTIKA AGUSTINI,S.Kep.,Ns.','11','1','1','11','kartika',MD5('kartika123'),'Aktif','User','Karyawan');</v>
      </c>
    </row>
    <row r="15" spans="1:14" s="14" customFormat="1" x14ac:dyDescent="0.25">
      <c r="A15" s="15"/>
      <c r="C15" s="15"/>
      <c r="E15" s="15">
        <v>12</v>
      </c>
      <c r="F15" s="17" t="s">
        <v>182</v>
      </c>
      <c r="G15" s="17" t="s">
        <v>109</v>
      </c>
      <c r="H15" s="26" t="s">
        <v>291</v>
      </c>
      <c r="I15" s="14" t="s">
        <v>324</v>
      </c>
      <c r="J15" s="21">
        <v>1</v>
      </c>
      <c r="K15" s="21">
        <v>1</v>
      </c>
      <c r="L15" s="21">
        <v>12</v>
      </c>
      <c r="M15" s="21" t="str">
        <f t="shared" si="0"/>
        <v>INSERT INTO tb_unit VALUES('12','R. MAWAR UNGU','1','1','0','Aktif')</v>
      </c>
      <c r="N15" s="21" t="str">
        <f t="shared" si="1"/>
        <v>INSERT INTO tb_user VALUES('12','WIWIK ISTIMEWATI HARININGSIH,S.Kep.,Ns.','12','1','1','12','wiwik',MD5('wiwik123'),'Aktif','User','Karyawan');</v>
      </c>
    </row>
    <row r="16" spans="1:14" s="14" customFormat="1" x14ac:dyDescent="0.25">
      <c r="A16" s="15"/>
      <c r="C16" s="15"/>
      <c r="E16" s="15">
        <v>13</v>
      </c>
      <c r="F16" s="17" t="s">
        <v>184</v>
      </c>
      <c r="G16" s="17" t="s">
        <v>31</v>
      </c>
      <c r="H16" s="26" t="s">
        <v>292</v>
      </c>
      <c r="I16" s="14" t="s">
        <v>325</v>
      </c>
      <c r="J16" s="21">
        <v>1</v>
      </c>
      <c r="K16" s="21">
        <v>1</v>
      </c>
      <c r="L16" s="21">
        <v>13</v>
      </c>
      <c r="M16" s="21" t="str">
        <f t="shared" si="0"/>
        <v>INSERT INTO tb_unit VALUES('13','R. MAWAR PUTIH','1','1','0','Aktif')</v>
      </c>
      <c r="N16" s="21" t="str">
        <f t="shared" si="1"/>
        <v>INSERT INTO tb_user VALUES('13','DIA YOGA PRATAMA,A.Md.Kep','13','1','1','13','yoga',MD5('yoga123'),'Aktif','User','Karyawan');</v>
      </c>
    </row>
    <row r="17" spans="1:14" s="14" customFormat="1" x14ac:dyDescent="0.25">
      <c r="A17" s="15"/>
      <c r="C17" s="15"/>
      <c r="E17" s="15">
        <v>14</v>
      </c>
      <c r="F17" s="17" t="s">
        <v>186</v>
      </c>
      <c r="G17" s="17" t="s">
        <v>174</v>
      </c>
      <c r="H17" s="26" t="s">
        <v>293</v>
      </c>
      <c r="I17" s="14" t="s">
        <v>326</v>
      </c>
      <c r="J17" s="21">
        <v>1</v>
      </c>
      <c r="K17" s="21">
        <v>1</v>
      </c>
      <c r="L17" s="21">
        <v>14</v>
      </c>
      <c r="M17" s="21" t="str">
        <f t="shared" si="0"/>
        <v>INSERT INTO tb_unit VALUES('14','R. MAWAR MERAH','1','1','0','Aktif')</v>
      </c>
      <c r="N17" s="21" t="str">
        <f t="shared" si="1"/>
        <v>INSERT INTO tb_user VALUES('14','AHMAD HASAN ZAINI,A.Md.Kep','14','1','1','14','zaini',MD5('zaini123'),'Aktif','User','Karyawan');</v>
      </c>
    </row>
    <row r="18" spans="1:14" s="14" customFormat="1" x14ac:dyDescent="0.25">
      <c r="A18" s="15"/>
      <c r="C18" s="15"/>
      <c r="E18" s="15">
        <v>15</v>
      </c>
      <c r="F18" s="17" t="s">
        <v>233</v>
      </c>
      <c r="G18" s="17" t="s">
        <v>234</v>
      </c>
      <c r="H18" s="26" t="s">
        <v>294</v>
      </c>
      <c r="I18" s="14" t="s">
        <v>327</v>
      </c>
      <c r="J18" s="21">
        <v>1</v>
      </c>
      <c r="K18" s="21">
        <v>1</v>
      </c>
      <c r="L18" s="21">
        <v>15</v>
      </c>
      <c r="M18" s="21" t="str">
        <f t="shared" si="0"/>
        <v>INSERT INTO tb_unit VALUES('15','R. ROSELLA ','1','1','0','Aktif')</v>
      </c>
      <c r="N18" s="21" t="str">
        <f t="shared" si="1"/>
        <v>INSERT INTO tb_user VALUES('15','MUFLIKAH, SST','15','1','1','15','muflika',MD5('muflika123'),'Aktif','User','Karyawan');</v>
      </c>
    </row>
    <row r="19" spans="1:14" s="14" customFormat="1" x14ac:dyDescent="0.25">
      <c r="A19" s="15"/>
      <c r="C19" s="15"/>
      <c r="E19" s="15">
        <v>16</v>
      </c>
      <c r="F19" s="17" t="s">
        <v>208</v>
      </c>
      <c r="G19" s="17" t="s">
        <v>235</v>
      </c>
      <c r="H19" s="26" t="s">
        <v>295</v>
      </c>
      <c r="I19" s="14" t="s">
        <v>328</v>
      </c>
      <c r="J19" s="21">
        <v>1</v>
      </c>
      <c r="K19" s="21">
        <v>1</v>
      </c>
      <c r="L19" s="21">
        <v>16</v>
      </c>
      <c r="M19" s="21" t="str">
        <f t="shared" si="0"/>
        <v>INSERT INTO tb_unit VALUES('16','R. CEMPAKA','1','1','0','Aktif')</v>
      </c>
      <c r="N19" s="21" t="str">
        <f t="shared" si="1"/>
        <v>INSERT INTO tb_user VALUES('16','SEKTIAYU AGUSTINA, S.Kep.Ns','16','1','1','16','sekti',MD5('sekti123'),'Aktif','User','Karyawan');</v>
      </c>
    </row>
    <row r="20" spans="1:14" s="14" customFormat="1" x14ac:dyDescent="0.25">
      <c r="A20" s="15"/>
      <c r="C20" s="15"/>
      <c r="E20" s="15">
        <v>17</v>
      </c>
      <c r="F20" s="17" t="s">
        <v>236</v>
      </c>
      <c r="G20" s="17" t="s">
        <v>237</v>
      </c>
      <c r="H20" s="26" t="s">
        <v>296</v>
      </c>
      <c r="I20" s="14" t="s">
        <v>329</v>
      </c>
      <c r="J20" s="21">
        <v>1</v>
      </c>
      <c r="K20" s="21">
        <v>1</v>
      </c>
      <c r="L20" s="21">
        <v>17</v>
      </c>
      <c r="M20" s="21" t="str">
        <f t="shared" si="0"/>
        <v>INSERT INTO tb_unit VALUES('17','R.LOTUS ','1','1','0','Aktif')</v>
      </c>
      <c r="N20" s="21" t="str">
        <f t="shared" si="1"/>
        <v>INSERT INTO tb_user VALUES('17','ADI AKARI SUGIA, S.Kep.Ns , M.Kep','17','1','1','17','adi',MD5('adi123'),'Aktif','User','Karyawan');</v>
      </c>
    </row>
    <row r="21" spans="1:14" s="10" customFormat="1" x14ac:dyDescent="0.25">
      <c r="A21" s="9">
        <v>2</v>
      </c>
      <c r="B21" s="10" t="s">
        <v>211</v>
      </c>
      <c r="C21" s="11">
        <v>2</v>
      </c>
      <c r="D21" s="12" t="s">
        <v>219</v>
      </c>
      <c r="E21" s="11">
        <v>1</v>
      </c>
      <c r="F21" s="12" t="s">
        <v>77</v>
      </c>
      <c r="G21" s="12" t="s">
        <v>223</v>
      </c>
      <c r="H21" s="12" t="s">
        <v>262</v>
      </c>
      <c r="I21" s="10" t="s">
        <v>330</v>
      </c>
      <c r="J21" s="24">
        <v>1</v>
      </c>
      <c r="K21" s="24">
        <v>2</v>
      </c>
      <c r="L21" s="24">
        <v>18</v>
      </c>
      <c r="M21" s="24" t="str">
        <f t="shared" si="0"/>
        <v>INSERT INTO tb_unit VALUES('18','POLI VCT','1','2','0','Aktif')</v>
      </c>
      <c r="N21" s="24" t="str">
        <f t="shared" si="1"/>
        <v>INSERT INTO tb_user VALUES('18','WIWIT ASIH HANUN, S.Kep.Ns','18','1','2','18','asih',MD5('asih123'),'Aktif','User','Karyawan');</v>
      </c>
    </row>
    <row r="22" spans="1:14" s="14" customFormat="1" x14ac:dyDescent="0.25">
      <c r="A22" s="15"/>
      <c r="C22" s="18"/>
      <c r="D22" s="17"/>
      <c r="E22" s="18">
        <v>2</v>
      </c>
      <c r="F22" s="17" t="s">
        <v>80</v>
      </c>
      <c r="G22" s="17" t="s">
        <v>246</v>
      </c>
      <c r="H22" s="26" t="s">
        <v>268</v>
      </c>
      <c r="I22" s="14" t="s">
        <v>331</v>
      </c>
      <c r="J22" s="21">
        <v>1</v>
      </c>
      <c r="K22" s="21">
        <v>2</v>
      </c>
      <c r="L22" s="21">
        <v>19</v>
      </c>
      <c r="M22" s="21" t="str">
        <f t="shared" si="0"/>
        <v>INSERT INTO tb_unit VALUES('19','POLI GIGI','1','2','0','Aktif')</v>
      </c>
      <c r="N22" s="21" t="str">
        <f t="shared" si="1"/>
        <v>INSERT INTO tb_user VALUES('19','FAIQOH TURROHMA, Amd.','19','1','2','19','faiqo',MD5('faiqo123'),'Aktif','User','Karyawan');</v>
      </c>
    </row>
    <row r="23" spans="1:14" s="14" customFormat="1" x14ac:dyDescent="0.25">
      <c r="A23" s="15"/>
      <c r="C23" s="18"/>
      <c r="D23" s="17"/>
      <c r="E23" s="18">
        <v>3</v>
      </c>
      <c r="F23" s="17" t="s">
        <v>82</v>
      </c>
      <c r="G23" s="17" t="s">
        <v>224</v>
      </c>
      <c r="H23" s="26" t="s">
        <v>263</v>
      </c>
      <c r="I23" s="14" t="s">
        <v>332</v>
      </c>
      <c r="J23" s="21">
        <v>1</v>
      </c>
      <c r="K23" s="21">
        <v>2</v>
      </c>
      <c r="L23" s="21">
        <v>20</v>
      </c>
      <c r="M23" s="21" t="str">
        <f t="shared" si="0"/>
        <v>INSERT INTO tb_unit VALUES('20','POLI ANAK','1','2','0','Aktif')</v>
      </c>
      <c r="N23" s="21" t="str">
        <f t="shared" si="1"/>
        <v>INSERT INTO tb_user VALUES('20','ELOK MERDEKAWATI, S.Kep.Ns','20','1','2','20','elok',MD5('elok123'),'Aktif','User','Karyawan');</v>
      </c>
    </row>
    <row r="24" spans="1:14" s="14" customFormat="1" x14ac:dyDescent="0.25">
      <c r="A24" s="15"/>
      <c r="C24" s="18"/>
      <c r="D24" s="17"/>
      <c r="E24" s="18">
        <v>4</v>
      </c>
      <c r="F24" s="17" t="s">
        <v>84</v>
      </c>
      <c r="G24" s="17" t="s">
        <v>244</v>
      </c>
      <c r="H24" s="27" t="s">
        <v>264</v>
      </c>
      <c r="I24" s="14" t="s">
        <v>333</v>
      </c>
      <c r="J24" s="21">
        <v>1</v>
      </c>
      <c r="K24" s="21">
        <v>2</v>
      </c>
      <c r="L24" s="21">
        <v>21</v>
      </c>
      <c r="M24" s="21" t="str">
        <f t="shared" si="0"/>
        <v>INSERT INTO tb_unit VALUES('21','POLI OBGYN','1','2','0','Aktif')</v>
      </c>
      <c r="N24" s="21" t="str">
        <f t="shared" si="1"/>
        <v>INSERT INTO tb_user VALUES('21','ELMA FATATI, SST','21','1','2','21','elma',MD5('elma123'),'Aktif','User','Karyawan');</v>
      </c>
    </row>
    <row r="25" spans="1:14" s="14" customFormat="1" x14ac:dyDescent="0.25">
      <c r="A25" s="15"/>
      <c r="C25" s="18"/>
      <c r="D25" s="17"/>
      <c r="E25" s="18">
        <v>5</v>
      </c>
      <c r="F25" s="17" t="s">
        <v>86</v>
      </c>
      <c r="G25" s="17" t="s">
        <v>222</v>
      </c>
      <c r="H25" s="26" t="s">
        <v>265</v>
      </c>
      <c r="I25" s="14" t="s">
        <v>334</v>
      </c>
      <c r="J25" s="21">
        <v>1</v>
      </c>
      <c r="K25" s="21">
        <v>2</v>
      </c>
      <c r="L25" s="21">
        <v>22</v>
      </c>
      <c r="M25" s="21" t="str">
        <f t="shared" si="0"/>
        <v>INSERT INTO tb_unit VALUES('22','POLI ORTHOPEDI','1','2','0','Aktif')</v>
      </c>
      <c r="N25" s="21" t="str">
        <f t="shared" si="1"/>
        <v>INSERT INTO tb_user VALUES('22','ROLIS PUTRO NUGROHO','22','1','2','22','rolis',MD5('rolis123'),'Aktif','User','Karyawan');</v>
      </c>
    </row>
    <row r="26" spans="1:14" s="14" customFormat="1" x14ac:dyDescent="0.25">
      <c r="A26" s="15"/>
      <c r="C26" s="18"/>
      <c r="D26" s="17"/>
      <c r="E26" s="18">
        <v>6</v>
      </c>
      <c r="F26" s="17" t="s">
        <v>88</v>
      </c>
      <c r="G26" s="19" t="s">
        <v>220</v>
      </c>
      <c r="H26" s="26" t="s">
        <v>266</v>
      </c>
      <c r="I26" s="14" t="s">
        <v>335</v>
      </c>
      <c r="J26" s="21">
        <v>1</v>
      </c>
      <c r="K26" s="21">
        <v>2</v>
      </c>
      <c r="L26" s="21">
        <v>23</v>
      </c>
      <c r="M26" s="21" t="str">
        <f t="shared" si="0"/>
        <v>INSERT INTO tb_unit VALUES('23','POLI JANTUNG','1','2','0','Aktif')</v>
      </c>
      <c r="N26" s="21" t="str">
        <f t="shared" si="1"/>
        <v>INSERT INTO tb_user VALUES('23','HASAN BASRI, S.Kep.Ns','23','1','2','23','hasan',MD5('hasan123'),'Aktif','User','Karyawan');</v>
      </c>
    </row>
    <row r="27" spans="1:14" s="14" customFormat="1" x14ac:dyDescent="0.25">
      <c r="A27" s="15"/>
      <c r="C27" s="18"/>
      <c r="D27" s="17"/>
      <c r="E27" s="18">
        <v>7</v>
      </c>
      <c r="F27" s="17" t="s">
        <v>90</v>
      </c>
      <c r="G27" s="17" t="s">
        <v>225</v>
      </c>
      <c r="H27" s="27" t="s">
        <v>267</v>
      </c>
      <c r="I27" s="14" t="s">
        <v>336</v>
      </c>
      <c r="J27" s="21">
        <v>1</v>
      </c>
      <c r="K27" s="21">
        <v>2</v>
      </c>
      <c r="L27" s="21">
        <v>24</v>
      </c>
      <c r="M27" s="21" t="str">
        <f t="shared" si="0"/>
        <v>INSERT INTO tb_unit VALUES('24','POLI BEDAH','1','2','0','Aktif')</v>
      </c>
      <c r="N27" s="21" t="str">
        <f t="shared" si="1"/>
        <v>INSERT INTO tb_user VALUES('24','SELVI SITORINA, S.Kep.Ns','24','1','2','24','selvi',MD5('selvi123'),'Aktif','User','Karyawan');</v>
      </c>
    </row>
    <row r="28" spans="1:14" s="14" customFormat="1" x14ac:dyDescent="0.25">
      <c r="A28" s="15"/>
      <c r="C28" s="18"/>
      <c r="D28" s="17"/>
      <c r="E28" s="18">
        <v>8</v>
      </c>
      <c r="F28" s="17" t="s">
        <v>92</v>
      </c>
      <c r="G28" s="19" t="s">
        <v>221</v>
      </c>
      <c r="H28" s="26" t="s">
        <v>269</v>
      </c>
      <c r="I28" s="14" t="s">
        <v>337</v>
      </c>
      <c r="J28" s="21">
        <v>1</v>
      </c>
      <c r="K28" s="21">
        <v>2</v>
      </c>
      <c r="L28" s="21">
        <v>25</v>
      </c>
      <c r="M28" s="21" t="str">
        <f t="shared" si="0"/>
        <v>INSERT INTO tb_unit VALUES('25','POLI SARAF','1','2','0','Aktif')</v>
      </c>
      <c r="N28" s="21" t="str">
        <f t="shared" si="1"/>
        <v>INSERT INTO tb_user VALUES('25','DYNA  PRIHATIN, Amd.Kep','25','1','2','25','dyna',MD5('dyna123'),'Aktif','User','Karyawan');</v>
      </c>
    </row>
    <row r="29" spans="1:14" s="14" customFormat="1" x14ac:dyDescent="0.25">
      <c r="A29" s="15"/>
      <c r="C29" s="18"/>
      <c r="D29" s="17"/>
      <c r="E29" s="18">
        <v>9</v>
      </c>
      <c r="F29" s="17" t="s">
        <v>94</v>
      </c>
      <c r="G29" s="17" t="s">
        <v>226</v>
      </c>
      <c r="H29" s="27" t="s">
        <v>270</v>
      </c>
      <c r="I29" s="14" t="s">
        <v>338</v>
      </c>
      <c r="J29" s="21">
        <v>1</v>
      </c>
      <c r="K29" s="21">
        <v>2</v>
      </c>
      <c r="L29" s="21">
        <v>26</v>
      </c>
      <c r="M29" s="21" t="str">
        <f t="shared" si="0"/>
        <v>INSERT INTO tb_unit VALUES('26','POLI DALAM','1','2','0','Aktif')</v>
      </c>
      <c r="N29" s="21" t="str">
        <f t="shared" si="1"/>
        <v>INSERT INTO tb_user VALUES('26','INDATUN BADRIATI, S.Kep.Ns','26','1','2','26','indatun',MD5('indatun123'),'Aktif','User','Karyawan');</v>
      </c>
    </row>
    <row r="30" spans="1:14" s="14" customFormat="1" x14ac:dyDescent="0.25">
      <c r="A30" s="15"/>
      <c r="C30" s="18"/>
      <c r="D30" s="17"/>
      <c r="E30" s="18">
        <v>10</v>
      </c>
      <c r="F30" s="17" t="s">
        <v>96</v>
      </c>
      <c r="G30" s="17" t="s">
        <v>227</v>
      </c>
      <c r="H30" s="26" t="s">
        <v>271</v>
      </c>
      <c r="I30" s="14" t="s">
        <v>339</v>
      </c>
      <c r="J30" s="21">
        <v>1</v>
      </c>
      <c r="K30" s="21">
        <v>2</v>
      </c>
      <c r="L30" s="21">
        <v>27</v>
      </c>
      <c r="M30" s="21" t="str">
        <f t="shared" si="0"/>
        <v>INSERT INTO tb_unit VALUES('27','POLI DOTS','1','2','0','Aktif')</v>
      </c>
      <c r="N30" s="21" t="str">
        <f t="shared" si="1"/>
        <v>INSERT INTO tb_user VALUES('27','ERIKA RAHMAWATI, S.Kep.Ns','27','1','2','27','erika',MD5('erika123'),'Aktif','User','Karyawan');</v>
      </c>
    </row>
    <row r="31" spans="1:14" s="14" customFormat="1" x14ac:dyDescent="0.25">
      <c r="A31" s="15"/>
      <c r="C31" s="18"/>
      <c r="D31" s="17"/>
      <c r="E31" s="18">
        <v>11</v>
      </c>
      <c r="F31" s="17" t="s">
        <v>98</v>
      </c>
      <c r="G31" s="17" t="s">
        <v>227</v>
      </c>
      <c r="H31" s="8" t="s">
        <v>272</v>
      </c>
      <c r="I31" s="14" t="s">
        <v>340</v>
      </c>
      <c r="J31" s="21">
        <v>1</v>
      </c>
      <c r="K31" s="21">
        <v>2</v>
      </c>
      <c r="L31" s="21">
        <v>28</v>
      </c>
      <c r="M31" s="21" t="str">
        <f t="shared" si="0"/>
        <v>INSERT INTO tb_unit VALUES('28','POLI PARU','1','2','0','Aktif')</v>
      </c>
      <c r="N31" s="21" t="str">
        <f t="shared" si="1"/>
        <v>INSERT INTO tb_user VALUES('28','ERIKA RAHMAWATI, S.Kep.Ns','28','1','2','28','erikar',MD5('erikar123'),'Aktif','User','Karyawan');</v>
      </c>
    </row>
    <row r="32" spans="1:14" s="14" customFormat="1" x14ac:dyDescent="0.25">
      <c r="A32" s="15"/>
      <c r="C32" s="18"/>
      <c r="D32" s="17"/>
      <c r="E32" s="18">
        <v>12</v>
      </c>
      <c r="F32" s="17" t="s">
        <v>202</v>
      </c>
      <c r="G32" s="17" t="s">
        <v>228</v>
      </c>
      <c r="H32" s="26" t="s">
        <v>273</v>
      </c>
      <c r="I32" s="14" t="s">
        <v>341</v>
      </c>
      <c r="J32" s="21">
        <v>1</v>
      </c>
      <c r="K32" s="21">
        <v>2</v>
      </c>
      <c r="L32" s="21">
        <v>29</v>
      </c>
      <c r="M32" s="21" t="str">
        <f t="shared" si="0"/>
        <v>INSERT INTO tb_unit VALUES('29','POLI PSIKIATRI','1','2','0','Aktif')</v>
      </c>
      <c r="N32" s="21" t="str">
        <f t="shared" si="1"/>
        <v>INSERT INTO tb_user VALUES('29','ROHMATIKA, S.Kep.Ns','29','1','2','29','tika',MD5('tika123'),'Aktif','User','Karyawan');</v>
      </c>
    </row>
    <row r="33" spans="1:14" s="14" customFormat="1" x14ac:dyDescent="0.25">
      <c r="A33" s="15"/>
      <c r="C33" s="18"/>
      <c r="D33" s="17"/>
      <c r="E33" s="18">
        <v>13</v>
      </c>
      <c r="F33" s="17" t="s">
        <v>102</v>
      </c>
      <c r="G33" s="17" t="s">
        <v>229</v>
      </c>
      <c r="H33" s="8" t="s">
        <v>274</v>
      </c>
      <c r="I33" s="14" t="s">
        <v>342</v>
      </c>
      <c r="J33" s="21">
        <v>1</v>
      </c>
      <c r="K33" s="21">
        <v>2</v>
      </c>
      <c r="L33" s="21">
        <v>30</v>
      </c>
      <c r="M33" s="21" t="str">
        <f t="shared" si="0"/>
        <v>INSERT INTO tb_unit VALUES('30','POLI UMUM','1','2','0','Aktif')</v>
      </c>
      <c r="N33" s="21" t="str">
        <f t="shared" si="1"/>
        <v>INSERT INTO tb_user VALUES('30','ELYS BAIROH, S.Kep.Ns','30','1','2','30','elys',MD5('elys123'),'Aktif','User','Karyawan');</v>
      </c>
    </row>
    <row r="34" spans="1:14" s="14" customFormat="1" x14ac:dyDescent="0.25">
      <c r="A34" s="15"/>
      <c r="C34" s="18"/>
      <c r="D34" s="17"/>
      <c r="E34" s="18">
        <v>14</v>
      </c>
      <c r="F34" s="17" t="s">
        <v>139</v>
      </c>
      <c r="G34" s="17" t="s">
        <v>239</v>
      </c>
      <c r="H34" s="26" t="s">
        <v>275</v>
      </c>
      <c r="I34" s="14" t="s">
        <v>343</v>
      </c>
      <c r="J34" s="21">
        <v>1</v>
      </c>
      <c r="K34" s="21">
        <v>2</v>
      </c>
      <c r="L34" s="21">
        <v>31</v>
      </c>
      <c r="M34" s="21" t="str">
        <f t="shared" si="0"/>
        <v>INSERT INTO tb_unit VALUES('31','POLI MATA','1','2','0','Aktif')</v>
      </c>
      <c r="N34" s="21" t="str">
        <f t="shared" si="1"/>
        <v>INSERT INTO tb_user VALUES('31','LINA INDRIYANI, , S.Kep.Ns','31','1','2','31','lina',MD5('lina123'),'Aktif','User','Karyawan');</v>
      </c>
    </row>
    <row r="35" spans="1:14" s="14" customFormat="1" x14ac:dyDescent="0.25">
      <c r="A35" s="15"/>
      <c r="C35" s="18"/>
      <c r="D35" s="17"/>
      <c r="E35" s="18">
        <v>15</v>
      </c>
      <c r="F35" s="17" t="s">
        <v>141</v>
      </c>
      <c r="G35" s="17" t="s">
        <v>240</v>
      </c>
      <c r="H35" s="26" t="s">
        <v>276</v>
      </c>
      <c r="I35" s="14" t="s">
        <v>344</v>
      </c>
      <c r="J35" s="21">
        <v>1</v>
      </c>
      <c r="K35" s="21">
        <v>2</v>
      </c>
      <c r="L35" s="21">
        <v>32</v>
      </c>
      <c r="M35" s="21" t="str">
        <f t="shared" si="0"/>
        <v>INSERT INTO tb_unit VALUES('32','POLI KULIT KELAMIN','1','2','0','Aktif')</v>
      </c>
      <c r="N35" s="21" t="str">
        <f t="shared" si="1"/>
        <v>INSERT INTO tb_user VALUES('32','TETI HANDAYATI, , S.Kep.Ns','32','1','2','32','teti',MD5('teti123'),'Aktif','User','Karyawan');</v>
      </c>
    </row>
    <row r="36" spans="1:14" s="14" customFormat="1" x14ac:dyDescent="0.25">
      <c r="A36" s="15"/>
      <c r="C36" s="18"/>
      <c r="D36" s="17"/>
      <c r="E36" s="18">
        <v>16</v>
      </c>
      <c r="F36" s="17" t="s">
        <v>145</v>
      </c>
      <c r="G36" s="17" t="s">
        <v>241</v>
      </c>
      <c r="H36" s="26" t="s">
        <v>277</v>
      </c>
      <c r="I36" s="14" t="s">
        <v>345</v>
      </c>
      <c r="J36" s="21">
        <v>1</v>
      </c>
      <c r="K36" s="21">
        <v>2</v>
      </c>
      <c r="L36" s="21">
        <v>33</v>
      </c>
      <c r="M36" s="21" t="str">
        <f t="shared" si="0"/>
        <v>INSERT INTO tb_unit VALUES('33','POLI THT','1','2','0','Aktif')</v>
      </c>
      <c r="N36" s="21" t="str">
        <f t="shared" si="1"/>
        <v>INSERT INTO tb_user VALUES('33','MELY ANGGRAENI, , S.Kep.Ns','33','1','2','33','mely',MD5('mely123'),'Aktif','User','Karyawan');</v>
      </c>
    </row>
    <row r="37" spans="1:14" s="14" customFormat="1" x14ac:dyDescent="0.25">
      <c r="A37" s="15"/>
      <c r="C37" s="18"/>
      <c r="D37" s="17"/>
      <c r="E37" s="18">
        <v>17</v>
      </c>
      <c r="F37" s="17" t="s">
        <v>217</v>
      </c>
      <c r="G37" s="17" t="s">
        <v>242</v>
      </c>
      <c r="H37" s="26" t="s">
        <v>278</v>
      </c>
      <c r="I37" s="14" t="s">
        <v>346</v>
      </c>
      <c r="J37" s="21">
        <v>1</v>
      </c>
      <c r="K37" s="21">
        <v>2</v>
      </c>
      <c r="L37" s="21">
        <v>34</v>
      </c>
      <c r="M37" s="21" t="str">
        <f t="shared" si="0"/>
        <v>INSERT INTO tb_unit VALUES('34','POLI ANESTESI','1','2','0','Aktif')</v>
      </c>
      <c r="N37" s="21" t="str">
        <f t="shared" si="1"/>
        <v>INSERT INTO tb_user VALUES('34','DIAN NOVITASARI, , S.Kep.Ns','34','1','2','34','dian',MD5('dian123'),'Aktif','User','Karyawan');</v>
      </c>
    </row>
    <row r="38" spans="1:14" s="14" customFormat="1" x14ac:dyDescent="0.25">
      <c r="A38" s="15"/>
      <c r="C38" s="18"/>
      <c r="D38" s="17"/>
      <c r="E38" s="18">
        <v>18</v>
      </c>
      <c r="F38" s="17" t="s">
        <v>218</v>
      </c>
      <c r="G38" s="17" t="s">
        <v>243</v>
      </c>
      <c r="H38" s="26" t="s">
        <v>279</v>
      </c>
      <c r="I38" s="14" t="s">
        <v>347</v>
      </c>
      <c r="J38" s="21">
        <v>1</v>
      </c>
      <c r="K38" s="21">
        <v>2</v>
      </c>
      <c r="L38" s="21">
        <v>35</v>
      </c>
      <c r="M38" s="21" t="str">
        <f t="shared" si="0"/>
        <v>INSERT INTO tb_unit VALUES('35','POLI BEDAH SARAF','1','2','0','Aktif')</v>
      </c>
      <c r="N38" s="21" t="str">
        <f t="shared" si="1"/>
        <v>INSERT INTO tb_user VALUES('35','ERIK BUDI KUSWOYYO, , S.Kep.Ns','35','1','2','35','erik',MD5('erik123'),'Aktif','User','Karyawan');</v>
      </c>
    </row>
    <row r="39" spans="1:14" s="10" customFormat="1" x14ac:dyDescent="0.25">
      <c r="A39" s="9">
        <v>3</v>
      </c>
      <c r="B39" s="10" t="s">
        <v>257</v>
      </c>
      <c r="C39" s="11">
        <v>3</v>
      </c>
      <c r="D39" s="12" t="s">
        <v>247</v>
      </c>
      <c r="E39" s="11">
        <v>1</v>
      </c>
      <c r="F39" s="12" t="s">
        <v>63</v>
      </c>
      <c r="G39" s="12" t="s">
        <v>64</v>
      </c>
      <c r="H39" s="12" t="s">
        <v>297</v>
      </c>
      <c r="I39" s="10" t="s">
        <v>348</v>
      </c>
      <c r="J39" s="24">
        <v>2</v>
      </c>
      <c r="K39" s="24">
        <v>3</v>
      </c>
      <c r="L39" s="24">
        <v>36</v>
      </c>
      <c r="M39" s="24" t="str">
        <f t="shared" si="0"/>
        <v>INSERT INTO tb_unit VALUES('36','FARMASI','2','3','0','Aktif')</v>
      </c>
      <c r="N39" s="24" t="str">
        <f t="shared" si="1"/>
        <v>INSERT INTO tb_user VALUES('36','LELY AGUSTIN, Ssi.Apt','36','2','3','36','lely',MD5('lely123'),'Aktif','User','Karyawan');</v>
      </c>
    </row>
    <row r="40" spans="1:14" s="14" customFormat="1" x14ac:dyDescent="0.25">
      <c r="A40" s="15"/>
      <c r="C40" s="15"/>
      <c r="E40" s="18">
        <v>2</v>
      </c>
      <c r="F40" s="17" t="s">
        <v>68</v>
      </c>
      <c r="G40" s="17" t="s">
        <v>69</v>
      </c>
      <c r="H40" s="26" t="s">
        <v>298</v>
      </c>
      <c r="I40" s="14" t="s">
        <v>349</v>
      </c>
      <c r="J40" s="21">
        <v>2</v>
      </c>
      <c r="K40" s="21">
        <v>3</v>
      </c>
      <c r="L40" s="21">
        <v>37</v>
      </c>
      <c r="M40" s="21" t="str">
        <f t="shared" si="0"/>
        <v>INSERT INTO tb_unit VALUES('37','RADIOLOGI','2','3','0','Aktif')</v>
      </c>
      <c r="N40" s="21" t="str">
        <f t="shared" si="1"/>
        <v>INSERT INTO tb_user VALUES('37','SAIFUL JUHRI,S.ST.','37','2','3','37','saiful',MD5('saiful123'),'Aktif','User','Karyawan');</v>
      </c>
    </row>
    <row r="41" spans="1:14" s="14" customFormat="1" x14ac:dyDescent="0.25">
      <c r="A41" s="15"/>
      <c r="C41" s="15"/>
      <c r="E41" s="18">
        <v>3</v>
      </c>
      <c r="F41" s="17" t="s">
        <v>248</v>
      </c>
      <c r="G41" s="17" t="s">
        <v>52</v>
      </c>
      <c r="H41" s="26" t="s">
        <v>299</v>
      </c>
      <c r="I41" s="14" t="s">
        <v>350</v>
      </c>
      <c r="J41" s="21">
        <v>2</v>
      </c>
      <c r="K41" s="21">
        <v>3</v>
      </c>
      <c r="L41" s="21">
        <v>38</v>
      </c>
      <c r="M41" s="21" t="str">
        <f t="shared" si="0"/>
        <v>INSERT INTO tb_unit VALUES('38','LABORATORIUM PATOLOGI KLINIK','2','3','0','Aktif')</v>
      </c>
      <c r="N41" s="21" t="str">
        <f t="shared" si="1"/>
        <v>INSERT INTO tb_user VALUES('38','dr. IZZUKI MUHASHONAH, SpPK','38','2','3','38','dr.izzuki',MD5('dr.izzuki123'),'Aktif','User','Karyawan');</v>
      </c>
    </row>
    <row r="42" spans="1:14" s="14" customFormat="1" x14ac:dyDescent="0.25">
      <c r="A42" s="15"/>
      <c r="C42" s="15"/>
      <c r="E42" s="18">
        <v>4</v>
      </c>
      <c r="F42" s="17" t="s">
        <v>74</v>
      </c>
      <c r="G42" s="17" t="s">
        <v>75</v>
      </c>
      <c r="H42" s="26" t="s">
        <v>300</v>
      </c>
      <c r="I42" s="14" t="s">
        <v>351</v>
      </c>
      <c r="J42" s="21">
        <v>2</v>
      </c>
      <c r="K42" s="21">
        <v>3</v>
      </c>
      <c r="L42" s="21">
        <v>39</v>
      </c>
      <c r="M42" s="21" t="str">
        <f t="shared" si="0"/>
        <v>INSERT INTO tb_unit VALUES('39','LABORATORIUM PATOLOGI ANATOMI','2','3','0','Aktif')</v>
      </c>
      <c r="N42" s="21" t="str">
        <f t="shared" si="1"/>
        <v>INSERT INTO tb_user VALUES('39','dr. ARIES SASONGKO, Sp.PA.','39','2','3','39','dr.aries',MD5('dr.aries123'),'Aktif','User','Karyawan');</v>
      </c>
    </row>
    <row r="43" spans="1:14" s="14" customFormat="1" x14ac:dyDescent="0.25">
      <c r="A43" s="15"/>
      <c r="C43" s="15"/>
      <c r="E43" s="18">
        <v>5</v>
      </c>
      <c r="F43" s="20" t="s">
        <v>112</v>
      </c>
      <c r="G43" s="20" t="s">
        <v>113</v>
      </c>
      <c r="H43" s="26" t="s">
        <v>301</v>
      </c>
      <c r="I43" s="14" t="s">
        <v>352</v>
      </c>
      <c r="J43" s="21">
        <v>2</v>
      </c>
      <c r="K43" s="21">
        <v>3</v>
      </c>
      <c r="L43" s="21">
        <v>40</v>
      </c>
      <c r="M43" s="21" t="str">
        <f t="shared" si="0"/>
        <v>INSERT INTO tb_unit VALUES('40','INSTALASI GIZI','2','3','0','Aktif')</v>
      </c>
      <c r="N43" s="21" t="str">
        <f t="shared" si="1"/>
        <v>INSERT INTO tb_user VALUES('40','DYAN INDAH PERWITASARI,SKM.,MM.','40','2','3','40','dyan',MD5('dyan123'),'Aktif','User','Karyawan');</v>
      </c>
    </row>
    <row r="44" spans="1:14" s="14" customFormat="1" x14ac:dyDescent="0.25">
      <c r="A44" s="15"/>
      <c r="C44" s="15"/>
      <c r="E44" s="18">
        <v>6</v>
      </c>
      <c r="F44" s="17" t="s">
        <v>254</v>
      </c>
      <c r="G44" s="17" t="s">
        <v>162</v>
      </c>
      <c r="H44" s="26" t="s">
        <v>302</v>
      </c>
      <c r="I44" s="14" t="s">
        <v>353</v>
      </c>
      <c r="J44" s="21">
        <v>2</v>
      </c>
      <c r="K44" s="21">
        <v>3</v>
      </c>
      <c r="L44" s="21">
        <v>41</v>
      </c>
      <c r="M44" s="21" t="str">
        <f t="shared" si="0"/>
        <v>INSERT INTO tb_unit VALUES('41','CSSD DAN LOUNDRY','2','3','0','Aktif')</v>
      </c>
      <c r="N44" s="21" t="str">
        <f t="shared" si="1"/>
        <v>INSERT INTO tb_user VALUES('41','PRAMITA DUWI NAWANG SARI,A.Md.Kep','41','2','3','41','mita',MD5('mita123'),'Aktif','User','Karyawan');</v>
      </c>
    </row>
    <row r="45" spans="1:14" s="14" customFormat="1" x14ac:dyDescent="0.25">
      <c r="A45" s="15"/>
      <c r="C45" s="15"/>
      <c r="E45" s="18">
        <v>7</v>
      </c>
      <c r="F45" s="17" t="s">
        <v>46</v>
      </c>
      <c r="G45" s="17" t="s">
        <v>47</v>
      </c>
      <c r="H45" s="26" t="s">
        <v>303</v>
      </c>
      <c r="I45" s="14" t="s">
        <v>354</v>
      </c>
      <c r="J45" s="21">
        <v>2</v>
      </c>
      <c r="K45" s="21">
        <v>3</v>
      </c>
      <c r="L45" s="21">
        <v>42</v>
      </c>
      <c r="M45" s="21" t="str">
        <f t="shared" si="0"/>
        <v>INSERT INTO tb_unit VALUES('42','SIMRS','2','3','0','Aktif')</v>
      </c>
      <c r="N45" s="21" t="str">
        <f t="shared" si="1"/>
        <v>INSERT INTO tb_user VALUES('42','LAILATUL FITRIYAH,S.Sos.','42','2','3','42','ila',MD5('ila123'),'Aktif','User','Karyawan');</v>
      </c>
    </row>
    <row r="46" spans="1:14" s="14" customFormat="1" x14ac:dyDescent="0.25">
      <c r="A46" s="15"/>
      <c r="C46" s="15"/>
      <c r="E46" s="18">
        <v>8</v>
      </c>
      <c r="F46" s="17" t="s">
        <v>250</v>
      </c>
      <c r="G46" s="17" t="s">
        <v>245</v>
      </c>
      <c r="H46" s="26" t="s">
        <v>304</v>
      </c>
      <c r="I46" s="14" t="s">
        <v>355</v>
      </c>
      <c r="J46" s="21">
        <v>2</v>
      </c>
      <c r="K46" s="21">
        <v>3</v>
      </c>
      <c r="L46" s="21">
        <v>43</v>
      </c>
      <c r="M46" s="21" t="str">
        <f t="shared" si="0"/>
        <v>INSERT INTO tb_unit VALUES('43','INST. REHABILITASI MEDIK','2','3','0','Aktif')</v>
      </c>
      <c r="N46" s="21" t="str">
        <f t="shared" si="1"/>
        <v>INSERT INTO tb_user VALUES('43','ERNI BUDII ROSITA, Amd.Ft','43','2','3','43','erni',MD5('erni123'),'Aktif','User','Karyawan');</v>
      </c>
    </row>
    <row r="47" spans="1:14" s="14" customFormat="1" x14ac:dyDescent="0.25">
      <c r="A47" s="15"/>
      <c r="C47" s="15"/>
      <c r="E47" s="15">
        <v>9</v>
      </c>
      <c r="F47" s="20" t="s">
        <v>251</v>
      </c>
      <c r="G47" s="20" t="s">
        <v>178</v>
      </c>
      <c r="H47" s="26" t="s">
        <v>305</v>
      </c>
      <c r="I47" s="14" t="s">
        <v>356</v>
      </c>
      <c r="J47" s="21">
        <v>2</v>
      </c>
      <c r="K47" s="21">
        <v>3</v>
      </c>
      <c r="L47" s="21">
        <v>44</v>
      </c>
      <c r="M47" s="21" t="str">
        <f t="shared" si="0"/>
        <v>INSERT INTO tb_unit VALUES('44','INSTALASI REKAM MEDIK','2','3','0','Aktif')</v>
      </c>
      <c r="N47" s="21" t="str">
        <f t="shared" si="1"/>
        <v>INSERT INTO tb_user VALUES('44','ENDANG FITRIYANI, S.ST','44','2','3','44','yani',MD5('yani123'),'Aktif','User','Karyawan');</v>
      </c>
    </row>
    <row r="48" spans="1:14" s="14" customFormat="1" x14ac:dyDescent="0.25">
      <c r="A48" s="15"/>
      <c r="C48" s="15"/>
      <c r="E48" s="15">
        <v>10</v>
      </c>
      <c r="F48" s="20" t="s">
        <v>252</v>
      </c>
      <c r="G48" s="17" t="s">
        <v>253</v>
      </c>
      <c r="H48" s="26" t="s">
        <v>306</v>
      </c>
      <c r="I48" s="14" t="s">
        <v>357</v>
      </c>
      <c r="J48" s="21">
        <v>2</v>
      </c>
      <c r="K48" s="21">
        <v>3</v>
      </c>
      <c r="L48" s="21">
        <v>45</v>
      </c>
      <c r="M48" s="21" t="str">
        <f t="shared" si="0"/>
        <v>INSERT INTO tb_unit VALUES('45','INSTALASI PEMELHARAAN SARANA','2','3','0','Aktif')</v>
      </c>
      <c r="N48" s="21" t="str">
        <f t="shared" si="1"/>
        <v>INSERT INTO tb_user VALUES('45','WEDARING PRASETYO, SKM','45','2','3','45','setyo',MD5('setyo123'),'Aktif','User','Karyawan');</v>
      </c>
    </row>
    <row r="49" spans="1:14" s="14" customFormat="1" x14ac:dyDescent="0.25">
      <c r="A49" s="15"/>
      <c r="C49" s="15"/>
      <c r="E49" s="15">
        <v>11</v>
      </c>
      <c r="F49" s="17" t="s">
        <v>255</v>
      </c>
      <c r="G49" s="17" t="s">
        <v>256</v>
      </c>
      <c r="H49" s="26" t="s">
        <v>307</v>
      </c>
      <c r="I49" s="14" t="s">
        <v>358</v>
      </c>
      <c r="J49" s="21">
        <v>2</v>
      </c>
      <c r="K49" s="21">
        <v>3</v>
      </c>
      <c r="L49" s="21">
        <v>46</v>
      </c>
      <c r="M49" s="21" t="str">
        <f t="shared" si="0"/>
        <v>INSERT INTO tb_unit VALUES('46','INSTALASI PEMULASARAAN JENAZAH','2','3','0','Aktif')</v>
      </c>
      <c r="N49" s="21" t="str">
        <f t="shared" si="1"/>
        <v>INSERT INTO tb_user VALUES('46','MUJINO','46','2','3','46','mujiono',MD5('mujiono123'),'Aktif','User','Karyawan');</v>
      </c>
    </row>
    <row r="51" spans="1:14" ht="30" x14ac:dyDescent="0.25">
      <c r="A51" s="6">
        <v>4</v>
      </c>
      <c r="B51" s="5" t="s">
        <v>258</v>
      </c>
      <c r="D51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skp_unit</vt:lpstr>
      <vt:lpstr>pemetaan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 April Lina Sari</dc:creator>
  <cp:lastModifiedBy>Windows User</cp:lastModifiedBy>
  <dcterms:created xsi:type="dcterms:W3CDTF">2025-07-21T01:39:00Z</dcterms:created>
  <dcterms:modified xsi:type="dcterms:W3CDTF">2025-07-30T05:34:19Z</dcterms:modified>
</cp:coreProperties>
</file>